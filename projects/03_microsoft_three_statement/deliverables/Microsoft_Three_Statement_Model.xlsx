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d4bf6dec5da94a5d" /></Relationships>
</file>

<file path=xl/workbook.xml><?xml version="1.0" encoding="utf-8"?>
<x:workbook xmlns:x="http://schemas.openxmlformats.org/spreadsheetml/2006/main">
  <x:sheets>
    <x:sheet xmlns:r="http://schemas.openxmlformats.org/officeDocument/2006/relationships" name="Overview" sheetId="1" r:id="Redda7e181cfe4161"/>
    <x:sheet xmlns:r="http://schemas.openxmlformats.org/officeDocument/2006/relationships" name="Equity Research" sheetId="2" r:id="Rd924b3431c3a406b"/>
    <x:sheet xmlns:r="http://schemas.openxmlformats.org/officeDocument/2006/relationships" name="Investment Banking" sheetId="3" r:id="R199f47b28a37495b"/>
    <x:sheet xmlns:r="http://schemas.openxmlformats.org/officeDocument/2006/relationships" name="Private Equity" sheetId="4" r:id="R4d65514f175c4291"/>
    <x:sheet xmlns:r="http://schemas.openxmlformats.org/officeDocument/2006/relationships" name="FP&amp;A" sheetId="5" r:id="Rc0cb0571e85a438a"/>
    <x:sheet xmlns:r="http://schemas.openxmlformats.org/officeDocument/2006/relationships" name="Assumptions" sheetId="6" r:id="R31035d903df34ec1"/>
    <x:sheet xmlns:r="http://schemas.openxmlformats.org/officeDocument/2006/relationships" name="Income Statement" sheetId="7" r:id="R6e5134242ba54f87"/>
    <x:sheet xmlns:r="http://schemas.openxmlformats.org/officeDocument/2006/relationships" name="Balance Sheet" sheetId="8" r:id="Rb40384a75d73491b"/>
    <x:sheet xmlns:r="http://schemas.openxmlformats.org/officeDocument/2006/relationships" name="Cash Flow" sheetId="9" r:id="Rd630d43ec471446b"/>
    <x:sheet xmlns:r="http://schemas.openxmlformats.org/officeDocument/2006/relationships" name="Segments" sheetId="10" r:id="R0c83bb5bbb764749"/>
    <x:sheet xmlns:r="http://schemas.openxmlformats.org/officeDocument/2006/relationships" name="Expense Plan" sheetId="11" r:id="R00146025fb7547a6"/>
    <x:sheet xmlns:r="http://schemas.openxmlformats.org/officeDocument/2006/relationships" name="Working Capital" sheetId="12" r:id="Rd79de3eed46c4e03"/>
    <x:sheet xmlns:r="http://schemas.openxmlformats.org/officeDocument/2006/relationships" name="PPE and Intangibles" sheetId="13" r:id="R4b20a1b939484f60"/>
    <x:sheet xmlns:r="http://schemas.openxmlformats.org/officeDocument/2006/relationships" name="Debt and Leases" sheetId="14" r:id="R082692978b1643fd"/>
    <x:sheet xmlns:r="http://schemas.openxmlformats.org/officeDocument/2006/relationships" name="Tax and Equity" sheetId="15" r:id="Rec0852002c214426"/>
    <x:sheet xmlns:r="http://schemas.openxmlformats.org/officeDocument/2006/relationships" name="Data &gt;&gt;" sheetId="16" r:id="Rb2938f16122c4c87"/>
    <x:sheet xmlns:r="http://schemas.openxmlformats.org/officeDocument/2006/relationships" name="Historical Inputs" sheetId="17" r:id="R9e9e6e8571ab426f"/>
    <x:sheet xmlns:r="http://schemas.openxmlformats.org/officeDocument/2006/relationships" name="Filing Notes" sheetId="18" r:id="Ra7b8da9157f942cb"/>
    <x:sheet xmlns:r="http://schemas.openxmlformats.org/officeDocument/2006/relationships" name="Audit" sheetId="19" r:id="R5a8afbc526104385"/>
    <x:sheet xmlns:r="http://schemas.openxmlformats.org/officeDocument/2006/relationships" name="Model Guide" sheetId="20" r:id="R7d3e1ff6dd8b4750"/>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quot;–&quot;"/>
    <x:numFmt numFmtId="201" formatCode="0.00;(0.00);&quot;–&quot;"/>
    <x:numFmt numFmtId="202" formatCode="#,##0.0;(#,##0.0);&quot;–&quot;"/>
    <x:numFmt numFmtId="203" formatCode="0.0%;(0.0%);&quot;–&quot;"/>
    <x:numFmt numFmtId="204" formatCode="0.0;(#,##0.0);&quot;–&quot;"/>
    <x:numFmt numFmtId="205" formatCode="0.00"/>
    <x:numFmt numFmtId="206" formatCode="0.00;(0.00);0.00"/>
  </x:numFmts>
  <x:fonts count="23">
    <x:font>
      <x:sz val="11"/>
      <x:name val="Carlito"/>
    </x:font>
    <x:font>
      <x:sz val="10"/>
      <x:color rgb="FF172B46"/>
      <x:name val="Arial"/>
    </x:font>
    <x:font>
      <x:b/>
      <x:sz val="15"/>
      <x:color rgb="FF172B46"/>
      <x:name val="Arial"/>
    </x:font>
    <x:font>
      <x:i/>
      <x:sz val="10"/>
      <x:color rgb="FF607083"/>
      <x:name val="Arial"/>
    </x:font>
    <x:font>
      <x:b/>
      <x:sz val="10"/>
      <x:color rgb="FF008000"/>
      <x:name val="Arial"/>
    </x:font>
    <x:font>
      <x:b/>
      <x:sz val="10"/>
      <x:color rgb="FFFFFFFF"/>
      <x:name val="Arial"/>
    </x:font>
    <x:font>
      <x:b/>
      <x:sz val="10"/>
      <x:color rgb="FF17365A"/>
      <x:name val="Arial"/>
    </x:font>
    <x:font>
      <x:sz val="10"/>
      <x:color rgb="FF0000FF"/>
      <x:name val="Arial"/>
    </x:font>
    <x:font>
      <x:sz val="10"/>
      <x:color rgb="FF6B7280"/>
      <x:name val="Arial"/>
    </x:font>
    <x:font>
      <x:i/>
      <x:sz val="10"/>
      <x:color rgb="FF172B46"/>
      <x:name val="Arial"/>
    </x:font>
    <x:font>
      <x:i/>
      <x:sz val="10"/>
      <x:color rgb="FF008000"/>
      <x:name val="Arial"/>
    </x:font>
    <x:font>
      <x:b/>
      <x:sz val="10"/>
      <x:color rgb="FF0000FF"/>
      <x:name val="Arial"/>
    </x:font>
    <x:font>
      <x:b/>
      <x:i/>
      <x:sz val="10"/>
      <x:color rgb="FF172B46"/>
      <x:name val="Arial"/>
    </x:font>
    <x:font>
      <x:i/>
      <x:sz val="10"/>
      <x:color rgb="FF0000FF"/>
      <x:name val="Arial"/>
    </x:font>
    <x:font>
      <x:b/>
      <x:i/>
      <x:sz val="10"/>
      <x:color rgb="FF000000"/>
      <x:name val="Arial"/>
    </x:font>
    <x:font>
      <x:b/>
      <x:sz val="10"/>
      <x:color rgb="FF172B46"/>
      <x:name val="Arial"/>
    </x:font>
    <x:font>
      <x:b/>
      <x:sz val="10"/>
      <x:color rgb="FF000000"/>
      <x:name val="Arial"/>
    </x:font>
    <x:font>
      <x:sz val="10"/>
      <x:color rgb="FF008000"/>
      <x:name val="Arial"/>
    </x:font>
    <x:font>
      <x:i/>
      <x:sz val="10"/>
      <x:color rgb="FF000000"/>
      <x:name val="Arial"/>
    </x:font>
    <x:font>
      <x:i/>
      <x:sz val="10"/>
      <x:color rgb="FF6B7280"/>
      <x:name val="Arial"/>
    </x:font>
    <x:font>
      <x:sz val="10"/>
      <x:color rgb="FF000000"/>
      <x:name val="Arial"/>
    </x:font>
    <x:font>
      <x:b/>
      <x:i/>
      <x:sz val="10"/>
      <x:color rgb="FF008000"/>
      <x:name val="Arial"/>
    </x:font>
    <x:font>
      <x:b/>
      <x:sz val="10"/>
      <x:color rgb="FF6B7280"/>
      <x:name val="Arial"/>
    </x:font>
  </x:fonts>
  <x:fills count="6">
    <x:fill>
      <x:patternFill patternType="none"/>
    </x:fill>
    <x:fill>
      <x:patternFill patternType="gray125"/>
    </x:fill>
    <x:fill>
      <x:patternFill patternType="solid">
        <x:fgColor rgb="FF17365A"/>
      </x:patternFill>
    </x:fill>
    <x:fill>
      <x:patternFill patternType="solid">
        <x:fgColor rgb="FFE8EEF5"/>
      </x:patternFill>
    </x:fill>
    <x:fill>
      <x:patternFill patternType="solid">
        <x:fgColor rgb="FFFFF2CC"/>
      </x:patternFill>
    </x:fill>
    <x:fill>
      <x:patternFill patternType="solid">
        <x:fgColor rgb="FFE9F1FA"/>
      </x:patternFill>
    </x:fill>
  </x:fills>
  <x:borders count="2">
    <x:border>
      <x:left/>
      <x:right/>
      <x:top/>
      <x:bottom/>
      <x:diagonal/>
    </x:border>
    <x:border>
      <x:left/>
      <x:right/>
      <x:top style="thin">
        <x:color rgb="FFCCD5DF"/>
      </x:top>
      <x:bottom/>
      <x:diagonal/>
    </x:border>
  </x:borders>
  <x:cellStyleXfs count="1">
    <x:xf numFmtId="0" fontId="0" fillId="0" borderId="0"/>
  </x:cellStyleXfs>
  <x:cellXfs count="7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4"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5" fillId="2" borderId="0" xfId="0" applyNumberFormat="1" applyFont="1" applyFill="1" applyBorder="1" applyAlignment="1">
      <x:alignment vertical="center"/>
    </x:xf>
    <x:xf numFmtId="0" fontId="5" fillId="2" borderId="0" xfId="0" applyNumberFormat="1" applyFont="1" applyFill="1" applyBorder="1" applyAlignment="1">
      <x:alignment horizontal="center" vertical="center"/>
    </x:xf>
    <x:xf numFmtId="0" fontId="1" fillId="3" borderId="0" xfId="0" applyNumberFormat="1" applyFont="1" applyFill="1" applyBorder="1" applyAlignment="1">
      <x:alignment vertical="center"/>
    </x:xf>
    <x:xf numFmtId="0" fontId="6" fillId="3"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7"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1" fontId="7"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2"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203" fontId="9" fillId="0" borderId="0" xfId="0" applyNumberFormat="1" applyFont="1" applyFill="1" applyBorder="1" applyAlignment="1">
      <x:alignment vertical="center"/>
    </x:xf>
    <x:xf numFmtId="203" fontId="10" fillId="0" borderId="0" xfId="0" applyNumberFormat="1" applyFont="1" applyFill="1" applyBorder="1" applyAlignment="1">
      <x:alignment vertical="center"/>
    </x:xf>
    <x:xf numFmtId="0" fontId="1" fillId="4" borderId="0" xfId="0" applyNumberFormat="1" applyFont="1" applyFill="1" applyBorder="1" applyAlignment="1">
      <x:alignment vertical="center"/>
    </x:xf>
    <x:xf numFmtId="0" fontId="11" fillId="4"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9" fillId="0" borderId="0" xfId="0" applyNumberFormat="1" applyFont="1" applyFill="1" applyBorder="1" applyAlignment="1">
      <x:alignment vertical="center" wrapText="1"/>
    </x:xf>
    <x:xf numFmtId="0" fontId="9" fillId="5" borderId="0" xfId="0" applyNumberFormat="1" applyFont="1" applyFill="1" applyBorder="1" applyAlignment="1">
      <x:alignment vertical="center" wrapText="1"/>
    </x:xf>
    <x:xf numFmtId="0" fontId="9" fillId="5" borderId="0" xfId="0" applyNumberFormat="1" applyFont="1" applyFill="1" applyBorder="1" applyAlignment="1">
      <x:alignment vertical="center"/>
    </x:xf>
    <x:xf numFmtId="203" fontId="9" fillId="5" borderId="0" xfId="0" applyNumberFormat="1" applyFont="1" applyFill="1" applyBorder="1" applyAlignment="1">
      <x:alignment vertical="center"/>
    </x:xf>
    <x:xf numFmtId="0" fontId="12" fillId="5" borderId="0" xfId="0" applyNumberFormat="1" applyFont="1" applyFill="1" applyBorder="1" applyAlignment="1">
      <x:alignment vertical="center" wrapText="1"/>
    </x:xf>
    <x:xf numFmtId="0" fontId="12" fillId="5" borderId="0" xfId="0" applyNumberFormat="1" applyFont="1" applyFill="1" applyBorder="1" applyAlignment="1">
      <x:alignment vertical="center"/>
    </x:xf>
    <x:xf numFmtId="203" fontId="12" fillId="5" borderId="0" xfId="0" applyNumberFormat="1" applyFont="1" applyFill="1" applyBorder="1" applyAlignment="1">
      <x:alignment vertical="center"/>
    </x:xf>
    <x:xf numFmtId="203" fontId="13" fillId="0" borderId="0" xfId="0" applyNumberFormat="1" applyFont="1" applyFill="1" applyBorder="1" applyAlignment="1">
      <x:alignment vertical="center"/>
    </x:xf>
    <x:xf numFmtId="203" fontId="14" fillId="5" borderId="0" xfId="0" applyNumberFormat="1" applyFont="1" applyFill="1" applyBorder="1" applyAlignment="1">
      <x:alignment vertical="center"/>
    </x:xf>
    <x:xf numFmtId="204" fontId="1" fillId="0" borderId="0" xfId="0" applyNumberFormat="1" applyFont="1" applyFill="1" applyBorder="1" applyAlignment="1">
      <x:alignment vertical="center"/>
    </x:xf>
    <x:xf numFmtId="0" fontId="1" fillId="5" borderId="0" xfId="0" applyNumberFormat="1" applyFont="1" applyFill="1" applyBorder="1" applyAlignment="1">
      <x:alignment vertical="center" wrapText="1"/>
    </x:xf>
    <x:xf numFmtId="0" fontId="1" fillId="5" borderId="0" xfId="0" applyNumberFormat="1" applyFont="1" applyFill="1" applyBorder="1" applyAlignment="1">
      <x:alignment vertical="center"/>
    </x:xf>
    <x:xf numFmtId="204" fontId="1" fillId="5" borderId="0" xfId="0" applyNumberFormat="1" applyFont="1" applyFill="1" applyBorder="1" applyAlignment="1">
      <x:alignment vertical="center"/>
    </x:xf>
    <x:xf numFmtId="0" fontId="15" fillId="5" borderId="0" xfId="0" applyNumberFormat="1" applyFont="1" applyFill="1" applyBorder="1" applyAlignment="1">
      <x:alignment vertical="center" wrapText="1"/>
    </x:xf>
    <x:xf numFmtId="0" fontId="15" fillId="5" borderId="0" xfId="0" applyNumberFormat="1" applyFont="1" applyFill="1" applyBorder="1" applyAlignment="1">
      <x:alignment vertical="center"/>
    </x:xf>
    <x:xf numFmtId="204" fontId="15" fillId="5" borderId="0" xfId="0" applyNumberFormat="1" applyFont="1" applyFill="1" applyBorder="1" applyAlignment="1">
      <x:alignment vertical="center"/>
    </x:xf>
    <x:xf numFmtId="204" fontId="7" fillId="0" borderId="0" xfId="0" applyNumberFormat="1" applyFont="1" applyFill="1" applyBorder="1" applyAlignment="1">
      <x:alignment vertical="center"/>
    </x:xf>
    <x:xf numFmtId="204" fontId="16"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5" fillId="5" borderId="0" xfId="0" applyNumberFormat="1" applyFont="1" applyFill="1" applyBorder="1" applyAlignment="1">
      <x:alignment vertical="center"/>
    </x:xf>
    <x:xf numFmtId="200" fontId="16" fillId="5" borderId="0" xfId="0" applyNumberFormat="1" applyFont="1" applyFill="1" applyBorder="1" applyAlignment="1">
      <x:alignment vertical="center"/>
    </x:xf>
    <x:xf numFmtId="203" fontId="1" fillId="0" borderId="0" xfId="0" applyNumberFormat="1" applyFont="1" applyFill="1" applyBorder="1" applyAlignment="1">
      <x:alignment vertical="center"/>
    </x:xf>
    <x:xf numFmtId="203" fontId="7"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5" fillId="3" borderId="0" xfId="0" applyNumberFormat="1" applyFont="1" applyFill="1" applyBorder="1" applyAlignment="1">
      <x:alignment horizontal="center" vertical="center"/>
    </x:xf>
    <x:xf numFmtId="0" fontId="6" fillId="3" borderId="0" xfId="0" applyNumberFormat="1" applyFont="1" applyFill="1" applyBorder="1" applyAlignment="1">
      <x:alignment horizontal="center" vertical="center"/>
    </x:xf>
    <x:xf numFmtId="200" fontId="17" fillId="0" borderId="0" xfId="0" applyNumberFormat="1" applyFont="1" applyFill="1" applyBorder="1" applyAlignment="1">
      <x:alignment vertical="center"/>
    </x:xf>
    <x:xf numFmtId="202" fontId="17" fillId="0" borderId="0" xfId="0" applyNumberFormat="1" applyFont="1" applyFill="1" applyBorder="1" applyAlignment="1">
      <x:alignment vertical="center"/>
    </x:xf>
    <x:xf numFmtId="201" fontId="17" fillId="0" borderId="0" xfId="0" applyNumberFormat="1" applyFont="1" applyFill="1" applyBorder="1" applyAlignment="1">
      <x:alignment vertical="center"/>
    </x:xf>
    <x:xf numFmtId="203" fontId="18" fillId="0" borderId="0" xfId="0" applyNumberFormat="1" applyFont="1" applyFill="1" applyBorder="1" applyAlignment="1">
      <x:alignment vertical="center"/>
    </x:xf>
    <x:xf numFmtId="203" fontId="19" fillId="0" borderId="0" xfId="0" applyNumberFormat="1" applyFont="1" applyFill="1" applyBorder="1" applyAlignment="1">
      <x:alignment vertical="center"/>
    </x:xf>
    <x:xf numFmtId="202" fontId="8" fillId="0" borderId="0" xfId="0" applyNumberFormat="1" applyFont="1" applyFill="1" applyBorder="1" applyAlignment="1">
      <x:alignment vertical="center"/>
    </x:xf>
    <x:xf numFmtId="200" fontId="20" fillId="0" borderId="0" xfId="0" applyNumberFormat="1" applyFont="1" applyFill="1" applyBorder="1" applyAlignment="1">
      <x:alignment vertical="center"/>
    </x:xf>
    <x:xf numFmtId="204" fontId="17" fillId="0" borderId="0" xfId="0" applyNumberFormat="1" applyFont="1" applyFill="1" applyBorder="1" applyAlignment="1">
      <x:alignment vertical="center"/>
    </x:xf>
    <x:xf numFmtId="204" fontId="20" fillId="0" borderId="0" xfId="0" applyNumberFormat="1" applyFont="1" applyFill="1" applyBorder="1" applyAlignment="1">
      <x:alignment vertical="center"/>
    </x:xf>
    <x:xf numFmtId="202" fontId="20" fillId="0" borderId="0" xfId="0" applyNumberFormat="1" applyFont="1" applyFill="1" applyBorder="1" applyAlignment="1">
      <x:alignment vertical="center"/>
    </x:xf>
    <x:xf numFmtId="201" fontId="20" fillId="0" borderId="0" xfId="0" applyNumberFormat="1" applyFont="1" applyFill="1" applyBorder="1" applyAlignment="1">
      <x:alignment vertical="center"/>
    </x:xf>
    <x:xf numFmtId="203" fontId="21" fillId="5" borderId="0" xfId="0" applyNumberFormat="1" applyFont="1" applyFill="1" applyBorder="1" applyAlignment="1">
      <x:alignment vertical="center"/>
    </x:xf>
    <x:xf numFmtId="204" fontId="4" fillId="5" borderId="0" xfId="0" applyNumberFormat="1" applyFont="1" applyFill="1" applyBorder="1" applyAlignment="1">
      <x:alignment vertical="center"/>
    </x:xf>
    <x:xf numFmtId="0" fontId="15" fillId="0" borderId="0" xfId="0" applyNumberFormat="1" applyFont="1" applyFill="1" applyBorder="1" applyAlignment="1">
      <x:alignment vertical="center"/>
    </x:xf>
    <x:xf numFmtId="200" fontId="4" fillId="0" borderId="0" xfId="0" applyNumberFormat="1" applyFont="1" applyFill="1" applyBorder="1" applyAlignment="1">
      <x:alignment vertical="center"/>
    </x:xf>
    <x:xf numFmtId="200" fontId="4" fillId="0" borderId="1" xfId="0" applyNumberFormat="1" applyFont="1" applyFill="1" applyBorder="1" applyAlignment="1">
      <x:alignment vertical="center"/>
    </x:xf>
    <x:xf numFmtId="200" fontId="16" fillId="0" borderId="0" xfId="0" applyNumberFormat="1" applyFont="1" applyFill="1" applyBorder="1" applyAlignment="1">
      <x:alignment vertical="center"/>
    </x:xf>
    <x:xf numFmtId="200" fontId="16" fillId="0" borderId="1" xfId="0" applyNumberFormat="1" applyFont="1" applyFill="1" applyBorder="1" applyAlignment="1">
      <x:alignment vertical="center"/>
    </x:xf>
    <x:xf numFmtId="200" fontId="15" fillId="0" borderId="0" xfId="0" applyNumberFormat="1" applyFont="1" applyFill="1" applyBorder="1" applyAlignment="1">
      <x:alignment vertical="center"/>
    </x:xf>
    <x:xf numFmtId="200" fontId="15" fillId="0" borderId="1" xfId="0" applyNumberFormat="1" applyFont="1" applyFill="1" applyBorder="1" applyAlignment="1">
      <x:alignment vertical="center"/>
    </x:xf>
    <x:xf numFmtId="200" fontId="22" fillId="0" borderId="0" xfId="0" applyNumberFormat="1" applyFont="1" applyFill="1" applyBorder="1" applyAlignment="1">
      <x:alignment vertical="center"/>
    </x:xf>
    <x:xf numFmtId="200" fontId="22" fillId="0" borderId="1" xfId="0" applyNumberFormat="1" applyFont="1" applyFill="1" applyBorder="1" applyAlignment="1">
      <x:alignment vertical="center"/>
    </x:xf>
    <x:xf numFmtId="205" fontId="1" fillId="0" borderId="0" xfId="0" applyNumberFormat="1" applyFont="1" applyFill="1" applyBorder="1" applyAlignment="1">
      <x:alignment vertical="center"/>
    </x:xf>
    <x:xf numFmtId="206" fontId="17" fillId="0" borderId="0" xfId="0" applyNumberFormat="1" applyFont="1" applyFill="1" applyBorder="1" applyAlignment="1">
      <x:alignment vertical="center"/>
    </x:xf>
    <x:xf numFmtId="206" fontId="20" fillId="0" borderId="0" xfId="0" applyNumberFormat="1" applyFont="1" applyFill="1" applyBorder="1" applyAlignment="1">
      <x:alignment vertical="center"/>
    </x:xf>
    <x:xf numFmtId="206" fontId="1" fillId="0" borderId="0" xfId="0" applyNumberFormat="1" applyFont="1" applyFill="1" applyBorder="1" applyAlignment="1">
      <x:alignment vertical="center"/>
    </x:xf>
  </x:cellXfs>
  <x:cellStyles count="1">
    <x:cellStyle name="Normal" xfId="0"/>
  </x:cellStyles>
  <x:dxfs count="1">
    <x:dxf>
      <x:font>
        <x:b/>
        <x:color rgb="FFA61C1C"/>
      </x:font>
      <x:fill>
        <x:patternFill>
          <x:bgColor rgb="FFFD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8b0589e0d7e4d8b" /><Relationship Type="http://schemas.openxmlformats.org/officeDocument/2006/relationships/theme" Target="/xl/theme/theme1.xml" Id="R322867d8562d461e" /><Relationship Type="http://schemas.openxmlformats.org/officeDocument/2006/relationships/sharedStrings" Target="/xl/sharedStrings.xml" Id="Rde03fc66b8424a95" /><Relationship Type="http://schemas.openxmlformats.org/officeDocument/2006/relationships/worksheet" Target="/xl/worksheets/sheet1.xml" Id="Redda7e181cfe4161" /><Relationship Type="http://schemas.openxmlformats.org/officeDocument/2006/relationships/worksheet" Target="/xl/worksheets/sheet2.xml" Id="Rd924b3431c3a406b" /><Relationship Type="http://schemas.openxmlformats.org/officeDocument/2006/relationships/worksheet" Target="/xl/worksheets/sheet3.xml" Id="R199f47b28a37495b" /><Relationship Type="http://schemas.openxmlformats.org/officeDocument/2006/relationships/worksheet" Target="/xl/worksheets/sheet4.xml" Id="R4d65514f175c4291" /><Relationship Type="http://schemas.openxmlformats.org/officeDocument/2006/relationships/worksheet" Target="/xl/worksheets/sheet5.xml" Id="Rc0cb0571e85a438a" /><Relationship Type="http://schemas.openxmlformats.org/officeDocument/2006/relationships/worksheet" Target="/xl/worksheets/sheet6.xml" Id="R31035d903df34ec1" /><Relationship Type="http://schemas.openxmlformats.org/officeDocument/2006/relationships/worksheet" Target="/xl/worksheets/sheet7.xml" Id="R6e5134242ba54f87" /><Relationship Type="http://schemas.openxmlformats.org/officeDocument/2006/relationships/worksheet" Target="/xl/worksheets/sheet8.xml" Id="Rb40384a75d73491b" /><Relationship Type="http://schemas.openxmlformats.org/officeDocument/2006/relationships/worksheet" Target="/xl/worksheets/sheet9.xml" Id="Rd630d43ec471446b" /><Relationship Type="http://schemas.openxmlformats.org/officeDocument/2006/relationships/worksheet" Target="/xl/worksheets/sheet10.xml" Id="R0c83bb5bbb764749" /><Relationship Type="http://schemas.openxmlformats.org/officeDocument/2006/relationships/worksheet" Target="/xl/worksheets/sheet11.xml" Id="R00146025fb7547a6" /><Relationship Type="http://schemas.openxmlformats.org/officeDocument/2006/relationships/worksheet" Target="/xl/worksheets/sheet12.xml" Id="Rd79de3eed46c4e03" /><Relationship Type="http://schemas.openxmlformats.org/officeDocument/2006/relationships/worksheet" Target="/xl/worksheets/sheet13.xml" Id="R4b20a1b939484f60" /><Relationship Type="http://schemas.openxmlformats.org/officeDocument/2006/relationships/worksheet" Target="/xl/worksheets/sheet14.xml" Id="R082692978b1643fd" /><Relationship Type="http://schemas.openxmlformats.org/officeDocument/2006/relationships/worksheet" Target="/xl/worksheets/sheet15.xml" Id="Rec0852002c214426" /><Relationship Type="http://schemas.openxmlformats.org/officeDocument/2006/relationships/worksheet" Target="/xl/worksheets/sheet16.xml" Id="Rb2938f16122c4c87" /><Relationship Type="http://schemas.openxmlformats.org/officeDocument/2006/relationships/worksheet" Target="/xl/worksheets/sheet17.xml" Id="R9e9e6e8571ab426f" /><Relationship Type="http://schemas.openxmlformats.org/officeDocument/2006/relationships/worksheet" Target="/xl/worksheets/sheet18.xml" Id="Ra7b8da9157f942cb" /><Relationship Type="http://schemas.openxmlformats.org/officeDocument/2006/relationships/worksheet" Target="/xl/worksheets/sheet19.xml" Id="R5a8afbc526104385" /><Relationship Type="http://schemas.openxmlformats.org/officeDocument/2006/relationships/worksheet" Target="/xl/worksheets/sheet20.xml" Id="R7d3e1ff6dd8b4750" /></Relationships>
</file>

<file path=xl/drawings/_rels/drawing1.xml.rels>&#65279;<?xml version="1.0" encoding="utf-8"?><Relationships xmlns="http://schemas.openxmlformats.org/package/2006/relationships"><Relationship Type="http://schemas.openxmlformats.org/officeDocument/2006/relationships/chart" Target="/xl/drawings/charts/chart1.xml" Id="Rad3dc31774944d6d" /><Relationship Type="http://schemas.openxmlformats.org/officeDocument/2006/relationships/chart" Target="/xl/drawings/charts/chart2.xml" Id="Rb04eb36247704888"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Revenue and operating income (USD billions)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Revenue</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'Overview'!$C$25:$C$34</c:f>
              <c:strCache>
                <c:ptCount val="0"/>
              </c:strCache>
            </c:strRef>
          </c:cat>
          <c:val>
            <c:numRef>
              <c:f>'Overview'!$D$25:$D$34</c:f>
              <c:numCache>
                <c:formatCode>#,##0;(#,##0);"–"</c:formatCode>
                <c:ptCount val="0"/>
              </c:numCache>
            </c:numRef>
          </c:val>
          <c:smooth val="0"/>
        </c:ser>
        <c:ser>
          <c:idx val="1"/>
          <c:order val="1"/>
          <c:tx>
            <c:v>Operating income</c:v>
          </c:tx>
          <c:spPr>
            <a:solidFill xmlns:a="http://schemas.openxmlformats.org/drawingml/2006/main">
              <a:srgbClr val="3C8DAD"/>
            </a:solidFill>
            <a:ln xmlns:a="http://schemas.openxmlformats.org/drawingml/2006/main" w="19050">
              <a:solidFill>
                <a:srgbClr val="3C8DAD"/>
              </a:solidFill>
              <a:prstDash val="solid"/>
            </a:ln>
          </c:spPr>
          <c:marker>
            <c:symbol val="none"/>
          </c:marker>
          <c:cat>
            <c:strRef>
              <c:f>'Overview'!$C$25:$C$34</c:f>
              <c:strCache>
                <c:ptCount val="0"/>
              </c:strCache>
            </c:strRef>
          </c:cat>
          <c:val>
            <c:numRef>
              <c:f>'Overview'!$E$25:$E$34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Capital investment and free cash flow (USD billions)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lineChart>
        <c:grouping val="standard"/>
        <c:varyColors val="0"/>
        <c:ser>
          <c:idx val="0"/>
          <c:order val="0"/>
          <c:tx>
            <c:v>Cash capex</c:v>
          </c:tx>
          <c:spPr>
            <a:solidFill xmlns:a="http://schemas.openxmlformats.org/drawingml/2006/main">
              <a:srgbClr val="A7793A"/>
            </a:solidFill>
            <a:ln xmlns:a="http://schemas.openxmlformats.org/drawingml/2006/main" w="19050">
              <a:solidFill>
                <a:srgbClr val="A7793A"/>
              </a:solidFill>
              <a:prstDash val="solid"/>
            </a:ln>
          </c:spPr>
          <c:marker>
            <c:symbol val="none"/>
          </c:marker>
          <c:cat>
            <c:strRef>
              <c:f>'Overview'!$C$25:$C$34</c:f>
              <c:strCache>
                <c:ptCount val="0"/>
              </c:strCache>
            </c:strRef>
          </c:cat>
          <c:val>
            <c:numRef>
              <c:f>'Overview'!$F$25:$F$34</c:f>
              <c:numCache>
                <c:formatCode>#,##0;(#,##0);"–"</c:formatCode>
                <c:ptCount val="0"/>
              </c:numCache>
            </c:numRef>
          </c:val>
          <c:smooth val="0"/>
        </c:ser>
        <c:ser>
          <c:idx val="1"/>
          <c:order val="1"/>
          <c:tx>
            <c:v>Free cash flow</c:v>
          </c:tx>
          <c:spPr>
            <a:solidFill xmlns:a="http://schemas.openxmlformats.org/drawingml/2006/main">
              <a:srgbClr val="17365A"/>
            </a:solidFill>
            <a:ln xmlns:a="http://schemas.openxmlformats.org/drawingml/2006/main" w="19050">
              <a:solidFill>
                <a:srgbClr val="17365A"/>
              </a:solidFill>
              <a:prstDash val="solid"/>
            </a:ln>
          </c:spPr>
          <c:marker>
            <c:symbol val="none"/>
          </c:marker>
          <c:cat>
            <c:strRef>
              <c:f>'Overview'!$C$25:$C$34</c:f>
              <c:strCache>
                <c:ptCount val="0"/>
              </c:strCache>
            </c:strRef>
          </c:cat>
          <c:val>
            <c:numRef>
              <c:f>'Overview'!$G$25:$G$34</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bn&quot;"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8</xdr:col>
      <xdr:colOff>0</xdr:colOff>
      <xdr:row>6</xdr:row>
      <xdr:rowOff>0</xdr:rowOff>
    </xdr:from>
    <xdr:to>
      <xdr:col>18</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d3dc31774944d6d"/>
        </a:graphicData>
      </a:graphic>
    </xdr:graphicFrame>
    <xdr:clientData/>
  </xdr:twoCellAnchor>
  <xdr:twoCellAnchor>
    <xdr:from>
      <xdr:col>8</xdr:col>
      <xdr:colOff>0</xdr:colOff>
      <xdr:row>25</xdr:row>
      <xdr:rowOff>0</xdr:rowOff>
    </xdr:from>
    <xdr:to>
      <xdr:col>18</xdr:col>
      <xdr:colOff>0</xdr:colOff>
      <xdr:row>42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4eb36247704888"/>
        </a:graphicData>
      </a:graphic>
    </xdr:graphicFrame>
    <xdr:clientData/>
  </xdr:twoCellAnchor>
  <xdr:oneCellAnchor>
    <xdr:from>
      <xdr:col>2</xdr:col>
      <xdr:colOff>0</xdr:colOff>
      <xdr:row>44</xdr:row>
      <xdr:rowOff>0</xdr:rowOff>
    </xdr:from>
    <xdr:ext cx="7858125" cy="1219200"/>
    <xdr:sp>
      <xdr:nvSpPr>
        <xdr:cNvPr id="3" name="Read the model"/>
        <xdr:cNvSpPr>
          <a:spLocks xmlns:a="http://schemas.openxmlformats.org/drawingml/2006/main" noGrp="1"/>
        </xdr:cNvSpPr>
      </xdr:nvSpPr>
      <xdr:spPr>
        <a:xfrm xmlns:a="http://schemas.openxmlformats.org/drawingml/2006/main">
          <a:off x="0" y="0"/>
          <a:ext cx="7858125" cy="121920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Read the model</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Use the case selector on Assumptions. Blue numbers are inputs, green numbers link to other worksheets and black numbers are local formulas or summary results. Historical sources remain unchanged when a forecast case is selected. Forecasts are research assumptions.</a:t>
          </a:r>
          <a:endParaRPr/>
        </a:p>
      </xdr:txBody>
    </xdr:sp>
    <xdr:clientData/>
  </xdr:oneCellAnchor>
</xdr:wsDr>
</file>

<file path=xl/drawings/drawing2.xml><?xml version="1.0" encoding="utf-8"?>
<xdr:wsDr xmlns:xdr="http://schemas.openxmlformats.org/drawingml/2006/spreadsheetDrawing">
  <xdr:oneCellAnchor>
    <xdr:from>
      <xdr:col>2</xdr:col>
      <xdr:colOff>0</xdr:colOff>
      <xdr:row>28</xdr:row>
      <xdr:rowOff>0</xdr:rowOff>
    </xdr:from>
    <xdr:ext cx="9810750" cy="1190625"/>
    <xdr:sp>
      <xdr:nvSpPr>
        <xdr:cNvPr id="1" name="Research questions"/>
        <xdr:cNvSpPr>
          <a:spLocks xmlns:a="http://schemas.openxmlformats.org/drawingml/2006/main" noGrp="1"/>
        </xdr:cNvSpPr>
      </xdr:nvSpPr>
      <xdr:spPr>
        <a:xfrm xmlns:a="http://schemas.openxmlformats.org/drawingml/2006/main">
          <a:off x="0" y="0"/>
          <a:ext cx="981075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Research questions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Assess earnings quality, cash conversion and capital intensity before forming an investment thesis. The model provides operating forecasts; it does not contain a target price or the author's investment recommendation.</a:t>
          </a:r>
          <a:endParaRPr/>
        </a:p>
      </xdr:txBody>
    </xdr:sp>
    <xdr:clientData/>
  </xdr:oneCellAnchor>
</xdr:wsDr>
</file>

<file path=xl/drawings/drawing3.xml><?xml version="1.0" encoding="utf-8"?>
<xdr:wsDr xmlns:xdr="http://schemas.openxmlformats.org/drawingml/2006/spreadsheetDrawing">
  <xdr:oneCellAnchor>
    <xdr:from>
      <xdr:col>2</xdr:col>
      <xdr:colOff>0</xdr:colOff>
      <xdr:row>28</xdr:row>
      <xdr:rowOff>0</xdr:rowOff>
    </xdr:from>
    <xdr:ext cx="9810750" cy="1190625"/>
    <xdr:sp>
      <xdr:nvSpPr>
        <xdr:cNvPr id="1" name="Debt and earnings definitions"/>
        <xdr:cNvSpPr>
          <a:spLocks xmlns:a="http://schemas.openxmlformats.org/drawingml/2006/main" noGrp="1"/>
        </xdr:cNvSpPr>
      </xdr:nvSpPr>
      <xdr:spPr>
        <a:xfrm xmlns:a="http://schemas.openxmlformats.org/drawingml/2006/main">
          <a:off x="0" y="0"/>
          <a:ext cx="981075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Debt and earnings definitions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Debt is measured at carrying amount. Lease-adjusted net debt adds finance lease liabilities. Operating income plus disclosed D&amp;A is an analytical earnings proxy, not a Microsoft-reported EBITDA measure.</a:t>
          </a:r>
          <a:endParaRPr/>
        </a:p>
      </xdr:txBody>
    </xdr:sp>
    <xdr:clientData/>
  </xdr:oneCellAnchor>
</xdr:wsDr>
</file>

<file path=xl/drawings/drawing4.xml><?xml version="1.0" encoding="utf-8"?>
<xdr:wsDr xmlns:xdr="http://schemas.openxmlformats.org/drawingml/2006/spreadsheetDrawing">
  <xdr:oneCellAnchor>
    <xdr:from>
      <xdr:col>2</xdr:col>
      <xdr:colOff>0</xdr:colOff>
      <xdr:row>28</xdr:row>
      <xdr:rowOff>0</xdr:rowOff>
    </xdr:from>
    <xdr:ext cx="9810750" cy="1190625"/>
    <xdr:sp>
      <xdr:nvSpPr>
        <xdr:cNvPr id="1" name="Operating diligence scope"/>
        <xdr:cNvSpPr>
          <a:spLocks xmlns:a="http://schemas.openxmlformats.org/drawingml/2006/main" noGrp="1"/>
        </xdr:cNvSpPr>
      </xdr:nvSpPr>
      <xdr:spPr>
        <a:xfrm xmlns:a="http://schemas.openxmlformats.org/drawingml/2006/main">
          <a:off x="0" y="0"/>
          <a:ext cx="981075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Operating diligence scope</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Use these metrics to assess reinvestment needs, SBC and cash conversion. Microsoft is analyzed as a public operating company. This worksheet does not assume a leveraged buyout or private equity ownership.</a:t>
          </a:r>
          <a:endParaRPr/>
        </a:p>
      </xdr:txBody>
    </xdr:sp>
    <xdr:clientData/>
  </xdr:oneCellAnchor>
</xdr:wsDr>
</file>

<file path=xl/drawings/drawing5.xml><?xml version="1.0" encoding="utf-8"?>
<xdr:wsDr xmlns:xdr="http://schemas.openxmlformats.org/drawingml/2006/spreadsheetDrawing">
  <xdr:oneCellAnchor>
    <xdr:from>
      <xdr:col>2</xdr:col>
      <xdr:colOff>0</xdr:colOff>
      <xdr:row>43</xdr:row>
      <xdr:rowOff>0</xdr:rowOff>
    </xdr:from>
    <xdr:ext cx="9810750" cy="1143000"/>
    <xdr:sp>
      <xdr:nvSpPr>
        <xdr:cNvPr id="1" name="How to explain forecast variance"/>
        <xdr:cNvSpPr>
          <a:spLocks xmlns:a="http://schemas.openxmlformats.org/drawingml/2006/main" noGrp="1"/>
        </xdr:cNvSpPr>
      </xdr:nvSpPr>
      <xdr:spPr>
        <a:xfrm xmlns:a="http://schemas.openxmlformats.org/drawingml/2006/main">
          <a:off x="0" y="0"/>
          <a:ext cx="9810750" cy="114300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How to explain forecast variance</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The bridge starts with FY2026 operating income, adds each segment's revenue change and subtracts the changes in cost of revenue and operating expenses. It updates when the case selector or a forecast driver changes.</a:t>
          </a:r>
          <a:endParaRPr/>
        </a:p>
      </xdr:txBody>
    </xdr:sp>
    <xdr:clientData/>
  </xdr:oneCellAnchor>
</xdr:wsDr>
</file>

<file path=xl/drawings/drawing6.xml><?xml version="1.0" encoding="utf-8"?>
<xdr:wsDr xmlns:xdr="http://schemas.openxmlformats.org/drawingml/2006/spreadsheetDrawing">
  <xdr:oneCellAnchor>
    <xdr:from>
      <xdr:col>2</xdr:col>
      <xdr:colOff>0</xdr:colOff>
      <xdr:row>215</xdr:row>
      <xdr:rowOff>0</xdr:rowOff>
    </xdr:from>
    <xdr:ext cx="9715500" cy="1181100"/>
    <xdr:sp>
      <xdr:nvSpPr>
        <xdr:cNvPr id="1" name="How to change a case"/>
        <xdr:cNvSpPr>
          <a:spLocks xmlns:a="http://schemas.openxmlformats.org/drawingml/2006/main" noGrp="1"/>
        </xdr:cNvSpPr>
      </xdr:nvSpPr>
      <xdr:spPr>
        <a:xfrm xmlns:a="http://schemas.openxmlformats.org/drawingml/2006/main">
          <a:off x="0" y="0"/>
          <a:ext cx="9715500" cy="118110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How to change a case</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Choose 1, 2 or 3 in D4. Edit the blue forecast drivers for that case. The active row feeds every schedule. D&amp;A and lease expense allocation percentages are model assumptions because Microsoft does not disclose these expenses by segment.</a:t>
          </a:r>
          <a:endParaRPr/>
        </a:p>
      </xdr:txBody>
    </xdr:sp>
    <xdr:clientData/>
  </xdr:oneCellAnchor>
</xdr:wsDr>
</file>

<file path=xl/drawings/drawing7.xml><?xml version="1.0" encoding="utf-8"?>
<xdr:wsDr xmlns:xdr="http://schemas.openxmlformats.org/drawingml/2006/spreadsheetDrawing">
  <xdr:oneCellAnchor>
    <xdr:from>
      <xdr:col>2</xdr:col>
      <xdr:colOff>0</xdr:colOff>
      <xdr:row>39</xdr:row>
      <xdr:rowOff>0</xdr:rowOff>
    </xdr:from>
    <xdr:ext cx="8953500" cy="1238250"/>
    <xdr:sp>
      <xdr:nvSpPr>
        <xdr:cNvPr id="1" name="How earnings are calculated"/>
        <xdr:cNvSpPr>
          <a:spLocks xmlns:a="http://schemas.openxmlformats.org/drawingml/2006/main" noGrp="1"/>
        </xdr:cNvSpPr>
      </xdr:nvSpPr>
      <xdr:spPr>
        <a:xfrm xmlns:a="http://schemas.openxmlformats.org/drawingml/2006/main">
          <a:off x="0" y="0"/>
          <a:ext cx="895350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How earnings are calculated</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Segment revenue and cost forecasts feed gross profit. Operating costs include their allocated depreciation, intangible amortization and operating lease expense. Tax expense links to the tax schedule. FY2026 investment gains are not extrapolated into forecast earnings.</a:t>
          </a:r>
          <a:endParaRPr/>
        </a:p>
      </xdr:txBody>
    </xdr:sp>
    <xdr:clientData/>
  </xdr:oneCellAnchor>
</xdr:wsDr>
</file>

<file path=xl/drawings/drawing8.xml><?xml version="1.0" encoding="utf-8"?>
<xdr:wsDr xmlns:xdr="http://schemas.openxmlformats.org/drawingml/2006/spreadsheetDrawing">
  <xdr:oneCellAnchor>
    <xdr:from>
      <xdr:col>2</xdr:col>
      <xdr:colOff>0</xdr:colOff>
      <xdr:row>52</xdr:row>
      <xdr:rowOff>0</xdr:rowOff>
    </xdr:from>
    <xdr:ext cx="8953500" cy="1238250"/>
    <xdr:sp>
      <xdr:nvSpPr>
        <xdr:cNvPr id="1" name="How the balance sheet stays integrated"/>
        <xdr:cNvSpPr>
          <a:spLocks xmlns:a="http://schemas.openxmlformats.org/drawingml/2006/main" noGrp="1"/>
        </xdr:cNvSpPr>
      </xdr:nvSpPr>
      <xdr:spPr>
        <a:xfrm xmlns:a="http://schemas.openxmlformats.org/drawingml/2006/main">
          <a:off x="0" y="0"/>
          <a:ext cx="895350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How the balance sheet stays integrated</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Cash comes from the cash flow statement. PPE and intangibles use asset roll-forwards. Debt and lease liabilities use payment schedules. Paid-in capital and retained earnings reflect earnings, SBC, share issuance, dividends and buybacks. No asset or equity balancing plug is used.</a:t>
          </a:r>
          <a:endParaRPr/>
        </a:p>
      </xdr:txBody>
    </xdr:sp>
    <xdr:clientData/>
  </xdr:oneCellAnchor>
</xdr:wsDr>
</file>

<file path=xl/drawings/drawing9.xml><?xml version="1.0" encoding="utf-8"?>
<xdr:wsDr xmlns:xdr="http://schemas.openxmlformats.org/drawingml/2006/spreadsheetDrawing">
  <xdr:oneCellAnchor>
    <xdr:from>
      <xdr:col>2</xdr:col>
      <xdr:colOff>0</xdr:colOff>
      <xdr:row>65</xdr:row>
      <xdr:rowOff>0</xdr:rowOff>
    </xdr:from>
    <xdr:ext cx="8953500" cy="1238250"/>
    <xdr:sp>
      <xdr:nvSpPr>
        <xdr:cNvPr id="1" name="Cash flow signs and noncash items"/>
        <xdr:cNvSpPr>
          <a:spLocks xmlns:a="http://schemas.openxmlformats.org/drawingml/2006/main" noGrp="1"/>
        </xdr:cNvSpPr>
      </xdr:nvSpPr>
      <xdr:spPr>
        <a:xfrm xmlns:a="http://schemas.openxmlformats.org/drawingml/2006/main">
          <a:off x="0" y="0"/>
          <a:ext cx="895350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Cash flow signs and noncash items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Inflows are positive and outflows negative. Depreciation, amortization and SBC are added back once. Operating payables exclude capital expenditure payables. Finance lease principal is a financing outflow. Cash capex already includes capitalized cash interest.</a:t>
          </a:r>
          <a:endParaRPr/>
        </a:p>
      </xdr:txBody>
    </xdr:sp>
    <xdr:clientData/>
  </xdr:oneCellAnchor>
</xdr:wsDr>
</file>

<file path=xl/drawings/drawing10.xml><?xml version="1.0" encoding="utf-8"?>
<xdr:wsDr xmlns:xdr="http://schemas.openxmlformats.org/drawingml/2006/spreadsheetDrawing">
  <xdr:oneCellAnchor>
    <xdr:from>
      <xdr:col>2</xdr:col>
      <xdr:colOff>0</xdr:colOff>
      <xdr:row>57</xdr:row>
      <xdr:rowOff>0</xdr:rowOff>
    </xdr:from>
    <xdr:ext cx="8953500" cy="1238250"/>
    <xdr:sp>
      <xdr:nvSpPr>
        <xdr:cNvPr id="1" name="Segment comparability and allocation"/>
        <xdr:cNvSpPr>
          <a:spLocks xmlns:a="http://schemas.openxmlformats.org/drawingml/2006/main" noGrp="1"/>
        </xdr:cNvSpPr>
      </xdr:nvSpPr>
      <xdr:spPr>
        <a:xfrm xmlns:a="http://schemas.openxmlformats.org/drawingml/2006/main">
          <a:off x="0" y="0"/>
          <a:ext cx="895350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Segment comparability and allocation</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FY2023–FY2026 use the current segment definition. Earlier years retain their latest available historical presentation. FY2023 segment growth is unavailable across the definition change. Forecast D&amp;A, operating lease and operating expense allocations are explicit modeling assumptions.</a:t>
          </a:r>
          <a:endParaRPr/>
        </a:p>
      </xdr:txBody>
    </xdr:sp>
    <xdr:clientData/>
  </xdr:oneCellAnchor>
</xdr:wsDr>
</file>

<file path=xl/drawings/drawing11.xml><?xml version="1.0" encoding="utf-8"?>
<xdr:wsDr xmlns:xdr="http://schemas.openxmlformats.org/drawingml/2006/spreadsheetDrawing">
  <xdr:oneCellAnchor>
    <xdr:from>
      <xdr:col>2</xdr:col>
      <xdr:colOff>0</xdr:colOff>
      <xdr:row>28</xdr:row>
      <xdr:rowOff>0</xdr:rowOff>
    </xdr:from>
    <xdr:ext cx="8953500" cy="1143000"/>
    <xdr:sp>
      <xdr:nvSpPr>
        <xdr:cNvPr id="1" name="Costs and noncash expenses"/>
        <xdr:cNvSpPr>
          <a:spLocks xmlns:a="http://schemas.openxmlformats.org/drawingml/2006/main" noGrp="1"/>
        </xdr:cNvSpPr>
      </xdr:nvSpPr>
      <xdr:spPr>
        <a:xfrm xmlns:a="http://schemas.openxmlformats.org/drawingml/2006/main">
          <a:off x="0" y="0"/>
          <a:ext cx="8953500" cy="114300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Costs and noncash expenses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The forecast rates exclude the separately allocated D&amp;A and operating lease expense. SBC remains embedded in these cost rates and is added back once in CFO. Segment operating expense allocation uses the FY2026 reported distribution.</a:t>
          </a:r>
          <a:endParaRPr/>
        </a:p>
      </xdr:txBody>
    </xdr:sp>
    <xdr:clientData/>
  </xdr:oneCellAnchor>
</xdr:wsDr>
</file>

<file path=xl/drawings/drawing12.xml><?xml version="1.0" encoding="utf-8"?>
<xdr:wsDr xmlns:xdr="http://schemas.openxmlformats.org/drawingml/2006/spreadsheetDrawing">
  <xdr:oneCellAnchor>
    <xdr:from>
      <xdr:col>2</xdr:col>
      <xdr:colOff>0</xdr:colOff>
      <xdr:row>43</xdr:row>
      <xdr:rowOff>0</xdr:rowOff>
    </xdr:from>
    <xdr:ext cx="8953500" cy="1190625"/>
    <xdr:sp>
      <xdr:nvSpPr>
        <xdr:cNvPr id="1" name="Operating and capital payables"/>
        <xdr:cNvSpPr>
          <a:spLocks xmlns:a="http://schemas.openxmlformats.org/drawingml/2006/main" noGrp="1"/>
        </xdr:cNvSpPr>
      </xdr:nvSpPr>
      <xdr:spPr>
        <a:xfrm xmlns:a="http://schemas.openxmlformats.org/drawingml/2006/main">
          <a:off x="0" y="0"/>
          <a:ext cx="895350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Operating and capital payables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Operating payables are driven by cost of revenue and payable days. Capital expenditure payables are driven by the cash capex budget and add to PPE when they accrue. Their change is excluded from operating cash flow to avoid double counting capital funding.</a:t>
          </a:r>
          <a:endParaRPr/>
        </a:p>
      </xdr:txBody>
    </xdr:sp>
    <xdr:clientData/>
  </xdr:oneCellAnchor>
</xdr:wsDr>
</file>

<file path=xl/drawings/drawing13.xml><?xml version="1.0" encoding="utf-8"?>
<xdr:wsDr xmlns:xdr="http://schemas.openxmlformats.org/drawingml/2006/spreadsheetDrawing">
  <xdr:oneCellAnchor>
    <xdr:from>
      <xdr:col>2</xdr:col>
      <xdr:colOff>0</xdr:colOff>
      <xdr:row>47</xdr:row>
      <xdr:rowOff>0</xdr:rowOff>
    </xdr:from>
    <xdr:ext cx="8953500" cy="1238250"/>
    <xdr:sp>
      <xdr:nvSpPr>
        <xdr:cNvPr id="1" name="PPE cohorts and half-year convention"/>
        <xdr:cNvSpPr>
          <a:spLocks xmlns:a="http://schemas.openxmlformats.org/drawingml/2006/main" noGrp="1"/>
        </xdr:cNvSpPr>
      </xdr:nvSpPr>
      <xdr:spPr>
        <a:xfrm xmlns:a="http://schemas.openxmlformats.org/drawingml/2006/main">
          <a:off x="0" y="0"/>
          <a:ext cx="895350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PPE cohorts and half-year convention</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Legacy depreciable net PPE uses an assumed remaining life. Each new annual cohort uses its own useful-life input and half-year depreciation in the commissioning year. Land is held constant. FY2027–FY2031 intangible amortization uses the FY2026 disclosed schedule.</a:t>
          </a:r>
          <a:endParaRPr/>
        </a:p>
      </xdr:txBody>
    </xdr:sp>
    <xdr:clientData/>
  </xdr:oneCellAnchor>
</xdr:wsDr>
</file>

<file path=xl/drawings/drawing14.xml><?xml version="1.0" encoding="utf-8"?>
<xdr:wsDr xmlns:xdr="http://schemas.openxmlformats.org/drawingml/2006/spreadsheetDrawing">
  <xdr:oneCellAnchor>
    <xdr:from>
      <xdr:col>2</xdr:col>
      <xdr:colOff>0</xdr:colOff>
      <xdr:row>88</xdr:row>
      <xdr:rowOff>0</xdr:rowOff>
    </xdr:from>
    <xdr:ext cx="8953500" cy="1190625"/>
    <xdr:sp>
      <xdr:nvSpPr>
        <xdr:cNvPr id="1" name="Liquidity funding and interest timing"/>
        <xdr:cNvSpPr>
          <a:spLocks xmlns:a="http://schemas.openxmlformats.org/drawingml/2006/main" noGrp="1"/>
        </xdr:cNvSpPr>
      </xdr:nvSpPr>
      <xdr:spPr>
        <a:xfrm xmlns:a="http://schemas.openxmlformats.org/drawingml/2006/main">
          <a:off x="0" y="0"/>
          <a:ext cx="895350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Liquidity funding and interest timing</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Short-term investments above the minimum reserve are liquidated before new borrowing. The borrowing amount is a model funding requirement, not a committed credit line. New liquidity borrowing occurs at year-end; its interest starts in the following year.</a:t>
          </a:r>
          <a:endParaRPr/>
        </a:p>
      </xdr:txBody>
    </xdr:sp>
    <xdr:clientData/>
  </xdr:oneCellAnchor>
  <xdr:oneCellAnchor>
    <xdr:from>
      <xdr:col>2</xdr:col>
      <xdr:colOff>0</xdr:colOff>
      <xdr:row>95</xdr:row>
      <xdr:rowOff>0</xdr:rowOff>
    </xdr:from>
    <xdr:ext cx="8953500" cy="1190625"/>
    <xdr:sp>
      <xdr:nvSpPr>
        <xdr:cNvPr id="2" name="Lease payments and accounting"/>
        <xdr:cNvSpPr>
          <a:spLocks xmlns:a="http://schemas.openxmlformats.org/drawingml/2006/main" noGrp="1"/>
        </xdr:cNvSpPr>
      </xdr:nvSpPr>
      <xdr:spPr>
        <a:xfrm xmlns:a="http://schemas.openxmlformats.org/drawingml/2006/main">
          <a:off x="0" y="0"/>
          <a:ext cx="895350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Lease payments and accounting</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Contractual legacy lease payments include interest. Finance lease principal is classified in financing cash flow. Operating ROU amortization less lease principal reduction reconciles operating cash flow. New lease assets and liabilities are recognized together.</a:t>
          </a:r>
          <a:endParaRPr/>
        </a:p>
      </xdr:txBody>
    </xdr:sp>
    <xdr:clientData/>
  </xdr:oneCellAnchor>
</xdr:wsDr>
</file>

<file path=xl/drawings/drawing15.xml><?xml version="1.0" encoding="utf-8"?>
<xdr:wsDr xmlns:xdr="http://schemas.openxmlformats.org/drawingml/2006/spreadsheetDrawing">
  <xdr:oneCellAnchor>
    <xdr:from>
      <xdr:col>2</xdr:col>
      <xdr:colOff>0</xdr:colOff>
      <xdr:row>40</xdr:row>
      <xdr:rowOff>0</xdr:rowOff>
    </xdr:from>
    <xdr:ext cx="8953500" cy="1190625"/>
    <xdr:sp>
      <xdr:nvSpPr>
        <xdr:cNvPr id="1" name="Equity and share-count assumptions"/>
        <xdr:cNvSpPr>
          <a:spLocks xmlns:a="http://schemas.openxmlformats.org/drawingml/2006/main" noGrp="1"/>
        </xdr:cNvSpPr>
      </xdr:nvSpPr>
      <xdr:spPr>
        <a:xfrm xmlns:a="http://schemas.openxmlformats.org/drawingml/2006/main">
          <a:off x="0" y="0"/>
          <a:ext cx="895350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Equity and share-count assumptions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SBC and cash share issuance increase paid-in capital. Share repurchases are allocated between paid-in capital and retained earnings. Dividends are assumed declared and paid within the same year. Diluted weighted average shares use a separate net-change assumption.</a:t>
          </a:r>
          <a:endParaRPr/>
        </a:p>
      </xdr:txBody>
    </xdr:sp>
    <xdr:clientData/>
  </xdr:oneCellAnchor>
</xdr:wsDr>
</file>

<file path=xl/drawings/drawing16.xml><?xml version="1.0" encoding="utf-8"?>
<xdr:wsDr xmlns:xdr="http://schemas.openxmlformats.org/drawingml/2006/spreadsheetDrawing">
  <xdr:oneCellAnchor>
    <xdr:from>
      <xdr:col>2</xdr:col>
      <xdr:colOff>0</xdr:colOff>
      <xdr:row>123</xdr:row>
      <xdr:rowOff>0</xdr:rowOff>
    </xdr:from>
    <xdr:ext cx="8953500" cy="1123950"/>
    <xdr:sp>
      <xdr:nvSpPr>
        <xdr:cNvPr id="1" name="Source selection"/>
        <xdr:cNvSpPr>
          <a:spLocks xmlns:a="http://schemas.openxmlformats.org/drawingml/2006/main" noGrp="1"/>
        </xdr:cNvSpPr>
      </xdr:nvSpPr>
      <xdr:spPr>
        <a:xfrm xmlns:a="http://schemas.openxmlformats.org/drawingml/2006/main">
          <a:off x="0" y="0"/>
          <a:ext cx="8953500" cy="11239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Source selection</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Each year uses the latest comparative statement available by 8 October 2026. FY2017 includes revenue and lease accounting restatements. The CSV dataset records the source report and table for every observation.</a:t>
          </a:r>
          <a:endParaRPr/>
        </a:p>
      </xdr:txBody>
    </xdr:sp>
    <xdr:clientData/>
  </xdr:oneCellAnchor>
</xdr:wsDr>
</file>

<file path=xl/drawings/drawing17.xml><?xml version="1.0" encoding="utf-8"?>
<xdr:wsDr xmlns:xdr="http://schemas.openxmlformats.org/drawingml/2006/spreadsheetDrawing">
  <xdr:oneCellAnchor>
    <xdr:from>
      <xdr:col>2</xdr:col>
      <xdr:colOff>0</xdr:colOff>
      <xdr:row>49</xdr:row>
      <xdr:rowOff>0</xdr:rowOff>
    </xdr:from>
    <xdr:ext cx="8953500" cy="1200150"/>
    <xdr:sp>
      <xdr:nvSpPr>
        <xdr:cNvPr id="1" name="Debt face value and carrying amount"/>
        <xdr:cNvSpPr>
          <a:spLocks xmlns:a="http://schemas.openxmlformats.org/drawingml/2006/main" noGrp="1"/>
        </xdr:cNvSpPr>
      </xdr:nvSpPr>
      <xdr:spPr>
        <a:xfrm xmlns:a="http://schemas.openxmlformats.org/drawingml/2006/main">
          <a:off x="0" y="0"/>
          <a:ext cx="8953500" cy="12001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Debt face value and carrying amount</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The $46,136m debt maturity schedule is a face-value schedule. Book debt is $40,294m after $1,081m of discounts and issuance costs, $11m of hedge adjustments and $4,750m of exchange premiums. The debt schedule carries these adjustments explicitly.</a:t>
          </a:r>
          <a:endParaRPr/>
        </a:p>
      </xdr:txBody>
    </xdr:sp>
    <xdr:clientData/>
  </xdr:oneCellAnchor>
  <xdr:oneCellAnchor>
    <xdr:from>
      <xdr:col>2</xdr:col>
      <xdr:colOff>0</xdr:colOff>
      <xdr:row>56</xdr:row>
      <xdr:rowOff>0</xdr:rowOff>
    </xdr:from>
    <xdr:ext cx="8953500" cy="1095375"/>
    <xdr:sp>
      <xdr:nvSpPr>
        <xdr:cNvPr id="2" name="Cash capex and noncash assets"/>
        <xdr:cNvSpPr>
          <a:spLocks xmlns:a="http://schemas.openxmlformats.org/drawingml/2006/main" noGrp="1"/>
        </xdr:cNvSpPr>
      </xdr:nvSpPr>
      <xdr:spPr>
        <a:xfrm xmlns:a="http://schemas.openxmlformats.org/drawingml/2006/main">
          <a:off x="0" y="0"/>
          <a:ext cx="8953500" cy="109537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Cash capex and noncash assets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Cash capex excludes new finance lease assets. Capital expenditure payables are part of accounts payable. These amounts are separated in the forecast so noncash capital additions are not counted as operating cash inflows.</a:t>
          </a:r>
          <a:endParaRPr/>
        </a:p>
      </xdr:txBody>
    </xdr:sp>
    <xdr:clientData/>
  </xdr:oneCellAnchor>
</xdr:wsDr>
</file>

<file path=xl/drawings/drawing18.xml><?xml version="1.0" encoding="utf-8"?>
<xdr:wsDr xmlns:xdr="http://schemas.openxmlformats.org/drawingml/2006/spreadsheetDrawing">
  <xdr:oneCellAnchor>
    <xdr:from>
      <xdr:col>2</xdr:col>
      <xdr:colOff>0</xdr:colOff>
      <xdr:row>33</xdr:row>
      <xdr:rowOff>0</xdr:rowOff>
    </xdr:from>
    <xdr:ext cx="9810750" cy="1190625"/>
    <xdr:sp>
      <xdr:nvSpPr>
        <xdr:cNvPr id="1" name="Interpreting differences"/>
        <xdr:cNvSpPr>
          <a:spLocks xmlns:a="http://schemas.openxmlformats.org/drawingml/2006/main" noGrp="1"/>
        </xdr:cNvSpPr>
      </xdr:nvSpPr>
      <xdr:spPr>
        <a:xfrm xmlns:a="http://schemas.openxmlformats.org/drawingml/2006/main">
          <a:off x="0" y="0"/>
          <a:ext cx="9810750" cy="1190625"/>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Interpreting differences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Numeric differences should be within $0.01m. A value of n.a. means that the check does not apply to that period. Independent Python checks also compare all three forecast cases. Accounting definitions and source precision are documented in the Word report.</a:t>
          </a:r>
          <a:endParaRPr/>
        </a:p>
      </xdr:txBody>
    </xdr:sp>
    <xdr:clientData/>
  </xdr:oneCellAnchor>
</xdr:wsDr>
</file>

<file path=xl/drawings/drawing19.xml><?xml version="1.0" encoding="utf-8"?>
<xdr:wsDr xmlns:xdr="http://schemas.openxmlformats.org/drawingml/2006/spreadsheetDrawing">
  <xdr:oneCellAnchor>
    <xdr:from>
      <xdr:col>2</xdr:col>
      <xdr:colOff>0</xdr:colOff>
      <xdr:row>6</xdr:row>
      <xdr:rowOff>0</xdr:rowOff>
    </xdr:from>
    <xdr:ext cx="10572750" cy="1238250"/>
    <xdr:sp>
      <xdr:nvSpPr>
        <xdr:cNvPr id="1" name="Model scope"/>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Model scope</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Microsoft Corporation. Ten historical fiscal years FY2017–FY2026 and five forecast years FY2027–FY2031. All amounts are USD millions unless otherwise stated. FY2016 is retained only as an opening balance.</a:t>
          </a:r>
          <a:endParaRPr/>
        </a:p>
      </xdr:txBody>
    </xdr:sp>
    <xdr:clientData/>
  </xdr:oneCellAnchor>
  <xdr:oneCellAnchor>
    <xdr:from>
      <xdr:col>2</xdr:col>
      <xdr:colOff>0</xdr:colOff>
      <xdr:row>14</xdr:row>
      <xdr:rowOff>0</xdr:rowOff>
    </xdr:from>
    <xdr:ext cx="10572750" cy="1238250"/>
    <xdr:sp>
      <xdr:nvSpPr>
        <xdr:cNvPr id="2" name="Scenario workflow"/>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Scenario workflow</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On Assumptions, select 1 Base, 2 Upside or 3 Downside in D4. Each driver has one active row followed by three editable case rows. All forecast statements and professional views update from that active row.</a:t>
          </a:r>
          <a:endParaRPr/>
        </a:p>
      </xdr:txBody>
    </xdr:sp>
    <xdr:clientData/>
  </xdr:oneCellAnchor>
  <xdr:oneCellAnchor>
    <xdr:from>
      <xdr:col>2</xdr:col>
      <xdr:colOff>0</xdr:colOff>
      <xdr:row>22</xdr:row>
      <xdr:rowOff>0</xdr:rowOff>
    </xdr:from>
    <xdr:ext cx="10572750" cy="1238250"/>
    <xdr:sp>
      <xdr:nvSpPr>
        <xdr:cNvPr id="3" name="Calculation sequence"/>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Calculation sequence</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Segment revenue determines the capex budget and lease additions. PPE cohorts and leases determine allocated expenses. Operating profit, interest and tax determine earnings. Working capital, financing and shareholder distributions determine cash and closing balances.</a:t>
          </a:r>
          <a:endParaRPr/>
        </a:p>
      </xdr:txBody>
    </xdr:sp>
    <xdr:clientData/>
  </xdr:oneCellAnchor>
  <xdr:oneCellAnchor>
    <xdr:from>
      <xdr:col>2</xdr:col>
      <xdr:colOff>0</xdr:colOff>
      <xdr:row>30</xdr:row>
      <xdr:rowOff>0</xdr:rowOff>
    </xdr:from>
    <xdr:ext cx="10572750" cy="1238250"/>
    <xdr:sp>
      <xdr:nvSpPr>
        <xdr:cNvPr id="4" name="Accounting assumptions"/>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Accounting assumptions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Land, goodwill and AOCI are held constant. No unannounced acquisitions are forecast. Dividends are declared and paid in the same year. New liquidity borrowing is drawn at year-end. Forecast diluted share counts are an independent driver.</a:t>
          </a:r>
          <a:endParaRPr/>
        </a:p>
      </xdr:txBody>
    </xdr:sp>
    <xdr:clientData/>
  </xdr:oneCellAnchor>
  <xdr:oneCellAnchor>
    <xdr:from>
      <xdr:col>2</xdr:col>
      <xdr:colOff>0</xdr:colOff>
      <xdr:row>38</xdr:row>
      <xdr:rowOff>0</xdr:rowOff>
    </xdr:from>
    <xdr:ext cx="10572750" cy="1238250"/>
    <xdr:sp>
      <xdr:nvSpPr>
        <xdr:cNvPr id="5" name="Historical comparability"/>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Historical comparability</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FY2017 includes retrospective revenue and lease accounting changes. Segment data for FY2023–FY2026 use the current definition. Earlier segment data use the latest available historical presentation; cross-definition segment growth is not computed.</a:t>
          </a:r>
          <a:endParaRPr/>
        </a:p>
      </xdr:txBody>
    </xdr:sp>
    <xdr:clientData/>
  </xdr:oneCellAnchor>
  <xdr:oneCellAnchor>
    <xdr:from>
      <xdr:col>2</xdr:col>
      <xdr:colOff>0</xdr:colOff>
      <xdr:row>46</xdr:row>
      <xdr:rowOff>0</xdr:rowOff>
    </xdr:from>
    <xdr:ext cx="10572750" cy="1238250"/>
    <xdr:sp>
      <xdr:nvSpPr>
        <xdr:cNvPr id="6" name="Sources and units"/>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Sources and units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Primary statements come from Microsoft annual reports and the FY2026 SEC Form 10-K. Selected SEC XBRL facts independently control revenue, net income and note disclosures. The data CSV retains source report year, source table and URL for each value.</a:t>
          </a:r>
          <a:endParaRPr/>
        </a:p>
      </xdr:txBody>
    </xdr:sp>
    <xdr:clientData/>
  </xdr:oneCellAnchor>
  <xdr:oneCellAnchor>
    <xdr:from>
      <xdr:col>2</xdr:col>
      <xdr:colOff>0</xdr:colOff>
      <xdr:row>54</xdr:row>
      <xdr:rowOff>0</xdr:rowOff>
    </xdr:from>
    <xdr:ext cx="10572750" cy="1238250"/>
    <xdr:sp>
      <xdr:nvSpPr>
        <xdr:cNvPr id="7" name="Model boundaries"/>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Model boundaries</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The workbook provides operating forecasts and four analytical views. Equity Research has no target price or author investment recommendation. Investment Banking has no transaction valuation. Private Equity has no assumed Microsoft LBO. Separate portfolio projects will cover those outputs.</a:t>
          </a:r>
          <a:endParaRPr/>
        </a:p>
      </xdr:txBody>
    </xdr:sp>
    <xdr:clientData/>
  </xdr:oneCellAnchor>
  <xdr:oneCellAnchor>
    <xdr:from>
      <xdr:col>2</xdr:col>
      <xdr:colOff>0</xdr:colOff>
      <xdr:row>62</xdr:row>
      <xdr:rowOff>0</xdr:rowOff>
    </xdr:from>
    <xdr:ext cx="10572750" cy="1238250"/>
    <xdr:sp>
      <xdr:nvSpPr>
        <xdr:cNvPr id="8" name="Python reproduction"/>
        <xdr:cNvSpPr>
          <a:spLocks xmlns:a="http://schemas.openxmlformats.org/drawingml/2006/main" noGrp="1"/>
        </xdr:cNvSpPr>
      </xdr:nvSpPr>
      <xdr:spPr>
        <a:xfrm xmlns:a="http://schemas.openxmlformats.org/drawingml/2006/main">
          <a:off x="0" y="0"/>
          <a:ext cx="10572750" cy="1238250"/>
        </a:xfrm>
        <a:prstGeom xmlns:a="http://schemas.openxmlformats.org/drawingml/2006/main" prst="rect">
          <a:avLst/>
        </a:prstGeom>
        <a:solidFill xmlns:a="http://schemas.openxmlformats.org/drawingml/2006/main">
          <a:srgbClr val="F1F5FA"/>
        </a:solidFill>
        <a:ln xmlns:a="http://schemas.openxmlformats.org/drawingml/2006/main" w="9525">
          <a:solidFill>
            <a:srgbClr val="B8C7D9"/>
          </a:solidFill>
          <a:prstDash val="solid"/>
        </a:ln>
      </xdr:spPr>
      <xdr:txBody>
        <a:bodyPr xmlns:a="http://schemas.openxmlformats.org/drawingml/2006/main" wrap="square" lIns="114300" tIns="85725" rIns="114300" bIns="85725" anchor="t">
          <a:noAutofit/>
        </a:bodyPr>
        <a:lstStyle xmlns:a="http://schemas.openxmlformats.org/drawingml/2006/main"/>
        <a:p xmlns:a="http://schemas.openxmlformats.org/drawingml/2006/main">
          <a:pPr algn="l">
            <a:lnSpc>
              <a:spcPct val="115000"/>
            </a:lnSpc>
            <a:spcAft>
              <a:spcPts val="450"/>
            </a:spcAft>
            <a:buNone/>
          </a:pPr>
          <a:r>
            <a:rPr sz="1100" b="1">
              <a:solidFill>
                <a:srgbClr val="17365A"/>
              </a:solidFill>
              <a:latin typeface="Arial"/>
              <a:ea typeface="Arial"/>
              <a:cs typeface="Arial"/>
            </a:rPr>
            <a:t>Python reproduction</a:t>
          </a:r>
          <a:endParaRPr/>
        </a:p>
        <a:p xmlns:a="http://schemas.openxmlformats.org/drawingml/2006/main">
          <a:pPr algn="l">
            <a:lnSpc>
              <a:spcPct val="115000"/>
            </a:lnSpc>
            <a:spcAft>
              <a:spcPts val="0"/>
            </a:spcAft>
            <a:buNone/>
          </a:pPr>
          <a:r>
            <a:rPr sz="1050" b="0">
              <a:solidFill>
                <a:srgbClr val="17365A"/>
              </a:solidFill>
              <a:latin typeface="Arial"/>
              <a:ea typeface="Arial"/>
              <a:cs typeface="Arial"/>
            </a:rPr>
            <a:t>Run src/model.py on the supplied processed data to recalculate all three cases offline. Edit assumptions.json to change Python assumptions. Excel inputs are independent; changes made only in Excel are not automatically written back into the Python JSON.</a:t>
          </a:r>
          <a:endParaRPr/>
        </a:p>
      </xdr:txBody>
    </xdr:sp>
    <xdr:clientData/>
  </xdr:one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94735c569814370" /></Relationships>
</file>

<file path=xl/worksheets/_rels/sheet2.xml.rels>&#65279;<?xml version="1.0" encoding="utf-8"?><Relationships xmlns="http://schemas.openxmlformats.org/package/2006/relationships"><Relationship Type="http://schemas.openxmlformats.org/officeDocument/2006/relationships/drawing" Target="/xl/drawings/drawing2.xml" Id="Rc1b1cf3f178a4df3" /></Relationships>
</file>

<file path=xl/worksheets/_rels/sheet3.xml.rels>&#65279;<?xml version="1.0" encoding="utf-8"?><Relationships xmlns="http://schemas.openxmlformats.org/package/2006/relationships"><Relationship Type="http://schemas.openxmlformats.org/officeDocument/2006/relationships/drawing" Target="/xl/drawings/drawing3.xml" Id="Ra483ccb65de84183" /></Relationships>
</file>

<file path=xl/worksheets/_rels/sheet4.xml.rels>&#65279;<?xml version="1.0" encoding="utf-8"?><Relationships xmlns="http://schemas.openxmlformats.org/package/2006/relationships"><Relationship Type="http://schemas.openxmlformats.org/officeDocument/2006/relationships/drawing" Target="/xl/drawings/drawing4.xml" Id="R2d9b4ada84fa4de3" /></Relationships>
</file>

<file path=xl/worksheets/_rels/sheet5.xml.rels>&#65279;<?xml version="1.0" encoding="utf-8"?><Relationships xmlns="http://schemas.openxmlformats.org/package/2006/relationships"><Relationship Type="http://schemas.openxmlformats.org/officeDocument/2006/relationships/drawing" Target="/xl/drawings/drawing5.xml" Id="R97d51643d60e477f" /></Relationships>
</file>

<file path=xl/worksheets/_rels/sheet6.xml.rels>&#65279;<?xml version="1.0" encoding="utf-8"?><Relationships xmlns="http://schemas.openxmlformats.org/package/2006/relationships"><Relationship Type="http://schemas.openxmlformats.org/officeDocument/2006/relationships/drawing" Target="/xl/drawings/drawing6.xml" Id="R3b3cc661c51a4170" /></Relationships>
</file>

<file path=xl/worksheets/_rels/sheet7.xml.rels>&#65279;<?xml version="1.0" encoding="utf-8"?><Relationships xmlns="http://schemas.openxmlformats.org/package/2006/relationships"><Relationship Type="http://schemas.openxmlformats.org/officeDocument/2006/relationships/drawing" Target="/xl/drawings/drawing7.xml" Id="R095221387d764bb8" /></Relationships>
</file>

<file path=xl/worksheets/_rels/sheet8.xml.rels>&#65279;<?xml version="1.0" encoding="utf-8"?><Relationships xmlns="http://schemas.openxmlformats.org/package/2006/relationships"><Relationship Type="http://schemas.openxmlformats.org/officeDocument/2006/relationships/drawing" Target="/xl/drawings/drawing8.xml" Id="Rfdb50f202b0e4d51" /></Relationships>
</file>

<file path=xl/worksheets/_rels/sheet9.xml.rels>&#65279;<?xml version="1.0" encoding="utf-8"?><Relationships xmlns="http://schemas.openxmlformats.org/package/2006/relationships"><Relationship Type="http://schemas.openxmlformats.org/officeDocument/2006/relationships/drawing" Target="/xl/drawings/drawing9.xml" Id="R891dddf195c04095" /></Relationships>
</file>

<file path=xl/worksheets/_rels/sheet10.xml.rels>&#65279;<?xml version="1.0" encoding="utf-8"?><Relationships xmlns="http://schemas.openxmlformats.org/package/2006/relationships"><Relationship Type="http://schemas.openxmlformats.org/officeDocument/2006/relationships/drawing" Target="/xl/drawings/drawing10.xml" Id="Red64706909964959" /></Relationships>
</file>

<file path=xl/worksheets/_rels/sheet11.xml.rels>&#65279;<?xml version="1.0" encoding="utf-8"?><Relationships xmlns="http://schemas.openxmlformats.org/package/2006/relationships"><Relationship Type="http://schemas.openxmlformats.org/officeDocument/2006/relationships/drawing" Target="/xl/drawings/drawing11.xml" Id="R56b0da1c1c8d4cc0" /></Relationships>
</file>

<file path=xl/worksheets/_rels/sheet12.xml.rels>&#65279;<?xml version="1.0" encoding="utf-8"?><Relationships xmlns="http://schemas.openxmlformats.org/package/2006/relationships"><Relationship Type="http://schemas.openxmlformats.org/officeDocument/2006/relationships/drawing" Target="/xl/drawings/drawing12.xml" Id="R183c9fe84c874dca" /></Relationships>
</file>

<file path=xl/worksheets/_rels/sheet13.xml.rels>&#65279;<?xml version="1.0" encoding="utf-8"?><Relationships xmlns="http://schemas.openxmlformats.org/package/2006/relationships"><Relationship Type="http://schemas.openxmlformats.org/officeDocument/2006/relationships/drawing" Target="/xl/drawings/drawing13.xml" Id="R5cc33acc18954c50" /></Relationships>
</file>

<file path=xl/worksheets/_rels/sheet14.xml.rels>&#65279;<?xml version="1.0" encoding="utf-8"?><Relationships xmlns="http://schemas.openxmlformats.org/package/2006/relationships"><Relationship Type="http://schemas.openxmlformats.org/officeDocument/2006/relationships/drawing" Target="/xl/drawings/drawing14.xml" Id="R4004fac420a74c9c" /></Relationships>
</file>

<file path=xl/worksheets/_rels/sheet15.xml.rels>&#65279;<?xml version="1.0" encoding="utf-8"?><Relationships xmlns="http://schemas.openxmlformats.org/package/2006/relationships"><Relationship Type="http://schemas.openxmlformats.org/officeDocument/2006/relationships/drawing" Target="/xl/drawings/drawing15.xml" Id="Ra1b77d1fe29f4667" /></Relationships>
</file>

<file path=xl/worksheets/_rels/sheet17.xml.rels>&#65279;<?xml version="1.0" encoding="utf-8"?><Relationships xmlns="http://schemas.openxmlformats.org/package/2006/relationships"><Relationship Type="http://schemas.openxmlformats.org/officeDocument/2006/relationships/drawing" Target="/xl/drawings/drawing16.xml" Id="Ra024817da6424df6" /></Relationships>
</file>

<file path=xl/worksheets/_rels/sheet18.xml.rels>&#65279;<?xml version="1.0" encoding="utf-8"?><Relationships xmlns="http://schemas.openxmlformats.org/package/2006/relationships"><Relationship Type="http://schemas.openxmlformats.org/officeDocument/2006/relationships/drawing" Target="/xl/drawings/drawing17.xml" Id="Rbb3a958e7d2f4d39" /></Relationships>
</file>

<file path=xl/worksheets/_rels/sheet19.xml.rels>&#65279;<?xml version="1.0" encoding="utf-8"?><Relationships xmlns="http://schemas.openxmlformats.org/package/2006/relationships"><Relationship Type="http://schemas.openxmlformats.org/officeDocument/2006/relationships/drawing" Target="/xl/drawings/drawing18.xml" Id="Rdc16cf5c829d4645" /></Relationships>
</file>

<file path=xl/worksheets/_rels/sheet20.xml.rels>&#65279;<?xml version="1.0" encoding="utf-8"?><Relationships xmlns="http://schemas.openxmlformats.org/package/2006/relationships"><Relationship Type="http://schemas.openxmlformats.org/officeDocument/2006/relationships/drawing" Target="/xl/drawings/drawing19.xml" Id="R81b86b4799c44487" /></Relationships>
</file>

<file path=xl/worksheets/sheet1.xml><?xml version="1.0" encoding="utf-8"?>
<x:worksheet xmlns:x="http://schemas.openxmlformats.org/spreadsheetml/2006/main">
  <x:sheetPr>
    <x:tabColor rgb="FF17365A"/>
  </x:sheetPr>
  <x:sheetViews>
    <x:sheetView showGridLines="0" workbookViewId="0"/>
  </x:sheetViews>
  <x:sheetFormatPr defaultRowHeight="15"/>
  <x:cols>
    <x:col min="1" max="1" width="2" hidden="0" customWidth="1"/>
    <x:col min="2" max="2" width="2" hidden="0" customWidth="1"/>
    <x:col min="3" max="3" width="54" hidden="0" customWidth="1"/>
    <x:col min="4" max="4" width="17"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Microsoft financial model</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8" customHeight="1">
      <x:c r="A7" s="2"/>
      <x:c r="B7" s="2"/>
      <x:c r="C7" s="7" t="str">
        <x:v>Metric</x:v>
      </x:c>
      <x:c r="D7" s="7"/>
      <x:c r="E7" s="7" t="str">
        <x:v>FY2026 actual</x:v>
      </x:c>
      <x:c r="F7" s="7"/>
      <x:c r="G7" s="7" t="str">
        <x:v>FY2031 forecast</x:v>
      </x:c>
      <x:c r="H7" s="2"/>
      <x:c r="I7" s="2"/>
      <x:c r="J7" s="2"/>
      <x:c r="K7" s="2"/>
      <x:c r="L7" s="2"/>
      <x:c r="M7" s="2"/>
      <x:c r="N7" s="2"/>
      <x:c r="O7" s="2"/>
      <x:c r="P7" s="2"/>
      <x:c r="Q7" s="2"/>
      <x:c r="R7" s="2"/>
      <x:c r="S7" s="2"/>
      <x:c r="T7" s="2"/>
      <x:c r="U7" s="2"/>
    </x:row>
    <x:row r="8" ht="21" customHeight="1">
      <x:c r="A8" s="2"/>
      <x:c r="B8" s="2"/>
      <x:c r="C8" s="2" t="str">
        <x:v>Revenue</x:v>
      </x:c>
      <x:c r="D8" s="2"/>
      <x:c r="E8" s="11" t="n">
        <x:f>'Income Statement'!N8</x:f>
        <x:v>331839</x:v>
      </x:c>
      <x:c r="F8" s="11"/>
      <x:c r="G8" s="11" t="n">
        <x:f>'Income Statement'!S8</x:f>
        <x:v>648107.1509938752</x:v>
      </x:c>
      <x:c r="H8" s="2"/>
      <x:c r="I8" s="2"/>
      <x:c r="J8" s="2"/>
      <x:c r="K8" s="2"/>
      <x:c r="L8" s="2"/>
      <x:c r="M8" s="2"/>
      <x:c r="N8" s="2"/>
      <x:c r="O8" s="2"/>
      <x:c r="P8" s="2"/>
      <x:c r="Q8" s="2"/>
      <x:c r="R8" s="2"/>
      <x:c r="S8" s="2"/>
      <x:c r="T8" s="2"/>
      <x:c r="U8" s="2"/>
    </x:row>
    <x:row r="9" ht="21" customHeight="1">
      <x:c r="A9" s="2"/>
      <x:c r="B9" s="2"/>
      <x:c r="C9" s="2" t="str">
        <x:v>Operating income</x:v>
      </x:c>
      <x:c r="D9" s="2"/>
      <x:c r="E9" s="11" t="n">
        <x:f>'Income Statement'!N19</x:f>
        <x:v>155237</x:v>
      </x:c>
      <x:c r="F9" s="11"/>
      <x:c r="G9" s="11" t="n">
        <x:f>'Income Statement'!S19</x:f>
        <x:v>242804.5507215888</x:v>
      </x:c>
      <x:c r="H9" s="2"/>
      <x:c r="I9" s="2"/>
      <x:c r="J9" s="2"/>
      <x:c r="K9" s="2"/>
      <x:c r="L9" s="2"/>
      <x:c r="M9" s="2"/>
      <x:c r="N9" s="2"/>
      <x:c r="O9" s="2"/>
      <x:c r="P9" s="2"/>
      <x:c r="Q9" s="2"/>
      <x:c r="R9" s="2"/>
      <x:c r="S9" s="2"/>
      <x:c r="T9" s="2"/>
      <x:c r="U9" s="2"/>
    </x:row>
    <x:row r="10" ht="21" customHeight="1">
      <x:c r="A10" s="2"/>
      <x:c r="B10" s="2"/>
      <x:c r="C10" s="2" t="str">
        <x:v>Operating margin</x:v>
      </x:c>
      <x:c r="D10" s="2"/>
      <x:c r="E10" s="45" t="n">
        <x:f>'Income Statement'!N20</x:f>
        <x:v>0.4678081840892722</x:v>
      </x:c>
      <x:c r="F10" s="45"/>
      <x:c r="G10" s="45" t="n">
        <x:f>'Income Statement'!S20</x:f>
        <x:v>0.3746364321844728</x:v>
      </x:c>
      <x:c r="H10" s="2"/>
      <x:c r="I10" s="2"/>
      <x:c r="J10" s="2"/>
      <x:c r="K10" s="2"/>
      <x:c r="L10" s="2"/>
      <x:c r="M10" s="2"/>
      <x:c r="N10" s="2"/>
      <x:c r="O10" s="2"/>
      <x:c r="P10" s="2"/>
      <x:c r="Q10" s="2"/>
      <x:c r="R10" s="2"/>
      <x:c r="S10" s="2"/>
      <x:c r="T10" s="2"/>
      <x:c r="U10" s="2"/>
    </x:row>
    <x:row r="11" ht="21" customHeight="1">
      <x:c r="A11" s="2"/>
      <x:c r="B11" s="2"/>
      <x:c r="C11" s="2" t="str">
        <x:v>Net income</x:v>
      </x:c>
      <x:c r="D11" s="2"/>
      <x:c r="E11" s="11" t="n">
        <x:f>'Income Statement'!N28</x:f>
        <x:v>133749</x:v>
      </x:c>
      <x:c r="F11" s="11"/>
      <x:c r="G11" s="11" t="n">
        <x:f>'Income Statement'!S28</x:f>
        <x:v>198208.54815629864</x:v>
      </x:c>
      <x:c r="H11" s="2"/>
      <x:c r="I11" s="2"/>
      <x:c r="J11" s="2"/>
      <x:c r="K11" s="2"/>
      <x:c r="L11" s="2"/>
      <x:c r="M11" s="2"/>
      <x:c r="N11" s="2"/>
      <x:c r="O11" s="2"/>
      <x:c r="P11" s="2"/>
      <x:c r="Q11" s="2"/>
      <x:c r="R11" s="2"/>
      <x:c r="S11" s="2"/>
      <x:c r="T11" s="2"/>
      <x:c r="U11" s="2"/>
    </x:row>
    <x:row r="12" ht="21" customHeight="1">
      <x:c r="A12" s="2"/>
      <x:c r="B12" s="2"/>
      <x:c r="C12" s="2" t="str">
        <x:v>Diluted EPS</x:v>
      </x:c>
      <x:c r="D12" s="2"/>
      <x:c r="E12" s="73" t="n">
        <x:f>'Income Statement'!N33</x:f>
        <x:v>17.95</x:v>
      </x:c>
      <x:c r="F12" s="73"/>
      <x:c r="G12" s="73" t="n">
        <x:f>'Income Statement'!S33</x:f>
        <x:v>26.996997580794837</x:v>
      </x:c>
      <x:c r="H12" s="2"/>
      <x:c r="I12" s="2"/>
      <x:c r="J12" s="2"/>
      <x:c r="K12" s="2"/>
      <x:c r="L12" s="2"/>
      <x:c r="M12" s="2"/>
      <x:c r="N12" s="2"/>
      <x:c r="O12" s="2"/>
      <x:c r="P12" s="2"/>
      <x:c r="Q12" s="2"/>
      <x:c r="R12" s="2"/>
      <x:c r="S12" s="2"/>
      <x:c r="T12" s="2"/>
      <x:c r="U12" s="2"/>
    </x:row>
    <x:row r="13" ht="21" customHeight="1">
      <x:c r="A13" s="2"/>
      <x:c r="B13" s="2"/>
      <x:c r="C13" s="2" t="str">
        <x:v>Free cash flow</x:v>
      </x:c>
      <x:c r="D13" s="2"/>
      <x:c r="E13" s="11" t="n">
        <x:f>'Cash Flow'!N56</x:f>
        <x:v>66987</x:v>
      </x:c>
      <x:c r="F13" s="11"/>
      <x:c r="G13" s="11" t="n">
        <x:f>'Cash Flow'!S56</x:f>
        <x:v>255661.16321179768</x:v>
      </x:c>
      <x:c r="H13" s="2"/>
      <x:c r="I13" s="2"/>
      <x:c r="J13" s="2"/>
      <x:c r="K13" s="2"/>
      <x:c r="L13" s="2"/>
      <x:c r="M13" s="2"/>
      <x:c r="N13" s="2"/>
      <x:c r="O13" s="2"/>
      <x:c r="P13" s="2"/>
      <x:c r="Q13" s="2"/>
      <x:c r="R13" s="2"/>
      <x:c r="S13" s="2"/>
      <x:c r="T13" s="2"/>
      <x:c r="U13" s="2"/>
    </x:row>
    <x:row r="14" ht="21" customHeight="1">
      <x:c r="A14" s="2"/>
      <x:c r="B14" s="2"/>
      <x:c r="C14" s="2" t="str">
        <x:v>Cash capex</x:v>
      </x:c>
      <x:c r="D14" s="2"/>
      <x:c r="E14" s="11" t="n">
        <x:f>-'Cash Flow'!N30</x:f>
        <x:v>115948</x:v>
      </x:c>
      <x:c r="F14" s="11"/>
      <x:c r="G14" s="11" t="n">
        <x:f>-'Cash Flow'!S30</x:f>
        <x:v>129621.43019877505</x:v>
      </x:c>
      <x:c r="H14" s="2"/>
      <x:c r="I14" s="2"/>
      <x:c r="J14" s="2"/>
      <x:c r="K14" s="2"/>
      <x:c r="L14" s="2"/>
      <x:c r="M14" s="2"/>
      <x:c r="N14" s="2"/>
      <x:c r="O14" s="2"/>
      <x:c r="P14" s="2"/>
      <x:c r="Q14" s="2"/>
      <x:c r="R14" s="2"/>
      <x:c r="S14" s="2"/>
      <x:c r="T14" s="2"/>
      <x:c r="U14" s="2"/>
    </x:row>
    <x:row r="15" ht="21" customHeight="1">
      <x:c r="A15" s="2"/>
      <x:c r="B15" s="2"/>
      <x:c r="C15" s="2" t="str">
        <x:v>Debt carrying amount</x:v>
      </x:c>
      <x:c r="D15" s="2"/>
      <x:c r="E15" s="11" t="n">
        <x:f>'Debt and Leases'!N18</x:f>
        <x:v>40294</x:v>
      </x:c>
      <x:c r="F15" s="11"/>
      <x:c r="G15" s="11" t="n">
        <x:f>'Debt and Leases'!S18</x:f>
        <x:v>29368.2758218606</x:v>
      </x:c>
      <x:c r="H15" s="2"/>
      <x:c r="I15" s="2"/>
      <x:c r="J15" s="2"/>
      <x:c r="K15" s="2"/>
      <x:c r="L15" s="2"/>
      <x:c r="M15" s="2"/>
      <x:c r="N15" s="2"/>
      <x:c r="O15" s="2"/>
      <x:c r="P15" s="2"/>
      <x:c r="Q15" s="2"/>
      <x:c r="R15" s="2"/>
      <x:c r="S15" s="2"/>
      <x:c r="T15" s="2"/>
      <x:c r="U15" s="2"/>
    </x:row>
    <x:row r="16" ht="21" customHeight="1">
      <x:c r="A16" s="2"/>
      <x:c r="B16" s="2"/>
      <x:c r="C16" s="2" t="str">
        <x:v>Finance lease liabilities</x:v>
      </x:c>
      <x:c r="D16" s="2"/>
      <x:c r="E16" s="11" t="n">
        <x:f>'Debt and Leases'!N42</x:f>
        <x:v>66594</x:v>
      </x:c>
      <x:c r="F16" s="11"/>
      <x:c r="G16" s="11" t="n">
        <x:f>'Debt and Leases'!S42</x:f>
        <x:v>181294.08196032187</x:v>
      </x:c>
      <x:c r="H16" s="2"/>
      <x:c r="I16" s="2"/>
      <x:c r="J16" s="2"/>
      <x:c r="K16" s="2"/>
      <x:c r="L16" s="2"/>
      <x:c r="M16" s="2"/>
      <x:c r="N16" s="2"/>
      <x:c r="O16" s="2"/>
      <x:c r="P16" s="2"/>
      <x:c r="Q16" s="2"/>
      <x:c r="R16" s="2"/>
      <x:c r="S16" s="2"/>
      <x:c r="T16" s="2"/>
      <x:c r="U16" s="2"/>
    </x:row>
    <x:row r="17" ht="21" customHeight="1">
      <x:c r="A17" s="2"/>
      <x:c r="B17" s="2"/>
      <x:c r="C17" s="2" t="str">
        <x:v>Cash and short-term investments</x:v>
      </x:c>
      <x:c r="D17" s="2"/>
      <x:c r="E17" s="11" t="n">
        <x:f>'Balance Sheet'!N10</x:f>
        <x:v>76843</x:v>
      </x:c>
      <x:c r="F17" s="11"/>
      <x:c r="G17" s="11" t="n">
        <x:f>'Balance Sheet'!S10</x:f>
        <x:v>513290.5410788633</x:v>
      </x:c>
      <x:c r="H17" s="2"/>
      <x:c r="I17" s="2"/>
      <x:c r="J17" s="2"/>
      <x:c r="K17" s="2"/>
      <x:c r="L17" s="2"/>
      <x:c r="M17" s="2"/>
      <x:c r="N17" s="2"/>
      <x:c r="O17" s="2"/>
      <x:c r="P17" s="2"/>
      <x:c r="Q17" s="2"/>
      <x:c r="R17" s="2"/>
      <x:c r="S17" s="2"/>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4" t="str">
        <x:v>Historical FY2017–FY2026. Forecast FY2027–FY2031. Information cutoff 8 October 2026.</x:v>
      </x:c>
      <x:c r="D20" s="2"/>
      <x:c r="E20" s="2"/>
      <x:c r="F20" s="2"/>
      <x:c r="G20" s="2"/>
      <x:c r="H20" s="2"/>
      <x:c r="I20" s="2"/>
      <x:c r="J20" s="2"/>
      <x:c r="K20" s="2"/>
      <x:c r="L20" s="2"/>
      <x:c r="M20" s="2"/>
      <x:c r="N20" s="2"/>
      <x:c r="O20" s="2"/>
      <x:c r="P20" s="2"/>
      <x:c r="Q20" s="2"/>
      <x:c r="R20" s="2"/>
      <x:c r="S20" s="2"/>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x:c r="D22" s="2"/>
      <x:c r="E22" s="2"/>
      <x:c r="F22" s="2"/>
      <x:c r="G22" s="2"/>
      <x:c r="H22" s="2"/>
      <x:c r="I22" s="2"/>
      <x:c r="J22" s="2"/>
      <x:c r="K22" s="2"/>
      <x:c r="L22" s="2"/>
      <x:c r="M22" s="2"/>
      <x:c r="N22" s="2"/>
      <x:c r="O22" s="2"/>
      <x:c r="P22" s="2"/>
      <x:c r="Q22" s="2"/>
      <x:c r="R22" s="2"/>
      <x:c r="S22" s="2"/>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7" t="str">
        <x:v>Fiscal year</x:v>
      </x:c>
      <x:c r="D24" s="7" t="str">
        <x:v>Revenue</x:v>
      </x:c>
      <x:c r="E24" s="7" t="str">
        <x:v>Operating income</x:v>
      </x:c>
      <x:c r="F24" s="7" t="str">
        <x:v>Cash capex</x:v>
      </x:c>
      <x:c r="G24" s="7" t="str">
        <x:v>Free cash flow</x:v>
      </x:c>
      <x:c r="H24" s="2"/>
      <x:c r="I24" s="2"/>
      <x:c r="J24" s="2"/>
      <x:c r="K24" s="2"/>
      <x:c r="L24" s="2"/>
      <x:c r="M24" s="2"/>
      <x:c r="N24" s="2"/>
      <x:c r="O24" s="2"/>
      <x:c r="P24" s="2"/>
      <x:c r="Q24" s="2"/>
      <x:c r="R24" s="2"/>
      <x:c r="S24" s="2"/>
      <x:c r="T24" s="2"/>
      <x:c r="U24" s="2"/>
    </x:row>
    <x:row r="25" ht="21" customHeight="1">
      <x:c r="A25" s="2"/>
      <x:c r="B25" s="2"/>
      <x:c r="C25" s="2" t="str">
        <x:v>FY2022 A</x:v>
      </x:c>
      <x:c r="D25" s="11" t="n">
        <x:f>'Income Statement'!J8</x:f>
        <x:v>198270</x:v>
      </x:c>
      <x:c r="E25" s="11" t="n">
        <x:f>'Income Statement'!J19</x:f>
        <x:v>83383</x:v>
      </x:c>
      <x:c r="F25" s="11" t="n">
        <x:f>-'Cash Flow'!J30</x:f>
        <x:v>23886</x:v>
      </x:c>
      <x:c r="G25" s="11" t="n">
        <x:f>'Cash Flow'!J56</x:f>
        <x:v>65149</x:v>
      </x:c>
      <x:c r="H25" s="2"/>
      <x:c r="I25" s="2"/>
      <x:c r="J25" s="2"/>
      <x:c r="K25" s="2"/>
      <x:c r="L25" s="2"/>
      <x:c r="M25" s="2"/>
      <x:c r="N25" s="2"/>
      <x:c r="O25" s="2"/>
      <x:c r="P25" s="2"/>
      <x:c r="Q25" s="2"/>
      <x:c r="R25" s="2"/>
      <x:c r="S25" s="2"/>
      <x:c r="T25" s="2"/>
      <x:c r="U25" s="2"/>
    </x:row>
    <x:row r="26" ht="21" customHeight="1">
      <x:c r="A26" s="2"/>
      <x:c r="B26" s="2"/>
      <x:c r="C26" s="2" t="str">
        <x:v>FY2023 A</x:v>
      </x:c>
      <x:c r="D26" s="11" t="n">
        <x:f>'Income Statement'!K8</x:f>
        <x:v>211915</x:v>
      </x:c>
      <x:c r="E26" s="11" t="n">
        <x:f>'Income Statement'!K19</x:f>
        <x:v>88523</x:v>
      </x:c>
      <x:c r="F26" s="11" t="n">
        <x:f>-'Cash Flow'!K30</x:f>
        <x:v>28107</x:v>
      </x:c>
      <x:c r="G26" s="11" t="n">
        <x:f>'Cash Flow'!K56</x:f>
        <x:v>59475</x:v>
      </x:c>
      <x:c r="H26" s="2"/>
      <x:c r="I26" s="2"/>
      <x:c r="J26" s="2"/>
      <x:c r="K26" s="2"/>
      <x:c r="L26" s="2"/>
      <x:c r="M26" s="2"/>
      <x:c r="N26" s="2"/>
      <x:c r="O26" s="2"/>
      <x:c r="P26" s="2"/>
      <x:c r="Q26" s="2"/>
      <x:c r="R26" s="2"/>
      <x:c r="S26" s="2"/>
      <x:c r="T26" s="2"/>
      <x:c r="U26" s="2"/>
    </x:row>
    <x:row r="27" ht="21" customHeight="1">
      <x:c r="A27" s="2"/>
      <x:c r="B27" s="2"/>
      <x:c r="C27" s="2" t="str">
        <x:v>FY2024 A</x:v>
      </x:c>
      <x:c r="D27" s="11" t="n">
        <x:f>'Income Statement'!L8</x:f>
        <x:v>245122</x:v>
      </x:c>
      <x:c r="E27" s="11" t="n">
        <x:f>'Income Statement'!L19</x:f>
        <x:v>109433</x:v>
      </x:c>
      <x:c r="F27" s="11" t="n">
        <x:f>-'Cash Flow'!L30</x:f>
        <x:v>44477</x:v>
      </x:c>
      <x:c r="G27" s="11" t="n">
        <x:f>'Cash Flow'!L56</x:f>
        <x:v>74071</x:v>
      </x:c>
      <x:c r="H27" s="2"/>
      <x:c r="I27" s="2"/>
      <x:c r="J27" s="2"/>
      <x:c r="K27" s="2"/>
      <x:c r="L27" s="2"/>
      <x:c r="M27" s="2"/>
      <x:c r="N27" s="2"/>
      <x:c r="O27" s="2"/>
      <x:c r="P27" s="2"/>
      <x:c r="Q27" s="2"/>
      <x:c r="R27" s="2"/>
      <x:c r="S27" s="2"/>
      <x:c r="T27" s="2"/>
      <x:c r="U27" s="2"/>
    </x:row>
    <x:row r="28" ht="21" customHeight="1">
      <x:c r="A28" s="2"/>
      <x:c r="B28" s="2"/>
      <x:c r="C28" s="2" t="str">
        <x:v>FY2025 A</x:v>
      </x:c>
      <x:c r="D28" s="11" t="n">
        <x:f>'Income Statement'!M8</x:f>
        <x:v>281724</x:v>
      </x:c>
      <x:c r="E28" s="11" t="n">
        <x:f>'Income Statement'!M19</x:f>
        <x:v>128528</x:v>
      </x:c>
      <x:c r="F28" s="11" t="n">
        <x:f>-'Cash Flow'!M30</x:f>
        <x:v>64551</x:v>
      </x:c>
      <x:c r="G28" s="11" t="n">
        <x:f>'Cash Flow'!M56</x:f>
        <x:v>71611</x:v>
      </x:c>
      <x:c r="H28" s="2"/>
      <x:c r="I28" s="2"/>
      <x:c r="J28" s="2"/>
      <x:c r="K28" s="2"/>
      <x:c r="L28" s="2"/>
      <x:c r="M28" s="2"/>
      <x:c r="N28" s="2"/>
      <x:c r="O28" s="2"/>
      <x:c r="P28" s="2"/>
      <x:c r="Q28" s="2"/>
      <x:c r="R28" s="2"/>
      <x:c r="S28" s="2"/>
      <x:c r="T28" s="2"/>
      <x:c r="U28" s="2"/>
    </x:row>
    <x:row r="29" ht="21" customHeight="1">
      <x:c r="A29" s="2"/>
      <x:c r="B29" s="2"/>
      <x:c r="C29" s="2" t="str">
        <x:v>FY2026 A</x:v>
      </x:c>
      <x:c r="D29" s="11" t="n">
        <x:f>'Income Statement'!N8</x:f>
        <x:v>331839</x:v>
      </x:c>
      <x:c r="E29" s="11" t="n">
        <x:f>'Income Statement'!N19</x:f>
        <x:v>155237</x:v>
      </x:c>
      <x:c r="F29" s="11" t="n">
        <x:f>-'Cash Flow'!N30</x:f>
        <x:v>115948</x:v>
      </x:c>
      <x:c r="G29" s="11" t="n">
        <x:f>'Cash Flow'!N56</x:f>
        <x:v>66987</x:v>
      </x:c>
      <x:c r="H29" s="2"/>
      <x:c r="I29" s="2"/>
      <x:c r="J29" s="2"/>
      <x:c r="K29" s="2"/>
      <x:c r="L29" s="2"/>
      <x:c r="M29" s="2"/>
      <x:c r="N29" s="2"/>
      <x:c r="O29" s="2"/>
      <x:c r="P29" s="2"/>
      <x:c r="Q29" s="2"/>
      <x:c r="R29" s="2"/>
      <x:c r="S29" s="2"/>
      <x:c r="T29" s="2"/>
      <x:c r="U29" s="2"/>
    </x:row>
    <x:row r="30" ht="21" customHeight="1">
      <x:c r="A30" s="2"/>
      <x:c r="B30" s="2"/>
      <x:c r="C30" s="2" t="str">
        <x:v>FY2027 E</x:v>
      </x:c>
      <x:c r="D30" s="11" t="n">
        <x:f>'Income Statement'!O8</x:f>
        <x:v>385048.80000000005</x:v>
      </x:c>
      <x:c r="E30" s="11" t="n">
        <x:f>'Income Statement'!O19</x:f>
        <x:v>175728.08703427133</x:v>
      </x:c>
      <x:c r="F30" s="11" t="n">
        <x:f>-'Cash Flow'!O30</x:f>
        <x:v>123215.61600000002</x:v>
      </x:c>
      <x:c r="G30" s="11" t="n">
        <x:f>'Cash Flow'!O56</x:f>
        <x:v>85795.86654010984</x:v>
      </x:c>
      <x:c r="H30" s="2"/>
      <x:c r="I30" s="2"/>
      <x:c r="J30" s="2"/>
      <x:c r="K30" s="2"/>
      <x:c r="L30" s="2"/>
      <x:c r="M30" s="2"/>
      <x:c r="N30" s="2"/>
      <x:c r="O30" s="2"/>
      <x:c r="P30" s="2"/>
      <x:c r="Q30" s="2"/>
      <x:c r="R30" s="2"/>
      <x:c r="S30" s="2"/>
      <x:c r="T30" s="2"/>
      <x:c r="U30" s="2"/>
    </x:row>
    <x:row r="31" ht="21" customHeight="1">
      <x:c r="A31" s="2"/>
      <x:c r="B31" s="2"/>
      <x:c r="C31" s="2" t="str">
        <x:v>FY2028 E</x:v>
      </x:c>
      <x:c r="D31" s="11" t="n">
        <x:f>'Income Statement'!P8</x:f>
        <x:v>444477.44240000006</x:v>
      </x:c>
      <x:c r="E31" s="11" t="n">
        <x:f>'Income Statement'!P19</x:f>
        <x:v>189179.8021021741</x:v>
      </x:c>
      <x:c r="F31" s="11" t="n">
        <x:f>-'Cash Flow'!P30</x:f>
        <x:v>124453.68387200002</x:v>
      </x:c>
      <x:c r="G31" s="11" t="n">
        <x:f>'Cash Flow'!P56</x:f>
        <x:v>125116.27310650697</x:v>
      </x:c>
      <x:c r="H31" s="2"/>
      <x:c r="I31" s="2"/>
      <x:c r="J31" s="2"/>
      <x:c r="K31" s="2"/>
      <x:c r="L31" s="2"/>
      <x:c r="M31" s="2"/>
      <x:c r="N31" s="2"/>
      <x:c r="O31" s="2"/>
      <x:c r="P31" s="2"/>
      <x:c r="Q31" s="2"/>
      <x:c r="R31" s="2"/>
      <x:c r="S31" s="2"/>
      <x:c r="T31" s="2"/>
      <x:c r="U31" s="2"/>
    </x:row>
    <x:row r="32" ht="21" customHeight="1">
      <x:c r="A32" s="2"/>
      <x:c r="B32" s="2"/>
      <x:c r="C32" s="2" t="str">
        <x:v>FY2029 E</x:v>
      </x:c>
      <x:c r="D32" s="11" t="n">
        <x:f>'Income Statement'!Q8</x:f>
        <x:v>508922.316432</x:v>
      </x:c>
      <x:c r="E32" s="11" t="n">
        <x:f>'Income Statement'!Q19</x:f>
        <x:v>204736.39255985775</x:v>
      </x:c>
      <x:c r="F32" s="11" t="n">
        <x:f>-'Cash Flow'!Q30</x:f>
        <x:v>127230.579108</x:v>
      </x:c>
      <x:c r="G32" s="11" t="n">
        <x:f>'Cash Flow'!Q56</x:f>
        <x:v>163586.31437163902</x:v>
      </x:c>
      <x:c r="H32" s="2"/>
      <x:c r="I32" s="2"/>
      <x:c r="J32" s="2"/>
      <x:c r="K32" s="2"/>
      <x:c r="L32" s="2"/>
      <x:c r="M32" s="2"/>
      <x:c r="N32" s="2"/>
      <x:c r="O32" s="2"/>
      <x:c r="P32" s="2"/>
      <x:c r="Q32" s="2"/>
      <x:c r="R32" s="2"/>
      <x:c r="S32" s="2"/>
      <x:c r="T32" s="2"/>
      <x:c r="U32" s="2"/>
    </x:row>
    <x:row r="33" ht="21" customHeight="1">
      <x:c r="A33" s="2"/>
      <x:c r="B33" s="2"/>
      <x:c r="C33" s="2" t="str">
        <x:v>FY2030 E</x:v>
      </x:c>
      <x:c r="D33" s="11" t="n">
        <x:f>'Income Statement'!R8</x:f>
        <x:v>577301.7649200001</x:v>
      </x:c>
      <x:c r="E33" s="11" t="n">
        <x:f>'Income Statement'!R19</x:f>
        <x:v>223012.7156780659</x:v>
      </x:c>
      <x:c r="F33" s="11" t="n">
        <x:f>-'Cash Flow'!R30</x:f>
        <x:v>127006.38828240002</x:v>
      </x:c>
      <x:c r="G33" s="11" t="n">
        <x:f>'Cash Flow'!R56</x:f>
        <x:v>209663.9487791424</x:v>
      </x:c>
      <x:c r="H33" s="2"/>
      <x:c r="I33" s="2"/>
      <x:c r="J33" s="2"/>
      <x:c r="K33" s="2"/>
      <x:c r="L33" s="2"/>
      <x:c r="M33" s="2"/>
      <x:c r="N33" s="2"/>
      <x:c r="O33" s="2"/>
      <x:c r="P33" s="2"/>
      <x:c r="Q33" s="2"/>
      <x:c r="R33" s="2"/>
      <x:c r="S33" s="2"/>
      <x:c r="T33" s="2"/>
      <x:c r="U33" s="2"/>
    </x:row>
    <x:row r="34" ht="21" customHeight="1">
      <x:c r="A34" s="2"/>
      <x:c r="B34" s="2"/>
      <x:c r="C34" s="2" t="str">
        <x:v>FY2031 E</x:v>
      </x:c>
      <x:c r="D34" s="11" t="n">
        <x:f>'Income Statement'!S8</x:f>
        <x:v>648107.1509938752</x:v>
      </x:c>
      <x:c r="E34" s="11" t="n">
        <x:f>'Income Statement'!S19</x:f>
        <x:v>242804.5507215888</x:v>
      </x:c>
      <x:c r="F34" s="11" t="n">
        <x:f>-'Cash Flow'!S30</x:f>
        <x:v>129621.43019877505</x:v>
      </x:c>
      <x:c r="G34" s="11" t="n">
        <x:f>'Cash Flow'!S56</x:f>
        <x:v>255661.16321179768</x:v>
      </x:c>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294735c569814370"/>
</x:worksheet>
</file>

<file path=xl/worksheets/sheet2.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Equity Research</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Revenue</x:v>
      </x:c>
      <x:c r="D8" s="2"/>
      <x:c r="E8" s="11" t="n">
        <x:f>'Income Statement'!J8</x:f>
        <x:v>198270</x:v>
      </x:c>
      <x:c r="F8" s="11" t="n">
        <x:f>'Income Statement'!K8</x:f>
        <x:v>211915</x:v>
      </x:c>
      <x:c r="G8" s="11" t="n">
        <x:f>'Income Statement'!L8</x:f>
        <x:v>245122</x:v>
      </x:c>
      <x:c r="H8" s="11" t="n">
        <x:f>'Income Statement'!M8</x:f>
        <x:v>281724</x:v>
      </x:c>
      <x:c r="I8" s="11" t="n">
        <x:f>'Income Statement'!N8</x:f>
        <x:v>331839</x:v>
      </x:c>
      <x:c r="J8" s="11" t="n">
        <x:f>'Income Statement'!O8</x:f>
        <x:v>385048.80000000005</x:v>
      </x:c>
      <x:c r="K8" s="11" t="n">
        <x:f>'Income Statement'!P8</x:f>
        <x:v>444477.44240000006</x:v>
      </x:c>
      <x:c r="L8" s="11" t="n">
        <x:f>'Income Statement'!Q8</x:f>
        <x:v>508922.316432</x:v>
      </x:c>
      <x:c r="M8" s="11" t="n">
        <x:f>'Income Statement'!R8</x:f>
        <x:v>577301.7649200001</x:v>
      </x:c>
      <x:c r="N8" s="11" t="n">
        <x:f>'Income Statement'!S8</x:f>
        <x:v>648107.1509938752</x:v>
      </x:c>
      <x:c r="O8" s="11"/>
      <x:c r="P8" s="11"/>
      <x:c r="Q8" s="11"/>
      <x:c r="R8" s="11"/>
      <x:c r="S8" s="11"/>
      <x:c r="T8" s="2"/>
      <x:c r="U8" s="2"/>
    </x:row>
    <x:row r="9" ht="21" customHeight="1">
      <x:c r="A9" s="2"/>
      <x:c r="B9" s="2"/>
      <x:c r="C9" s="18" t="str">
        <x:v>Revenue growth</x:v>
      </x:c>
      <x:c r="D9" s="18"/>
      <x:c r="E9" s="19" t="n">
        <x:f>'Income Statement'!J9</x:f>
        <x:v>0.17956070629670173</x:v>
      </x:c>
      <x:c r="F9" s="19" t="n">
        <x:f>'Income Statement'!K9</x:f>
        <x:v>0.06882029555656421</x:v>
      </x:c>
      <x:c r="G9" s="19" t="n">
        <x:f>'Income Statement'!L9</x:f>
        <x:v>0.1566996201307127</x:v>
      </x:c>
      <x:c r="H9" s="19" t="n">
        <x:f>'Income Statement'!M9</x:f>
        <x:v>0.14932156232406713</x:v>
      </x:c>
      <x:c r="I9" s="19" t="n">
        <x:f>'Income Statement'!N9</x:f>
        <x:v>0.17788686799846665</x:v>
      </x:c>
      <x:c r="J9" s="19" t="n">
        <x:f>'Income Statement'!O9</x:f>
        <x:v>0.16034824116514357</x:v>
      </x:c>
      <x:c r="K9" s="19" t="n">
        <x:f>'Income Statement'!P9</x:f>
        <x:v>0.15434054696443678</x:v>
      </x:c>
      <x:c r="L9" s="19" t="n">
        <x:f>'Income Statement'!Q9</x:f>
        <x:v>0.14499020171647747</x:v>
      </x:c>
      <x:c r="M9" s="19" t="n">
        <x:f>'Income Statement'!R9</x:f>
        <x:v>0.1343612694514973</x:v>
      </x:c>
      <x:c r="N9" s="19" t="n">
        <x:f>'Income Statement'!S9</x:f>
        <x:v>0.12264883008574734</x:v>
      </x:c>
      <x:c r="O9" s="19"/>
      <x:c r="P9" s="19"/>
      <x:c r="Q9" s="19"/>
      <x:c r="R9" s="19"/>
      <x:c r="S9" s="19"/>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t="str">
        <x:v>Operating income</x:v>
      </x:c>
      <x:c r="D11" s="2"/>
      <x:c r="E11" s="11" t="n">
        <x:f>'Income Statement'!J19</x:f>
        <x:v>83383</x:v>
      </x:c>
      <x:c r="F11" s="11" t="n">
        <x:f>'Income Statement'!K19</x:f>
        <x:v>88523</x:v>
      </x:c>
      <x:c r="G11" s="11" t="n">
        <x:f>'Income Statement'!L19</x:f>
        <x:v>109433</x:v>
      </x:c>
      <x:c r="H11" s="11" t="n">
        <x:f>'Income Statement'!M19</x:f>
        <x:v>128528</x:v>
      </x:c>
      <x:c r="I11" s="11" t="n">
        <x:f>'Income Statement'!N19</x:f>
        <x:v>155237</x:v>
      </x:c>
      <x:c r="J11" s="11" t="n">
        <x:f>'Income Statement'!O19</x:f>
        <x:v>175728.08703427133</x:v>
      </x:c>
      <x:c r="K11" s="11" t="n">
        <x:f>'Income Statement'!P19</x:f>
        <x:v>189179.8021021741</x:v>
      </x:c>
      <x:c r="L11" s="11" t="n">
        <x:f>'Income Statement'!Q19</x:f>
        <x:v>204736.39255985775</x:v>
      </x:c>
      <x:c r="M11" s="11" t="n">
        <x:f>'Income Statement'!R19</x:f>
        <x:v>223012.7156780659</x:v>
      </x:c>
      <x:c r="N11" s="11" t="n">
        <x:f>'Income Statement'!S19</x:f>
        <x:v>242804.5507215888</x:v>
      </x:c>
      <x:c r="O11" s="11"/>
      <x:c r="P11" s="11"/>
      <x:c r="Q11" s="11"/>
      <x:c r="R11" s="11"/>
      <x:c r="S11" s="11"/>
      <x:c r="T11" s="2"/>
      <x:c r="U11" s="2"/>
    </x:row>
    <x:row r="12" ht="21" customHeight="1">
      <x:c r="A12" s="2"/>
      <x:c r="B12" s="2"/>
      <x:c r="C12" s="18" t="str">
        <x:v>Operating margin</x:v>
      </x:c>
      <x:c r="D12" s="18"/>
      <x:c r="E12" s="19" t="n">
        <x:f>'Income Statement'!J20</x:f>
        <x:v>0.4205527815604983</x:v>
      </x:c>
      <x:c r="F12" s="19" t="n">
        <x:f>'Income Statement'!K20</x:f>
        <x:v>0.417728806361041</x:v>
      </x:c>
      <x:c r="G12" s="19" t="n">
        <x:f>'Income Statement'!L20</x:f>
        <x:v>0.44644299573273716</x:v>
      </x:c>
      <x:c r="H12" s="19" t="n">
        <x:f>'Income Statement'!M20</x:f>
        <x:v>0.4562195624085985</x:v>
      </x:c>
      <x:c r="I12" s="19" t="n">
        <x:f>'Income Statement'!N20</x:f>
        <x:v>0.4678081840892722</x:v>
      </x:c>
      <x:c r="J12" s="19" t="n">
        <x:f>'Income Statement'!O20</x:f>
        <x:v>0.45637874221208147</x:v>
      </x:c>
      <x:c r="K12" s="19" t="n">
        <x:f>'Income Statement'!P20</x:f>
        <x:v>0.4256229541834091</x:v>
      </x:c>
      <x:c r="L12" s="19" t="n">
        <x:f>'Income Statement'!Q20</x:f>
        <x:v>0.4022939964496796</x:v>
      </x:c>
      <x:c r="M12" s="19" t="n">
        <x:f>'Income Statement'!R20</x:f>
        <x:v>0.38630180822151133</x:v>
      </x:c>
      <x:c r="N12" s="19" t="n">
        <x:f>'Income Statement'!S20</x:f>
        <x:v>0.3746364321844728</x:v>
      </x:c>
      <x:c r="O12" s="19"/>
      <x:c r="P12" s="19"/>
      <x:c r="Q12" s="19"/>
      <x:c r="R12" s="19"/>
      <x:c r="S12" s="19"/>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Net income</x:v>
      </x:c>
      <x:c r="D14" s="2"/>
      <x:c r="E14" s="11" t="n">
        <x:f>'Income Statement'!J28</x:f>
        <x:v>72738</x:v>
      </x:c>
      <x:c r="F14" s="11" t="n">
        <x:f>'Income Statement'!K28</x:f>
        <x:v>72361</x:v>
      </x:c>
      <x:c r="G14" s="11" t="n">
        <x:f>'Income Statement'!L28</x:f>
        <x:v>88136</x:v>
      </x:c>
      <x:c r="H14" s="11" t="n">
        <x:f>'Income Statement'!M28</x:f>
        <x:v>101832</x:v>
      </x:c>
      <x:c r="I14" s="11" t="n">
        <x:f>'Income Statement'!N28</x:f>
        <x:v>133749</x:v>
      </x:c>
      <x:c r="J14" s="11" t="n">
        <x:f>'Income Statement'!O28</x:f>
        <x:v>139226.65932341706</x:v>
      </x:c>
      <x:c r="K14" s="11" t="n">
        <x:f>'Income Statement'!P28</x:f>
        <x:v>149959.44033126585</x:v>
      </x:c>
      <x:c r="L14" s="11" t="n">
        <x:f>'Income Statement'!Q28</x:f>
        <x:v>163295.41298470303</x:v>
      </x:c>
      <x:c r="M14" s="11" t="n">
        <x:f>'Income Statement'!R28</x:f>
        <x:v>179624.49119054497</x:v>
      </x:c>
      <x:c r="N14" s="11" t="n">
        <x:f>'Income Statement'!S28</x:f>
        <x:v>198208.54815629864</x:v>
      </x:c>
      <x:c r="O14" s="11"/>
      <x:c r="P14" s="11"/>
      <x:c r="Q14" s="11"/>
      <x:c r="R14" s="11"/>
      <x:c r="S14" s="11"/>
      <x:c r="T14" s="2"/>
      <x:c r="U14" s="2"/>
    </x:row>
    <x:row r="15" ht="21" customHeight="1">
      <x:c r="A15" s="2"/>
      <x:c r="B15" s="2"/>
      <x:c r="C15" s="2" t="str">
        <x:v>Diluted earnings per share</x:v>
      </x:c>
      <x:c r="D15" s="2"/>
      <x:c r="E15" s="13" t="n">
        <x:f>'Income Statement'!J33</x:f>
        <x:v>9.65</x:v>
      </x:c>
      <x:c r="F15" s="13" t="n">
        <x:f>'Income Statement'!K33</x:f>
        <x:v>9.68</x:v>
      </x:c>
      <x:c r="G15" s="13" t="n">
        <x:f>'Income Statement'!L33</x:f>
        <x:v>11.8</x:v>
      </x:c>
      <x:c r="H15" s="13" t="n">
        <x:f>'Income Statement'!M33</x:f>
        <x:v>13.64</x:v>
      </x:c>
      <x:c r="I15" s="13" t="n">
        <x:f>'Income Statement'!N33</x:f>
        <x:v>17.95</x:v>
      </x:c>
      <x:c r="J15" s="13" t="n">
        <x:f>'Income Statement'!O33</x:f>
        <x:v>18.73683028468433</x:v>
      </x:c>
      <x:c r="K15" s="13" t="n">
        <x:f>'Income Statement'!P33</x:f>
        <x:v>20.24195117868173</x:v>
      </x:c>
      <x:c r="L15" s="13" t="n">
        <x:f>'Income Statement'!Q33</x:f>
        <x:v>22.108403856550193</x:v>
      </x:c>
      <x:c r="M15" s="13" t="n">
        <x:f>'Income Statement'!R33</x:f>
        <x:v>24.39235862041523</x:v>
      </x:c>
      <x:c r="N15" s="13" t="n">
        <x:f>'Income Statement'!S33</x:f>
        <x:v>26.996997580794837</x:v>
      </x:c>
      <x:c r="O15" s="13"/>
      <x:c r="P15" s="13"/>
      <x:c r="Q15" s="13"/>
      <x:c r="R15" s="13"/>
      <x:c r="S15" s="13"/>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t="str">
        <x:v>Operating cash flow</x:v>
      </x:c>
      <x:c r="D17" s="2"/>
      <x:c r="E17" s="11" t="n">
        <x:f>'Cash Flow'!J28</x:f>
        <x:v>89035</x:v>
      </x:c>
      <x:c r="F17" s="11" t="n">
        <x:f>'Cash Flow'!K28</x:f>
        <x:v>87582</x:v>
      </x:c>
      <x:c r="G17" s="11" t="n">
        <x:f>'Cash Flow'!L28</x:f>
        <x:v>118548</x:v>
      </x:c>
      <x:c r="H17" s="11" t="n">
        <x:f>'Cash Flow'!M28</x:f>
        <x:v>136162</x:v>
      </x:c>
      <x:c r="I17" s="11" t="n">
        <x:f>'Cash Flow'!N28</x:f>
        <x:v>182935</x:v>
      </x:c>
      <x:c r="J17" s="11" t="n">
        <x:f>'Cash Flow'!O28</x:f>
        <x:v>209011.48254010986</x:v>
      </x:c>
      <x:c r="K17" s="11" t="n">
        <x:f>'Cash Flow'!P28</x:f>
        <x:v>249569.956978507</x:v>
      </x:c>
      <x:c r="L17" s="11" t="n">
        <x:f>'Cash Flow'!Q28</x:f>
        <x:v>290816.893479639</x:v>
      </x:c>
      <x:c r="M17" s="11" t="n">
        <x:f>'Cash Flow'!R28</x:f>
        <x:v>336670.33706154244</x:v>
      </x:c>
      <x:c r="N17" s="11" t="n">
        <x:f>'Cash Flow'!S28</x:f>
        <x:v>385282.59341057274</x:v>
      </x:c>
      <x:c r="O17" s="11"/>
      <x:c r="P17" s="11"/>
      <x:c r="Q17" s="11"/>
      <x:c r="R17" s="11"/>
      <x:c r="S17" s="11"/>
      <x:c r="T17" s="2"/>
      <x:c r="U17" s="2"/>
    </x:row>
    <x:row r="18" ht="21" customHeight="1">
      <x:c r="A18" s="2"/>
      <x:c r="B18" s="2"/>
      <x:c r="C18" s="2" t="str">
        <x:v>Free cash flow</x:v>
      </x:c>
      <x:c r="D18" s="2"/>
      <x:c r="E18" s="11" t="n">
        <x:f>'Cash Flow'!J56</x:f>
        <x:v>65149</x:v>
      </x:c>
      <x:c r="F18" s="11" t="n">
        <x:f>'Cash Flow'!K56</x:f>
        <x:v>59475</x:v>
      </x:c>
      <x:c r="G18" s="11" t="n">
        <x:f>'Cash Flow'!L56</x:f>
        <x:v>74071</x:v>
      </x:c>
      <x:c r="H18" s="11" t="n">
        <x:f>'Cash Flow'!M56</x:f>
        <x:v>71611</x:v>
      </x:c>
      <x:c r="I18" s="11" t="n">
        <x:f>'Cash Flow'!N56</x:f>
        <x:v>66987</x:v>
      </x:c>
      <x:c r="J18" s="11" t="n">
        <x:f>'Cash Flow'!O56</x:f>
        <x:v>85795.86654010984</x:v>
      </x:c>
      <x:c r="K18" s="11" t="n">
        <x:f>'Cash Flow'!P56</x:f>
        <x:v>125116.27310650697</x:v>
      </x:c>
      <x:c r="L18" s="11" t="n">
        <x:f>'Cash Flow'!Q56</x:f>
        <x:v>163586.31437163902</x:v>
      </x:c>
      <x:c r="M18" s="11" t="n">
        <x:f>'Cash Flow'!R56</x:f>
        <x:v>209663.9487791424</x:v>
      </x:c>
      <x:c r="N18" s="11" t="n">
        <x:f>'Cash Flow'!S56</x:f>
        <x:v>255661.16321179768</x:v>
      </x:c>
      <x:c r="O18" s="11"/>
      <x:c r="P18" s="11"/>
      <x:c r="Q18" s="11"/>
      <x:c r="R18" s="11"/>
      <x:c r="S18" s="11"/>
      <x:c r="T18" s="2"/>
      <x:c r="U18" s="2"/>
    </x:row>
    <x:row r="19" ht="21" customHeight="1">
      <x:c r="A19" s="2"/>
      <x:c r="B19" s="2"/>
      <x:c r="C19" s="2" t="str">
        <x:v>FCF after finance lease principal</x:v>
      </x:c>
      <x:c r="D19" s="2"/>
      <x:c r="E19" s="11" t="n">
        <x:f>'Cash Flow'!J57</x:f>
        <x:v>64253</x:v>
      </x:c>
      <x:c r="F19" s="11" t="n">
        <x:f>'Cash Flow'!K57</x:f>
        <x:v>58419</x:v>
      </x:c>
      <x:c r="G19" s="11" t="n">
        <x:f>'Cash Flow'!L57</x:f>
        <x:v>72785</x:v>
      </x:c>
      <x:c r="H19" s="11" t="n">
        <x:f>'Cash Flow'!M57</x:f>
        <x:v>69328</x:v>
      </x:c>
      <x:c r="I19" s="11" t="n">
        <x:f>'Cash Flow'!N57</x:f>
        <x:v>63886</x:v>
      </x:c>
      <x:c r="J19" s="11" t="n">
        <x:f>'Cash Flow'!O57</x:f>
        <x:v>80560.87884780215</x:v>
      </x:c>
      <x:c r="K19" s="11" t="n">
        <x:f>'Cash Flow'!P57</x:f>
        <x:v>117300.74535714602</x:v>
      </x:c>
      <x:c r="L19" s="11" t="n">
        <x:f>'Cash Flow'!Q57</x:f>
        <x:v>153982.44088947584</x:v>
      </x:c>
      <x:c r="M19" s="11" t="n">
        <x:f>'Cash Flow'!R57</x:f>
        <x:v>197797.45826620416</x:v>
      </x:c>
      <x:c r="N19" s="11" t="n">
        <x:f>'Cash Flow'!S57</x:f>
        <x:v>241526.09387294645</x:v>
      </x:c>
      <x:c r="O19" s="11"/>
      <x:c r="P19" s="11"/>
      <x:c r="Q19" s="11"/>
      <x:c r="R19" s="11"/>
      <x:c r="S19" s="11"/>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1" customHeight="1">
      <x:c r="A21" s="2"/>
      <x:c r="B21" s="2"/>
      <x:c r="C21" s="18" t="str">
        <x:v>Cash capex / revenue</x:v>
      </x:c>
      <x:c r="D21" s="18"/>
      <x:c r="E21" s="19" t="n">
        <x:f>-'Cash Flow'!J30/'Income Statement'!J8</x:f>
        <x:v>0.12047208352246935</x:v>
      </x:c>
      <x:c r="F21" s="19" t="n">
        <x:f>-'Cash Flow'!K30/'Income Statement'!K8</x:f>
        <x:v>0.13263336715192411</x:v>
      </x:c>
      <x:c r="G21" s="19" t="n">
        <x:f>-'Cash Flow'!L30/'Income Statement'!L8</x:f>
        <x:v>0.18144842160230415</x:v>
      </x:c>
      <x:c r="H21" s="19" t="n">
        <x:f>-'Cash Flow'!M30/'Income Statement'!M8</x:f>
        <x:v>0.22912850875324786</x:v>
      </x:c>
      <x:c r="I21" s="19" t="n">
        <x:f>-'Cash Flow'!N30/'Income Statement'!N8</x:f>
        <x:v>0.34941040685392616</x:v>
      </x:c>
      <x:c r="J21" s="19" t="n">
        <x:f>-'Cash Flow'!O30/'Income Statement'!O8</x:f>
        <x:v>0.32</x:v>
      </x:c>
      <x:c r="K21" s="19" t="n">
        <x:f>-'Cash Flow'!P30/'Income Statement'!P8</x:f>
        <x:v>0.28</x:v>
      </x:c>
      <x:c r="L21" s="19" t="n">
        <x:f>-'Cash Flow'!Q30/'Income Statement'!Q8</x:f>
        <x:v>0.25</x:v>
      </x:c>
      <x:c r="M21" s="19" t="n">
        <x:f>-'Cash Flow'!R30/'Income Statement'!R8</x:f>
        <x:v>0.22</x:v>
      </x:c>
      <x:c r="N21" s="19" t="n">
        <x:f>-'Cash Flow'!S30/'Income Statement'!S8</x:f>
        <x:v>0.2</x:v>
      </x:c>
      <x:c r="O21" s="19"/>
      <x:c r="P21" s="19"/>
      <x:c r="Q21" s="19"/>
      <x:c r="R21" s="19"/>
      <x:c r="S21" s="19"/>
      <x:c r="T21" s="2"/>
      <x:c r="U21" s="2"/>
    </x:row>
    <x:row r="22" ht="21" customHeight="1">
      <x:c r="A22" s="2"/>
      <x:c r="B22" s="2"/>
      <x:c r="C22" s="18" t="str">
        <x:v>FCF margin</x:v>
      </x:c>
      <x:c r="D22" s="18"/>
      <x:c r="E22" s="19" t="n">
        <x:f>'Cash Flow'!J56/'Income Statement'!J8</x:f>
        <x:v>0.3285872799717557</x:v>
      </x:c>
      <x:c r="F22" s="19" t="n">
        <x:f>'Cash Flow'!K56/'Income Statement'!K8</x:f>
        <x:v>0.2806549795908737</x:v>
      </x:c>
      <x:c r="G22" s="19" t="n">
        <x:f>'Cash Flow'!L56/'Income Statement'!L8</x:f>
        <x:v>0.3021801388696241</x:v>
      </x:c>
      <x:c r="H22" s="19" t="n">
        <x:f>'Cash Flow'!M56/'Income Statement'!M8</x:f>
        <x:v>0.2541884965427156</x:v>
      </x:c>
      <x:c r="I22" s="19" t="n">
        <x:f>'Cash Flow'!N56/'Income Statement'!N8</x:f>
        <x:v>0.20186596512164032</x:v>
      </x:c>
      <x:c r="J22" s="19" t="n">
        <x:f>'Cash Flow'!O56/'Income Statement'!O8</x:f>
        <x:v>0.22281816367200685</x:v>
      </x:c>
      <x:c r="K22" s="19" t="n">
        <x:f>'Cash Flow'!P56/'Income Statement'!P8</x:f>
        <x:v>0.28149071509890183</x:v>
      </x:c>
      <x:c r="L22" s="19" t="n">
        <x:f>'Cash Flow'!Q56/'Income Statement'!Q8</x:f>
        <x:v>0.3214367086877329</x:v>
      </x:c>
      <x:c r="M22" s="19" t="n">
        <x:f>'Cash Flow'!R56/'Income Statement'!R8</x:f>
        <x:v>0.363179123154416</x:v>
      </x:c>
      <x:c r="N22" s="19" t="n">
        <x:f>'Cash Flow'!S56/'Income Statement'!S8</x:f>
        <x:v>0.39447360335361237</x:v>
      </x:c>
      <x:c r="O22" s="19"/>
      <x:c r="P22" s="19"/>
      <x:c r="Q22" s="19"/>
      <x:c r="R22" s="19"/>
      <x:c r="S22" s="19"/>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18" t="str">
        <x:v>Net income / operating cash flow</x:v>
      </x:c>
      <x:c r="D24" s="18"/>
      <x:c r="E24" s="19" t="n">
        <x:f>'Income Statement'!J28/'Cash Flow'!J28</x:f>
        <x:v>0.8169596226203178</x:v>
      </x:c>
      <x:c r="F24" s="19" t="n">
        <x:f>'Income Statement'!K28/'Cash Flow'!K28</x:f>
        <x:v>0.826208581672033</x:v>
      </x:c>
      <x:c r="G24" s="19" t="n">
        <x:f>'Income Statement'!L28/'Cash Flow'!L28</x:f>
        <x:v>0.7434625636872828</x:v>
      </x:c>
      <x:c r="H24" s="19" t="n">
        <x:f>'Income Statement'!M28/'Cash Flow'!M28</x:f>
        <x:v>0.7478738561419486</x:v>
      </x:c>
      <x:c r="I24" s="19" t="n">
        <x:f>'Income Statement'!N28/'Cash Flow'!N28</x:f>
        <x:v>0.7311285429250827</x:v>
      </x:c>
      <x:c r="J24" s="19" t="n">
        <x:f>'Income Statement'!O28/'Cash Flow'!O28</x:f>
        <x:v>0.6661196678354697</x:v>
      </x:c>
      <x:c r="K24" s="19" t="n">
        <x:f>'Income Statement'!P28/'Cash Flow'!P28</x:f>
        <x:v>0.6008713634717675</x:v>
      </x:c>
      <x:c r="L24" s="19" t="n">
        <x:f>'Income Statement'!Q28/'Cash Flow'!Q28</x:f>
        <x:v>0.5615059394619929</x:v>
      </x:c>
      <x:c r="M24" s="19" t="n">
        <x:f>'Income Statement'!R28/'Cash Flow'!R28</x:f>
        <x:v>0.5335322759893459</x:v>
      </x:c>
      <x:c r="N24" s="19" t="n">
        <x:f>'Income Statement'!S28/'Cash Flow'!S28</x:f>
        <x:v>0.5144497871075104</x:v>
      </x:c>
      <x:c r="O24" s="19"/>
      <x:c r="P24" s="19"/>
      <x:c r="Q24" s="19"/>
      <x:c r="R24" s="19"/>
      <x:c r="S24" s="19"/>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c1b1cf3f178a4df3"/>
</x:worksheet>
</file>

<file path=xl/worksheets/sheet3.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Investment Banking</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Operating income plus disclosed D&amp;A</x:v>
      </x:c>
      <x:c r="D8" s="2"/>
      <x:c r="E8" s="11" t="n">
        <x:f>'Income Statement'!J36</x:f>
        <x:v>97983</x:v>
      </x:c>
      <x:c r="F8" s="11" t="n">
        <x:f>'Income Statement'!K36</x:f>
        <x:v>102023</x:v>
      </x:c>
      <x:c r="G8" s="11" t="n">
        <x:f>'Income Statement'!L36</x:f>
        <x:v>129433</x:v>
      </x:c>
      <x:c r="H8" s="11" t="n">
        <x:f>'Income Statement'!M36</x:f>
        <x:v>156528</x:v>
      </x:c>
      <x:c r="I8" s="11" t="n">
        <x:f>'Income Statement'!N36</x:f>
        <x:v>194237</x:v>
      </x:c>
      <x:c r="J8" s="11" t="n">
        <x:f>'Income Statement'!O36</x:f>
        <x:v>229144.45363427134</x:v>
      </x:c>
      <x:c r="K8" s="11" t="n">
        <x:f>'Income Statement'!P36</x:f>
        <x:v>266920.4223635874</x:v>
      </x:c>
      <x:c r="L8" s="11" t="n">
        <x:f>'Income Statement'!Q36</x:f>
        <x:v>308245.96315238444</x:v>
      </x:c>
      <x:c r="M8" s="11" t="n">
        <x:f>'Income Statement'!R36</x:f>
        <x:v>352499.80753028055</x:v>
      </x:c>
      <x:c r="N8" s="11" t="n">
        <x:f>'Income Statement'!S36</x:f>
        <x:v>398785.1006277711</x:v>
      </x:c>
      <x:c r="O8" s="11"/>
      <x:c r="P8" s="11"/>
      <x:c r="Q8" s="11"/>
      <x:c r="R8" s="11"/>
      <x:c r="S8" s="11"/>
      <x:c r="T8" s="2"/>
      <x:c r="U8" s="2"/>
    </x:row>
    <x:row r="9" ht="21" customHeight="1">
      <x:c r="A9" s="2"/>
      <x:c r="B9" s="2"/>
      <x:c r="C9" s="2" t="str">
        <x:v>Operating income</x:v>
      </x:c>
      <x:c r="D9" s="2"/>
      <x:c r="E9" s="11" t="n">
        <x:f>'Income Statement'!J19</x:f>
        <x:v>83383</x:v>
      </x:c>
      <x:c r="F9" s="11" t="n">
        <x:f>'Income Statement'!K19</x:f>
        <x:v>88523</x:v>
      </x:c>
      <x:c r="G9" s="11" t="n">
        <x:f>'Income Statement'!L19</x:f>
        <x:v>109433</x:v>
      </x:c>
      <x:c r="H9" s="11" t="n">
        <x:f>'Income Statement'!M19</x:f>
        <x:v>128528</x:v>
      </x:c>
      <x:c r="I9" s="11" t="n">
        <x:f>'Income Statement'!N19</x:f>
        <x:v>155237</x:v>
      </x:c>
      <x:c r="J9" s="11" t="n">
        <x:f>'Income Statement'!O19</x:f>
        <x:v>175728.08703427133</x:v>
      </x:c>
      <x:c r="K9" s="11" t="n">
        <x:f>'Income Statement'!P19</x:f>
        <x:v>189179.8021021741</x:v>
      </x:c>
      <x:c r="L9" s="11" t="n">
        <x:f>'Income Statement'!Q19</x:f>
        <x:v>204736.39255985775</x:v>
      </x:c>
      <x:c r="M9" s="11" t="n">
        <x:f>'Income Statement'!R19</x:f>
        <x:v>223012.7156780659</x:v>
      </x:c>
      <x:c r="N9" s="11" t="n">
        <x:f>'Income Statement'!S19</x:f>
        <x:v>242804.5507215888</x:v>
      </x:c>
      <x:c r="O9" s="11"/>
      <x:c r="P9" s="11"/>
      <x:c r="Q9" s="11"/>
      <x:c r="R9" s="11"/>
      <x:c r="S9" s="11"/>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t="str">
        <x:v>Debt carrying amount</x:v>
      </x:c>
      <x:c r="D11" s="2"/>
      <x:c r="E11" s="11" t="n">
        <x:f>'Debt and Leases'!J18</x:f>
        <x:v>49781</x:v>
      </x:c>
      <x:c r="F11" s="11" t="n">
        <x:f>'Debt and Leases'!K18</x:f>
        <x:v>47237</x:v>
      </x:c>
      <x:c r="G11" s="11" t="n">
        <x:f>'Debt and Leases'!L18</x:f>
        <x:v>51630</x:v>
      </x:c>
      <x:c r="H11" s="11" t="n">
        <x:f>'Debt and Leases'!M18</x:f>
        <x:v>43151</x:v>
      </x:c>
      <x:c r="I11" s="11" t="n">
        <x:f>'Debt and Leases'!N18</x:f>
        <x:v>40294</x:v>
      </x:c>
      <x:c r="J11" s="11" t="n">
        <x:f>'Debt and Leases'!O18</x:f>
        <x:v>31219.260000000002</x:v>
      </x:c>
      <x:c r="K11" s="11" t="n">
        <x:f>'Debt and Leases'!P18</x:f>
        <x:v>31389.2622</x:v>
      </x:c>
      <x:c r="L11" s="11" t="n">
        <x:f>'Debt and Leases'!Q18</x:f>
        <x:v>29553.164334</x:v>
      </x:c>
      <x:c r="M11" s="11" t="n">
        <x:f>'Debt and Leases'!R18</x:f>
        <x:v>29713.11940398</x:v>
      </x:c>
      <x:c r="N11" s="11" t="n">
        <x:f>'Debt and Leases'!S18</x:f>
        <x:v>29368.2758218606</x:v>
      </x:c>
      <x:c r="O11" s="11"/>
      <x:c r="P11" s="11"/>
      <x:c r="Q11" s="11"/>
      <x:c r="R11" s="11"/>
      <x:c r="S11" s="11"/>
      <x:c r="T11" s="2"/>
      <x:c r="U11" s="2"/>
    </x:row>
    <x:row r="12" ht="21" customHeight="1">
      <x:c r="A12" s="2"/>
      <x:c r="B12" s="2"/>
      <x:c r="C12" s="2" t="str">
        <x:v>Finance lease liabilities</x:v>
      </x:c>
      <x:c r="D12" s="2"/>
      <x:c r="E12" s="11" t="n">
        <x:f>'Debt and Leases'!J42</x:f>
        <x:v>14902</x:v>
      </x:c>
      <x:c r="F12" s="11" t="n">
        <x:f>'Debt and Leases'!K42</x:f>
        <x:v>17067</x:v>
      </x:c>
      <x:c r="G12" s="11" t="n">
        <x:f>'Debt and Leases'!L42</x:f>
        <x:v>27145</x:v>
      </x:c>
      <x:c r="H12" s="11" t="n">
        <x:f>'Debt and Leases'!M42</x:f>
        <x:v>46172</x:v>
      </x:c>
      <x:c r="I12" s="11" t="n">
        <x:f>'Debt and Leases'!N42</x:f>
        <x:v>66594</x:v>
      </x:c>
      <x:c r="J12" s="11" t="n">
        <x:f>'Debt and Leases'!O42</x:f>
        <x:v>90237.67230769231</x:v>
      </x:c>
      <x:c r="K12" s="11" t="n">
        <x:f>'Debt and Leases'!P42</x:f>
        <x:v>113535.56552633137</x:v>
      </x:c>
      <x:c r="L12" s="11" t="n">
        <x:f>'Debt and Leases'!Q42</x:f>
        <x:v>137011.6426122482</x:v>
      </x:c>
      <x:c r="M12" s="11" t="n">
        <x:f>'Debt and Leases'!R42</x:f>
        <x:v>159783.25799450994</x:v>
      </x:c>
      <x:c r="N12" s="11" t="n">
        <x:f>'Debt and Leases'!S42</x:f>
        <x:v>181294.08196032187</x:v>
      </x:c>
      <x:c r="O12" s="11"/>
      <x:c r="P12" s="11"/>
      <x:c r="Q12" s="11"/>
      <x:c r="R12" s="11"/>
      <x:c r="S12" s="11"/>
      <x:c r="T12" s="2"/>
      <x:c r="U12" s="2"/>
    </x:row>
    <x:row r="13" ht="21" customHeight="1">
      <x:c r="A13" s="2"/>
      <x:c r="B13" s="2"/>
      <x:c r="C13" s="2" t="str">
        <x:v>Operating lease liabilities</x:v>
      </x:c>
      <x:c r="D13" s="2"/>
      <x:c r="E13" s="11" t="n">
        <x:f>'Debt and Leases'!J63</x:f>
        <x:v>13717</x:v>
      </x:c>
      <x:c r="F13" s="11" t="n">
        <x:f>'Debt and Leases'!K63</x:f>
        <x:v>15137</x:v>
      </x:c>
      <x:c r="G13" s="11" t="n">
        <x:f>'Debt and Leases'!L63</x:f>
        <x:v>19077</x:v>
      </x:c>
      <x:c r="H13" s="11" t="n">
        <x:f>'Debt and Leases'!M63</x:f>
        <x:v>22861</x:v>
      </x:c>
      <x:c r="I13" s="11" t="n">
        <x:f>'Debt and Leases'!N63</x:f>
        <x:v>21925</x:v>
      </x:c>
      <x:c r="J13" s="11" t="n">
        <x:f>'Debt and Leases'!O63</x:f>
        <x:v>21948.646</x:v>
      </x:c>
      <x:c r="K13" s="11" t="n">
        <x:f>'Debt and Leases'!P63</x:f>
        <x:v>23460.013658</x:v>
      </x:c>
      <x:c r="L13" s="11" t="n">
        <x:f>'Debt and Leases'!Q63</x:f>
        <x:v>26036.413079131664</x:v>
      </x:c>
      <x:c r="M13" s="11" t="n">
        <x:f>'Debt and Leases'!R63</x:f>
        <x:v>29114.37931443948</x:v>
      </x:c>
      <x:c r="N13" s="11" t="n">
        <x:f>'Debt and Leases'!S63</x:f>
        <x:v>32494.33226083643</x:v>
      </x:c>
      <x:c r="O13" s="11"/>
      <x:c r="P13" s="11"/>
      <x:c r="Q13" s="11"/>
      <x:c r="R13" s="11"/>
      <x:c r="S13" s="11"/>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t="str">
        <x:v>Cash and short-term investments</x:v>
      </x:c>
      <x:c r="D15" s="2"/>
      <x:c r="E15" s="11" t="n">
        <x:f>'Balance Sheet'!J10</x:f>
        <x:v>104757</x:v>
      </x:c>
      <x:c r="F15" s="11" t="n">
        <x:f>'Balance Sheet'!K10</x:f>
        <x:v>111262</x:v>
      </x:c>
      <x:c r="G15" s="11" t="n">
        <x:f>'Balance Sheet'!L10</x:f>
        <x:v>75543</x:v>
      </x:c>
      <x:c r="H15" s="11" t="n">
        <x:f>'Balance Sheet'!M10</x:f>
        <x:v>94565</x:v>
      </x:c>
      <x:c r="I15" s="11" t="n">
        <x:f>'Balance Sheet'!N10</x:f>
        <x:v>76843</x:v>
      </x:c>
      <x:c r="J15" s="11" t="n">
        <x:f>'Balance Sheet'!O10</x:f>
        <x:v>93740.17978311873</x:v>
      </x:c>
      <x:c r="K15" s="11" t="n">
        <x:f>'Balance Sheet'!P10</x:f>
        <x:v>150380.09354841156</x:v>
      </x:c>
      <x:c r="L15" s="11" t="n">
        <x:f>'Balance Sheet'!Q10</x:f>
        <x:v>234586.8120071388</x:v>
      </x:c>
      <x:c r="M15" s="11" t="n">
        <x:f>'Balance Sheet'!R10</x:f>
        <x:v>356625.550255754</x:v>
      </x:c>
      <x:c r="N15" s="11" t="n">
        <x:f>'Balance Sheet'!S10</x:f>
        <x:v>513290.5410788633</x:v>
      </x:c>
      <x:c r="O15" s="11"/>
      <x:c r="P15" s="11"/>
      <x:c r="Q15" s="11"/>
      <x:c r="R15" s="11"/>
      <x:c r="S15" s="11"/>
      <x:c r="T15" s="2"/>
      <x:c r="U15" s="2"/>
    </x:row>
    <x:row r="16" ht="21" customHeight="1">
      <x:c r="A16" s="2"/>
      <x:c r="B16" s="2"/>
      <x:c r="C16" s="2" t="str">
        <x:v>Net debt excluding leases</x:v>
      </x:c>
      <x:c r="D16" s="2"/>
      <x:c r="E16" s="11" t="n">
        <x:f>'Debt and Leases'!J18-'Balance Sheet'!J10</x:f>
        <x:v>-54976</x:v>
      </x:c>
      <x:c r="F16" s="11" t="n">
        <x:f>'Debt and Leases'!K18-'Balance Sheet'!K10</x:f>
        <x:v>-64025</x:v>
      </x:c>
      <x:c r="G16" s="11" t="n">
        <x:f>'Debt and Leases'!L18-'Balance Sheet'!L10</x:f>
        <x:v>-23913</x:v>
      </x:c>
      <x:c r="H16" s="11" t="n">
        <x:f>'Debt and Leases'!M18-'Balance Sheet'!M10</x:f>
        <x:v>-51414</x:v>
      </x:c>
      <x:c r="I16" s="11" t="n">
        <x:f>'Debt and Leases'!N18-'Balance Sheet'!N10</x:f>
        <x:v>-36549</x:v>
      </x:c>
      <x:c r="J16" s="11" t="n">
        <x:f>'Debt and Leases'!O18-'Balance Sheet'!O10</x:f>
        <x:v>-62520.91978311873</x:v>
      </x:c>
      <x:c r="K16" s="11" t="n">
        <x:f>'Debt and Leases'!P18-'Balance Sheet'!P10</x:f>
        <x:v>-118990.83134841156</x:v>
      </x:c>
      <x:c r="L16" s="11" t="n">
        <x:f>'Debt and Leases'!Q18-'Balance Sheet'!Q10</x:f>
        <x:v>-205033.6476731388</x:v>
      </x:c>
      <x:c r="M16" s="11" t="n">
        <x:f>'Debt and Leases'!R18-'Balance Sheet'!R10</x:f>
        <x:v>-326912.430851774</x:v>
      </x:c>
      <x:c r="N16" s="11" t="n">
        <x:f>'Debt and Leases'!S18-'Balance Sheet'!S10</x:f>
        <x:v>-483922.2652570027</x:v>
      </x:c>
      <x:c r="O16" s="11"/>
      <x:c r="P16" s="11"/>
      <x:c r="Q16" s="11"/>
      <x:c r="R16" s="11"/>
      <x:c r="S16" s="11"/>
      <x:c r="T16" s="2"/>
      <x:c r="U16" s="2"/>
    </x:row>
    <x:row r="17" ht="21" customHeight="1">
      <x:c r="A17" s="2"/>
      <x:c r="B17" s="2"/>
      <x:c r="C17" s="2" t="str">
        <x:v>Net debt including finance leases</x:v>
      </x:c>
      <x:c r="D17" s="2"/>
      <x:c r="E17" s="11" t="n">
        <x:f>'Debt and Leases'!J18+'Debt and Leases'!J42-'Balance Sheet'!J10</x:f>
        <x:v>-40074</x:v>
      </x:c>
      <x:c r="F17" s="11" t="n">
        <x:f>'Debt and Leases'!K18+'Debt and Leases'!K42-'Balance Sheet'!K10</x:f>
        <x:v>-46958</x:v>
      </x:c>
      <x:c r="G17" s="11" t="n">
        <x:f>'Debt and Leases'!L18+'Debt and Leases'!L42-'Balance Sheet'!L10</x:f>
        <x:v>3232</x:v>
      </x:c>
      <x:c r="H17" s="11" t="n">
        <x:f>'Debt and Leases'!M18+'Debt and Leases'!M42-'Balance Sheet'!M10</x:f>
        <x:v>-5242</x:v>
      </x:c>
      <x:c r="I17" s="11" t="n">
        <x:f>'Debt and Leases'!N18+'Debt and Leases'!N42-'Balance Sheet'!N10</x:f>
        <x:v>30045</x:v>
      </x:c>
      <x:c r="J17" s="11" t="n">
        <x:f>'Debt and Leases'!O18+'Debt and Leases'!O42-'Balance Sheet'!O10</x:f>
        <x:v>27716.752524573574</x:v>
      </x:c>
      <x:c r="K17" s="11" t="n">
        <x:f>'Debt and Leases'!P18+'Debt and Leases'!P42-'Balance Sheet'!P10</x:f>
        <x:v>-5455.265822080197</x:v>
      </x:c>
      <x:c r="L17" s="11" t="n">
        <x:f>'Debt and Leases'!Q18+'Debt and Leases'!Q42-'Balance Sheet'!Q10</x:f>
        <x:v>-68022.0050608906</x:v>
      </x:c>
      <x:c r="M17" s="11" t="n">
        <x:f>'Debt and Leases'!R18+'Debt and Leases'!R42-'Balance Sheet'!R10</x:f>
        <x:v>-167129.17285726403</x:v>
      </x:c>
      <x:c r="N17" s="11" t="n">
        <x:f>'Debt and Leases'!S18+'Debt and Leases'!S42-'Balance Sheet'!S10</x:f>
        <x:v>-302628.18329668086</x:v>
      </x:c>
      <x:c r="O17" s="11"/>
      <x:c r="P17" s="11"/>
      <x:c r="Q17" s="11"/>
      <x:c r="R17" s="11"/>
      <x:c r="S17" s="11"/>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t="str">
        <x:v>Debt / operating income plus D&amp;A</x:v>
      </x:c>
      <x:c r="D19" s="2"/>
      <x:c r="E19" s="33" t="n">
        <x:f>'Debt and Leases'!J18/'Income Statement'!J36</x:f>
        <x:v>0.5080575201820724</x:v>
      </x:c>
      <x:c r="F19" s="33" t="n">
        <x:f>'Debt and Leases'!K18/'Income Statement'!K36</x:f>
        <x:v>0.46300344040069397</x:v>
      </x:c>
      <x:c r="G19" s="33" t="n">
        <x:f>'Debt and Leases'!L18/'Income Statement'!L36</x:f>
        <x:v>0.39889363608971434</x:v>
      </x:c>
      <x:c r="H19" s="33" t="n">
        <x:f>'Debt and Leases'!M18/'Income Statement'!M36</x:f>
        <x:v>0.27567591740774816</x:v>
      </x:c>
      <x:c r="I19" s="33" t="n">
        <x:f>'Debt and Leases'!N18/'Income Statement'!N36</x:f>
        <x:v>0.20744760267096382</x:v>
      </x:c>
      <x:c r="J19" s="33" t="n">
        <x:f>'Debt and Leases'!O18/'Income Statement'!O36</x:f>
        <x:v>0.13624270413207498</x:v>
      </x:c>
      <x:c r="K19" s="33" t="n">
        <x:f>'Debt and Leases'!P18/'Income Statement'!P36</x:f>
        <x:v>0.11759782905349561</x:v>
      </x:c>
      <x:c r="L19" s="33" t="n">
        <x:f>'Debt and Leases'!Q18/'Income Statement'!Q36</x:f>
        <x:v>0.09587526802221284</x:v>
      </x:c>
      <x:c r="M19" s="33" t="n">
        <x:f>'Debt and Leases'!R18/'Income Statement'!R36</x:f>
        <x:v>0.08429258334113438</x:v>
      </x:c>
      <x:c r="N19" s="33" t="n">
        <x:f>'Debt and Leases'!S18/'Income Statement'!S36</x:f>
        <x:v>0.07364436578906482</x:v>
      </x:c>
      <x:c r="O19" s="33"/>
      <x:c r="P19" s="33"/>
      <x:c r="Q19" s="33"/>
      <x:c r="R19" s="33"/>
      <x:c r="S19" s="33"/>
      <x:c r="T19" s="2"/>
      <x:c r="U19" s="2"/>
    </x:row>
    <x:row r="20" ht="21" customHeight="1">
      <x:c r="A20" s="2"/>
      <x:c r="B20" s="2"/>
      <x:c r="C20" s="2" t="str">
        <x:v>Debt including finance leases / earnings proxy</x:v>
      </x:c>
      <x:c r="D20" s="2"/>
      <x:c r="E20" s="33" t="n">
        <x:f>('Debt and Leases'!J18+'Debt and Leases'!J42)/'Income Statement'!J36</x:f>
        <x:v>0.6601451272159456</x:v>
      </x:c>
      <x:c r="F20" s="33" t="n">
        <x:f>('Debt and Leases'!K18+'Debt and Leases'!K42)/'Income Statement'!K36</x:f>
        <x:v>0.6302892485027886</x:v>
      </x:c>
      <x:c r="G20" s="33" t="n">
        <x:f>('Debt and Leases'!L18+'Debt and Leases'!L42)/'Income Statement'!L36</x:f>
        <x:v>0.6086160407314981</x:v>
      </x:c>
      <x:c r="H20" s="33" t="n">
        <x:f>('Debt and Leases'!M18+'Debt and Leases'!M42)/'Income Statement'!M36</x:f>
        <x:v>0.5706518961463763</x:v>
      </x:c>
      <x:c r="I20" s="33" t="n">
        <x:f>('Debt and Leases'!N18+'Debt and Leases'!N42)/'Income Statement'!N36</x:f>
        <x:v>0.5502968023600036</x:v>
      </x:c>
      <x:c r="J20" s="33" t="n">
        <x:f>('Debt and Leases'!O18+'Debt and Leases'!O42)/'Income Statement'!O36</x:f>
        <x:v>0.5300452635067705</x:v>
      </x:c>
      <x:c r="K20" s="33" t="n">
        <x:f>('Debt and Leases'!P18+'Debt and Leases'!P42)/'Income Statement'!P36</x:f>
        <x:v>0.5429514401446625</x:v>
      </x:c>
      <x:c r="L20" s="33" t="n">
        <x:f>('Debt and Leases'!Q18+'Debt and Leases'!Q42)/'Income Statement'!Q36</x:f>
        <x:v>0.5403633035216919</x:v>
      </x:c>
      <x:c r="M20" s="33" t="n">
        <x:f>('Debt and Leases'!R18+'Debt and Leases'!R42)/'Income Statement'!R36</x:f>
        <x:v>0.5375786691237038</x:v>
      </x:c>
      <x:c r="N20" s="33" t="n">
        <x:f>('Debt and Leases'!S18+'Debt and Leases'!S42)/'Income Statement'!S36</x:f>
        <x:v>0.5282603523816609</x:v>
      </x:c>
      <x:c r="O20" s="33"/>
      <x:c r="P20" s="33"/>
      <x:c r="Q20" s="33"/>
      <x:c r="R20" s="33"/>
      <x:c r="S20" s="33"/>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Current assets / current liabilities</x:v>
      </x:c>
      <x:c r="D22" s="2"/>
      <x:c r="E22" s="33" t="n">
        <x:f>'Balance Sheet'!J14/'Balance Sheet'!J32</x:f>
        <x:v>1.7846069708251824</x:v>
      </x:c>
      <x:c r="F22" s="33" t="n">
        <x:f>'Balance Sheet'!K14/'Balance Sheet'!K32</x:f>
        <x:v>1.76916725076573</x:v>
      </x:c>
      <x:c r="G22" s="33" t="n">
        <x:f>'Balance Sheet'!L14/'Balance Sheet'!L32</x:f>
        <x:v>1.2749549031815206</x:v>
      </x:c>
      <x:c r="H22" s="33" t="n">
        <x:f>'Balance Sheet'!M14/'Balance Sheet'!M32</x:f>
        <x:v>1.3534464445042416</x:v>
      </x:c>
      <x:c r="I22" s="33" t="n">
        <x:f>'Balance Sheet'!N14/'Balance Sheet'!N32</x:f>
        <x:v>1.2303272619576484</x:v>
      </x:c>
      <x:c r="J22" s="33" t="n">
        <x:f>'Balance Sheet'!O14/'Balance Sheet'!O32</x:f>
        <x:v>1.3480789786691252</x:v>
      </x:c>
      <x:c r="K22" s="33" t="n">
        <x:f>'Balance Sheet'!P14/'Balance Sheet'!P32</x:f>
        <x:v>1.5529562819446492</x:v>
      </x:c>
      <x:c r="L22" s="33" t="n">
        <x:f>'Balance Sheet'!Q14/'Balance Sheet'!Q32</x:f>
        <x:v>1.8545208368280581</x:v>
      </x:c>
      <x:c r="M22" s="33" t="n">
        <x:f>'Balance Sheet'!R14/'Balance Sheet'!R32</x:f>
        <x:v>2.220580397995885</x:v>
      </x:c>
      <x:c r="N22" s="33" t="n">
        <x:f>'Balance Sheet'!S14/'Balance Sheet'!S32</x:f>
        <x:v>2.637435876923882</x:v>
      </x:c>
      <x:c r="O22" s="33"/>
      <x:c r="P22" s="33"/>
      <x:c r="Q22" s="33"/>
      <x:c r="R22" s="33"/>
      <x:c r="S22" s="33"/>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Cash dividends and repurchases</x:v>
      </x:c>
      <x:c r="D24" s="2"/>
      <x:c r="E24" s="11" t="n">
        <x:f>-'Cash Flow'!J44-'Cash Flow'!J45</x:f>
        <x:v>50831</x:v>
      </x:c>
      <x:c r="F24" s="11" t="n">
        <x:f>-'Cash Flow'!K44-'Cash Flow'!K45</x:f>
        <x:v>42045</x:v>
      </x:c>
      <x:c r="G24" s="11" t="n">
        <x:f>-'Cash Flow'!L44-'Cash Flow'!L45</x:f>
        <x:v>39025</x:v>
      </x:c>
      <x:c r="H24" s="11" t="n">
        <x:f>-'Cash Flow'!M44-'Cash Flow'!M45</x:f>
        <x:v>42502</x:v>
      </x:c>
      <x:c r="I24" s="11" t="n">
        <x:f>-'Cash Flow'!N44-'Cash Flow'!N45</x:f>
        <x:v>48716</x:v>
      </x:c>
      <x:c r="J24" s="11" t="n">
        <x:f>-'Cash Flow'!O44-'Cash Flow'!O45</x:f>
        <x:v>52873.503864683415</x:v>
      </x:c>
      <x:c r="K24" s="11" t="n">
        <x:f>-'Cash Flow'!P44-'Cash Flow'!P45</x:f>
        <x:v>58882.92182225318</x:v>
      </x:c>
      <x:c r="L24" s="11" t="n">
        <x:f>-'Cash Flow'!Q44-'Cash Flow'!Q45</x:f>
        <x:v>65739.0331650206</x:v>
      </x:c>
      <x:c r="M24" s="11" t="n">
        <x:f>-'Cash Flow'!R44-'Cash Flow'!R45</x:f>
        <x:v>73449.512957909</x:v>
      </x:c>
      <x:c r="N24" s="11" t="n">
        <x:f>-'Cash Flow'!S44-'Cash Flow'!S45</x:f>
        <x:v>81768.67444586162</x:v>
      </x:c>
      <x:c r="O24" s="11"/>
      <x:c r="P24" s="11"/>
      <x:c r="Q24" s="11"/>
      <x:c r="R24" s="11"/>
      <x:c r="S24" s="11"/>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a483ccb65de84183"/>
</x:worksheet>
</file>

<file path=xl/worksheets/sheet4.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Private Equity</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Operating income plus disclosed D&amp;A</x:v>
      </x:c>
      <x:c r="D8" s="2"/>
      <x:c r="E8" s="11" t="n">
        <x:f>'Income Statement'!J36</x:f>
        <x:v>97983</x:v>
      </x:c>
      <x:c r="F8" s="11" t="n">
        <x:f>'Income Statement'!K36</x:f>
        <x:v>102023</x:v>
      </x:c>
      <x:c r="G8" s="11" t="n">
        <x:f>'Income Statement'!L36</x:f>
        <x:v>129433</x:v>
      </x:c>
      <x:c r="H8" s="11" t="n">
        <x:f>'Income Statement'!M36</x:f>
        <x:v>156528</x:v>
      </x:c>
      <x:c r="I8" s="11" t="n">
        <x:f>'Income Statement'!N36</x:f>
        <x:v>194237</x:v>
      </x:c>
      <x:c r="J8" s="11" t="n">
        <x:f>'Income Statement'!O36</x:f>
        <x:v>229144.45363427134</x:v>
      </x:c>
      <x:c r="K8" s="11" t="n">
        <x:f>'Income Statement'!P36</x:f>
        <x:v>266920.4223635874</x:v>
      </x:c>
      <x:c r="L8" s="11" t="n">
        <x:f>'Income Statement'!Q36</x:f>
        <x:v>308245.96315238444</x:v>
      </x:c>
      <x:c r="M8" s="11" t="n">
        <x:f>'Income Statement'!R36</x:f>
        <x:v>352499.80753028055</x:v>
      </x:c>
      <x:c r="N8" s="11" t="n">
        <x:f>'Income Statement'!S36</x:f>
        <x:v>398785.1006277711</x:v>
      </x:c>
      <x:c r="O8" s="11"/>
      <x:c r="P8" s="11"/>
      <x:c r="Q8" s="11"/>
      <x:c r="R8" s="11"/>
      <x:c r="S8" s="11"/>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t="str">
        <x:v>Cash capex</x:v>
      </x:c>
      <x:c r="D10" s="2"/>
      <x:c r="E10" s="11" t="n">
        <x:f>-'Cash Flow'!J30</x:f>
        <x:v>23886</x:v>
      </x:c>
      <x:c r="F10" s="11" t="n">
        <x:f>-'Cash Flow'!K30</x:f>
        <x:v>28107</x:v>
      </x:c>
      <x:c r="G10" s="11" t="n">
        <x:f>-'Cash Flow'!L30</x:f>
        <x:v>44477</x:v>
      </x:c>
      <x:c r="H10" s="11" t="n">
        <x:f>-'Cash Flow'!M30</x:f>
        <x:v>64551</x:v>
      </x:c>
      <x:c r="I10" s="11" t="n">
        <x:f>-'Cash Flow'!N30</x:f>
        <x:v>115948</x:v>
      </x:c>
      <x:c r="J10" s="11" t="n">
        <x:f>-'Cash Flow'!O30</x:f>
        <x:v>123215.61600000002</x:v>
      </x:c>
      <x:c r="K10" s="11" t="n">
        <x:f>-'Cash Flow'!P30</x:f>
        <x:v>124453.68387200002</x:v>
      </x:c>
      <x:c r="L10" s="11" t="n">
        <x:f>-'Cash Flow'!Q30</x:f>
        <x:v>127230.579108</x:v>
      </x:c>
      <x:c r="M10" s="11" t="n">
        <x:f>-'Cash Flow'!R30</x:f>
        <x:v>127006.38828240002</x:v>
      </x:c>
      <x:c r="N10" s="11" t="n">
        <x:f>-'Cash Flow'!S30</x:f>
        <x:v>129621.43019877505</x:v>
      </x:c>
      <x:c r="O10" s="11"/>
      <x:c r="P10" s="11"/>
      <x:c r="Q10" s="11"/>
      <x:c r="R10" s="11"/>
      <x:c r="S10" s="11"/>
      <x:c r="T10" s="2"/>
      <x:c r="U10" s="2"/>
    </x:row>
    <x:row r="11" ht="21" customHeight="1">
      <x:c r="A11" s="2"/>
      <x:c r="B11" s="2"/>
      <x:c r="C11" s="2" t="str">
        <x:v>Noncash finance lease additions</x:v>
      </x:c>
      <x:c r="D11" s="2"/>
      <x:c r="E11" s="11" t="n">
        <x:f>'Filing Notes'!J14</x:f>
        <x:v>4234</x:v>
      </x:c>
      <x:c r="F11" s="11" t="n">
        <x:f>'Filing Notes'!K14</x:f>
        <x:v>3128</x:v>
      </x:c>
      <x:c r="G11" s="11" t="n">
        <x:f>'Filing Notes'!L14</x:f>
        <x:v>11633</x:v>
      </x:c>
      <x:c r="H11" s="11" t="n">
        <x:f>'Filing Notes'!M14</x:f>
        <x:v>20511</x:v>
      </x:c>
      <x:c r="I11" s="11" t="n">
        <x:f>'Filing Notes'!N14</x:f>
        <x:v>24608</x:v>
      </x:c>
      <x:c r="J11" s="11" t="n">
        <x:f>'Debt and Leases'!O37</x:f>
        <x:v>28878.660000000003</x:v>
      </x:c>
      <x:c r="K11" s="11" t="n">
        <x:f>'Debt and Leases'!P37</x:f>
        <x:v>31113.420968000006</x:v>
      </x:c>
      <x:c r="L11" s="11" t="n">
        <x:f>'Debt and Leases'!Q37</x:f>
        <x:v>33079.95056808</x:v>
      </x:c>
      <x:c r="M11" s="11" t="n">
        <x:f>'Debt and Leases'!R37</x:f>
        <x:v>34638.1058952</x:v>
      </x:c>
      <x:c r="N11" s="11" t="n">
        <x:f>'Debt and Leases'!S37</x:f>
        <x:v>35645.893304663135</x:v>
      </x:c>
      <x:c r="O11" s="11"/>
      <x:c r="P11" s="11"/>
      <x:c r="Q11" s="11"/>
      <x:c r="R11" s="11"/>
      <x:c r="S11" s="11"/>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t="str">
        <x:v>Stock-based compensation</x:v>
      </x:c>
      <x:c r="D13" s="2"/>
      <x:c r="E13" s="11" t="n">
        <x:f>'Cash Flow'!J12</x:f>
        <x:v>7502</x:v>
      </x:c>
      <x:c r="F13" s="11" t="n">
        <x:f>'Cash Flow'!K12</x:f>
        <x:v>9611</x:v>
      </x:c>
      <x:c r="G13" s="11" t="n">
        <x:f>'Cash Flow'!L12</x:f>
        <x:v>10734</x:v>
      </x:c>
      <x:c r="H13" s="11" t="n">
        <x:f>'Cash Flow'!M12</x:f>
        <x:v>11974</x:v>
      </x:c>
      <x:c r="I13" s="11" t="n">
        <x:f>'Cash Flow'!N12</x:f>
        <x:v>12405</x:v>
      </x:c>
      <x:c r="J13" s="11" t="n">
        <x:f>'Cash Flow'!O12</x:f>
        <x:v>14439.330000000002</x:v>
      </x:c>
      <x:c r="K13" s="11" t="n">
        <x:f>'Cash Flow'!P12</x:f>
        <x:v>16667.90409</x:v>
      </x:c>
      <x:c r="L13" s="11" t="n">
        <x:f>'Cash Flow'!Q12</x:f>
        <x:v>19084.5868662</x:v>
      </x:c>
      <x:c r="M13" s="11" t="n">
        <x:f>'Cash Flow'!R12</x:f>
        <x:v>21648.816184500003</x:v>
      </x:c>
      <x:c r="N13" s="11" t="n">
        <x:f>'Cash Flow'!S12</x:f>
        <x:v>24304.01816227032</x:v>
      </x:c>
      <x:c r="O13" s="11"/>
      <x:c r="P13" s="11"/>
      <x:c r="Q13" s="11"/>
      <x:c r="R13" s="11"/>
      <x:c r="S13" s="11"/>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t="str">
        <x:v>FCF after finance lease principal</x:v>
      </x:c>
      <x:c r="D15" s="2"/>
      <x:c r="E15" s="11" t="n">
        <x:f>'Cash Flow'!J57</x:f>
        <x:v>64253</x:v>
      </x:c>
      <x:c r="F15" s="11" t="n">
        <x:f>'Cash Flow'!K57</x:f>
        <x:v>58419</x:v>
      </x:c>
      <x:c r="G15" s="11" t="n">
        <x:f>'Cash Flow'!L57</x:f>
        <x:v>72785</x:v>
      </x:c>
      <x:c r="H15" s="11" t="n">
        <x:f>'Cash Flow'!M57</x:f>
        <x:v>69328</x:v>
      </x:c>
      <x:c r="I15" s="11" t="n">
        <x:f>'Cash Flow'!N57</x:f>
        <x:v>63886</x:v>
      </x:c>
      <x:c r="J15" s="11" t="n">
        <x:f>'Cash Flow'!O57</x:f>
        <x:v>80560.87884780215</x:v>
      </x:c>
      <x:c r="K15" s="11" t="n">
        <x:f>'Cash Flow'!P57</x:f>
        <x:v>117300.74535714602</x:v>
      </x:c>
      <x:c r="L15" s="11" t="n">
        <x:f>'Cash Flow'!Q57</x:f>
        <x:v>153982.44088947584</x:v>
      </x:c>
      <x:c r="M15" s="11" t="n">
        <x:f>'Cash Flow'!R57</x:f>
        <x:v>197797.45826620416</x:v>
      </x:c>
      <x:c r="N15" s="11" t="n">
        <x:f>'Cash Flow'!S57</x:f>
        <x:v>241526.09387294645</x:v>
      </x:c>
      <x:c r="O15" s="11"/>
      <x:c r="P15" s="11"/>
      <x:c r="Q15" s="11"/>
      <x:c r="R15" s="11"/>
      <x:c r="S15" s="11"/>
      <x:c r="T15" s="2"/>
      <x:c r="U15" s="2"/>
    </x:row>
    <x:row r="16" ht="21" customHeight="1">
      <x:c r="A16" s="2"/>
      <x:c r="B16" s="2"/>
      <x:c r="C16" s="18" t="str">
        <x:v>Cash conversion after finance lease principal</x:v>
      </x:c>
      <x:c r="D16" s="18"/>
      <x:c r="E16" s="19" t="n">
        <x:f>'Cash Flow'!J57/'Income Statement'!J36</x:f>
        <x:v>0.6557566108406561</x:v>
      </x:c>
      <x:c r="F16" s="19" t="n">
        <x:f>'Cash Flow'!K57/'Income Statement'!K36</x:f>
        <x:v>0.5726061770385109</x:v>
      </x:c>
      <x:c r="G16" s="19" t="n">
        <x:f>'Cash Flow'!L57/'Income Statement'!L36</x:f>
        <x:v>0.562337271020528</x:v>
      </x:c>
      <x:c r="H16" s="19" t="n">
        <x:f>'Cash Flow'!M57/'Income Statement'!M36</x:f>
        <x:v>0.4429111724419912</x:v>
      </x:c>
      <x:c r="I16" s="19" t="n">
        <x:f>'Cash Flow'!N57/'Income Statement'!N36</x:f>
        <x:v>0.3289074687109047</x:v>
      </x:c>
      <x:c r="J16" s="19" t="n">
        <x:f>'Cash Flow'!O57/'Income Statement'!O36</x:f>
        <x:v>0.3515724582030786</x:v>
      </x:c>
      <x:c r="K16" s="19" t="n">
        <x:f>'Cash Flow'!P57/'Income Statement'!P36</x:f>
        <x:v>0.4394596124134857</x:v>
      </x:c>
      <x:c r="L16" s="19" t="n">
        <x:f>'Cash Flow'!Q57/'Income Statement'!Q36</x:f>
        <x:v>0.4995440631718933</x:v>
      </x:c>
      <x:c r="M16" s="19" t="n">
        <x:f>'Cash Flow'!R57/'Income Statement'!R36</x:f>
        <x:v>0.5611278475640384</x:v>
      </x:c>
      <x:c r="N16" s="19" t="n">
        <x:f>'Cash Flow'!S57/'Income Statement'!S36</x:f>
        <x:v>0.6056547586475369</x:v>
      </x:c>
      <x:c r="O16" s="19"/>
      <x:c r="P16" s="19"/>
      <x:c r="Q16" s="19"/>
      <x:c r="R16" s="19"/>
      <x:c r="S16" s="19"/>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t="str">
        <x:v>Operating current working capital proxy</x:v>
      </x:c>
      <x:c r="D18" s="2"/>
      <x:c r="E18" s="11" t="n">
        <x:f>'Balance Sheet'!J11+'Balance Sheet'!J12+'Balance Sheet'!J13-'Balance Sheet'!J24-'Balance Sheet'!J27-'Balance Sheet'!J29-'Balance Sheet'!J31</x:f>
        <x:v>-23339</x:v>
      </x:c>
      <x:c r="F18" s="11" t="n">
        <x:f>'Balance Sheet'!K11+'Balance Sheet'!K12+'Balance Sheet'!K13-'Balance Sheet'!K24-'Balance Sheet'!K27-'Balance Sheet'!K29-'Balance Sheet'!K31</x:f>
        <x:v>-21755</x:v>
      </x:c>
      <x:c r="G18" s="11" t="n">
        <x:f>'Balance Sheet'!L11+'Balance Sheet'!L12+'Balance Sheet'!L13-'Balance Sheet'!L24-'Balance Sheet'!L27-'Balance Sheet'!L29-'Balance Sheet'!L31</x:f>
        <x:v>-27136</x:v>
      </x:c>
      <x:c r="H18" s="11" t="n">
        <x:f>'Balance Sheet'!M11+'Balance Sheet'!M12+'Balance Sheet'!M13-'Balance Sheet'!M24-'Balance Sheet'!M27-'Balance Sheet'!M29-'Balance Sheet'!M31</x:f>
        <x:v>-34442</x:v>
      </x:c>
      <x:c r="I18" s="11" t="n">
        <x:f>'Balance Sheet'!N11+'Balance Sheet'!N12+'Balance Sheet'!N13-'Balance Sheet'!N24-'Balance Sheet'!N27-'Balance Sheet'!N29-'Balance Sheet'!N31</x:f>
        <x:v>-26197</x:v>
      </x:c>
      <x:c r="J18" s="11" t="n">
        <x:f>'Balance Sheet'!O11+'Balance Sheet'!O12+'Balance Sheet'!O13-'Balance Sheet'!O24-'Balance Sheet'!O27-'Balance Sheet'!O29-'Balance Sheet'!O31</x:f>
        <x:v>-28918.897388181926</x:v>
      </x:c>
      <x:c r="K18" s="11" t="n">
        <x:f>'Balance Sheet'!P11+'Balance Sheet'!P12+'Balance Sheet'!P13-'Balance Sheet'!P24-'Balance Sheet'!P27-'Balance Sheet'!P29-'Balance Sheet'!P31</x:f>
        <x:v>-33208.029369464304</x:v>
      </x:c>
      <x:c r="L18" s="11" t="n">
        <x:f>'Balance Sheet'!Q11+'Balance Sheet'!Q12+'Balance Sheet'!Q13-'Balance Sheet'!Q24-'Balance Sheet'!Q27-'Balance Sheet'!Q29-'Balance Sheet'!Q31</x:f>
        <x:v>-37504.72335228815</x:v>
      </x:c>
      <x:c r="M18" s="11" t="n">
        <x:f>'Balance Sheet'!R11+'Balance Sheet'!R12+'Balance Sheet'!R13-'Balance Sheet'!R24-'Balance Sheet'!R27-'Balance Sheet'!R29-'Balance Sheet'!R31</x:f>
        <x:v>-42100.81692076876</x:v>
      </x:c>
      <x:c r="N18" s="11" t="n">
        <x:f>'Balance Sheet'!S11+'Balance Sheet'!S12+'Balance Sheet'!S13-'Balance Sheet'!S24-'Balance Sheet'!S27-'Balance Sheet'!S29-'Balance Sheet'!S31</x:f>
        <x:v>-47622.11905468347</x:v>
      </x:c>
      <x:c r="O18" s="11"/>
      <x:c r="P18" s="11"/>
      <x:c r="Q18" s="11"/>
      <x:c r="R18" s="11"/>
      <x:c r="S18" s="11"/>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t="str">
        <x:v>Cash acquisitions and intangible purchases</x:v>
      </x:c>
      <x:c r="D20" s="2"/>
      <x:c r="E20" s="11" t="n">
        <x:f>-'Cash Flow'!J31</x:f>
        <x:v>22038</x:v>
      </x:c>
      <x:c r="F20" s="11" t="n">
        <x:f>-'Cash Flow'!K31</x:f>
        <x:v>1670</x:v>
      </x:c>
      <x:c r="G20" s="11" t="n">
        <x:f>-'Cash Flow'!L31</x:f>
        <x:v>69132</x:v>
      </x:c>
      <x:c r="H20" s="11" t="n">
        <x:f>-'Cash Flow'!M31</x:f>
        <x:v>5978</x:v>
      </x:c>
      <x:c r="I20" s="11" t="n">
        <x:f>-'Cash Flow'!N31</x:f>
        <x:v>1743</x:v>
      </x:c>
      <x:c r="J20" s="11" t="n">
        <x:f>-'Cash Flow'!O31</x:f>
        <x:v>0</x:v>
      </x:c>
      <x:c r="K20" s="11" t="n">
        <x:f>-'Cash Flow'!P31</x:f>
        <x:v>0</x:v>
      </x:c>
      <x:c r="L20" s="11" t="n">
        <x:f>-'Cash Flow'!Q31</x:f>
        <x:v>0</x:v>
      </x:c>
      <x:c r="M20" s="11" t="n">
        <x:f>-'Cash Flow'!R31</x:f>
        <x:v>0</x:v>
      </x:c>
      <x:c r="N20" s="11" t="n">
        <x:f>-'Cash Flow'!S31</x:f>
        <x:v>0</x:v>
      </x:c>
      <x:c r="O20" s="11"/>
      <x:c r="P20" s="11"/>
      <x:c r="Q20" s="11"/>
      <x:c r="R20" s="11"/>
      <x:c r="S20" s="11"/>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18" t="str">
        <x:v>Cash capex / earnings proxy</x:v>
      </x:c>
      <x:c r="D22" s="18"/>
      <x:c r="E22" s="19" t="n">
        <x:f>-'Cash Flow'!J30/'Income Statement'!J36</x:f>
        <x:v>0.243776981721319</x:v>
      </x:c>
      <x:c r="F22" s="19" t="n">
        <x:f>-'Cash Flow'!K30/'Income Statement'!K36</x:f>
        <x:v>0.27549670172412105</x:v>
      </x:c>
      <x:c r="G22" s="19" t="n">
        <x:f>-'Cash Flow'!L30/'Income Statement'!L36</x:f>
        <x:v>0.3436295226101535</x:v>
      </x:c>
      <x:c r="H22" s="19" t="n">
        <x:f>-'Cash Flow'!M30/'Income Statement'!M36</x:f>
        <x:v>0.4123926709598283</x:v>
      </x:c>
      <x:c r="I22" s="19" t="n">
        <x:f>-'Cash Flow'!N30/'Income Statement'!N36</x:f>
        <x:v>0.5969408506103369</x:v>
      </x:c>
      <x:c r="J22" s="19" t="n">
        <x:f>-'Cash Flow'!O30/'Income Statement'!O36</x:f>
        <x:v>0.5377202635533118</x:v>
      </x:c>
      <x:c r="K22" s="19" t="n">
        <x:f>-'Cash Flow'!P30/'Income Statement'!P36</x:f>
        <x:v>0.46625763128186054</x:v>
      </x:c>
      <x:c r="L22" s="19" t="n">
        <x:f>-'Cash Flow'!Q30/'Income Statement'!Q36</x:f>
        <x:v>0.4127566758923046</x:v>
      </x:c>
      <x:c r="M22" s="19" t="n">
        <x:f>-'Cash Flow'!R30/'Income Statement'!R36</x:f>
        <x:v>0.3603020074599328</x:v>
      </x:c>
      <x:c r="N22" s="19" t="n">
        <x:f>-'Cash Flow'!S30/'Income Statement'!S36</x:f>
        <x:v>0.3250408051723192</x:v>
      </x:c>
      <x:c r="O22" s="19"/>
      <x:c r="P22" s="19"/>
      <x:c r="Q22" s="19"/>
      <x:c r="R22" s="19"/>
      <x:c r="S22" s="19"/>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Change in net PPE / revenue growth amount</x:v>
      </x:c>
      <x:c r="D24" s="2"/>
      <x:c r="E24" s="33" t="n">
        <x:f>('Balance Sheet'!J16-'Balance Sheet'!I16)/('Income Statement'!J8-'Income Statement'!I8)</x:f>
        <x:v>0.4864820091445232</x:v>
      </x:c>
      <x:c r="F24" s="33" t="n">
        <x:f>('Balance Sheet'!K16-'Balance Sheet'!J16)/('Income Statement'!K8-'Income Statement'!J8)</x:f>
        <x:v>1.5568340051300842</x:v>
      </x:c>
      <x:c r="G24" s="33" t="n">
        <x:f>('Balance Sheet'!L16-'Balance Sheet'!K16)/('Income Statement'!L8-'Income Statement'!K8)</x:f>
        <x:v>1.203059595868341</x:v>
      </x:c>
      <x:c r="H24" s="33" t="n">
        <x:f>('Balance Sheet'!M16-'Balance Sheet'!L16)/('Income Statement'!M8-'Income Statement'!L8)</x:f>
        <x:v>1.8953882301513578</x:v>
      </x:c>
      <x:c r="I24" s="33" t="n">
        <x:f>('Balance Sheet'!N16-'Balance Sheet'!M16)/('Income Statement'!N8-'Income Statement'!M8)</x:f>
        <x:v>2.157238351790881</x:v>
      </x:c>
      <x:c r="J24" s="33" t="n">
        <x:f>('Balance Sheet'!O16-'Balance Sheet'!N16)/('Income Statement'!O8-'Income Statement'!N8)</x:f>
        <x:v>1.874053888569399</x:v>
      </x:c>
      <x:c r="K24" s="33" t="n">
        <x:f>('Balance Sheet'!P16-'Balance Sheet'!O16)/('Income Statement'!P8-'Income Statement'!O8)</x:f>
        <x:v>1.3078882730046466</x:v>
      </x:c>
      <x:c r="L24" s="33" t="n">
        <x:f>('Balance Sheet'!Q16-'Balance Sheet'!P16)/('Income Statement'!Q8-'Income Statement'!P8)</x:f>
        <x:v>0.8798246485161716</x:v>
      </x:c>
      <x:c r="M24" s="33" t="n">
        <x:f>('Balance Sheet'!R16-'Balance Sheet'!Q16)/('Income Statement'!R8-'Income Statement'!Q8)</x:f>
        <x:v>0.4542067055877429</x:v>
      </x:c>
      <x:c r="N24" s="33" t="n">
        <x:f>('Balance Sheet'!S16-'Balance Sheet'!R16)/('Income Statement'!S8-'Income Statement'!R8)</x:f>
        <x:v>0.11564728780702378</x:v>
      </x:c>
      <x:c r="O24" s="33"/>
      <x:c r="P24" s="33"/>
      <x:c r="Q24" s="33"/>
      <x:c r="R24" s="33"/>
      <x:c r="S24" s="33"/>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2d9b4ada84fa4de3"/>
</x:worksheet>
</file>

<file path=xl/worksheets/sheet5.xml><?xml version="1.0" encoding="utf-8"?>
<x:worksheet xmlns:x="http://schemas.openxmlformats.org/spreadsheetml/2006/main">
  <x:sheetPr>
    <x:tabColor rgb="FF17365A"/>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FP&amp;A</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FY:22 A</x:v>
      </x:c>
      <x:c r="F7" s="8" t="str">
        <x:v>FY:23 A</x:v>
      </x:c>
      <x:c r="G7" s="8" t="str">
        <x:v>FY:24 A</x:v>
      </x:c>
      <x:c r="H7" s="8" t="str">
        <x:v>FY:25 A</x:v>
      </x:c>
      <x:c r="I7" s="8" t="str">
        <x:v>FY:26 A</x:v>
      </x:c>
      <x:c r="J7" s="8" t="str">
        <x:v>FY:27 E</x:v>
      </x:c>
      <x:c r="K7" s="8" t="str">
        <x:v>FY:28 E</x:v>
      </x:c>
      <x:c r="L7" s="8" t="str">
        <x:v>FY:29 E</x:v>
      </x:c>
      <x:c r="M7" s="8" t="str">
        <x:v>FY:30 E</x:v>
      </x:c>
      <x:c r="N7" s="8" t="str">
        <x:v>FY:31 E</x:v>
      </x:c>
      <x:c r="O7" s="2"/>
      <x:c r="P7" s="2"/>
      <x:c r="Q7" s="2"/>
      <x:c r="R7" s="2"/>
      <x:c r="S7" s="2"/>
      <x:c r="T7" s="2"/>
      <x:c r="U7" s="2"/>
    </x:row>
    <x:row r="8" ht="21" customHeight="1">
      <x:c r="A8" s="2"/>
      <x:c r="B8" s="2"/>
      <x:c r="C8" s="2" t="str">
        <x:v>Productivity and Business Processes revenue</x:v>
      </x:c>
      <x:c r="D8" s="2"/>
      <x:c r="E8" s="11" t="n">
        <x:f>'Segments'!J8</x:f>
        <x:v>63364</x:v>
      </x:c>
      <x:c r="F8" s="11" t="n">
        <x:f>'Segments'!K8</x:f>
        <x:v>94151</x:v>
      </x:c>
      <x:c r="G8" s="11" t="n">
        <x:f>'Segments'!L8</x:f>
        <x:v>106820</x:v>
      </x:c>
      <x:c r="H8" s="11" t="n">
        <x:f>'Segments'!M8</x:f>
        <x:v>120810</x:v>
      </x:c>
      <x:c r="I8" s="11" t="n">
        <x:f>'Segments'!N8</x:f>
        <x:v>139996</x:v>
      </x:c>
      <x:c r="J8" s="11" t="n">
        <x:f>'Segments'!O8</x:f>
        <x:v>159595.44000000003</x:v>
      </x:c>
      <x:c r="K8" s="11" t="n">
        <x:f>'Segments'!P8</x:f>
        <x:v>180342.84720000002</x:v>
      </x:c>
      <x:c r="L8" s="11" t="n">
        <x:f>'Segments'!Q8</x:f>
        <x:v>201983.98886400004</x:v>
      </x:c>
      <x:c r="M8" s="11" t="n">
        <x:f>'Segments'!R8</x:f>
        <x:v>224202.22763904007</x:v>
      </x:c>
      <x:c r="N8" s="11" t="n">
        <x:f>'Segments'!S8</x:f>
        <x:v>246622.4504029441</x:v>
      </x:c>
      <x:c r="O8" s="11"/>
      <x:c r="P8" s="11"/>
      <x:c r="Q8" s="11"/>
      <x:c r="R8" s="11"/>
      <x:c r="S8" s="11"/>
      <x:c r="T8" s="2"/>
      <x:c r="U8" s="2"/>
    </x:row>
    <x:row r="9" ht="21" customHeight="1">
      <x:c r="A9" s="2"/>
      <x:c r="B9" s="2"/>
      <x:c r="C9" s="2" t="str">
        <x:v>Intelligent Cloud revenue</x:v>
      </x:c>
      <x:c r="D9" s="2"/>
      <x:c r="E9" s="11" t="n">
        <x:f>'Segments'!J22</x:f>
        <x:v>74965</x:v>
      </x:c>
      <x:c r="F9" s="11" t="n">
        <x:f>'Segments'!K22</x:f>
        <x:v>72944</x:v>
      </x:c>
      <x:c r="G9" s="11" t="n">
        <x:f>'Segments'!L22</x:f>
        <x:v>87464</x:v>
      </x:c>
      <x:c r="H9" s="11" t="n">
        <x:f>'Segments'!M22</x:f>
        <x:v>106265</x:v>
      </x:c>
      <x:c r="I9" s="11" t="n">
        <x:f>'Segments'!N22</x:f>
        <x:v>137791</x:v>
      </x:c>
      <x:c r="J9" s="11" t="n">
        <x:f>'Segments'!O22</x:f>
        <x:v>170860.84</x:v>
      </x:c>
      <x:c r="K9" s="11" t="n">
        <x:f>'Segments'!P22</x:f>
        <x:v>208450.2248</x:v>
      </x:c>
      <x:c r="L9" s="11" t="n">
        <x:f>'Segments'!Q22</x:f>
        <x:v>250140.26976</x:v>
      </x:c>
      <x:c r="M9" s="11" t="n">
        <x:f>'Segments'!R22</x:f>
        <x:v>295165.5183168</x:v>
      </x:c>
      <x:c r="N9" s="11" t="n">
        <x:f>'Segments'!S22</x:f>
        <x:v>342392.00124748796</x:v>
      </x:c>
      <x:c r="O9" s="11"/>
      <x:c r="P9" s="11"/>
      <x:c r="Q9" s="11"/>
      <x:c r="R9" s="11"/>
      <x:c r="S9" s="11"/>
      <x:c r="T9" s="2"/>
      <x:c r="U9" s="2"/>
    </x:row>
    <x:row r="10" ht="21" customHeight="1">
      <x:c r="A10" s="2"/>
      <x:c r="B10" s="2"/>
      <x:c r="C10" s="2" t="str">
        <x:v>More Personal Computing revenue</x:v>
      </x:c>
      <x:c r="D10" s="2"/>
      <x:c r="E10" s="11" t="n">
        <x:f>'Segments'!J36</x:f>
        <x:v>59941</x:v>
      </x:c>
      <x:c r="F10" s="11" t="n">
        <x:f>'Segments'!K36</x:f>
        <x:v>44820</x:v>
      </x:c>
      <x:c r="G10" s="11" t="n">
        <x:f>'Segments'!L36</x:f>
        <x:v>50838</x:v>
      </x:c>
      <x:c r="H10" s="11" t="n">
        <x:f>'Segments'!M36</x:f>
        <x:v>54649</x:v>
      </x:c>
      <x:c r="I10" s="11" t="n">
        <x:f>'Segments'!N36</x:f>
        <x:v>54052</x:v>
      </x:c>
      <x:c r="J10" s="11" t="n">
        <x:f>'Segments'!O36</x:f>
        <x:v>54592.520000000004</x:v>
      </x:c>
      <x:c r="K10" s="11" t="n">
        <x:f>'Segments'!P36</x:f>
        <x:v>55684.37040000001</x:v>
      </x:c>
      <x:c r="L10" s="11" t="n">
        <x:f>'Segments'!Q36</x:f>
        <x:v>56798.057808000005</x:v>
      </x:c>
      <x:c r="M10" s="11" t="n">
        <x:f>'Segments'!R36</x:f>
        <x:v>57934.01896416001</x:v>
      </x:c>
      <x:c r="N10" s="11" t="n">
        <x:f>'Segments'!S36</x:f>
        <x:v>59092.69934344321</x:v>
      </x:c>
      <x:c r="O10" s="11"/>
      <x:c r="P10" s="11"/>
      <x:c r="Q10" s="11"/>
      <x:c r="R10" s="11"/>
      <x:c r="S10" s="11"/>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t="str">
        <x:v>Research and development</x:v>
      </x:c>
      <x:c r="D12" s="2"/>
      <x:c r="E12" s="11" t="n">
        <x:f>'Income Statement'!J14</x:f>
        <x:v>24512</x:v>
      </x:c>
      <x:c r="F12" s="11" t="n">
        <x:f>'Income Statement'!K14</x:f>
        <x:v>27195</x:v>
      </x:c>
      <x:c r="G12" s="11" t="n">
        <x:f>'Income Statement'!L14</x:f>
        <x:v>29510</x:v>
      </x:c>
      <x:c r="H12" s="11" t="n">
        <x:f>'Income Statement'!M14</x:f>
        <x:v>32488</x:v>
      </x:c>
      <x:c r="I12" s="11" t="n">
        <x:f>'Income Statement'!N14</x:f>
        <x:v>35562</x:v>
      </x:c>
      <x:c r="J12" s="11" t="n">
        <x:f>'Income Statement'!O14</x:f>
        <x:v>42340.911817928674</x:v>
      </x:c>
      <x:c r="K12" s="11" t="n">
        <x:f>'Income Statement'!P14</x:f>
        <x:v>51150.89940868524</x:v>
      </x:c>
      <x:c r="L12" s="11" t="n">
        <x:f>'Income Statement'!Q14</x:f>
        <x:v>60522.53930091431</x:v>
      </x:c>
      <x:c r="M12" s="11" t="n">
        <x:f>'Income Statement'!R14</x:f>
        <x:v>70220.21893489482</x:v>
      </x:c>
      <x:c r="N12" s="11" t="n">
        <x:f>'Income Statement'!S14</x:f>
        <x:v>80133.32454351732</x:v>
      </x:c>
      <x:c r="O12" s="11"/>
      <x:c r="P12" s="11"/>
      <x:c r="Q12" s="11"/>
      <x:c r="R12" s="11"/>
      <x:c r="S12" s="11"/>
      <x:c r="T12" s="2"/>
      <x:c r="U12" s="2"/>
    </x:row>
    <x:row r="13" ht="21" customHeight="1">
      <x:c r="A13" s="2"/>
      <x:c r="B13" s="2"/>
      <x:c r="C13" s="2" t="str">
        <x:v>Sales and marketing</x:v>
      </x:c>
      <x:c r="D13" s="2"/>
      <x:c r="E13" s="11" t="n">
        <x:f>'Income Statement'!J15</x:f>
        <x:v>21825</x:v>
      </x:c>
      <x:c r="F13" s="11" t="n">
        <x:f>'Income Statement'!K15</x:f>
        <x:v>22759</x:v>
      </x:c>
      <x:c r="G13" s="11" t="n">
        <x:f>'Income Statement'!L15</x:f>
        <x:v>24456</x:v>
      </x:c>
      <x:c r="H13" s="11" t="n">
        <x:f>'Income Statement'!M15</x:f>
        <x:v>25654</x:v>
      </x:c>
      <x:c r="I13" s="11" t="n">
        <x:f>'Income Statement'!N15</x:f>
        <x:v>26710</x:v>
      </x:c>
      <x:c r="J13" s="11" t="n">
        <x:f>'Income Statement'!O15</x:f>
        <x:v>30803.904000000006</x:v>
      </x:c>
      <x:c r="K13" s="11" t="n">
        <x:f>'Income Statement'!P15</x:f>
        <x:v>35113.7179496</x:v>
      </x:c>
      <x:c r="L13" s="11" t="n">
        <x:f>'Income Statement'!Q15</x:f>
        <x:v>39695.940681696</x:v>
      </x:c>
      <x:c r="M13" s="11" t="n">
        <x:f>'Income Statement'!R15</x:f>
        <x:v>44452.23589884001</x:v>
      </x:c>
      <x:c r="N13" s="11" t="n">
        <x:f>'Income Statement'!S15</x:f>
        <x:v>49256.14347553452</x:v>
      </x:c>
      <x:c r="O13" s="11"/>
      <x:c r="P13" s="11"/>
      <x:c r="Q13" s="11"/>
      <x:c r="R13" s="11"/>
      <x:c r="S13" s="11"/>
      <x:c r="T13" s="2"/>
      <x:c r="U13" s="2"/>
    </x:row>
    <x:row r="14" ht="21" customHeight="1">
      <x:c r="A14" s="2"/>
      <x:c r="B14" s="2"/>
      <x:c r="C14" s="2" t="str">
        <x:v>General and administrative</x:v>
      </x:c>
      <x:c r="D14" s="2"/>
      <x:c r="E14" s="11" t="n">
        <x:f>'Income Statement'!J16</x:f>
        <x:v>5900</x:v>
      </x:c>
      <x:c r="F14" s="11" t="n">
        <x:f>'Income Statement'!K16</x:f>
        <x:v>7575</x:v>
      </x:c>
      <x:c r="G14" s="11" t="n">
        <x:f>'Income Statement'!L16</x:f>
        <x:v>7609</x:v>
      </x:c>
      <x:c r="H14" s="11" t="n">
        <x:f>'Income Statement'!M16</x:f>
        <x:v>7223</x:v>
      </x:c>
      <x:c r="I14" s="11" t="n">
        <x:f>'Income Statement'!N16</x:f>
        <x:v>7956</x:v>
      </x:c>
      <x:c r="J14" s="11" t="n">
        <x:f>'Income Statement'!O16</x:f>
        <x:v>9241.1712</x:v>
      </x:c>
      <x:c r="K14" s="11" t="n">
        <x:f>'Income Statement'!P16</x:f>
        <x:v>10445.219896400002</x:v>
      </x:c>
      <x:c r="L14" s="11" t="n">
        <x:f>'Income Statement'!Q16</x:f>
        <x:v>11705.213277936</x:v>
      </x:c>
      <x:c r="M14" s="11" t="n">
        <x:f>'Income Statement'!R16</x:f>
        <x:v>12989.289710700003</x:v>
      </x:c>
      <x:c r="N14" s="11" t="n">
        <x:f>'Income Statement'!S16</x:f>
        <x:v>14258.357321865255</x:v>
      </x:c>
      <x:c r="O14" s="11"/>
      <x:c r="P14" s="11"/>
      <x:c r="Q14" s="11"/>
      <x:c r="R14" s="11"/>
      <x:c r="S14" s="11"/>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t="str">
        <x:v>PPE depreciation</x:v>
      </x:c>
      <x:c r="D16" s="2"/>
      <x:c r="E16" s="11" t="n">
        <x:f>'PPE and Intangibles'!J21</x:f>
        <x:v>12600</x:v>
      </x:c>
      <x:c r="F16" s="11" t="n">
        <x:f>'PPE and Intangibles'!K21</x:f>
        <x:v>11000</x:v>
      </x:c>
      <x:c r="G16" s="11" t="n">
        <x:f>'PPE and Intangibles'!L21</x:f>
        <x:v>15200</x:v>
      </x:c>
      <x:c r="H16" s="11" t="n">
        <x:f>'PPE and Intangibles'!M21</x:f>
        <x:v>22000</x:v>
      </x:c>
      <x:c r="I16" s="11" t="n">
        <x:f>'PPE and Intangibles'!N21</x:f>
        <x:v>34300</x:v>
      </x:c>
      <x:c r="J16" s="11" t="n">
        <x:f>'PPE and Intangibles'!O21</x:f>
        <x:v>50319.3666</x:v>
      </x:c>
      <x:c r="K16" s="11" t="n">
        <x:f>'PPE and Intangibles'!P21</x:f>
        <x:v>75599.62026141334</x:v>
      </x:c>
      <x:c r="L16" s="11" t="n">
        <x:f>'PPE and Intangibles'!Q21</x:f>
        <x:v>101565.57059252668</x:v>
      </x:c>
      <x:c r="M16" s="11" t="n">
        <x:f>'PPE and Intangibles'!R21</x:f>
        <x:v>128010.09185221468</x:v>
      </x:c>
      <x:c r="N16" s="11" t="n">
        <x:f>'PPE and Intangibles'!S21</x:f>
        <x:v>154852.54990618228</x:v>
      </x:c>
      <x:c r="O16" s="11"/>
      <x:c r="P16" s="11"/>
      <x:c r="Q16" s="11"/>
      <x:c r="R16" s="11"/>
      <x:c r="S16" s="11"/>
      <x:c r="T16" s="2"/>
      <x:c r="U16" s="2"/>
    </x:row>
    <x:row r="17" ht="21" customHeight="1">
      <x:c r="A17" s="2"/>
      <x:c r="B17" s="2"/>
      <x:c r="C17" s="2" t="str">
        <x:v>Operating lease expense</x:v>
      </x:c>
      <x:c r="D17" s="2"/>
      <x:c r="E17" s="11" t="n">
        <x:f>'Debt and Leases'!J61</x:f>
        <x:v>2461</x:v>
      </x:c>
      <x:c r="F17" s="11" t="n">
        <x:f>'Debt and Leases'!K61</x:f>
        <x:v>2875</x:v>
      </x:c>
      <x:c r="G17" s="11" t="n">
        <x:f>'Debt and Leases'!L61</x:f>
        <x:v>3555</x:v>
      </x:c>
      <x:c r="H17" s="11" t="n">
        <x:f>'Debt and Leases'!M61</x:f>
        <x:v>5524</x:v>
      </x:c>
      <x:c r="I17" s="11" t="n">
        <x:f>'Debt and Leases'!N61</x:f>
        <x:v>6968</x:v>
      </x:c>
      <x:c r="J17" s="11" t="n">
        <x:f>'Debt and Leases'!O61</x:f>
        <x:v>5428.887042</x:v>
      </x:c>
      <x:c r="K17" s="11" t="n">
        <x:f>'Debt and Leases'!P61</x:f>
        <x:v>6402.942695266</x:v>
      </x:c>
      <x:c r="L17" s="11" t="n">
        <x:f>'Debt and Leases'!Q61</x:f>
        <x:v>7428.829732529213</x:v>
      </x:c>
      <x:c r="M17" s="11" t="n">
        <x:f>'Debt and Leases'!R61</x:f>
        <x:v>8502.564695694284</x:v>
      </x:c>
      <x:c r="N17" s="11" t="n">
        <x:f>'Debt and Leases'!S61</x:f>
        <x:v>9609.606390594998</x:v>
      </x:c>
      <x:c r="O17" s="11"/>
      <x:c r="P17" s="11"/>
      <x:c r="Q17" s="11"/>
      <x:c r="R17" s="11"/>
      <x:c r="S17" s="11"/>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t="str">
        <x:v>Operating income</x:v>
      </x:c>
      <x:c r="D19" s="2"/>
      <x:c r="E19" s="11" t="n">
        <x:f>'Income Statement'!J19</x:f>
        <x:v>83383</x:v>
      </x:c>
      <x:c r="F19" s="11" t="n">
        <x:f>'Income Statement'!K19</x:f>
        <x:v>88523</x:v>
      </x:c>
      <x:c r="G19" s="11" t="n">
        <x:f>'Income Statement'!L19</x:f>
        <x:v>109433</x:v>
      </x:c>
      <x:c r="H19" s="11" t="n">
        <x:f>'Income Statement'!M19</x:f>
        <x:v>128528</x:v>
      </x:c>
      <x:c r="I19" s="11" t="n">
        <x:f>'Income Statement'!N19</x:f>
        <x:v>155237</x:v>
      </x:c>
      <x:c r="J19" s="11" t="n">
        <x:f>'Income Statement'!O19</x:f>
        <x:v>175728.08703427133</x:v>
      </x:c>
      <x:c r="K19" s="11" t="n">
        <x:f>'Income Statement'!P19</x:f>
        <x:v>189179.8021021741</x:v>
      </x:c>
      <x:c r="L19" s="11" t="n">
        <x:f>'Income Statement'!Q19</x:f>
        <x:v>204736.39255985775</x:v>
      </x:c>
      <x:c r="M19" s="11" t="n">
        <x:f>'Income Statement'!R19</x:f>
        <x:v>223012.7156780659</x:v>
      </x:c>
      <x:c r="N19" s="11" t="n">
        <x:f>'Income Statement'!S19</x:f>
        <x:v>242804.5507215888</x:v>
      </x:c>
      <x:c r="O19" s="11"/>
      <x:c r="P19" s="11"/>
      <x:c r="Q19" s="11"/>
      <x:c r="R19" s="11"/>
      <x:c r="S19" s="11"/>
      <x:c r="T19" s="2"/>
      <x:c r="U19" s="2"/>
    </x:row>
    <x:row r="20" ht="21" customHeight="1">
      <x:c r="A20" s="2"/>
      <x:c r="B20" s="2"/>
      <x:c r="C20" s="18" t="str">
        <x:v>Operating margin</x:v>
      </x:c>
      <x:c r="D20" s="18"/>
      <x:c r="E20" s="19" t="n">
        <x:f>'Income Statement'!J20</x:f>
        <x:v>0.4205527815604983</x:v>
      </x:c>
      <x:c r="F20" s="19" t="n">
        <x:f>'Income Statement'!K20</x:f>
        <x:v>0.417728806361041</x:v>
      </x:c>
      <x:c r="G20" s="19" t="n">
        <x:f>'Income Statement'!L20</x:f>
        <x:v>0.44644299573273716</x:v>
      </x:c>
      <x:c r="H20" s="19" t="n">
        <x:f>'Income Statement'!M20</x:f>
        <x:v>0.4562195624085985</x:v>
      </x:c>
      <x:c r="I20" s="19" t="n">
        <x:f>'Income Statement'!N20</x:f>
        <x:v>0.4678081840892722</x:v>
      </x:c>
      <x:c r="J20" s="19" t="n">
        <x:f>'Income Statement'!O20</x:f>
        <x:v>0.45637874221208147</x:v>
      </x:c>
      <x:c r="K20" s="19" t="n">
        <x:f>'Income Statement'!P20</x:f>
        <x:v>0.4256229541834091</x:v>
      </x:c>
      <x:c r="L20" s="19" t="n">
        <x:f>'Income Statement'!Q20</x:f>
        <x:v>0.4022939964496796</x:v>
      </x:c>
      <x:c r="M20" s="19" t="n">
        <x:f>'Income Statement'!R20</x:f>
        <x:v>0.38630180822151133</x:v>
      </x:c>
      <x:c r="N20" s="19" t="n">
        <x:f>'Income Statement'!S20</x:f>
        <x:v>0.3746364321844728</x:v>
      </x:c>
      <x:c r="O20" s="19"/>
      <x:c r="P20" s="19"/>
      <x:c r="Q20" s="19"/>
      <x:c r="R20" s="19"/>
      <x:c r="S20" s="19"/>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18" t="str">
        <x:v>Cash capex / revenue</x:v>
      </x:c>
      <x:c r="D22" s="18"/>
      <x:c r="E22" s="19" t="n">
        <x:f>-'Cash Flow'!J30/'Income Statement'!J8</x:f>
        <x:v>0.12047208352246935</x:v>
      </x:c>
      <x:c r="F22" s="19" t="n">
        <x:f>-'Cash Flow'!K30/'Income Statement'!K8</x:f>
        <x:v>0.13263336715192411</x:v>
      </x:c>
      <x:c r="G22" s="19" t="n">
        <x:f>-'Cash Flow'!L30/'Income Statement'!L8</x:f>
        <x:v>0.18144842160230415</x:v>
      </x:c>
      <x:c r="H22" s="19" t="n">
        <x:f>-'Cash Flow'!M30/'Income Statement'!M8</x:f>
        <x:v>0.22912850875324786</x:v>
      </x:c>
      <x:c r="I22" s="19" t="n">
        <x:f>-'Cash Flow'!N30/'Income Statement'!N8</x:f>
        <x:v>0.34941040685392616</x:v>
      </x:c>
      <x:c r="J22" s="19" t="n">
        <x:f>-'Cash Flow'!O30/'Income Statement'!O8</x:f>
        <x:v>0.32</x:v>
      </x:c>
      <x:c r="K22" s="19" t="n">
        <x:f>-'Cash Flow'!P30/'Income Statement'!P8</x:f>
        <x:v>0.28</x:v>
      </x:c>
      <x:c r="L22" s="19" t="n">
        <x:f>-'Cash Flow'!Q30/'Income Statement'!Q8</x:f>
        <x:v>0.25</x:v>
      </x:c>
      <x:c r="M22" s="19" t="n">
        <x:f>-'Cash Flow'!R30/'Income Statement'!R8</x:f>
        <x:v>0.22</x:v>
      </x:c>
      <x:c r="N22" s="19" t="n">
        <x:f>-'Cash Flow'!S30/'Income Statement'!S8</x:f>
        <x:v>0.2</x:v>
      </x:c>
      <x:c r="O22" s="19"/>
      <x:c r="P22" s="19"/>
      <x:c r="Q22" s="19"/>
      <x:c r="R22" s="19"/>
      <x:c r="S22" s="19"/>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5" customHeight="1">
      <x:c r="A27" s="2"/>
      <x:c r="B27" s="2"/>
      <x:c r="C27" s="10" t="str">
        <x:v>FY2026 to FY2027 operating income bridge</x:v>
      </x:c>
      <x:c r="D27" s="10"/>
      <x:c r="E27" s="10"/>
      <x:c r="F27" s="10"/>
      <x:c r="G27" s="10"/>
      <x:c r="H27" s="10"/>
      <x:c r="I27" s="10"/>
      <x:c r="J27" s="10"/>
      <x:c r="K27" s="10"/>
      <x:c r="L27" s="10"/>
      <x:c r="M27" s="10"/>
      <x:c r="N27" s="10"/>
      <x:c r="O27" s="10"/>
      <x:c r="P27" s="10"/>
      <x:c r="Q27" s="10"/>
      <x:c r="R27" s="10"/>
      <x:c r="S27" s="10"/>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t="str">
        <x:v>FY2026 operating income</x:v>
      </x:c>
      <x:c r="D29" s="2"/>
      <x:c r="E29" s="2"/>
      <x:c r="F29" s="11" t="n">
        <x:f>'Income Statement'!N19</x:f>
        <x:v>155237</x:v>
      </x:c>
      <x:c r="G29" s="2"/>
      <x:c r="H29" s="2"/>
      <x:c r="I29" s="2"/>
      <x:c r="J29" s="2"/>
      <x:c r="K29" s="2"/>
      <x:c r="L29" s="2"/>
      <x:c r="M29" s="2"/>
      <x:c r="N29" s="2"/>
      <x:c r="O29" s="2"/>
      <x:c r="P29" s="2"/>
      <x:c r="Q29" s="2"/>
      <x:c r="R29" s="2"/>
      <x:c r="S29" s="2"/>
      <x:c r="T29" s="2"/>
      <x:c r="U29" s="2"/>
    </x:row>
    <x:row r="30" ht="21" customHeight="1">
      <x:c r="A30" s="2"/>
      <x:c r="B30" s="2"/>
      <x:c r="C30" s="2" t="str">
        <x:v>PBP revenue change</x:v>
      </x:c>
      <x:c r="D30" s="2"/>
      <x:c r="E30" s="2"/>
      <x:c r="F30" s="11" t="n">
        <x:f>'Segments'!O8-'Segments'!N8</x:f>
        <x:v>19599.44000000003</x:v>
      </x:c>
      <x:c r="G30" s="2"/>
      <x:c r="H30" s="2"/>
      <x:c r="I30" s="2"/>
      <x:c r="J30" s="2"/>
      <x:c r="K30" s="2"/>
      <x:c r="L30" s="2"/>
      <x:c r="M30" s="2"/>
      <x:c r="N30" s="2"/>
      <x:c r="O30" s="2"/>
      <x:c r="P30" s="2"/>
      <x:c r="Q30" s="2"/>
      <x:c r="R30" s="2"/>
      <x:c r="S30" s="2"/>
      <x:c r="T30" s="2"/>
      <x:c r="U30" s="2"/>
    </x:row>
    <x:row r="31" ht="21" customHeight="1">
      <x:c r="A31" s="2"/>
      <x:c r="B31" s="2"/>
      <x:c r="C31" s="2" t="str">
        <x:v>IC revenue change</x:v>
      </x:c>
      <x:c r="D31" s="2"/>
      <x:c r="E31" s="2"/>
      <x:c r="F31" s="11" t="n">
        <x:f>'Segments'!O22-'Segments'!N22</x:f>
        <x:v>33069.84</x:v>
      </x:c>
      <x:c r="G31" s="2"/>
      <x:c r="H31" s="2"/>
      <x:c r="I31" s="2"/>
      <x:c r="J31" s="2"/>
      <x:c r="K31" s="2"/>
      <x:c r="L31" s="2"/>
      <x:c r="M31" s="2"/>
      <x:c r="N31" s="2"/>
      <x:c r="O31" s="2"/>
      <x:c r="P31" s="2"/>
      <x:c r="Q31" s="2"/>
      <x:c r="R31" s="2"/>
      <x:c r="S31" s="2"/>
      <x:c r="T31" s="2"/>
      <x:c r="U31" s="2"/>
    </x:row>
    <x:row r="32" ht="21" customHeight="1">
      <x:c r="A32" s="2"/>
      <x:c r="B32" s="2"/>
      <x:c r="C32" s="2" t="str">
        <x:v>MPC revenue change</x:v>
      </x:c>
      <x:c r="D32" s="2"/>
      <x:c r="E32" s="2"/>
      <x:c r="F32" s="11" t="n">
        <x:f>'Segments'!O36-'Segments'!N36</x:f>
        <x:v>540.5200000000041</x:v>
      </x:c>
      <x:c r="G32" s="2"/>
      <x:c r="H32" s="2"/>
      <x:c r="I32" s="2"/>
      <x:c r="J32" s="2"/>
      <x:c r="K32" s="2"/>
      <x:c r="L32" s="2"/>
      <x:c r="M32" s="2"/>
      <x:c r="N32" s="2"/>
      <x:c r="O32" s="2"/>
      <x:c r="P32" s="2"/>
      <x:c r="Q32" s="2"/>
      <x:c r="R32" s="2"/>
      <x:c r="S32" s="2"/>
      <x:c r="T32" s="2"/>
      <x:c r="U32" s="2"/>
    </x:row>
    <x:row r="33" ht="21" customHeight="1">
      <x:c r="A33" s="2"/>
      <x:c r="B33" s="2"/>
      <x:c r="C33" s="2" t="str">
        <x:v>Cost of revenue change</x:v>
      </x:c>
      <x:c r="D33" s="2"/>
      <x:c r="E33" s="2"/>
      <x:c r="F33" s="11" t="n">
        <x:f>'Income Statement'!N10-'Income Statement'!O10</x:f>
        <x:v>-20560.72594780002</x:v>
      </x:c>
      <x:c r="G33" s="2"/>
      <x:c r="H33" s="2"/>
      <x:c r="I33" s="2"/>
      <x:c r="J33" s="2"/>
      <x:c r="K33" s="2"/>
      <x:c r="L33" s="2"/>
      <x:c r="M33" s="2"/>
      <x:c r="N33" s="2"/>
      <x:c r="O33" s="2"/>
      <x:c r="P33" s="2"/>
      <x:c r="Q33" s="2"/>
      <x:c r="R33" s="2"/>
      <x:c r="S33" s="2"/>
      <x:c r="T33" s="2"/>
      <x:c r="U33" s="2"/>
    </x:row>
    <x:row r="34" ht="21" customHeight="1">
      <x:c r="A34" s="2"/>
      <x:c r="B34" s="2"/>
      <x:c r="C34" s="2" t="str">
        <x:v>R&amp;D expense change</x:v>
      </x:c>
      <x:c r="D34" s="2"/>
      <x:c r="E34" s="2"/>
      <x:c r="F34" s="11" t="n">
        <x:f>'Income Statement'!N14-'Income Statement'!O14</x:f>
        <x:v>-6778.911817928674</x:v>
      </x:c>
      <x:c r="G34" s="2"/>
      <x:c r="H34" s="2"/>
      <x:c r="I34" s="2"/>
      <x:c r="J34" s="2"/>
      <x:c r="K34" s="2"/>
      <x:c r="L34" s="2"/>
      <x:c r="M34" s="2"/>
      <x:c r="N34" s="2"/>
      <x:c r="O34" s="2"/>
      <x:c r="P34" s="2"/>
      <x:c r="Q34" s="2"/>
      <x:c r="R34" s="2"/>
      <x:c r="S34" s="2"/>
      <x:c r="T34" s="2"/>
      <x:c r="U34" s="2"/>
    </x:row>
    <x:row r="35" ht="21" customHeight="1">
      <x:c r="A35" s="2"/>
      <x:c r="B35" s="2"/>
      <x:c r="C35" s="2" t="str">
        <x:v>Sales and marketing expense change</x:v>
      </x:c>
      <x:c r="D35" s="2"/>
      <x:c r="E35" s="2"/>
      <x:c r="F35" s="11" t="n">
        <x:f>'Income Statement'!N15-'Income Statement'!O15</x:f>
        <x:v>-4093.904000000006</x:v>
      </x:c>
      <x:c r="G35" s="2"/>
      <x:c r="H35" s="2"/>
      <x:c r="I35" s="2"/>
      <x:c r="J35" s="2"/>
      <x:c r="K35" s="2"/>
      <x:c r="L35" s="2"/>
      <x:c r="M35" s="2"/>
      <x:c r="N35" s="2"/>
      <x:c r="O35" s="2"/>
      <x:c r="P35" s="2"/>
      <x:c r="Q35" s="2"/>
      <x:c r="R35" s="2"/>
      <x:c r="S35" s="2"/>
      <x:c r="T35" s="2"/>
      <x:c r="U35" s="2"/>
    </x:row>
    <x:row r="36" ht="21" customHeight="1">
      <x:c r="A36" s="2"/>
      <x:c r="B36" s="2"/>
      <x:c r="C36" s="2" t="str">
        <x:v>General and administrative change</x:v>
      </x:c>
      <x:c r="D36" s="2"/>
      <x:c r="E36" s="2"/>
      <x:c r="F36" s="11" t="n">
        <x:f>'Income Statement'!N16-'Income Statement'!O16</x:f>
        <x:v>-1285.1712000000007</x:v>
      </x:c>
      <x:c r="G36" s="2"/>
      <x:c r="H36" s="2"/>
      <x:c r="I36" s="2"/>
      <x:c r="J36" s="2"/>
      <x:c r="K36" s="2"/>
      <x:c r="L36" s="2"/>
      <x:c r="M36" s="2"/>
      <x:c r="N36" s="2"/>
      <x:c r="O36" s="2"/>
      <x:c r="P36" s="2"/>
      <x:c r="Q36" s="2"/>
      <x:c r="R36" s="2"/>
      <x:c r="S36" s="2"/>
      <x:c r="T36" s="2"/>
      <x:c r="U36" s="2"/>
    </x:row>
    <x:row r="37" ht="21" customHeight="1">
      <x:c r="A37" s="2"/>
      <x:c r="B37" s="2"/>
      <x:c r="C37" s="2" t="str">
        <x:v>Other operating expense change</x:v>
      </x:c>
      <x:c r="D37" s="2"/>
      <x:c r="E37" s="2"/>
      <x:c r="F37" s="11" t="n">
        <x:f>'Income Statement'!N17-'Income Statement'!O17</x:f>
        <x:v>0</x:v>
      </x:c>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t="str">
        <x:v>FY2027 operating income</x:v>
      </x:c>
      <x:c r="D39" s="2"/>
      <x:c r="E39" s="2"/>
      <x:c r="F39" s="11" t="n">
        <x:f>SUM(F29:F37)</x:f>
        <x:v>175728.08703427133</x:v>
      </x:c>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97d51643d60e477f"/>
</x:worksheet>
</file>

<file path=xl/worksheets/sheet6.xml><?xml version="1.0" encoding="utf-8"?>
<x:worksheet xmlns:x="http://schemas.openxmlformats.org/spreadsheetml/2006/main">
  <x:sheetPr>
    <x:tabColor rgb="FF57799F"/>
  </x:sheetPr>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Assumptions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number</x:v>
      </x:c>
      <x:c r="D4" s="22" t="n">
        <x:v>1</x:v>
      </x:c>
      <x:c r="E4" s="2"/>
      <x:c r="F4" s="2"/>
      <x:c r="G4" s="5" t="str">
        <x:f>CHOOSE($D$4,"Base","Upside","Downside")</x:f>
        <x:v>Base</x:v>
      </x:c>
      <x:c r="H4" s="2"/>
      <x:c r="I4" s="2"/>
      <x:c r="J4" s="2"/>
      <x:c r="K4" s="2"/>
      <x:c r="L4" s="2"/>
      <x:c r="M4" s="2"/>
      <x:c r="N4" s="2"/>
      <x:c r="O4" s="2"/>
      <x:c r="P4" s="2"/>
      <x:c r="Q4" s="2"/>
      <x:c r="R4" s="2"/>
      <x:c r="S4" s="2"/>
      <x:c r="T4" s="2"/>
      <x:c r="U4" s="2"/>
    </x:row>
    <x:row r="5" ht="21" customHeight="1">
      <x:c r="A5" s="2"/>
      <x:c r="B5" s="2"/>
      <x:c r="C5" s="2" t="str">
        <x:v>1 Base    2 Upside    3 Downside</x:v>
      </x:c>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x:c r="D8" s="2"/>
      <x:c r="E8" s="2"/>
      <x:c r="F8" s="2"/>
      <x:c r="G8" s="2"/>
      <x:c r="H8" s="2"/>
      <x:c r="I8" s="2"/>
      <x:c r="J8" s="2"/>
      <x:c r="K8" s="2"/>
      <x:c r="L8" s="2"/>
      <x:c r="M8" s="2"/>
      <x:c r="N8" s="2"/>
      <x:c r="O8" s="2"/>
      <x:c r="P8" s="2"/>
      <x:c r="Q8" s="2"/>
      <x:c r="R8" s="2"/>
      <x:c r="S8" s="2"/>
      <x:c r="T8" s="2"/>
      <x:c r="U8" s="2"/>
    </x:row>
    <x:row r="9" ht="32" customHeight="1">
      <x:c r="A9" s="2"/>
      <x:c r="B9" s="2"/>
      <x:c r="C9" s="28" t="str">
        <x:v>Productivity and Business Processes revenue growth</x:v>
      </x:c>
      <x:c r="D9" s="29"/>
      <x:c r="E9" s="62" t="str">
        <x:f>'Segments'!E9</x:f>
        <x:v>n.a.</x:v>
      </x:c>
      <x:c r="F9" s="62" t="n">
        <x:f>'Segments'!F9</x:f>
        <x:v>0.20070304653498483</x:v>
      </x:c>
      <x:c r="G9" s="62" t="n">
        <x:f>'Segments'!G9</x:f>
        <x:v>0.14763697197825176</x:v>
      </x:c>
      <x:c r="H9" s="62" t="n">
        <x:f>'Segments'!H9</x:f>
        <x:v>0.12725947521865888</x:v>
      </x:c>
      <x:c r="I9" s="62" t="n">
        <x:f>'Segments'!I9</x:f>
        <x:v>0.1620112935902409</x:v>
      </x:c>
      <x:c r="J9" s="62" t="n">
        <x:f>'Segments'!J9</x:f>
        <x:v>0.17525734953167027</x:v>
      </x:c>
      <x:c r="K9" s="62" t="str">
        <x:f>'Segments'!K9</x:f>
        <x:v>n.a.</x:v>
      </x:c>
      <x:c r="L9" s="62" t="n">
        <x:f>'Segments'!L9</x:f>
        <x:v>0.1345604401440239</x:v>
      </x:c>
      <x:c r="M9" s="62" t="n">
        <x:f>'Segments'!M9</x:f>
        <x:v>0.13096798352368477</x:v>
      </x:c>
      <x:c r="N9" s="62" t="n">
        <x:f>'Segments'!N9</x:f>
        <x:v>0.15881135667577184</x:v>
      </x:c>
      <x:c r="O9" s="32" t="n">
        <x:f>IF(NOT(CHOOSE($D$4,ISNUMBER(O10),ISNUMBER(O11),ISNUMBER(O12))),"n.a.",CHOOSE($D$4,O10,O11,O12))</x:f>
        <x:v>0.14</x:v>
      </x:c>
      <x:c r="P9" s="32" t="n">
        <x:f>IF(NOT(CHOOSE($D$4,ISNUMBER(P10),ISNUMBER(P11),ISNUMBER(P12))),"n.a.",CHOOSE($D$4,P10,P11,P12))</x:f>
        <x:v>0.13</x:v>
      </x:c>
      <x:c r="Q9" s="32" t="n">
        <x:f>IF(NOT(CHOOSE($D$4,ISNUMBER(Q10),ISNUMBER(Q11),ISNUMBER(Q12))),"n.a.",CHOOSE($D$4,Q10,Q11,Q12))</x:f>
        <x:v>0.12</x:v>
      </x:c>
      <x:c r="R9" s="32" t="n">
        <x:f>IF(NOT(CHOOSE($D$4,ISNUMBER(R10),ISNUMBER(R11),ISNUMBER(R12))),"n.a.",CHOOSE($D$4,R10,R11,R12))</x:f>
        <x:v>0.11</x:v>
      </x:c>
      <x:c r="S9" s="32" t="n">
        <x:f>IF(NOT(CHOOSE($D$4,ISNUMBER(S10),ISNUMBER(S11),ISNUMBER(S12))),"n.a.",CHOOSE($D$4,S10,S11,S12))</x:f>
        <x:v>0.1</x:v>
      </x:c>
      <x:c r="T9" s="2"/>
      <x:c r="U9" s="2"/>
    </x:row>
    <x:row r="10" ht="21" customHeight="1">
      <x:c r="A10" s="2"/>
      <x:c r="B10" s="2"/>
      <x:c r="C10" s="18" t="str">
        <x:v>Base</x:v>
      </x:c>
      <x:c r="D10" s="18"/>
      <x:c r="E10" s="19"/>
      <x:c r="F10" s="19"/>
      <x:c r="G10" s="19"/>
      <x:c r="H10" s="19"/>
      <x:c r="I10" s="19"/>
      <x:c r="J10" s="19"/>
      <x:c r="K10" s="19"/>
      <x:c r="L10" s="19"/>
      <x:c r="M10" s="19"/>
      <x:c r="N10" s="19"/>
      <x:c r="O10" s="31" t="n">
        <x:v>0.14</x:v>
      </x:c>
      <x:c r="P10" s="31" t="n">
        <x:v>0.13</x:v>
      </x:c>
      <x:c r="Q10" s="31" t="n">
        <x:v>0.12</x:v>
      </x:c>
      <x:c r="R10" s="31" t="n">
        <x:v>0.11</x:v>
      </x:c>
      <x:c r="S10" s="31" t="n">
        <x:v>0.1</x:v>
      </x:c>
      <x:c r="T10" s="2"/>
      <x:c r="U10" s="2"/>
    </x:row>
    <x:row r="11" ht="21" customHeight="1">
      <x:c r="A11" s="2"/>
      <x:c r="B11" s="2"/>
      <x:c r="C11" s="18" t="str">
        <x:v>Upside</x:v>
      </x:c>
      <x:c r="D11" s="18"/>
      <x:c r="E11" s="19"/>
      <x:c r="F11" s="19"/>
      <x:c r="G11" s="19"/>
      <x:c r="H11" s="19"/>
      <x:c r="I11" s="19"/>
      <x:c r="J11" s="19"/>
      <x:c r="K11" s="19"/>
      <x:c r="L11" s="19"/>
      <x:c r="M11" s="19"/>
      <x:c r="N11" s="19"/>
      <x:c r="O11" s="31" t="n">
        <x:v>0.18</x:v>
      </x:c>
      <x:c r="P11" s="31" t="n">
        <x:v>0.16</x:v>
      </x:c>
      <x:c r="Q11" s="31" t="n">
        <x:v>0.14</x:v>
      </x:c>
      <x:c r="R11" s="31" t="n">
        <x:v>0.13</x:v>
      </x:c>
      <x:c r="S11" s="31" t="n">
        <x:v>0.12</x:v>
      </x:c>
      <x:c r="T11" s="2"/>
      <x:c r="U11" s="2"/>
    </x:row>
    <x:row r="12" ht="21" customHeight="1">
      <x:c r="A12" s="2"/>
      <x:c r="B12" s="2"/>
      <x:c r="C12" s="18" t="str">
        <x:v>Downside</x:v>
      </x:c>
      <x:c r="D12" s="18"/>
      <x:c r="E12" s="19"/>
      <x:c r="F12" s="19"/>
      <x:c r="G12" s="19"/>
      <x:c r="H12" s="19"/>
      <x:c r="I12" s="19"/>
      <x:c r="J12" s="19"/>
      <x:c r="K12" s="19"/>
      <x:c r="L12" s="19"/>
      <x:c r="M12" s="19"/>
      <x:c r="N12" s="19"/>
      <x:c r="O12" s="31" t="n">
        <x:v>0.08</x:v>
      </x:c>
      <x:c r="P12" s="31" t="n">
        <x:v>0.07</x:v>
      </x:c>
      <x:c r="Q12" s="31" t="n">
        <x:v>0.06</x:v>
      </x:c>
      <x:c r="R12" s="31" t="n">
        <x:v>0.06</x:v>
      </x:c>
      <x:c r="S12" s="31" t="n">
        <x:v>0.05</x:v>
      </x:c>
      <x:c r="T12" s="2"/>
      <x:c r="U12" s="2"/>
    </x:row>
    <x:row r="13" ht="21" customHeight="1">
      <x:c r="A13" s="2"/>
      <x:c r="B13" s="2"/>
      <x:c r="C13" s="29" t="str">
        <x:v>Intelligent Cloud revenue growth</x:v>
      </x:c>
      <x:c r="D13" s="29"/>
      <x:c r="E13" s="62" t="str">
        <x:f>'Segments'!E23</x:f>
        <x:v>n.a.</x:v>
      </x:c>
      <x:c r="F13" s="62" t="n">
        <x:f>'Segments'!F23</x:f>
        <x:v>0.17557558288028607</x:v>
      </x:c>
      <x:c r="G13" s="62" t="n">
        <x:f>'Segments'!G23</x:f>
        <x:v>0.2100003103758652</x:v>
      </x:c>
      <x:c r="H13" s="62" t="n">
        <x:f>'Segments'!H23</x:f>
        <x:v>0.24063101192766445</x:v>
      </x:c>
      <x:c r="I13" s="62" t="n">
        <x:f>'Segments'!I23</x:f>
        <x:v>0.2349170905181326</x:v>
      </x:c>
      <x:c r="J13" s="62" t="n">
        <x:f>'Segments'!J23</x:f>
        <x:v>0.2551064827216716</x:v>
      </x:c>
      <x:c r="K13" s="62" t="str">
        <x:f>'Segments'!K23</x:f>
        <x:v>n.a.</x:v>
      </x:c>
      <x:c r="L13" s="62" t="n">
        <x:f>'Segments'!L23</x:f>
        <x:v>0.19905681070410175</x:v>
      </x:c>
      <x:c r="M13" s="62" t="n">
        <x:f>'Segments'!M23</x:f>
        <x:v>0.21495701088447827</x:v>
      </x:c>
      <x:c r="N13" s="62" t="n">
        <x:f>'Segments'!N23</x:f>
        <x:v>0.29667341081259124</x:v>
      </x:c>
      <x:c r="O13" s="32" t="n">
        <x:f>IF(NOT(CHOOSE($D$4,ISNUMBER(O14),ISNUMBER(O15),ISNUMBER(O16))),"n.a.",CHOOSE($D$4,O14,O15,O16))</x:f>
        <x:v>0.24</x:v>
      </x:c>
      <x:c r="P13" s="32" t="n">
        <x:f>IF(NOT(CHOOSE($D$4,ISNUMBER(P14),ISNUMBER(P15),ISNUMBER(P16))),"n.a.",CHOOSE($D$4,P14,P15,P16))</x:f>
        <x:v>0.22</x:v>
      </x:c>
      <x:c r="Q13" s="32" t="n">
        <x:f>IF(NOT(CHOOSE($D$4,ISNUMBER(Q14),ISNUMBER(Q15),ISNUMBER(Q16))),"n.a.",CHOOSE($D$4,Q14,Q15,Q16))</x:f>
        <x:v>0.2</x:v>
      </x:c>
      <x:c r="R13" s="32" t="n">
        <x:f>IF(NOT(CHOOSE($D$4,ISNUMBER(R14),ISNUMBER(R15),ISNUMBER(R16))),"n.a.",CHOOSE($D$4,R14,R15,R16))</x:f>
        <x:v>0.18</x:v>
      </x:c>
      <x:c r="S13" s="32" t="n">
        <x:f>IF(NOT(CHOOSE($D$4,ISNUMBER(S14),ISNUMBER(S15),ISNUMBER(S16))),"n.a.",CHOOSE($D$4,S14,S15,S16))</x:f>
        <x:v>0.16</x:v>
      </x:c>
      <x:c r="T13" s="2"/>
      <x:c r="U13" s="2"/>
    </x:row>
    <x:row r="14" ht="21" customHeight="1">
      <x:c r="A14" s="2"/>
      <x:c r="B14" s="2"/>
      <x:c r="C14" s="18" t="str">
        <x:v>Base</x:v>
      </x:c>
      <x:c r="D14" s="18"/>
      <x:c r="E14" s="19"/>
      <x:c r="F14" s="19"/>
      <x:c r="G14" s="19"/>
      <x:c r="H14" s="19"/>
      <x:c r="I14" s="19"/>
      <x:c r="J14" s="19"/>
      <x:c r="K14" s="19"/>
      <x:c r="L14" s="19"/>
      <x:c r="M14" s="19"/>
      <x:c r="N14" s="19"/>
      <x:c r="O14" s="31" t="n">
        <x:v>0.24</x:v>
      </x:c>
      <x:c r="P14" s="31" t="n">
        <x:v>0.22</x:v>
      </x:c>
      <x:c r="Q14" s="31" t="n">
        <x:v>0.2</x:v>
      </x:c>
      <x:c r="R14" s="31" t="n">
        <x:v>0.18</x:v>
      </x:c>
      <x:c r="S14" s="31" t="n">
        <x:v>0.16</x:v>
      </x:c>
      <x:c r="T14" s="2"/>
      <x:c r="U14" s="2"/>
    </x:row>
    <x:row r="15" ht="21" customHeight="1">
      <x:c r="A15" s="2"/>
      <x:c r="B15" s="2"/>
      <x:c r="C15" s="18" t="str">
        <x:v>Upside</x:v>
      </x:c>
      <x:c r="D15" s="18"/>
      <x:c r="E15" s="19"/>
      <x:c r="F15" s="19"/>
      <x:c r="G15" s="19"/>
      <x:c r="H15" s="19"/>
      <x:c r="I15" s="19"/>
      <x:c r="J15" s="19"/>
      <x:c r="K15" s="19"/>
      <x:c r="L15" s="19"/>
      <x:c r="M15" s="19"/>
      <x:c r="N15" s="19"/>
      <x:c r="O15" s="31" t="n">
        <x:v>0.32</x:v>
      </x:c>
      <x:c r="P15" s="31" t="n">
        <x:v>0.28</x:v>
      </x:c>
      <x:c r="Q15" s="31" t="n">
        <x:v>0.25</x:v>
      </x:c>
      <x:c r="R15" s="31" t="n">
        <x:v>0.22</x:v>
      </x:c>
      <x:c r="S15" s="31" t="n">
        <x:v>0.2</x:v>
      </x:c>
      <x:c r="T15" s="2"/>
      <x:c r="U15" s="2"/>
    </x:row>
    <x:row r="16" ht="21" customHeight="1">
      <x:c r="A16" s="2"/>
      <x:c r="B16" s="2"/>
      <x:c r="C16" s="18" t="str">
        <x:v>Downside</x:v>
      </x:c>
      <x:c r="D16" s="18"/>
      <x:c r="E16" s="19"/>
      <x:c r="F16" s="19"/>
      <x:c r="G16" s="19"/>
      <x:c r="H16" s="19"/>
      <x:c r="I16" s="19"/>
      <x:c r="J16" s="19"/>
      <x:c r="K16" s="19"/>
      <x:c r="L16" s="19"/>
      <x:c r="M16" s="19"/>
      <x:c r="N16" s="19"/>
      <x:c r="O16" s="31" t="n">
        <x:v>0.14</x:v>
      </x:c>
      <x:c r="P16" s="31" t="n">
        <x:v>0.12</x:v>
      </x:c>
      <x:c r="Q16" s="31" t="n">
        <x:v>0.1</x:v>
      </x:c>
      <x:c r="R16" s="31" t="n">
        <x:v>0.1</x:v>
      </x:c>
      <x:c r="S16" s="31" t="n">
        <x:v>0.09</x:v>
      </x:c>
      <x:c r="T16" s="2"/>
      <x:c r="U16" s="2"/>
    </x:row>
    <x:row r="17" ht="21" customHeight="1">
      <x:c r="A17" s="2"/>
      <x:c r="B17" s="2"/>
      <x:c r="C17" s="29" t="str">
        <x:v>More Personal Computing revenue growth</x:v>
      </x:c>
      <x:c r="D17" s="29"/>
      <x:c r="E17" s="62" t="str">
        <x:f>'Segments'!E37</x:f>
        <x:v>n.a.</x:v>
      </x:c>
      <x:c r="F17" s="62" t="n">
        <x:f>'Segments'!F37</x:f>
        <x:v>0.07588944877080461</x:v>
      </x:c>
      <x:c r="G17" s="62" t="n">
        <x:f>'Segments'!G37</x:f>
        <x:v>0.0809442709811714</x:v>
      </x:c>
      <x:c r="H17" s="62" t="n">
        <x:f>'Segments'!H37</x:f>
        <x:v>0.055866777539498536</x:v>
      </x:c>
      <x:c r="I17" s="62" t="n">
        <x:f>'Segments'!I37</x:f>
        <x:v>0.12837039646846704</x:v>
      </x:c>
      <x:c r="J17" s="62" t="n">
        <x:f>'Segments'!J37</x:f>
        <x:v>0.10094590871521714</x:v>
      </x:c>
      <x:c r="K17" s="62" t="str">
        <x:f>'Segments'!K37</x:f>
        <x:v>n.a.</x:v>
      </x:c>
      <x:c r="L17" s="62" t="n">
        <x:f>'Segments'!L37</x:f>
        <x:v>0.1342704149933065</x:v>
      </x:c>
      <x:c r="M17" s="62" t="n">
        <x:f>'Segments'!M37</x:f>
        <x:v>0.07496360989810769</x:v>
      </x:c>
      <x:c r="N17" s="62" t="n">
        <x:f>'Segments'!N37</x:f>
        <x:v>-0.01092426210909625</x:v>
      </x:c>
      <x:c r="O17" s="32" t="n">
        <x:f>IF(NOT(CHOOSE($D$4,ISNUMBER(O18),ISNUMBER(O19),ISNUMBER(O20))),"n.a.",CHOOSE($D$4,O18,O19,O20))</x:f>
        <x:v>0.01</x:v>
      </x:c>
      <x:c r="P17" s="32" t="n">
        <x:f>IF(NOT(CHOOSE($D$4,ISNUMBER(P18),ISNUMBER(P19),ISNUMBER(P20))),"n.a.",CHOOSE($D$4,P18,P19,P20))</x:f>
        <x:v>0.02</x:v>
      </x:c>
      <x:c r="Q17" s="32" t="n">
        <x:f>IF(NOT(CHOOSE($D$4,ISNUMBER(Q18),ISNUMBER(Q19),ISNUMBER(Q20))),"n.a.",CHOOSE($D$4,Q18,Q19,Q20))</x:f>
        <x:v>0.02</x:v>
      </x:c>
      <x:c r="R17" s="32" t="n">
        <x:f>IF(NOT(CHOOSE($D$4,ISNUMBER(R18),ISNUMBER(R19),ISNUMBER(R20))),"n.a.",CHOOSE($D$4,R18,R19,R20))</x:f>
        <x:v>0.02</x:v>
      </x:c>
      <x:c r="S17" s="32" t="n">
        <x:f>IF(NOT(CHOOSE($D$4,ISNUMBER(S18),ISNUMBER(S19),ISNUMBER(S20))),"n.a.",CHOOSE($D$4,S18,S19,S20))</x:f>
        <x:v>0.02</x:v>
      </x:c>
      <x:c r="T17" s="2"/>
      <x:c r="U17" s="2"/>
    </x:row>
    <x:row r="18" ht="21" customHeight="1">
      <x:c r="A18" s="2"/>
      <x:c r="B18" s="2"/>
      <x:c r="C18" s="18" t="str">
        <x:v>Base</x:v>
      </x:c>
      <x:c r="D18" s="18"/>
      <x:c r="E18" s="19"/>
      <x:c r="F18" s="19"/>
      <x:c r="G18" s="19"/>
      <x:c r="H18" s="19"/>
      <x:c r="I18" s="19"/>
      <x:c r="J18" s="19"/>
      <x:c r="K18" s="19"/>
      <x:c r="L18" s="19"/>
      <x:c r="M18" s="19"/>
      <x:c r="N18" s="19"/>
      <x:c r="O18" s="31" t="n">
        <x:v>0.01</x:v>
      </x:c>
      <x:c r="P18" s="31" t="n">
        <x:v>0.02</x:v>
      </x:c>
      <x:c r="Q18" s="31" t="n">
        <x:v>0.02</x:v>
      </x:c>
      <x:c r="R18" s="31" t="n">
        <x:v>0.02</x:v>
      </x:c>
      <x:c r="S18" s="31" t="n">
        <x:v>0.02</x:v>
      </x:c>
      <x:c r="T18" s="2"/>
      <x:c r="U18" s="2"/>
    </x:row>
    <x:row r="19" ht="21" customHeight="1">
      <x:c r="A19" s="2"/>
      <x:c r="B19" s="2"/>
      <x:c r="C19" s="18" t="str">
        <x:v>Upside</x:v>
      </x:c>
      <x:c r="D19" s="18"/>
      <x:c r="E19" s="19"/>
      <x:c r="F19" s="19"/>
      <x:c r="G19" s="19"/>
      <x:c r="H19" s="19"/>
      <x:c r="I19" s="19"/>
      <x:c r="J19" s="19"/>
      <x:c r="K19" s="19"/>
      <x:c r="L19" s="19"/>
      <x:c r="M19" s="19"/>
      <x:c r="N19" s="19"/>
      <x:c r="O19" s="31" t="n">
        <x:v>0.04</x:v>
      </x:c>
      <x:c r="P19" s="31" t="n">
        <x:v>0.04</x:v>
      </x:c>
      <x:c r="Q19" s="31" t="n">
        <x:v>0.03</x:v>
      </x:c>
      <x:c r="R19" s="31" t="n">
        <x:v>0.03</x:v>
      </x:c>
      <x:c r="S19" s="31" t="n">
        <x:v>0.03</x:v>
      </x:c>
      <x:c r="T19" s="2"/>
      <x:c r="U19" s="2"/>
    </x:row>
    <x:row r="20" ht="21" customHeight="1">
      <x:c r="A20" s="2"/>
      <x:c r="B20" s="2"/>
      <x:c r="C20" s="18" t="str">
        <x:v>Downside</x:v>
      </x:c>
      <x:c r="D20" s="18"/>
      <x:c r="E20" s="19"/>
      <x:c r="F20" s="19"/>
      <x:c r="G20" s="19"/>
      <x:c r="H20" s="19"/>
      <x:c r="I20" s="19"/>
      <x:c r="J20" s="19"/>
      <x:c r="K20" s="19"/>
      <x:c r="L20" s="19"/>
      <x:c r="M20" s="19"/>
      <x:c r="N20" s="19"/>
      <x:c r="O20" s="31" t="n">
        <x:v>-0.05</x:v>
      </x:c>
      <x:c r="P20" s="31" t="n">
        <x:v>-0.03</x:v>
      </x:c>
      <x:c r="Q20" s="31" t="n">
        <x:v>0</x:v>
      </x:c>
      <x:c r="R20" s="31" t="n">
        <x:v>0.01</x:v>
      </x:c>
      <x:c r="S20" s="31" t="n">
        <x:v>0.01</x:v>
      </x:c>
      <x:c r="T20" s="2"/>
      <x:c r="U20" s="2"/>
    </x:row>
    <x:row r="21" ht="32" customHeight="1">
      <x:c r="A21" s="2"/>
      <x:c r="B21" s="2"/>
      <x:c r="C21" s="28" t="str">
        <x:v>PBP cost excluding allocated D&amp;A and operating leases</x:v>
      </x:c>
      <x:c r="D21" s="29"/>
      <x:c r="E21" s="30"/>
      <x:c r="F21" s="30"/>
      <x:c r="G21" s="30"/>
      <x:c r="H21" s="30"/>
      <x:c r="I21" s="30"/>
      <x:c r="J21" s="30"/>
      <x:c r="K21" s="30"/>
      <x:c r="L21" s="30"/>
      <x:c r="M21" s="30"/>
      <x:c r="N21" s="30"/>
      <x:c r="O21" s="32" t="n">
        <x:f>IF(NOT(CHOOSE($D$4,ISNUMBER(O22),ISNUMBER(O23),ISNUMBER(O24))),"n.a.",CHOOSE($D$4,O22,O23,O24))</x:f>
        <x:v>0.14977856510186005</x:v>
      </x:c>
      <x:c r="P21" s="32" t="n">
        <x:f>IF(NOT(CHOOSE($D$4,ISNUMBER(P22),ISNUMBER(P23),ISNUMBER(P24))),"n.a.",CHOOSE($D$4,P22,P23,P24))</x:f>
        <x:v>0.14777856510186005</x:v>
      </x:c>
      <x:c r="Q21" s="32" t="n">
        <x:f>IF(NOT(CHOOSE($D$4,ISNUMBER(Q22),ISNUMBER(Q23),ISNUMBER(Q24))),"n.a.",CHOOSE($D$4,Q22,Q23,Q24))</x:f>
        <x:v>0.14577856510186005</x:v>
      </x:c>
      <x:c r="R21" s="32" t="n">
        <x:f>IF(NOT(CHOOSE($D$4,ISNUMBER(R22),ISNUMBER(R23),ISNUMBER(R24))),"n.a.",CHOOSE($D$4,R22,R23,R24))</x:f>
        <x:v>0.14377856510186005</x:v>
      </x:c>
      <x:c r="S21" s="32" t="n">
        <x:f>IF(NOT(CHOOSE($D$4,ISNUMBER(S22),ISNUMBER(S23),ISNUMBER(S24))),"n.a.",CHOOSE($D$4,S22,S23,S24))</x:f>
        <x:v>0.14177856510186004</x:v>
      </x:c>
      <x:c r="T21" s="2"/>
      <x:c r="U21" s="2"/>
    </x:row>
    <x:row r="22" ht="21" customHeight="1">
      <x:c r="A22" s="2"/>
      <x:c r="B22" s="2"/>
      <x:c r="C22" s="18" t="str">
        <x:v>Base</x:v>
      </x:c>
      <x:c r="D22" s="18"/>
      <x:c r="E22" s="19"/>
      <x:c r="F22" s="19"/>
      <x:c r="G22" s="19"/>
      <x:c r="H22" s="19"/>
      <x:c r="I22" s="19"/>
      <x:c r="J22" s="19"/>
      <x:c r="K22" s="19"/>
      <x:c r="L22" s="19"/>
      <x:c r="M22" s="19"/>
      <x:c r="N22" s="19"/>
      <x:c r="O22" s="31" t="n">
        <x:v>0.14977856510186005</x:v>
      </x:c>
      <x:c r="P22" s="31" t="n">
        <x:v>0.14777856510186005</x:v>
      </x:c>
      <x:c r="Q22" s="31" t="n">
        <x:v>0.14577856510186005</x:v>
      </x:c>
      <x:c r="R22" s="31" t="n">
        <x:v>0.14377856510186005</x:v>
      </x:c>
      <x:c r="S22" s="31" t="n">
        <x:v>0.14177856510186004</x:v>
      </x:c>
      <x:c r="T22" s="2"/>
      <x:c r="U22" s="2"/>
    </x:row>
    <x:row r="23" ht="21" customHeight="1">
      <x:c r="A23" s="2"/>
      <x:c r="B23" s="2"/>
      <x:c r="C23" s="18" t="str">
        <x:v>Upside</x:v>
      </x:c>
      <x:c r="D23" s="18"/>
      <x:c r="E23" s="19"/>
      <x:c r="F23" s="19"/>
      <x:c r="G23" s="19"/>
      <x:c r="H23" s="19"/>
      <x:c r="I23" s="19"/>
      <x:c r="J23" s="19"/>
      <x:c r="K23" s="19"/>
      <x:c r="L23" s="19"/>
      <x:c r="M23" s="19"/>
      <x:c r="N23" s="19"/>
      <x:c r="O23" s="31" t="n">
        <x:v>0.14477856510186005</x:v>
      </x:c>
      <x:c r="P23" s="31" t="n">
        <x:v>0.14277856510186004</x:v>
      </x:c>
      <x:c r="Q23" s="31" t="n">
        <x:v>0.14077856510186004</x:v>
      </x:c>
      <x:c r="R23" s="31" t="n">
        <x:v>0.13877856510186004</x:v>
      </x:c>
      <x:c r="S23" s="31" t="n">
        <x:v>0.13677856510186004</x:v>
      </x:c>
      <x:c r="T23" s="2"/>
      <x:c r="U23" s="2"/>
    </x:row>
    <x:row r="24" ht="21" customHeight="1">
      <x:c r="A24" s="2"/>
      <x:c r="B24" s="2"/>
      <x:c r="C24" s="18" t="str">
        <x:v>Downside</x:v>
      </x:c>
      <x:c r="D24" s="18"/>
      <x:c r="E24" s="19"/>
      <x:c r="F24" s="19"/>
      <x:c r="G24" s="19"/>
      <x:c r="H24" s="19"/>
      <x:c r="I24" s="19"/>
      <x:c r="J24" s="19"/>
      <x:c r="K24" s="19"/>
      <x:c r="L24" s="19"/>
      <x:c r="M24" s="19"/>
      <x:c r="N24" s="19"/>
      <x:c r="O24" s="31" t="n">
        <x:v>0.15977856510186006</x:v>
      </x:c>
      <x:c r="P24" s="31" t="n">
        <x:v>0.15777856510186006</x:v>
      </x:c>
      <x:c r="Q24" s="31" t="n">
        <x:v>0.15577856510186006</x:v>
      </x:c>
      <x:c r="R24" s="31" t="n">
        <x:v>0.15377856510186005</x:v>
      </x:c>
      <x:c r="S24" s="31" t="n">
        <x:v>0.15177856510186005</x:v>
      </x:c>
      <x:c r="T24" s="2"/>
      <x:c r="U24" s="2"/>
    </x:row>
    <x:row r="25" ht="32" customHeight="1">
      <x:c r="A25" s="2"/>
      <x:c r="B25" s="2"/>
      <x:c r="C25" s="28" t="str">
        <x:v>IC cost excluding allocated D&amp;A and operating leases</x:v>
      </x:c>
      <x:c r="D25" s="29"/>
      <x:c r="E25" s="30"/>
      <x:c r="F25" s="30"/>
      <x:c r="G25" s="30"/>
      <x:c r="H25" s="30"/>
      <x:c r="I25" s="30"/>
      <x:c r="J25" s="30"/>
      <x:c r="K25" s="30"/>
      <x:c r="L25" s="30"/>
      <x:c r="M25" s="30"/>
      <x:c r="N25" s="30"/>
      <x:c r="O25" s="32" t="n">
        <x:f>IF(NOT(CHOOSE($D$4,ISNUMBER(O26),ISNUMBER(O27),ISNUMBER(O28))),"n.a.",CHOOSE($D$4,O26,O27,O28))</x:f>
        <x:v>0.20128455414359428</x:v>
      </x:c>
      <x:c r="P25" s="32" t="n">
        <x:f>IF(NOT(CHOOSE($D$4,ISNUMBER(P26),ISNUMBER(P27),ISNUMBER(P28))),"n.a.",CHOOSE($D$4,P26,P27,P28))</x:f>
        <x:v>0.19928455414359428</x:v>
      </x:c>
      <x:c r="Q25" s="32" t="n">
        <x:f>IF(NOT(CHOOSE($D$4,ISNUMBER(Q26),ISNUMBER(Q27),ISNUMBER(Q28))),"n.a.",CHOOSE($D$4,Q26,Q27,Q28))</x:f>
        <x:v>0.19728455414359428</x:v>
      </x:c>
      <x:c r="R25" s="32" t="n">
        <x:f>IF(NOT(CHOOSE($D$4,ISNUMBER(R26),ISNUMBER(R27),ISNUMBER(R28))),"n.a.",CHOOSE($D$4,R26,R27,R28))</x:f>
        <x:v>0.19528455414359427</x:v>
      </x:c>
      <x:c r="S25" s="32" t="n">
        <x:f>IF(NOT(CHOOSE($D$4,ISNUMBER(S26),ISNUMBER(S27),ISNUMBER(S28))),"n.a.",CHOOSE($D$4,S26,S27,S28))</x:f>
        <x:v>0.19328455414359427</x:v>
      </x:c>
      <x:c r="T25" s="2"/>
      <x:c r="U25" s="2"/>
    </x:row>
    <x:row r="26" ht="21" customHeight="1">
      <x:c r="A26" s="2"/>
      <x:c r="B26" s="2"/>
      <x:c r="C26" s="18" t="str">
        <x:v>Base</x:v>
      </x:c>
      <x:c r="D26" s="18"/>
      <x:c r="E26" s="19"/>
      <x:c r="F26" s="19"/>
      <x:c r="G26" s="19"/>
      <x:c r="H26" s="19"/>
      <x:c r="I26" s="19"/>
      <x:c r="J26" s="19"/>
      <x:c r="K26" s="19"/>
      <x:c r="L26" s="19"/>
      <x:c r="M26" s="19"/>
      <x:c r="N26" s="19"/>
      <x:c r="O26" s="31" t="n">
        <x:v>0.20128455414359428</x:v>
      </x:c>
      <x:c r="P26" s="31" t="n">
        <x:v>0.19928455414359428</x:v>
      </x:c>
      <x:c r="Q26" s="31" t="n">
        <x:v>0.19728455414359428</x:v>
      </x:c>
      <x:c r="R26" s="31" t="n">
        <x:v>0.19528455414359427</x:v>
      </x:c>
      <x:c r="S26" s="31" t="n">
        <x:v>0.19328455414359427</x:v>
      </x:c>
      <x:c r="T26" s="2"/>
      <x:c r="U26" s="2"/>
    </x:row>
    <x:row r="27" ht="21" customHeight="1">
      <x:c r="A27" s="2"/>
      <x:c r="B27" s="2"/>
      <x:c r="C27" s="18" t="str">
        <x:v>Upside</x:v>
      </x:c>
      <x:c r="D27" s="18"/>
      <x:c r="E27" s="19"/>
      <x:c r="F27" s="19"/>
      <x:c r="G27" s="19"/>
      <x:c r="H27" s="19"/>
      <x:c r="I27" s="19"/>
      <x:c r="J27" s="19"/>
      <x:c r="K27" s="19"/>
      <x:c r="L27" s="19"/>
      <x:c r="M27" s="19"/>
      <x:c r="N27" s="19"/>
      <x:c r="O27" s="31" t="n">
        <x:v>0.19628455414359428</x:v>
      </x:c>
      <x:c r="P27" s="31" t="n">
        <x:v>0.19428455414359427</x:v>
      </x:c>
      <x:c r="Q27" s="31" t="n">
        <x:v>0.19228455414359427</x:v>
      </x:c>
      <x:c r="R27" s="31" t="n">
        <x:v>0.19028455414359427</x:v>
      </x:c>
      <x:c r="S27" s="31" t="n">
        <x:v>0.18828455414359427</x:v>
      </x:c>
      <x:c r="T27" s="2"/>
      <x:c r="U27" s="2"/>
    </x:row>
    <x:row r="28" ht="21" customHeight="1">
      <x:c r="A28" s="2"/>
      <x:c r="B28" s="2"/>
      <x:c r="C28" s="18" t="str">
        <x:v>Downside</x:v>
      </x:c>
      <x:c r="D28" s="18"/>
      <x:c r="E28" s="19"/>
      <x:c r="F28" s="19"/>
      <x:c r="G28" s="19"/>
      <x:c r="H28" s="19"/>
      <x:c r="I28" s="19"/>
      <x:c r="J28" s="19"/>
      <x:c r="K28" s="19"/>
      <x:c r="L28" s="19"/>
      <x:c r="M28" s="19"/>
      <x:c r="N28" s="19"/>
      <x:c r="O28" s="31" t="n">
        <x:v>0.2112845541435943</x:v>
      </x:c>
      <x:c r="P28" s="31" t="n">
        <x:v>0.2092845541435943</x:v>
      </x:c>
      <x:c r="Q28" s="31" t="n">
        <x:v>0.20728455414359429</x:v>
      </x:c>
      <x:c r="R28" s="31" t="n">
        <x:v>0.20528455414359428</x:v>
      </x:c>
      <x:c r="S28" s="31" t="n">
        <x:v>0.20328455414359428</x:v>
      </x:c>
      <x:c r="T28" s="2"/>
      <x:c r="U28" s="2"/>
    </x:row>
    <x:row r="29" ht="32" customHeight="1">
      <x:c r="A29" s="2"/>
      <x:c r="B29" s="2"/>
      <x:c r="C29" s="28" t="str">
        <x:v>MPC cost excluding allocated D&amp;A and operating leases</x:v>
      </x:c>
      <x:c r="D29" s="29"/>
      <x:c r="E29" s="30"/>
      <x:c r="F29" s="30"/>
      <x:c r="G29" s="30"/>
      <x:c r="H29" s="30"/>
      <x:c r="I29" s="30"/>
      <x:c r="J29" s="30"/>
      <x:c r="K29" s="30"/>
      <x:c r="L29" s="30"/>
      <x:c r="M29" s="30"/>
      <x:c r="N29" s="30"/>
      <x:c r="O29" s="32" t="n">
        <x:f>IF(NOT(CHOOSE($D$4,ISNUMBER(O30),ISNUMBER(O31),ISNUMBER(O32))),"n.a.",CHOOSE($D$4,O30,O31,O32))</x:f>
        <x:v>0.33327536446384964</x:v>
      </x:c>
      <x:c r="P29" s="32" t="n">
        <x:f>IF(NOT(CHOOSE($D$4,ISNUMBER(P30),ISNUMBER(P31),ISNUMBER(P32))),"n.a.",CHOOSE($D$4,P30,P31,P32))</x:f>
        <x:v>0.33127536446384964</x:v>
      </x:c>
      <x:c r="Q29" s="32" t="n">
        <x:f>IF(NOT(CHOOSE($D$4,ISNUMBER(Q30),ISNUMBER(Q31),ISNUMBER(Q32))),"n.a.",CHOOSE($D$4,Q30,Q31,Q32))</x:f>
        <x:v>0.32927536446384964</x:v>
      </x:c>
      <x:c r="R29" s="32" t="n">
        <x:f>IF(NOT(CHOOSE($D$4,ISNUMBER(R30),ISNUMBER(R31),ISNUMBER(R32))),"n.a.",CHOOSE($D$4,R30,R31,R32))</x:f>
        <x:v>0.32727536446384964</x:v>
      </x:c>
      <x:c r="S29" s="32" t="n">
        <x:f>IF(NOT(CHOOSE($D$4,ISNUMBER(S30),ISNUMBER(S31),ISNUMBER(S32))),"n.a.",CHOOSE($D$4,S30,S31,S32))</x:f>
        <x:v>0.32527536446384964</x:v>
      </x:c>
      <x:c r="T29" s="2"/>
      <x:c r="U29" s="2"/>
    </x:row>
    <x:row r="30" ht="21" customHeight="1">
      <x:c r="A30" s="2"/>
      <x:c r="B30" s="2"/>
      <x:c r="C30" s="18" t="str">
        <x:v>Base</x:v>
      </x:c>
      <x:c r="D30" s="18"/>
      <x:c r="E30" s="19"/>
      <x:c r="F30" s="19"/>
      <x:c r="G30" s="19"/>
      <x:c r="H30" s="19"/>
      <x:c r="I30" s="19"/>
      <x:c r="J30" s="19"/>
      <x:c r="K30" s="19"/>
      <x:c r="L30" s="19"/>
      <x:c r="M30" s="19"/>
      <x:c r="N30" s="19"/>
      <x:c r="O30" s="31" t="n">
        <x:v>0.33327536446384964</x:v>
      </x:c>
      <x:c r="P30" s="31" t="n">
        <x:v>0.33127536446384964</x:v>
      </x:c>
      <x:c r="Q30" s="31" t="n">
        <x:v>0.32927536446384964</x:v>
      </x:c>
      <x:c r="R30" s="31" t="n">
        <x:v>0.32727536446384964</x:v>
      </x:c>
      <x:c r="S30" s="31" t="n">
        <x:v>0.32527536446384964</x:v>
      </x:c>
      <x:c r="T30" s="2"/>
      <x:c r="U30" s="2"/>
    </x:row>
    <x:row r="31" ht="21" customHeight="1">
      <x:c r="A31" s="2"/>
      <x:c r="B31" s="2"/>
      <x:c r="C31" s="18" t="str">
        <x:v>Upside</x:v>
      </x:c>
      <x:c r="D31" s="18"/>
      <x:c r="E31" s="19"/>
      <x:c r="F31" s="19"/>
      <x:c r="G31" s="19"/>
      <x:c r="H31" s="19"/>
      <x:c r="I31" s="19"/>
      <x:c r="J31" s="19"/>
      <x:c r="K31" s="19"/>
      <x:c r="L31" s="19"/>
      <x:c r="M31" s="19"/>
      <x:c r="N31" s="19"/>
      <x:c r="O31" s="31" t="n">
        <x:v>0.32827536446384964</x:v>
      </x:c>
      <x:c r="P31" s="31" t="n">
        <x:v>0.32627536446384964</x:v>
      </x:c>
      <x:c r="Q31" s="31" t="n">
        <x:v>0.32427536446384964</x:v>
      </x:c>
      <x:c r="R31" s="31" t="n">
        <x:v>0.32227536446384963</x:v>
      </x:c>
      <x:c r="S31" s="31" t="n">
        <x:v>0.32027536446384963</x:v>
      </x:c>
      <x:c r="T31" s="2"/>
      <x:c r="U31" s="2"/>
    </x:row>
    <x:row r="32" ht="21" customHeight="1">
      <x:c r="A32" s="2"/>
      <x:c r="B32" s="2"/>
      <x:c r="C32" s="18" t="str">
        <x:v>Downside</x:v>
      </x:c>
      <x:c r="D32" s="18"/>
      <x:c r="E32" s="19"/>
      <x:c r="F32" s="19"/>
      <x:c r="G32" s="19"/>
      <x:c r="H32" s="19"/>
      <x:c r="I32" s="19"/>
      <x:c r="J32" s="19"/>
      <x:c r="K32" s="19"/>
      <x:c r="L32" s="19"/>
      <x:c r="M32" s="19"/>
      <x:c r="N32" s="19"/>
      <x:c r="O32" s="31" t="n">
        <x:v>0.34327536446384965</x:v>
      </x:c>
      <x:c r="P32" s="31" t="n">
        <x:v>0.34127536446384965</x:v>
      </x:c>
      <x:c r="Q32" s="31" t="n">
        <x:v>0.33927536446384965</x:v>
      </x:c>
      <x:c r="R32" s="31" t="n">
        <x:v>0.33727536446384965</x:v>
      </x:c>
      <x:c r="S32" s="31" t="n">
        <x:v>0.33527536446384965</x:v>
      </x:c>
      <x:c r="T32" s="2"/>
      <x:c r="U32" s="2"/>
    </x:row>
    <x:row r="33" ht="32" customHeight="1">
      <x:c r="A33" s="2"/>
      <x:c r="B33" s="2"/>
      <x:c r="C33" s="28" t="str">
        <x:v>R&amp;D excluding allocated D&amp;A and operating leases / revenue</x:v>
      </x:c>
      <x:c r="D33" s="29"/>
      <x:c r="E33" s="30"/>
      <x:c r="F33" s="30"/>
      <x:c r="G33" s="30"/>
      <x:c r="H33" s="30"/>
      <x:c r="I33" s="30"/>
      <x:c r="J33" s="30"/>
      <x:c r="K33" s="30"/>
      <x:c r="L33" s="30"/>
      <x:c r="M33" s="30"/>
      <x:c r="N33" s="30"/>
      <x:c r="O33" s="32" t="n">
        <x:f>IF(NOT(CHOOSE($D$4,ISNUMBER(O34),ISNUMBER(O35),ISNUMBER(O36))),"n.a.",CHOOSE($D$4,O34,O35,O36))</x:f>
        <x:v>0.0881457574305612</x:v>
      </x:c>
      <x:c r="P33" s="32" t="n">
        <x:f>IF(NOT(CHOOSE($D$4,ISNUMBER(P34),ISNUMBER(P35),ISNUMBER(P36))),"n.a.",CHOOSE($D$4,P34,P35,P36))</x:f>
        <x:v>0.0876457574305612</x:v>
      </x:c>
      <x:c r="Q33" s="32" t="n">
        <x:f>IF(NOT(CHOOSE($D$4,ISNUMBER(Q34),ISNUMBER(Q35),ISNUMBER(Q36))),"n.a.",CHOOSE($D$4,Q34,Q35,Q36))</x:f>
        <x:v>0.0871457574305612</x:v>
      </x:c>
      <x:c r="R33" s="32" t="n">
        <x:f>IF(NOT(CHOOSE($D$4,ISNUMBER(R34),ISNUMBER(R35),ISNUMBER(R36))),"n.a.",CHOOSE($D$4,R34,R35,R36))</x:f>
        <x:v>0.0866457574305612</x:v>
      </x:c>
      <x:c r="S33" s="32" t="n">
        <x:f>IF(NOT(CHOOSE($D$4,ISNUMBER(S34),ISNUMBER(S35),ISNUMBER(S36))),"n.a.",CHOOSE($D$4,S34,S35,S36))</x:f>
        <x:v>0.0861457574305612</x:v>
      </x:c>
      <x:c r="T33" s="2"/>
      <x:c r="U33" s="2"/>
    </x:row>
    <x:row r="34" ht="21" customHeight="1">
      <x:c r="A34" s="2"/>
      <x:c r="B34" s="2"/>
      <x:c r="C34" s="18" t="str">
        <x:v>Base</x:v>
      </x:c>
      <x:c r="D34" s="18"/>
      <x:c r="E34" s="19"/>
      <x:c r="F34" s="19"/>
      <x:c r="G34" s="19"/>
      <x:c r="H34" s="19"/>
      <x:c r="I34" s="19"/>
      <x:c r="J34" s="19"/>
      <x:c r="K34" s="19"/>
      <x:c r="L34" s="19"/>
      <x:c r="M34" s="19"/>
      <x:c r="N34" s="19"/>
      <x:c r="O34" s="31" t="n">
        <x:v>0.0881457574305612</x:v>
      </x:c>
      <x:c r="P34" s="31" t="n">
        <x:v>0.0876457574305612</x:v>
      </x:c>
      <x:c r="Q34" s="31" t="n">
        <x:v>0.0871457574305612</x:v>
      </x:c>
      <x:c r="R34" s="31" t="n">
        <x:v>0.0866457574305612</x:v>
      </x:c>
      <x:c r="S34" s="31" t="n">
        <x:v>0.0861457574305612</x:v>
      </x:c>
      <x:c r="T34" s="2"/>
      <x:c r="U34" s="2"/>
    </x:row>
    <x:row r="35" ht="21" customHeight="1">
      <x:c r="A35" s="2"/>
      <x:c r="B35" s="2"/>
      <x:c r="C35" s="18" t="str">
        <x:v>Upside</x:v>
      </x:c>
      <x:c r="D35" s="18"/>
      <x:c r="E35" s="19"/>
      <x:c r="F35" s="19"/>
      <x:c r="G35" s="19"/>
      <x:c r="H35" s="19"/>
      <x:c r="I35" s="19"/>
      <x:c r="J35" s="19"/>
      <x:c r="K35" s="19"/>
      <x:c r="L35" s="19"/>
      <x:c r="M35" s="19"/>
      <x:c r="N35" s="19"/>
      <x:c r="O35" s="31" t="n">
        <x:v>0.0871457574305612</x:v>
      </x:c>
      <x:c r="P35" s="31" t="n">
        <x:v>0.0866457574305612</x:v>
      </x:c>
      <x:c r="Q35" s="31" t="n">
        <x:v>0.0861457574305612</x:v>
      </x:c>
      <x:c r="R35" s="31" t="n">
        <x:v>0.0856457574305612</x:v>
      </x:c>
      <x:c r="S35" s="31" t="n">
        <x:v>0.0851457574305612</x:v>
      </x:c>
      <x:c r="T35" s="2"/>
      <x:c r="U35" s="2"/>
    </x:row>
    <x:row r="36" ht="21" customHeight="1">
      <x:c r="A36" s="2"/>
      <x:c r="B36" s="2"/>
      <x:c r="C36" s="18" t="str">
        <x:v>Downside</x:v>
      </x:c>
      <x:c r="D36" s="18"/>
      <x:c r="E36" s="19"/>
      <x:c r="F36" s="19"/>
      <x:c r="G36" s="19"/>
      <x:c r="H36" s="19"/>
      <x:c r="I36" s="19"/>
      <x:c r="J36" s="19"/>
      <x:c r="K36" s="19"/>
      <x:c r="L36" s="19"/>
      <x:c r="M36" s="19"/>
      <x:c r="N36" s="19"/>
      <x:c r="O36" s="31" t="n">
        <x:v>0.0911457574305612</x:v>
      </x:c>
      <x:c r="P36" s="31" t="n">
        <x:v>0.0906457574305612</x:v>
      </x:c>
      <x:c r="Q36" s="31" t="n">
        <x:v>0.0901457574305612</x:v>
      </x:c>
      <x:c r="R36" s="31" t="n">
        <x:v>0.0896457574305612</x:v>
      </x:c>
      <x:c r="S36" s="31" t="n">
        <x:v>0.0891457574305612</x:v>
      </x:c>
      <x:c r="T36" s="2"/>
      <x:c r="U36" s="2"/>
    </x:row>
    <x:row r="37" ht="21" customHeight="1">
      <x:c r="A37" s="2"/>
      <x:c r="B37" s="2"/>
      <x:c r="C37" s="29" t="str">
        <x:v>Sales and marketing / revenue</x:v>
      </x:c>
      <x:c r="D37" s="29"/>
      <x:c r="E37" s="62" t="n">
        <x:f>'Income Statement'!E15/'Income Statement'!E8</x:f>
        <x:v>0.16009982292820826</x:v>
      </x:c>
      <x:c r="F37" s="62" t="n">
        <x:f>'Income Statement'!F15/'Income Statement'!F8</x:f>
        <x:v>0.15829104748097136</x:v>
      </x:c>
      <x:c r="G37" s="62" t="n">
        <x:f>'Income Statement'!G15/'Income Statement'!G8</x:f>
        <x:v>0.1447279546736807</x:v>
      </x:c>
      <x:c r="H37" s="62" t="n">
        <x:f>'Income Statement'!H15/'Income Statement'!H8</x:f>
        <x:v>0.13703457679264414</x:v>
      </x:c>
      <x:c r="I37" s="62" t="n">
        <x:f>'Income Statement'!I15/'Income Statement'!I8</x:f>
        <x:v>0.1196813573842273</x:v>
      </x:c>
      <x:c r="J37" s="62" t="n">
        <x:f>'Income Statement'!J15/'Income Statement'!J8</x:f>
        <x:v>0.11007716749886519</x:v>
      </x:c>
      <x:c r="K37" s="62" t="n">
        <x:f>'Income Statement'!K15/'Income Statement'!K8</x:f>
        <x:v>0.10739683363612769</x:v>
      </x:c>
      <x:c r="L37" s="62" t="n">
        <x:f>'Income Statement'!L15/'Income Statement'!L8</x:f>
        <x:v>0.09977072641378579</x:v>
      </x:c>
      <x:c r="M37" s="62" t="n">
        <x:f>'Income Statement'!M15/'Income Statement'!M8</x:f>
        <x:v>0.09106075449730942</x:v>
      </x:c>
      <x:c r="N37" s="62" t="n">
        <x:f>'Income Statement'!N15/'Income Statement'!N8</x:f>
        <x:v>0.08049084043768213</x:v>
      </x:c>
      <x:c r="O37" s="32" t="n">
        <x:f>IF(NOT(CHOOSE($D$4,ISNUMBER(O38),ISNUMBER(O39),ISNUMBER(O40))),"n.a.",CHOOSE($D$4,O38,O39,O40))</x:f>
        <x:v>0.08</x:v>
      </x:c>
      <x:c r="P37" s="32" t="n">
        <x:f>IF(NOT(CHOOSE($D$4,ISNUMBER(P38),ISNUMBER(P39),ISNUMBER(P40))),"n.a.",CHOOSE($D$4,P38,P39,P40))</x:f>
        <x:v>0.079</x:v>
      </x:c>
      <x:c r="Q37" s="32" t="n">
        <x:f>IF(NOT(CHOOSE($D$4,ISNUMBER(Q38),ISNUMBER(Q39),ISNUMBER(Q40))),"n.a.",CHOOSE($D$4,Q38,Q39,Q40))</x:f>
        <x:v>0.078</x:v>
      </x:c>
      <x:c r="R37" s="32" t="n">
        <x:f>IF(NOT(CHOOSE($D$4,ISNUMBER(R38),ISNUMBER(R39),ISNUMBER(R40))),"n.a.",CHOOSE($D$4,R38,R39,R40))</x:f>
        <x:v>0.077</x:v>
      </x:c>
      <x:c r="S37" s="32" t="n">
        <x:f>IF(NOT(CHOOSE($D$4,ISNUMBER(S38),ISNUMBER(S39),ISNUMBER(S40))),"n.a.",CHOOSE($D$4,S38,S39,S40))</x:f>
        <x:v>0.076</x:v>
      </x:c>
      <x:c r="T37" s="2"/>
      <x:c r="U37" s="2"/>
    </x:row>
    <x:row r="38" ht="21" customHeight="1">
      <x:c r="A38" s="2"/>
      <x:c r="B38" s="2"/>
      <x:c r="C38" s="18" t="str">
        <x:v>Base</x:v>
      </x:c>
      <x:c r="D38" s="18"/>
      <x:c r="E38" s="19"/>
      <x:c r="F38" s="19"/>
      <x:c r="G38" s="19"/>
      <x:c r="H38" s="19"/>
      <x:c r="I38" s="19"/>
      <x:c r="J38" s="19"/>
      <x:c r="K38" s="19"/>
      <x:c r="L38" s="19"/>
      <x:c r="M38" s="19"/>
      <x:c r="N38" s="19"/>
      <x:c r="O38" s="31" t="n">
        <x:v>0.08</x:v>
      </x:c>
      <x:c r="P38" s="31" t="n">
        <x:v>0.079</x:v>
      </x:c>
      <x:c r="Q38" s="31" t="n">
        <x:v>0.078</x:v>
      </x:c>
      <x:c r="R38" s="31" t="n">
        <x:v>0.077</x:v>
      </x:c>
      <x:c r="S38" s="31" t="n">
        <x:v>0.076</x:v>
      </x:c>
      <x:c r="T38" s="2"/>
      <x:c r="U38" s="2"/>
    </x:row>
    <x:row r="39" ht="21" customHeight="1">
      <x:c r="A39" s="2"/>
      <x:c r="B39" s="2"/>
      <x:c r="C39" s="18" t="str">
        <x:v>Upside</x:v>
      </x:c>
      <x:c r="D39" s="18"/>
      <x:c r="E39" s="19"/>
      <x:c r="F39" s="19"/>
      <x:c r="G39" s="19"/>
      <x:c r="H39" s="19"/>
      <x:c r="I39" s="19"/>
      <x:c r="J39" s="19"/>
      <x:c r="K39" s="19"/>
      <x:c r="L39" s="19"/>
      <x:c r="M39" s="19"/>
      <x:c r="N39" s="19"/>
      <x:c r="O39" s="31" t="n">
        <x:v>0.077</x:v>
      </x:c>
      <x:c r="P39" s="31" t="n">
        <x:v>0.076</x:v>
      </x:c>
      <x:c r="Q39" s="31" t="n">
        <x:v>0.075</x:v>
      </x:c>
      <x:c r="R39" s="31" t="n">
        <x:v>0.074</x:v>
      </x:c>
      <x:c r="S39" s="31" t="n">
        <x:v>0.073</x:v>
      </x:c>
      <x:c r="T39" s="2"/>
      <x:c r="U39" s="2"/>
    </x:row>
    <x:row r="40" ht="21" customHeight="1">
      <x:c r="A40" s="2"/>
      <x:c r="B40" s="2"/>
      <x:c r="C40" s="18" t="str">
        <x:v>Downside</x:v>
      </x:c>
      <x:c r="D40" s="18"/>
      <x:c r="E40" s="19"/>
      <x:c r="F40" s="19"/>
      <x:c r="G40" s="19"/>
      <x:c r="H40" s="19"/>
      <x:c r="I40" s="19"/>
      <x:c r="J40" s="19"/>
      <x:c r="K40" s="19"/>
      <x:c r="L40" s="19"/>
      <x:c r="M40" s="19"/>
      <x:c r="N40" s="19"/>
      <x:c r="O40" s="31" t="n">
        <x:v>0.083</x:v>
      </x:c>
      <x:c r="P40" s="31" t="n">
        <x:v>0.082</x:v>
      </x:c>
      <x:c r="Q40" s="31" t="n">
        <x:v>0.081</x:v>
      </x:c>
      <x:c r="R40" s="31" t="n">
        <x:v>0.08</x:v>
      </x:c>
      <x:c r="S40" s="31" t="n">
        <x:v>0.079</x:v>
      </x:c>
      <x:c r="T40" s="2"/>
      <x:c r="U40" s="2"/>
    </x:row>
    <x:row r="41" ht="21" customHeight="1">
      <x:c r="A41" s="2"/>
      <x:c r="B41" s="2"/>
      <x:c r="C41" s="29" t="str">
        <x:v>General and administrative / revenue</x:v>
      </x:c>
      <x:c r="D41" s="29"/>
      <x:c r="E41" s="62" t="n">
        <x:f>'Income Statement'!E16/'Income Statement'!E8</x:f>
        <x:v>0.046401093495977055</x:v>
      </x:c>
      <x:c r="F41" s="62" t="n">
        <x:f>'Income Statement'!F16/'Income Statement'!F8</x:f>
        <x:v>0.043077201884740846</x:v>
      </x:c>
      <x:c r="G41" s="62" t="n">
        <x:f>'Income Statement'!G16/'Income Statement'!G8</x:f>
        <x:v>0.0388182099918152</x:v>
      </x:c>
      <x:c r="H41" s="62" t="n">
        <x:f>'Income Statement'!H16/'Income Statement'!H8</x:f>
        <x:v>0.03573751005139321</x:v>
      </x:c>
      <x:c r="I41" s="62" t="n">
        <x:f>'Income Statement'!I16/'Income Statement'!I8</x:f>
        <x:v>0.030382894674218265</x:v>
      </x:c>
      <x:c r="J41" s="62" t="n">
        <x:f>'Income Statement'!J16/'Income Statement'!J8</x:f>
        <x:v>0.029757401523175468</x:v>
      </x:c>
      <x:c r="K41" s="62" t="n">
        <x:f>'Income Statement'!K16/'Income Statement'!K8</x:f>
        <x:v>0.03574546398320081</x:v>
      </x:c>
      <x:c r="L41" s="62" t="n">
        <x:f>'Income Statement'!L16/'Income Statement'!L8</x:f>
        <x:v>0.031041685364838735</x:v>
      </x:c>
      <x:c r="M41" s="62" t="n">
        <x:f>'Income Statement'!M16/'Income Statement'!M8</x:f>
        <x:v>0.02563856824409706</x:v>
      </x:c>
      <x:c r="N41" s="62" t="n">
        <x:f>'Income Statement'!N16/'Income Statement'!N8</x:f>
        <x:v>0.0239754820861924</x:v>
      </x:c>
      <x:c r="O41" s="32" t="n">
        <x:f>IF(NOT(CHOOSE($D$4,ISNUMBER(O42),ISNUMBER(O43),ISNUMBER(O44))),"n.a.",CHOOSE($D$4,O42,O43,O44))</x:f>
        <x:v>0.024</x:v>
      </x:c>
      <x:c r="P41" s="32" t="n">
        <x:f>IF(NOT(CHOOSE($D$4,ISNUMBER(P42),ISNUMBER(P43),ISNUMBER(P44))),"n.a.",CHOOSE($D$4,P42,P43,P44))</x:f>
        <x:v>0.0235</x:v>
      </x:c>
      <x:c r="Q41" s="32" t="n">
        <x:f>IF(NOT(CHOOSE($D$4,ISNUMBER(Q42),ISNUMBER(Q43),ISNUMBER(Q44))),"n.a.",CHOOSE($D$4,Q42,Q43,Q44))</x:f>
        <x:v>0.023</x:v>
      </x:c>
      <x:c r="R41" s="32" t="n">
        <x:f>IF(NOT(CHOOSE($D$4,ISNUMBER(R42),ISNUMBER(R43),ISNUMBER(R44))),"n.a.",CHOOSE($D$4,R42,R43,R44))</x:f>
        <x:v>0.0225</x:v>
      </x:c>
      <x:c r="S41" s="32" t="n">
        <x:f>IF(NOT(CHOOSE($D$4,ISNUMBER(S42),ISNUMBER(S43),ISNUMBER(S44))),"n.a.",CHOOSE($D$4,S42,S43,S44))</x:f>
        <x:v>0.022</x:v>
      </x:c>
      <x:c r="T41" s="2"/>
      <x:c r="U41" s="2"/>
    </x:row>
    <x:row r="42" ht="21" customHeight="1">
      <x:c r="A42" s="2"/>
      <x:c r="B42" s="2"/>
      <x:c r="C42" s="18" t="str">
        <x:v>Base</x:v>
      </x:c>
      <x:c r="D42" s="18"/>
      <x:c r="E42" s="19"/>
      <x:c r="F42" s="19"/>
      <x:c r="G42" s="19"/>
      <x:c r="H42" s="19"/>
      <x:c r="I42" s="19"/>
      <x:c r="J42" s="19"/>
      <x:c r="K42" s="19"/>
      <x:c r="L42" s="19"/>
      <x:c r="M42" s="19"/>
      <x:c r="N42" s="19"/>
      <x:c r="O42" s="31" t="n">
        <x:v>0.024</x:v>
      </x:c>
      <x:c r="P42" s="31" t="n">
        <x:v>0.0235</x:v>
      </x:c>
      <x:c r="Q42" s="31" t="n">
        <x:v>0.023</x:v>
      </x:c>
      <x:c r="R42" s="31" t="n">
        <x:v>0.0225</x:v>
      </x:c>
      <x:c r="S42" s="31" t="n">
        <x:v>0.022</x:v>
      </x:c>
      <x:c r="T42" s="2"/>
      <x:c r="U42" s="2"/>
    </x:row>
    <x:row r="43" ht="21" customHeight="1">
      <x:c r="A43" s="2"/>
      <x:c r="B43" s="2"/>
      <x:c r="C43" s="18" t="str">
        <x:v>Upside</x:v>
      </x:c>
      <x:c r="D43" s="18"/>
      <x:c r="E43" s="19"/>
      <x:c r="F43" s="19"/>
      <x:c r="G43" s="19"/>
      <x:c r="H43" s="19"/>
      <x:c r="I43" s="19"/>
      <x:c r="J43" s="19"/>
      <x:c r="K43" s="19"/>
      <x:c r="L43" s="19"/>
      <x:c r="M43" s="19"/>
      <x:c r="N43" s="19"/>
      <x:c r="O43" s="31" t="n">
        <x:v>0.023</x:v>
      </x:c>
      <x:c r="P43" s="31" t="n">
        <x:v>0.0225</x:v>
      </x:c>
      <x:c r="Q43" s="31" t="n">
        <x:v>0.022</x:v>
      </x:c>
      <x:c r="R43" s="31" t="n">
        <x:v>0.0215</x:v>
      </x:c>
      <x:c r="S43" s="31" t="n">
        <x:v>0.020999999999999998</x:v>
      </x:c>
      <x:c r="T43" s="2"/>
      <x:c r="U43" s="2"/>
    </x:row>
    <x:row r="44" ht="21" customHeight="1">
      <x:c r="A44" s="2"/>
      <x:c r="B44" s="2"/>
      <x:c r="C44" s="18" t="str">
        <x:v>Downside</x:v>
      </x:c>
      <x:c r="D44" s="18"/>
      <x:c r="E44" s="19"/>
      <x:c r="F44" s="19"/>
      <x:c r="G44" s="19"/>
      <x:c r="H44" s="19"/>
      <x:c r="I44" s="19"/>
      <x:c r="J44" s="19"/>
      <x:c r="K44" s="19"/>
      <x:c r="L44" s="19"/>
      <x:c r="M44" s="19"/>
      <x:c r="N44" s="19"/>
      <x:c r="O44" s="31" t="n">
        <x:v>0.026000000000000002</x:v>
      </x:c>
      <x:c r="P44" s="31" t="n">
        <x:v>0.025500000000000002</x:v>
      </x:c>
      <x:c r="Q44" s="31" t="n">
        <x:v>0.025</x:v>
      </x:c>
      <x:c r="R44" s="31" t="n">
        <x:v>0.0245</x:v>
      </x:c>
      <x:c r="S44" s="31" t="n">
        <x:v>0.024</x:v>
      </x:c>
      <x:c r="T44" s="2"/>
      <x:c r="U44" s="2"/>
    </x:row>
    <x:row r="45" ht="32" customHeight="1">
      <x:c r="A45" s="2"/>
      <x:c r="B45" s="2"/>
      <x:c r="C45" s="28" t="str">
        <x:v>Cash capex including capitalized interest / revenue</x:v>
      </x:c>
      <x:c r="D45" s="29"/>
      <x:c r="E45" s="62" t="n">
        <x:f>'PPE and Intangibles'!E8/'Income Statement'!E8</x:f>
        <x:v>0.08417640906690414</x:v>
      </x:c>
      <x:c r="F45" s="62" t="n">
        <x:f>'PPE and Intangibles'!F8/'Income Statement'!F8</x:f>
        <x:v>0.10540050743022834</x:v>
      </x:c>
      <x:c r="G45" s="62" t="n">
        <x:f>'PPE and Intangibles'!G8/'Income Statement'!G8</x:f>
        <x:v>0.11065375110256431</x:v>
      </x:c>
      <x:c r="H45" s="62" t="n">
        <x:f>'PPE and Intangibles'!H8/'Income Statement'!H8</x:f>
        <x:v>0.10796769569625564</x:v>
      </x:c>
      <x:c r="I45" s="62" t="n">
        <x:f>'PPE and Intangibles'!I8/'Income Statement'!I8</x:f>
        <x:v>0.12268573604302509</x:v>
      </x:c>
      <x:c r="J45" s="62" t="n">
        <x:f>'PPE and Intangibles'!J8/'Income Statement'!J8</x:f>
        <x:v>0.12047208352246935</x:v>
      </x:c>
      <x:c r="K45" s="62" t="n">
        <x:f>'PPE and Intangibles'!K8/'Income Statement'!K8</x:f>
        <x:v>0.13263336715192411</x:v>
      </x:c>
      <x:c r="L45" s="62" t="n">
        <x:f>'PPE and Intangibles'!L8/'Income Statement'!L8</x:f>
        <x:v>0.18144842160230415</x:v>
      </x:c>
      <x:c r="M45" s="62" t="n">
        <x:f>'PPE and Intangibles'!M8/'Income Statement'!M8</x:f>
        <x:v>0.22912850875324786</x:v>
      </x:c>
      <x:c r="N45" s="62" t="n">
        <x:f>'PPE and Intangibles'!N8/'Income Statement'!N8</x:f>
        <x:v>0.34941040685392616</x:v>
      </x:c>
      <x:c r="O45" s="32" t="n">
        <x:f>IF(NOT(CHOOSE($D$4,ISNUMBER(O46),ISNUMBER(O47),ISNUMBER(O48))),"n.a.",CHOOSE($D$4,O46,O47,O48))</x:f>
        <x:v>0.32</x:v>
      </x:c>
      <x:c r="P45" s="32" t="n">
        <x:f>IF(NOT(CHOOSE($D$4,ISNUMBER(P46),ISNUMBER(P47),ISNUMBER(P48))),"n.a.",CHOOSE($D$4,P46,P47,P48))</x:f>
        <x:v>0.28</x:v>
      </x:c>
      <x:c r="Q45" s="32" t="n">
        <x:f>IF(NOT(CHOOSE($D$4,ISNUMBER(Q46),ISNUMBER(Q47),ISNUMBER(Q48))),"n.a.",CHOOSE($D$4,Q46,Q47,Q48))</x:f>
        <x:v>0.25</x:v>
      </x:c>
      <x:c r="R45" s="32" t="n">
        <x:f>IF(NOT(CHOOSE($D$4,ISNUMBER(R46),ISNUMBER(R47),ISNUMBER(R48))),"n.a.",CHOOSE($D$4,R46,R47,R48))</x:f>
        <x:v>0.22</x:v>
      </x:c>
      <x:c r="S45" s="32" t="n">
        <x:f>IF(NOT(CHOOSE($D$4,ISNUMBER(S46),ISNUMBER(S47),ISNUMBER(S48))),"n.a.",CHOOSE($D$4,S46,S47,S48))</x:f>
        <x:v>0.2</x:v>
      </x:c>
      <x:c r="T45" s="2"/>
      <x:c r="U45" s="2"/>
    </x:row>
    <x:row r="46" ht="21" customHeight="1">
      <x:c r="A46" s="2"/>
      <x:c r="B46" s="2"/>
      <x:c r="C46" s="18" t="str">
        <x:v>Base</x:v>
      </x:c>
      <x:c r="D46" s="18"/>
      <x:c r="E46" s="19"/>
      <x:c r="F46" s="19"/>
      <x:c r="G46" s="19"/>
      <x:c r="H46" s="19"/>
      <x:c r="I46" s="19"/>
      <x:c r="J46" s="19"/>
      <x:c r="K46" s="19"/>
      <x:c r="L46" s="19"/>
      <x:c r="M46" s="19"/>
      <x:c r="N46" s="19"/>
      <x:c r="O46" s="31" t="n">
        <x:v>0.32</x:v>
      </x:c>
      <x:c r="P46" s="31" t="n">
        <x:v>0.28</x:v>
      </x:c>
      <x:c r="Q46" s="31" t="n">
        <x:v>0.25</x:v>
      </x:c>
      <x:c r="R46" s="31" t="n">
        <x:v>0.22</x:v>
      </x:c>
      <x:c r="S46" s="31" t="n">
        <x:v>0.2</x:v>
      </x:c>
      <x:c r="T46" s="2"/>
      <x:c r="U46" s="2"/>
    </x:row>
    <x:row r="47" ht="21" customHeight="1">
      <x:c r="A47" s="2"/>
      <x:c r="B47" s="2"/>
      <x:c r="C47" s="18" t="str">
        <x:v>Upside</x:v>
      </x:c>
      <x:c r="D47" s="18"/>
      <x:c r="E47" s="19"/>
      <x:c r="F47" s="19"/>
      <x:c r="G47" s="19"/>
      <x:c r="H47" s="19"/>
      <x:c r="I47" s="19"/>
      <x:c r="J47" s="19"/>
      <x:c r="K47" s="19"/>
      <x:c r="L47" s="19"/>
      <x:c r="M47" s="19"/>
      <x:c r="N47" s="19"/>
      <x:c r="O47" s="31" t="n">
        <x:v>0.34</x:v>
      </x:c>
      <x:c r="P47" s="31" t="n">
        <x:v>0.31</x:v>
      </x:c>
      <x:c r="Q47" s="31" t="n">
        <x:v>0.28</x:v>
      </x:c>
      <x:c r="R47" s="31" t="n">
        <x:v>0.25</x:v>
      </x:c>
      <x:c r="S47" s="31" t="n">
        <x:v>0.23</x:v>
      </x:c>
      <x:c r="T47" s="2"/>
      <x:c r="U47" s="2"/>
    </x:row>
    <x:row r="48" ht="21" customHeight="1">
      <x:c r="A48" s="2"/>
      <x:c r="B48" s="2"/>
      <x:c r="C48" s="18" t="str">
        <x:v>Downside</x:v>
      </x:c>
      <x:c r="D48" s="18"/>
      <x:c r="E48" s="19"/>
      <x:c r="F48" s="19"/>
      <x:c r="G48" s="19"/>
      <x:c r="H48" s="19"/>
      <x:c r="I48" s="19"/>
      <x:c r="J48" s="19"/>
      <x:c r="K48" s="19"/>
      <x:c r="L48" s="19"/>
      <x:c r="M48" s="19"/>
      <x:c r="N48" s="19"/>
      <x:c r="O48" s="31" t="n">
        <x:v>0.35</x:v>
      </x:c>
      <x:c r="P48" s="31" t="n">
        <x:v>0.33</x:v>
      </x:c>
      <x:c r="Q48" s="31" t="n">
        <x:v>0.3</x:v>
      </x:c>
      <x:c r="R48" s="31" t="n">
        <x:v>0.28</x:v>
      </x:c>
      <x:c r="S48" s="31" t="n">
        <x:v>0.25</x:v>
      </x:c>
      <x:c r="T48" s="2"/>
      <x:c r="U48" s="2"/>
    </x:row>
    <x:row r="49" ht="21" customHeight="1">
      <x:c r="A49" s="2"/>
      <x:c r="B49" s="2"/>
      <x:c r="C49" s="29" t="str">
        <x:v>Capital expenditure payables / cash capex</x:v>
      </x:c>
      <x:c r="D49" s="29"/>
      <x:c r="E49" s="30"/>
      <x:c r="F49" s="30"/>
      <x:c r="G49" s="30"/>
      <x:c r="H49" s="30"/>
      <x:c r="I49" s="30"/>
      <x:c r="J49" s="30"/>
      <x:c r="K49" s="30"/>
      <x:c r="L49" s="30"/>
      <x:c r="M49" s="30"/>
      <x:c r="N49" s="62" t="n">
        <x:f>'Filing Notes'!N23/'PPE and Intangibles'!N8</x:f>
        <x:v>0.23027564080449855</x:v>
      </x:c>
      <x:c r="O49" s="32" t="n">
        <x:f>IF(NOT(CHOOSE($D$4,ISNUMBER(O50),ISNUMBER(O51),ISNUMBER(O52))),"n.a.",CHOOSE($D$4,O50,O51,O52))</x:f>
        <x:v>0.2</x:v>
      </x:c>
      <x:c r="P49" s="32" t="n">
        <x:f>IF(NOT(CHOOSE($D$4,ISNUMBER(P50),ISNUMBER(P51),ISNUMBER(P52))),"n.a.",CHOOSE($D$4,P50,P51,P52))</x:f>
        <x:v>0.18</x:v>
      </x:c>
      <x:c r="Q49" s="32" t="n">
        <x:f>IF(NOT(CHOOSE($D$4,ISNUMBER(Q50),ISNUMBER(Q51),ISNUMBER(Q52))),"n.a.",CHOOSE($D$4,Q50,Q51,Q52))</x:f>
        <x:v>0.16</x:v>
      </x:c>
      <x:c r="R49" s="32" t="n">
        <x:f>IF(NOT(CHOOSE($D$4,ISNUMBER(R50),ISNUMBER(R51),ISNUMBER(R52))),"n.a.",CHOOSE($D$4,R50,R51,R52))</x:f>
        <x:v>0.14</x:v>
      </x:c>
      <x:c r="S49" s="32" t="n">
        <x:f>IF(NOT(CHOOSE($D$4,ISNUMBER(S50),ISNUMBER(S51),ISNUMBER(S52))),"n.a.",CHOOSE($D$4,S50,S51,S52))</x:f>
        <x:v>0.12</x:v>
      </x:c>
      <x:c r="T49" s="2"/>
      <x:c r="U49" s="2"/>
    </x:row>
    <x:row r="50" ht="21" customHeight="1">
      <x:c r="A50" s="2"/>
      <x:c r="B50" s="2"/>
      <x:c r="C50" s="18" t="str">
        <x:v>Base</x:v>
      </x:c>
      <x:c r="D50" s="18"/>
      <x:c r="E50" s="19"/>
      <x:c r="F50" s="19"/>
      <x:c r="G50" s="19"/>
      <x:c r="H50" s="19"/>
      <x:c r="I50" s="19"/>
      <x:c r="J50" s="19"/>
      <x:c r="K50" s="19"/>
      <x:c r="L50" s="19"/>
      <x:c r="M50" s="19"/>
      <x:c r="N50" s="19"/>
      <x:c r="O50" s="31" t="n">
        <x:v>0.2</x:v>
      </x:c>
      <x:c r="P50" s="31" t="n">
        <x:v>0.18</x:v>
      </x:c>
      <x:c r="Q50" s="31" t="n">
        <x:v>0.16</x:v>
      </x:c>
      <x:c r="R50" s="31" t="n">
        <x:v>0.14</x:v>
      </x:c>
      <x:c r="S50" s="31" t="n">
        <x:v>0.12</x:v>
      </x:c>
      <x:c r="T50" s="2"/>
      <x:c r="U50" s="2"/>
    </x:row>
    <x:row r="51" ht="21" customHeight="1">
      <x:c r="A51" s="2"/>
      <x:c r="B51" s="2"/>
      <x:c r="C51" s="18" t="str">
        <x:v>Upside</x:v>
      </x:c>
      <x:c r="D51" s="18"/>
      <x:c r="E51" s="19"/>
      <x:c r="F51" s="19"/>
      <x:c r="G51" s="19"/>
      <x:c r="H51" s="19"/>
      <x:c r="I51" s="19"/>
      <x:c r="J51" s="19"/>
      <x:c r="K51" s="19"/>
      <x:c r="L51" s="19"/>
      <x:c r="M51" s="19"/>
      <x:c r="N51" s="19"/>
      <x:c r="O51" s="31" t="n">
        <x:v>0.22</x:v>
      </x:c>
      <x:c r="P51" s="31" t="n">
        <x:v>0.2</x:v>
      </x:c>
      <x:c r="Q51" s="31" t="n">
        <x:v>0.18</x:v>
      </x:c>
      <x:c r="R51" s="31" t="n">
        <x:v>0.16</x:v>
      </x:c>
      <x:c r="S51" s="31" t="n">
        <x:v>0.14</x:v>
      </x:c>
      <x:c r="T51" s="2"/>
      <x:c r="U51" s="2"/>
    </x:row>
    <x:row r="52" ht="21" customHeight="1">
      <x:c r="A52" s="2"/>
      <x:c r="B52" s="2"/>
      <x:c r="C52" s="18" t="str">
        <x:v>Downside</x:v>
      </x:c>
      <x:c r="D52" s="18"/>
      <x:c r="E52" s="19"/>
      <x:c r="F52" s="19"/>
      <x:c r="G52" s="19"/>
      <x:c r="H52" s="19"/>
      <x:c r="I52" s="19"/>
      <x:c r="J52" s="19"/>
      <x:c r="K52" s="19"/>
      <x:c r="L52" s="19"/>
      <x:c r="M52" s="19"/>
      <x:c r="N52" s="19"/>
      <x:c r="O52" s="31" t="n">
        <x:v>0.25</x:v>
      </x:c>
      <x:c r="P52" s="31" t="n">
        <x:v>0.25</x:v>
      </x:c>
      <x:c r="Q52" s="31" t="n">
        <x:v>0.24</x:v>
      </x:c>
      <x:c r="R52" s="31" t="n">
        <x:v>0.24</x:v>
      </x:c>
      <x:c r="S52" s="31" t="n">
        <x:v>0.22</x:v>
      </x:c>
      <x:c r="T52" s="2"/>
      <x:c r="U52" s="2"/>
    </x:row>
    <x:row r="53" ht="21" customHeight="1">
      <x:c r="A53" s="2"/>
      <x:c r="B53" s="2"/>
      <x:c r="C53" s="29" t="str">
        <x:v>New finance lease assets / revenue</x:v>
      </x:c>
      <x:c r="D53" s="29"/>
      <x:c r="E53" s="30"/>
      <x:c r="F53" s="30"/>
      <x:c r="G53" s="30"/>
      <x:c r="H53" s="30"/>
      <x:c r="I53" s="30"/>
      <x:c r="J53" s="30"/>
      <x:c r="K53" s="30"/>
      <x:c r="L53" s="30"/>
      <x:c r="M53" s="30"/>
      <x:c r="N53" s="62" t="n">
        <x:f>'Filing Notes'!N14/'Income Statement'!N8</x:f>
        <x:v>0.07415644333547293</x:v>
      </x:c>
      <x:c r="O53" s="32" t="n">
        <x:f>IF(NOT(CHOOSE($D$4,ISNUMBER(O54),ISNUMBER(O55),ISNUMBER(O56))),"n.a.",CHOOSE($D$4,O54,O55,O56))</x:f>
        <x:v>0.075</x:v>
      </x:c>
      <x:c r="P53" s="32" t="n">
        <x:f>IF(NOT(CHOOSE($D$4,ISNUMBER(P54),ISNUMBER(P55),ISNUMBER(P56))),"n.a.",CHOOSE($D$4,P54,P55,P56))</x:f>
        <x:v>0.07</x:v>
      </x:c>
      <x:c r="Q53" s="32" t="n">
        <x:f>IF(NOT(CHOOSE($D$4,ISNUMBER(Q54),ISNUMBER(Q55),ISNUMBER(Q56))),"n.a.",CHOOSE($D$4,Q54,Q55,Q56))</x:f>
        <x:v>0.065</x:v>
      </x:c>
      <x:c r="R53" s="32" t="n">
        <x:f>IF(NOT(CHOOSE($D$4,ISNUMBER(R54),ISNUMBER(R55),ISNUMBER(R56))),"n.a.",CHOOSE($D$4,R54,R55,R56))</x:f>
        <x:v>0.06</x:v>
      </x:c>
      <x:c r="S53" s="32" t="n">
        <x:f>IF(NOT(CHOOSE($D$4,ISNUMBER(S54),ISNUMBER(S55),ISNUMBER(S56))),"n.a.",CHOOSE($D$4,S54,S55,S56))</x:f>
        <x:v>0.055</x:v>
      </x:c>
      <x:c r="T53" s="2"/>
      <x:c r="U53" s="2"/>
    </x:row>
    <x:row r="54" ht="21" customHeight="1">
      <x:c r="A54" s="2"/>
      <x:c r="B54" s="2"/>
      <x:c r="C54" s="18" t="str">
        <x:v>Base</x:v>
      </x:c>
      <x:c r="D54" s="18"/>
      <x:c r="E54" s="19"/>
      <x:c r="F54" s="19"/>
      <x:c r="G54" s="19"/>
      <x:c r="H54" s="19"/>
      <x:c r="I54" s="19"/>
      <x:c r="J54" s="19"/>
      <x:c r="K54" s="19"/>
      <x:c r="L54" s="19"/>
      <x:c r="M54" s="19"/>
      <x:c r="N54" s="19"/>
      <x:c r="O54" s="31" t="n">
        <x:v>0.075</x:v>
      </x:c>
      <x:c r="P54" s="31" t="n">
        <x:v>0.07</x:v>
      </x:c>
      <x:c r="Q54" s="31" t="n">
        <x:v>0.065</x:v>
      </x:c>
      <x:c r="R54" s="31" t="n">
        <x:v>0.06</x:v>
      </x:c>
      <x:c r="S54" s="31" t="n">
        <x:v>0.055</x:v>
      </x:c>
      <x:c r="T54" s="2"/>
      <x:c r="U54" s="2"/>
    </x:row>
    <x:row r="55" ht="21" customHeight="1">
      <x:c r="A55" s="2"/>
      <x:c r="B55" s="2"/>
      <x:c r="C55" s="18" t="str">
        <x:v>Upside</x:v>
      </x:c>
      <x:c r="D55" s="18"/>
      <x:c r="E55" s="19"/>
      <x:c r="F55" s="19"/>
      <x:c r="G55" s="19"/>
      <x:c r="H55" s="19"/>
      <x:c r="I55" s="19"/>
      <x:c r="J55" s="19"/>
      <x:c r="K55" s="19"/>
      <x:c r="L55" s="19"/>
      <x:c r="M55" s="19"/>
      <x:c r="N55" s="19"/>
      <x:c r="O55" s="31" t="n">
        <x:v>0.085</x:v>
      </x:c>
      <x:c r="P55" s="31" t="n">
        <x:v>0.08</x:v>
      </x:c>
      <x:c r="Q55" s="31" t="n">
        <x:v>0.075</x:v>
      </x:c>
      <x:c r="R55" s="31" t="n">
        <x:v>0.07</x:v>
      </x:c>
      <x:c r="S55" s="31" t="n">
        <x:v>0.065</x:v>
      </x:c>
      <x:c r="T55" s="2"/>
      <x:c r="U55" s="2"/>
    </x:row>
    <x:row r="56" ht="21" customHeight="1">
      <x:c r="A56" s="2"/>
      <x:c r="B56" s="2"/>
      <x:c r="C56" s="18" t="str">
        <x:v>Downside</x:v>
      </x:c>
      <x:c r="D56" s="18"/>
      <x:c r="E56" s="19"/>
      <x:c r="F56" s="19"/>
      <x:c r="G56" s="19"/>
      <x:c r="H56" s="19"/>
      <x:c r="I56" s="19"/>
      <x:c r="J56" s="19"/>
      <x:c r="K56" s="19"/>
      <x:c r="L56" s="19"/>
      <x:c r="M56" s="19"/>
      <x:c r="N56" s="19"/>
      <x:c r="O56" s="31" t="n">
        <x:v>0.075</x:v>
      </x:c>
      <x:c r="P56" s="31" t="n">
        <x:v>0.065</x:v>
      </x:c>
      <x:c r="Q56" s="31" t="n">
        <x:v>0.055</x:v>
      </x:c>
      <x:c r="R56" s="31" t="n">
        <x:v>0.05</x:v>
      </x:c>
      <x:c r="S56" s="31" t="n">
        <x:v>0.045</x:v>
      </x:c>
      <x:c r="T56" s="2"/>
      <x:c r="U56" s="2"/>
    </x:row>
    <x:row r="57" ht="21" customHeight="1">
      <x:c r="A57" s="2"/>
      <x:c r="B57" s="2"/>
      <x:c r="C57" s="29" t="str">
        <x:v>New operating lease assets / revenue</x:v>
      </x:c>
      <x:c r="D57" s="29"/>
      <x:c r="E57" s="30"/>
      <x:c r="F57" s="30"/>
      <x:c r="G57" s="30"/>
      <x:c r="H57" s="30"/>
      <x:c r="I57" s="30"/>
      <x:c r="J57" s="30"/>
      <x:c r="K57" s="30"/>
      <x:c r="L57" s="30"/>
      <x:c r="M57" s="30"/>
      <x:c r="N57" s="30"/>
      <x:c r="O57" s="32" t="n">
        <x:f>IF(NOT(CHOOSE($D$4,ISNUMBER(O58),ISNUMBER(O59),ISNUMBER(O60))),"n.a.",CHOOSE($D$4,O58,O59,O60))</x:f>
        <x:v>0.015</x:v>
      </x:c>
      <x:c r="P57" s="32" t="n">
        <x:f>IF(NOT(CHOOSE($D$4,ISNUMBER(P58),ISNUMBER(P59),ISNUMBER(P60))),"n.a.",CHOOSE($D$4,P58,P59,P60))</x:f>
        <x:v>0.015</x:v>
      </x:c>
      <x:c r="Q57" s="32" t="n">
        <x:f>IF(NOT(CHOOSE($D$4,ISNUMBER(Q58),ISNUMBER(Q59),ISNUMBER(Q60))),"n.a.",CHOOSE($D$4,Q58,Q59,Q60))</x:f>
        <x:v>0.015</x:v>
      </x:c>
      <x:c r="R57" s="32" t="n">
        <x:f>IF(NOT(CHOOSE($D$4,ISNUMBER(R58),ISNUMBER(R59),ISNUMBER(R60))),"n.a.",CHOOSE($D$4,R58,R59,R60))</x:f>
        <x:v>0.015</x:v>
      </x:c>
      <x:c r="S57" s="32" t="n">
        <x:f>IF(NOT(CHOOSE($D$4,ISNUMBER(S58),ISNUMBER(S59),ISNUMBER(S60))),"n.a.",CHOOSE($D$4,S58,S59,S60))</x:f>
        <x:v>0.015</x:v>
      </x:c>
      <x:c r="T57" s="2"/>
      <x:c r="U57" s="2"/>
    </x:row>
    <x:row r="58" ht="21" customHeight="1">
      <x:c r="A58" s="2"/>
      <x:c r="B58" s="2"/>
      <x:c r="C58" s="18" t="str">
        <x:v>Base</x:v>
      </x:c>
      <x:c r="D58" s="18"/>
      <x:c r="E58" s="19"/>
      <x:c r="F58" s="19"/>
      <x:c r="G58" s="19"/>
      <x:c r="H58" s="19"/>
      <x:c r="I58" s="19"/>
      <x:c r="J58" s="19"/>
      <x:c r="K58" s="19"/>
      <x:c r="L58" s="19"/>
      <x:c r="M58" s="19"/>
      <x:c r="N58" s="19"/>
      <x:c r="O58" s="31" t="n">
        <x:v>0.015</x:v>
      </x:c>
      <x:c r="P58" s="31" t="n">
        <x:v>0.015</x:v>
      </x:c>
      <x:c r="Q58" s="31" t="n">
        <x:v>0.015</x:v>
      </x:c>
      <x:c r="R58" s="31" t="n">
        <x:v>0.015</x:v>
      </x:c>
      <x:c r="S58" s="31" t="n">
        <x:v>0.015</x:v>
      </x:c>
      <x:c r="T58" s="2"/>
      <x:c r="U58" s="2"/>
    </x:row>
    <x:row r="59" ht="21" customHeight="1">
      <x:c r="A59" s="2"/>
      <x:c r="B59" s="2"/>
      <x:c r="C59" s="18" t="str">
        <x:v>Upside</x:v>
      </x:c>
      <x:c r="D59" s="18"/>
      <x:c r="E59" s="19"/>
      <x:c r="F59" s="19"/>
      <x:c r="G59" s="19"/>
      <x:c r="H59" s="19"/>
      <x:c r="I59" s="19"/>
      <x:c r="J59" s="19"/>
      <x:c r="K59" s="19"/>
      <x:c r="L59" s="19"/>
      <x:c r="M59" s="19"/>
      <x:c r="N59" s="19"/>
      <x:c r="O59" s="31" t="n">
        <x:v>0.016</x:v>
      </x:c>
      <x:c r="P59" s="31" t="n">
        <x:v>0.016</x:v>
      </x:c>
      <x:c r="Q59" s="31" t="n">
        <x:v>0.016</x:v>
      </x:c>
      <x:c r="R59" s="31" t="n">
        <x:v>0.016</x:v>
      </x:c>
      <x:c r="S59" s="31" t="n">
        <x:v>0.016</x:v>
      </x:c>
      <x:c r="T59" s="2"/>
      <x:c r="U59" s="2"/>
    </x:row>
    <x:row r="60" ht="21" customHeight="1">
      <x:c r="A60" s="2"/>
      <x:c r="B60" s="2"/>
      <x:c r="C60" s="18" t="str">
        <x:v>Downside</x:v>
      </x:c>
      <x:c r="D60" s="18"/>
      <x:c r="E60" s="19"/>
      <x:c r="F60" s="19"/>
      <x:c r="G60" s="19"/>
      <x:c r="H60" s="19"/>
      <x:c r="I60" s="19"/>
      <x:c r="J60" s="19"/>
      <x:c r="K60" s="19"/>
      <x:c r="L60" s="19"/>
      <x:c r="M60" s="19"/>
      <x:c r="N60" s="19"/>
      <x:c r="O60" s="31" t="n">
        <x:v>0.012</x:v>
      </x:c>
      <x:c r="P60" s="31" t="n">
        <x:v>0.012</x:v>
      </x:c>
      <x:c r="Q60" s="31" t="n">
        <x:v>0.012</x:v>
      </x:c>
      <x:c r="R60" s="31" t="n">
        <x:v>0.012</x:v>
      </x:c>
      <x:c r="S60" s="31" t="n">
        <x:v>0.012</x:v>
      </x:c>
      <x:c r="T60" s="2"/>
      <x:c r="U60" s="2"/>
    </x:row>
    <x:row r="61" ht="32" customHeight="1">
      <x:c r="A61" s="2"/>
      <x:c r="B61" s="2"/>
      <x:c r="C61" s="37" t="str">
        <x:v>Legacy depreciable net PPE remaining life in years</x:v>
      </x:c>
      <x:c r="D61" s="38"/>
      <x:c r="E61" s="39"/>
      <x:c r="F61" s="39"/>
      <x:c r="G61" s="39"/>
      <x:c r="H61" s="39"/>
      <x:c r="I61" s="39"/>
      <x:c r="J61" s="39"/>
      <x:c r="K61" s="39"/>
      <x:c r="L61" s="39"/>
      <x:c r="M61" s="39"/>
      <x:c r="N61" s="39"/>
      <x:c r="O61" s="41" t="n">
        <x:f>IF(NOT(CHOOSE($D$4,ISNUMBER(O62),ISNUMBER(O63),ISNUMBER(O64))),"n.a.",CHOOSE($D$4,O62,O63,O64))</x:f>
        <x:v>8</x:v>
      </x:c>
      <x:c r="P61" s="41" t="n">
        <x:f>IF(NOT(CHOOSE($D$4,ISNUMBER(P62),ISNUMBER(P63),ISNUMBER(P64))),"n.a.",CHOOSE($D$4,P62,P63,P64))</x:f>
        <x:v>8</x:v>
      </x:c>
      <x:c r="Q61" s="41" t="n">
        <x:f>IF(NOT(CHOOSE($D$4,ISNUMBER(Q62),ISNUMBER(Q63),ISNUMBER(Q64))),"n.a.",CHOOSE($D$4,Q62,Q63,Q64))</x:f>
        <x:v>8</x:v>
      </x:c>
      <x:c r="R61" s="41" t="n">
        <x:f>IF(NOT(CHOOSE($D$4,ISNUMBER(R62),ISNUMBER(R63),ISNUMBER(R64))),"n.a.",CHOOSE($D$4,R62,R63,R64))</x:f>
        <x:v>8</x:v>
      </x:c>
      <x:c r="S61" s="41" t="n">
        <x:f>IF(NOT(CHOOSE($D$4,ISNUMBER(S62),ISNUMBER(S63),ISNUMBER(S64))),"n.a.",CHOOSE($D$4,S62,S63,S64))</x:f>
        <x:v>8</x:v>
      </x:c>
      <x:c r="T61" s="2"/>
      <x:c r="U61" s="2"/>
    </x:row>
    <x:row r="62" ht="21" customHeight="1">
      <x:c r="A62" s="2"/>
      <x:c r="B62" s="2"/>
      <x:c r="C62" s="2" t="str">
        <x:v>Base</x:v>
      </x:c>
      <x:c r="D62" s="2"/>
      <x:c r="E62" s="33"/>
      <x:c r="F62" s="33"/>
      <x:c r="G62" s="33"/>
      <x:c r="H62" s="33"/>
      <x:c r="I62" s="33"/>
      <x:c r="J62" s="33"/>
      <x:c r="K62" s="33"/>
      <x:c r="L62" s="33"/>
      <x:c r="M62" s="33"/>
      <x:c r="N62" s="33"/>
      <x:c r="O62" s="40" t="n">
        <x:v>8</x:v>
      </x:c>
      <x:c r="P62" s="40" t="n">
        <x:v>8</x:v>
      </x:c>
      <x:c r="Q62" s="40" t="n">
        <x:v>8</x:v>
      </x:c>
      <x:c r="R62" s="40" t="n">
        <x:v>8</x:v>
      </x:c>
      <x:c r="S62" s="40" t="n">
        <x:v>8</x:v>
      </x:c>
      <x:c r="T62" s="2"/>
      <x:c r="U62" s="2"/>
    </x:row>
    <x:row r="63" ht="21" customHeight="1">
      <x:c r="A63" s="2"/>
      <x:c r="B63" s="2"/>
      <x:c r="C63" s="2" t="str">
        <x:v>Upside</x:v>
      </x:c>
      <x:c r="D63" s="2"/>
      <x:c r="E63" s="33"/>
      <x:c r="F63" s="33"/>
      <x:c r="G63" s="33"/>
      <x:c r="H63" s="33"/>
      <x:c r="I63" s="33"/>
      <x:c r="J63" s="33"/>
      <x:c r="K63" s="33"/>
      <x:c r="L63" s="33"/>
      <x:c r="M63" s="33"/>
      <x:c r="N63" s="33"/>
      <x:c r="O63" s="40" t="n">
        <x:v>9</x:v>
      </x:c>
      <x:c r="P63" s="40" t="n">
        <x:v>9</x:v>
      </x:c>
      <x:c r="Q63" s="40" t="n">
        <x:v>9</x:v>
      </x:c>
      <x:c r="R63" s="40" t="n">
        <x:v>9</x:v>
      </x:c>
      <x:c r="S63" s="40" t="n">
        <x:v>9</x:v>
      </x:c>
      <x:c r="T63" s="2"/>
      <x:c r="U63" s="2"/>
    </x:row>
    <x:row r="64" ht="21" customHeight="1">
      <x:c r="A64" s="2"/>
      <x:c r="B64" s="2"/>
      <x:c r="C64" s="2" t="str">
        <x:v>Downside</x:v>
      </x:c>
      <x:c r="D64" s="2"/>
      <x:c r="E64" s="33"/>
      <x:c r="F64" s="33"/>
      <x:c r="G64" s="33"/>
      <x:c r="H64" s="33"/>
      <x:c r="I64" s="33"/>
      <x:c r="J64" s="33"/>
      <x:c r="K64" s="33"/>
      <x:c r="L64" s="33"/>
      <x:c r="M64" s="33"/>
      <x:c r="N64" s="33"/>
      <x:c r="O64" s="40" t="n">
        <x:v>7</x:v>
      </x:c>
      <x:c r="P64" s="40" t="n">
        <x:v>7</x:v>
      </x:c>
      <x:c r="Q64" s="40" t="n">
        <x:v>7</x:v>
      </x:c>
      <x:c r="R64" s="40" t="n">
        <x:v>7</x:v>
      </x:c>
      <x:c r="S64" s="40" t="n">
        <x:v>7</x:v>
      </x:c>
      <x:c r="T64" s="2"/>
      <x:c r="U64" s="2"/>
    </x:row>
    <x:row r="65" ht="21" customHeight="1">
      <x:c r="A65" s="2"/>
      <x:c r="B65" s="2"/>
      <x:c r="C65" s="38" t="str">
        <x:v>New PPE useful life in years</x:v>
      </x:c>
      <x:c r="D65" s="38"/>
      <x:c r="E65" s="39"/>
      <x:c r="F65" s="39"/>
      <x:c r="G65" s="39"/>
      <x:c r="H65" s="39"/>
      <x:c r="I65" s="39"/>
      <x:c r="J65" s="39"/>
      <x:c r="K65" s="39"/>
      <x:c r="L65" s="39"/>
      <x:c r="M65" s="39"/>
      <x:c r="N65" s="39"/>
      <x:c r="O65" s="41" t="n">
        <x:f>IF(NOT(CHOOSE($D$4,ISNUMBER(O66),ISNUMBER(O67),ISNUMBER(O68))),"n.a.",CHOOSE($D$4,O66,O67,O68))</x:f>
        <x:v>6</x:v>
      </x:c>
      <x:c r="P65" s="41" t="n">
        <x:f>IF(NOT(CHOOSE($D$4,ISNUMBER(P66),ISNUMBER(P67),ISNUMBER(P68))),"n.a.",CHOOSE($D$4,P66,P67,P68))</x:f>
        <x:v>6</x:v>
      </x:c>
      <x:c r="Q65" s="41" t="n">
        <x:f>IF(NOT(CHOOSE($D$4,ISNUMBER(Q66),ISNUMBER(Q67),ISNUMBER(Q68))),"n.a.",CHOOSE($D$4,Q66,Q67,Q68))</x:f>
        <x:v>6</x:v>
      </x:c>
      <x:c r="R65" s="41" t="n">
        <x:f>IF(NOT(CHOOSE($D$4,ISNUMBER(R66),ISNUMBER(R67),ISNUMBER(R68))),"n.a.",CHOOSE($D$4,R66,R67,R68))</x:f>
        <x:v>6</x:v>
      </x:c>
      <x:c r="S65" s="41" t="n">
        <x:f>IF(NOT(CHOOSE($D$4,ISNUMBER(S66),ISNUMBER(S67),ISNUMBER(S68))),"n.a.",CHOOSE($D$4,S66,S67,S68))</x:f>
        <x:v>6</x:v>
      </x:c>
      <x:c r="T65" s="2"/>
      <x:c r="U65" s="2"/>
    </x:row>
    <x:row r="66" ht="21" customHeight="1">
      <x:c r="A66" s="2"/>
      <x:c r="B66" s="2"/>
      <x:c r="C66" s="2" t="str">
        <x:v>Base</x:v>
      </x:c>
      <x:c r="D66" s="2"/>
      <x:c r="E66" s="33"/>
      <x:c r="F66" s="33"/>
      <x:c r="G66" s="33"/>
      <x:c r="H66" s="33"/>
      <x:c r="I66" s="33"/>
      <x:c r="J66" s="33"/>
      <x:c r="K66" s="33"/>
      <x:c r="L66" s="33"/>
      <x:c r="M66" s="33"/>
      <x:c r="N66" s="33"/>
      <x:c r="O66" s="40" t="n">
        <x:v>6</x:v>
      </x:c>
      <x:c r="P66" s="40" t="n">
        <x:v>6</x:v>
      </x:c>
      <x:c r="Q66" s="40" t="n">
        <x:v>6</x:v>
      </x:c>
      <x:c r="R66" s="40" t="n">
        <x:v>6</x:v>
      </x:c>
      <x:c r="S66" s="40" t="n">
        <x:v>6</x:v>
      </x:c>
      <x:c r="T66" s="2"/>
      <x:c r="U66" s="2"/>
    </x:row>
    <x:row r="67" ht="21" customHeight="1">
      <x:c r="A67" s="2"/>
      <x:c r="B67" s="2"/>
      <x:c r="C67" s="2" t="str">
        <x:v>Upside</x:v>
      </x:c>
      <x:c r="D67" s="2"/>
      <x:c r="E67" s="33"/>
      <x:c r="F67" s="33"/>
      <x:c r="G67" s="33"/>
      <x:c r="H67" s="33"/>
      <x:c r="I67" s="33"/>
      <x:c r="J67" s="33"/>
      <x:c r="K67" s="33"/>
      <x:c r="L67" s="33"/>
      <x:c r="M67" s="33"/>
      <x:c r="N67" s="33"/>
      <x:c r="O67" s="40" t="n">
        <x:v>6</x:v>
      </x:c>
      <x:c r="P67" s="40" t="n">
        <x:v>6</x:v>
      </x:c>
      <x:c r="Q67" s="40" t="n">
        <x:v>6</x:v>
      </x:c>
      <x:c r="R67" s="40" t="n">
        <x:v>6</x:v>
      </x:c>
      <x:c r="S67" s="40" t="n">
        <x:v>6</x:v>
      </x:c>
      <x:c r="T67" s="2"/>
      <x:c r="U67" s="2"/>
    </x:row>
    <x:row r="68" ht="21" customHeight="1">
      <x:c r="A68" s="2"/>
      <x:c r="B68" s="2"/>
      <x:c r="C68" s="2" t="str">
        <x:v>Downside</x:v>
      </x:c>
      <x:c r="D68" s="2"/>
      <x:c r="E68" s="33"/>
      <x:c r="F68" s="33"/>
      <x:c r="G68" s="33"/>
      <x:c r="H68" s="33"/>
      <x:c r="I68" s="33"/>
      <x:c r="J68" s="33"/>
      <x:c r="K68" s="33"/>
      <x:c r="L68" s="33"/>
      <x:c r="M68" s="33"/>
      <x:c r="N68" s="33"/>
      <x:c r="O68" s="40" t="n">
        <x:v>5</x:v>
      </x:c>
      <x:c r="P68" s="40" t="n">
        <x:v>5</x:v>
      </x:c>
      <x:c r="Q68" s="40" t="n">
        <x:v>5</x:v>
      </x:c>
      <x:c r="R68" s="40" t="n">
        <x:v>5</x:v>
      </x:c>
      <x:c r="S68" s="40" t="n">
        <x:v>5</x:v>
      </x:c>
      <x:c r="T68" s="2"/>
      <x:c r="U68" s="2"/>
    </x:row>
    <x:row r="69" ht="21" customHeight="1">
      <x:c r="A69" s="2"/>
      <x:c r="B69" s="2"/>
      <x:c r="C69" s="38" t="str">
        <x:v>Receivable days on revenue</x:v>
      </x:c>
      <x:c r="D69" s="38"/>
      <x:c r="E69" s="63" t="n">
        <x:f>'Working Capital'!E9</x:f>
        <x:v>84.78026529703534</x:v>
      </x:c>
      <x:c r="F69" s="63" t="n">
        <x:f>'Working Capital'!F9</x:f>
        <x:v>87.58214026821312</x:v>
      </x:c>
      <x:c r="G69" s="63" t="n">
        <x:f>'Working Capital'!G9</x:f>
        <x:v>85.63257392147358</x:v>
      </x:c>
      <x:c r="H69" s="63" t="n">
        <x:f>'Working Capital'!H9</x:f>
        <x:v>81.69782889906654</x:v>
      </x:c>
      <x:c r="I69" s="63" t="n">
        <x:f>'Working Capital'!I9</x:f>
        <x:v>82.6096746942078</x:v>
      </x:c>
      <x:c r="J69" s="63" t="n">
        <x:f>'Working Capital'!J9</x:f>
        <x:v>81.48113683361073</x:v>
      </x:c>
      <x:c r="K69" s="63" t="n">
        <x:f>'Working Capital'!K9</x:f>
        <x:v>83.85966071302173</x:v>
      </x:c>
      <x:c r="L69" s="63" t="n">
        <x:f>'Working Capital'!L9</x:f>
        <x:v>84.76293437553545</x:v>
      </x:c>
      <x:c r="M69" s="63" t="n">
        <x:f>'Working Capital'!M9</x:f>
        <x:v>90.56851741420681</x:v>
      </x:c>
      <x:c r="N69" s="63" t="n">
        <x:f>'Working Capital'!N9</x:f>
        <x:v>88.95801879827266</x:v>
      </x:c>
      <x:c r="O69" s="41" t="n">
        <x:f>IF(NOT(CHOOSE($D$4,ISNUMBER(O70),ISNUMBER(O71),ISNUMBER(O72))),"n.a.",CHOOSE($D$4,O70,O71,O72))</x:f>
        <x:v>88.95801879827266</x:v>
      </x:c>
      <x:c r="P69" s="41" t="n">
        <x:f>IF(NOT(CHOOSE($D$4,ISNUMBER(P70),ISNUMBER(P71),ISNUMBER(P72))),"n.a.",CHOOSE($D$4,P70,P71,P72))</x:f>
        <x:v>88.95801879827266</x:v>
      </x:c>
      <x:c r="Q69" s="41" t="n">
        <x:f>IF(NOT(CHOOSE($D$4,ISNUMBER(Q70),ISNUMBER(Q71),ISNUMBER(Q72))),"n.a.",CHOOSE($D$4,Q70,Q71,Q72))</x:f>
        <x:v>88.95801879827266</x:v>
      </x:c>
      <x:c r="R69" s="41" t="n">
        <x:f>IF(NOT(CHOOSE($D$4,ISNUMBER(R70),ISNUMBER(R71),ISNUMBER(R72))),"n.a.",CHOOSE($D$4,R70,R71,R72))</x:f>
        <x:v>88.95801879827266</x:v>
      </x:c>
      <x:c r="S69" s="41" t="n">
        <x:f>IF(NOT(CHOOSE($D$4,ISNUMBER(S70),ISNUMBER(S71),ISNUMBER(S72))),"n.a.",CHOOSE($D$4,S70,S71,S72))</x:f>
        <x:v>88.95801879827266</x:v>
      </x:c>
      <x:c r="T69" s="2"/>
      <x:c r="U69" s="2"/>
    </x:row>
    <x:row r="70" ht="21" customHeight="1">
      <x:c r="A70" s="2"/>
      <x:c r="B70" s="2"/>
      <x:c r="C70" s="2" t="str">
        <x:v>Base</x:v>
      </x:c>
      <x:c r="D70" s="2"/>
      <x:c r="E70" s="33"/>
      <x:c r="F70" s="33"/>
      <x:c r="G70" s="33"/>
      <x:c r="H70" s="33"/>
      <x:c r="I70" s="33"/>
      <x:c r="J70" s="33"/>
      <x:c r="K70" s="33"/>
      <x:c r="L70" s="33"/>
      <x:c r="M70" s="33"/>
      <x:c r="N70" s="33"/>
      <x:c r="O70" s="40" t="n">
        <x:v>88.95801879827266</x:v>
      </x:c>
      <x:c r="P70" s="40" t="n">
        <x:v>88.95801879827266</x:v>
      </x:c>
      <x:c r="Q70" s="40" t="n">
        <x:v>88.95801879827266</x:v>
      </x:c>
      <x:c r="R70" s="40" t="n">
        <x:v>88.95801879827266</x:v>
      </x:c>
      <x:c r="S70" s="40" t="n">
        <x:v>88.95801879827266</x:v>
      </x:c>
      <x:c r="T70" s="2"/>
      <x:c r="U70" s="2"/>
    </x:row>
    <x:row r="71" ht="21" customHeight="1">
      <x:c r="A71" s="2"/>
      <x:c r="B71" s="2"/>
      <x:c r="C71" s="2" t="str">
        <x:v>Upside</x:v>
      </x:c>
      <x:c r="D71" s="2"/>
      <x:c r="E71" s="33"/>
      <x:c r="F71" s="33"/>
      <x:c r="G71" s="33"/>
      <x:c r="H71" s="33"/>
      <x:c r="I71" s="33"/>
      <x:c r="J71" s="33"/>
      <x:c r="K71" s="33"/>
      <x:c r="L71" s="33"/>
      <x:c r="M71" s="33"/>
      <x:c r="N71" s="33"/>
      <x:c r="O71" s="40" t="n">
        <x:v>88.95801879827266</x:v>
      </x:c>
      <x:c r="P71" s="40" t="n">
        <x:v>88.95801879827266</x:v>
      </x:c>
      <x:c r="Q71" s="40" t="n">
        <x:v>88.95801879827266</x:v>
      </x:c>
      <x:c r="R71" s="40" t="n">
        <x:v>88.95801879827266</x:v>
      </x:c>
      <x:c r="S71" s="40" t="n">
        <x:v>88.95801879827266</x:v>
      </x:c>
      <x:c r="T71" s="2"/>
      <x:c r="U71" s="2"/>
    </x:row>
    <x:row r="72" ht="21" customHeight="1">
      <x:c r="A72" s="2"/>
      <x:c r="B72" s="2"/>
      <x:c r="C72" s="2" t="str">
        <x:v>Downside</x:v>
      </x:c>
      <x:c r="D72" s="2"/>
      <x:c r="E72" s="33"/>
      <x:c r="F72" s="33"/>
      <x:c r="G72" s="33"/>
      <x:c r="H72" s="33"/>
      <x:c r="I72" s="33"/>
      <x:c r="J72" s="33"/>
      <x:c r="K72" s="33"/>
      <x:c r="L72" s="33"/>
      <x:c r="M72" s="33"/>
      <x:c r="N72" s="33"/>
      <x:c r="O72" s="40" t="n">
        <x:v>88.95801879827266</x:v>
      </x:c>
      <x:c r="P72" s="40" t="n">
        <x:v>88.95801879827266</x:v>
      </x:c>
      <x:c r="Q72" s="40" t="n">
        <x:v>88.95801879827266</x:v>
      </x:c>
      <x:c r="R72" s="40" t="n">
        <x:v>88.95801879827266</x:v>
      </x:c>
      <x:c r="S72" s="40" t="n">
        <x:v>88.95801879827266</x:v>
      </x:c>
      <x:c r="T72" s="2"/>
      <x:c r="U72" s="2"/>
    </x:row>
    <x:row r="73" ht="21" customHeight="1">
      <x:c r="A73" s="2"/>
      <x:c r="B73" s="2"/>
      <x:c r="C73" s="38" t="str">
        <x:v>Inventory days on cost of revenue</x:v>
      </x:c>
      <x:c r="D73" s="38"/>
      <x:c r="E73" s="63" t="n">
        <x:f>'Working Capital'!E11</x:f>
        <x:v>23.23531128688596</x:v>
      </x:c>
      <x:c r="F73" s="63" t="n">
        <x:f>'Working Capital'!F11</x:f>
        <x:v>25.333872187312593</x:v>
      </x:c>
      <x:c r="G73" s="63" t="n">
        <x:f>'Working Capital'!G11</x:f>
        <x:v>17.548240503379166</x:v>
      </x:c>
      <x:c r="H73" s="63" t="n">
        <x:f>'Working Capital'!H11</x:f>
        <x:v>15.010959677069318</x:v>
      </x:c>
      <x:c r="I73" s="63" t="n">
        <x:f>'Working Capital'!I11</x:f>
        <x:v>18.42050850053607</x:v>
      </x:c>
      <x:c r="J73" s="63" t="n">
        <x:f>'Working Capital'!J11</x:f>
        <x:v>21.80095770151636</x:v>
      </x:c>
      <x:c r="K73" s="63" t="n">
        <x:f>'Working Capital'!K11</x:f>
        <x:v>13.854516192703034</x:v>
      </x:c>
      <x:c r="L73" s="63" t="n">
        <x:f>'Working Capital'!L11</x:f>
        <x:v>6.136357503305718</x:v>
      </x:c>
      <x:c r="M73" s="63" t="n">
        <x:f>'Working Capital'!M11</x:f>
        <x:v>3.8980542177591055</x:v>
      </x:c>
      <x:c r="N73" s="63" t="n">
        <x:f>'Working Capital'!N11</x:f>
        <x:v>4.793511572376708</x:v>
      </x:c>
      <x:c r="O73" s="41" t="n">
        <x:f>IF(NOT(CHOOSE($D$4,ISNUMBER(O74),ISNUMBER(O75),ISNUMBER(O76))),"n.a.",CHOOSE($D$4,O74,O75,O76))</x:f>
        <x:v>4.793511572376708</x:v>
      </x:c>
      <x:c r="P73" s="41" t="n">
        <x:f>IF(NOT(CHOOSE($D$4,ISNUMBER(P74),ISNUMBER(P75),ISNUMBER(P76))),"n.a.",CHOOSE($D$4,P74,P75,P76))</x:f>
        <x:v>4.793511572376708</x:v>
      </x:c>
      <x:c r="Q73" s="41" t="n">
        <x:f>IF(NOT(CHOOSE($D$4,ISNUMBER(Q74),ISNUMBER(Q75),ISNUMBER(Q76))),"n.a.",CHOOSE($D$4,Q74,Q75,Q76))</x:f>
        <x:v>4.793511572376708</x:v>
      </x:c>
      <x:c r="R73" s="41" t="n">
        <x:f>IF(NOT(CHOOSE($D$4,ISNUMBER(R74),ISNUMBER(R75),ISNUMBER(R76))),"n.a.",CHOOSE($D$4,R74,R75,R76))</x:f>
        <x:v>4.793511572376708</x:v>
      </x:c>
      <x:c r="S73" s="41" t="n">
        <x:f>IF(NOT(CHOOSE($D$4,ISNUMBER(S74),ISNUMBER(S75),ISNUMBER(S76))),"n.a.",CHOOSE($D$4,S74,S75,S76))</x:f>
        <x:v>4.793511572376708</x:v>
      </x:c>
      <x:c r="T73" s="2"/>
      <x:c r="U73" s="2"/>
    </x:row>
    <x:row r="74" ht="21" customHeight="1">
      <x:c r="A74" s="2"/>
      <x:c r="B74" s="2"/>
      <x:c r="C74" s="2" t="str">
        <x:v>Base</x:v>
      </x:c>
      <x:c r="D74" s="2"/>
      <x:c r="E74" s="33"/>
      <x:c r="F74" s="33"/>
      <x:c r="G74" s="33"/>
      <x:c r="H74" s="33"/>
      <x:c r="I74" s="33"/>
      <x:c r="J74" s="33"/>
      <x:c r="K74" s="33"/>
      <x:c r="L74" s="33"/>
      <x:c r="M74" s="33"/>
      <x:c r="N74" s="33"/>
      <x:c r="O74" s="40" t="n">
        <x:v>4.793511572376708</x:v>
      </x:c>
      <x:c r="P74" s="40" t="n">
        <x:v>4.793511572376708</x:v>
      </x:c>
      <x:c r="Q74" s="40" t="n">
        <x:v>4.793511572376708</x:v>
      </x:c>
      <x:c r="R74" s="40" t="n">
        <x:v>4.793511572376708</x:v>
      </x:c>
      <x:c r="S74" s="40" t="n">
        <x:v>4.793511572376708</x:v>
      </x:c>
      <x:c r="T74" s="2"/>
      <x:c r="U74" s="2"/>
    </x:row>
    <x:row r="75" ht="21" customHeight="1">
      <x:c r="A75" s="2"/>
      <x:c r="B75" s="2"/>
      <x:c r="C75" s="2" t="str">
        <x:v>Upside</x:v>
      </x:c>
      <x:c r="D75" s="2"/>
      <x:c r="E75" s="33"/>
      <x:c r="F75" s="33"/>
      <x:c r="G75" s="33"/>
      <x:c r="H75" s="33"/>
      <x:c r="I75" s="33"/>
      <x:c r="J75" s="33"/>
      <x:c r="K75" s="33"/>
      <x:c r="L75" s="33"/>
      <x:c r="M75" s="33"/>
      <x:c r="N75" s="33"/>
      <x:c r="O75" s="40" t="n">
        <x:v>4.793511572376708</x:v>
      </x:c>
      <x:c r="P75" s="40" t="n">
        <x:v>4.793511572376708</x:v>
      </x:c>
      <x:c r="Q75" s="40" t="n">
        <x:v>4.793511572376708</x:v>
      </x:c>
      <x:c r="R75" s="40" t="n">
        <x:v>4.793511572376708</x:v>
      </x:c>
      <x:c r="S75" s="40" t="n">
        <x:v>4.793511572376708</x:v>
      </x:c>
      <x:c r="T75" s="2"/>
      <x:c r="U75" s="2"/>
    </x:row>
    <x:row r="76" ht="21" customHeight="1">
      <x:c r="A76" s="2"/>
      <x:c r="B76" s="2"/>
      <x:c r="C76" s="2" t="str">
        <x:v>Downside</x:v>
      </x:c>
      <x:c r="D76" s="2"/>
      <x:c r="E76" s="33"/>
      <x:c r="F76" s="33"/>
      <x:c r="G76" s="33"/>
      <x:c r="H76" s="33"/>
      <x:c r="I76" s="33"/>
      <x:c r="J76" s="33"/>
      <x:c r="K76" s="33"/>
      <x:c r="L76" s="33"/>
      <x:c r="M76" s="33"/>
      <x:c r="N76" s="33"/>
      <x:c r="O76" s="40" t="n">
        <x:v>4.793511572376708</x:v>
      </x:c>
      <x:c r="P76" s="40" t="n">
        <x:v>4.793511572376708</x:v>
      </x:c>
      <x:c r="Q76" s="40" t="n">
        <x:v>4.793511572376708</x:v>
      </x:c>
      <x:c r="R76" s="40" t="n">
        <x:v>4.793511572376708</x:v>
      </x:c>
      <x:c r="S76" s="40" t="n">
        <x:v>4.793511572376708</x:v>
      </x:c>
      <x:c r="T76" s="2"/>
      <x:c r="U76" s="2"/>
    </x:row>
    <x:row r="77" ht="21" customHeight="1">
      <x:c r="A77" s="2"/>
      <x:c r="B77" s="2"/>
      <x:c r="C77" s="38" t="str">
        <x:v>Operating payable days on cost of revenue</x:v>
      </x:c>
      <x:c r="D77" s="38"/>
      <x:c r="E77" s="63" t="str">
        <x:f>'Working Capital'!E16</x:f>
        <x:v>n.a.</x:v>
      </x:c>
      <x:c r="F77" s="63" t="str">
        <x:f>'Working Capital'!F16</x:f>
        <x:v>n.a.</x:v>
      </x:c>
      <x:c r="G77" s="63" t="str">
        <x:f>'Working Capital'!G16</x:f>
        <x:v>n.a.</x:v>
      </x:c>
      <x:c r="H77" s="63" t="str">
        <x:f>'Working Capital'!H16</x:f>
        <x:v>n.a.</x:v>
      </x:c>
      <x:c r="I77" s="63" t="str">
        <x:f>'Working Capital'!I16</x:f>
        <x:v>n.a.</x:v>
      </x:c>
      <x:c r="J77" s="63" t="str">
        <x:f>'Working Capital'!J16</x:f>
        <x:v>n.a.</x:v>
      </x:c>
      <x:c r="K77" s="63" t="str">
        <x:f>'Working Capital'!K16</x:f>
        <x:v>n.a.</x:v>
      </x:c>
      <x:c r="L77" s="63" t="str">
        <x:f>'Working Capital'!L16</x:f>
        <x:v>n.a.</x:v>
      </x:c>
      <x:c r="M77" s="63" t="str">
        <x:f>'Working Capital'!M16</x:f>
        <x:v>n.a.</x:v>
      </x:c>
      <x:c r="N77" s="63" t="n">
        <x:f>'Working Capital'!N16</x:f>
        <x:v>53.92614736683777</x:v>
      </x:c>
      <x:c r="O77" s="41" t="n">
        <x:f>IF(NOT(CHOOSE($D$4,ISNUMBER(O78),ISNUMBER(O79),ISNUMBER(O80))),"n.a.",CHOOSE($D$4,O78,O79,O80))</x:f>
        <x:v>53.92614736683777</x:v>
      </x:c>
      <x:c r="P77" s="41" t="n">
        <x:f>IF(NOT(CHOOSE($D$4,ISNUMBER(P78),ISNUMBER(P79),ISNUMBER(P80))),"n.a.",CHOOSE($D$4,P78,P79,P80))</x:f>
        <x:v>53.92614736683777</x:v>
      </x:c>
      <x:c r="Q77" s="41" t="n">
        <x:f>IF(NOT(CHOOSE($D$4,ISNUMBER(Q78),ISNUMBER(Q79),ISNUMBER(Q80))),"n.a.",CHOOSE($D$4,Q78,Q79,Q80))</x:f>
        <x:v>53.92614736683777</x:v>
      </x:c>
      <x:c r="R77" s="41" t="n">
        <x:f>IF(NOT(CHOOSE($D$4,ISNUMBER(R78),ISNUMBER(R79),ISNUMBER(R80))),"n.a.",CHOOSE($D$4,R78,R79,R80))</x:f>
        <x:v>53.92614736683777</x:v>
      </x:c>
      <x:c r="S77" s="41" t="n">
        <x:f>IF(NOT(CHOOSE($D$4,ISNUMBER(S78),ISNUMBER(S79),ISNUMBER(S80))),"n.a.",CHOOSE($D$4,S78,S79,S80))</x:f>
        <x:v>53.92614736683777</x:v>
      </x:c>
      <x:c r="T77" s="2"/>
      <x:c r="U77" s="2"/>
    </x:row>
    <x:row r="78" ht="21" customHeight="1">
      <x:c r="A78" s="2"/>
      <x:c r="B78" s="2"/>
      <x:c r="C78" s="2" t="str">
        <x:v>Base</x:v>
      </x:c>
      <x:c r="D78" s="2"/>
      <x:c r="E78" s="33"/>
      <x:c r="F78" s="33"/>
      <x:c r="G78" s="33"/>
      <x:c r="H78" s="33"/>
      <x:c r="I78" s="33"/>
      <x:c r="J78" s="33"/>
      <x:c r="K78" s="33"/>
      <x:c r="L78" s="33"/>
      <x:c r="M78" s="33"/>
      <x:c r="N78" s="33"/>
      <x:c r="O78" s="40" t="n">
        <x:v>53.92614736683777</x:v>
      </x:c>
      <x:c r="P78" s="40" t="n">
        <x:v>53.92614736683777</x:v>
      </x:c>
      <x:c r="Q78" s="40" t="n">
        <x:v>53.92614736683777</x:v>
      </x:c>
      <x:c r="R78" s="40" t="n">
        <x:v>53.92614736683777</x:v>
      </x:c>
      <x:c r="S78" s="40" t="n">
        <x:v>53.92614736683777</x:v>
      </x:c>
      <x:c r="T78" s="2"/>
      <x:c r="U78" s="2"/>
    </x:row>
    <x:row r="79" ht="21" customHeight="1">
      <x:c r="A79" s="2"/>
      <x:c r="B79" s="2"/>
      <x:c r="C79" s="2" t="str">
        <x:v>Upside</x:v>
      </x:c>
      <x:c r="D79" s="2"/>
      <x:c r="E79" s="33"/>
      <x:c r="F79" s="33"/>
      <x:c r="G79" s="33"/>
      <x:c r="H79" s="33"/>
      <x:c r="I79" s="33"/>
      <x:c r="J79" s="33"/>
      <x:c r="K79" s="33"/>
      <x:c r="L79" s="33"/>
      <x:c r="M79" s="33"/>
      <x:c r="N79" s="33"/>
      <x:c r="O79" s="40" t="n">
        <x:v>53.92614736683777</x:v>
      </x:c>
      <x:c r="P79" s="40" t="n">
        <x:v>53.92614736683777</x:v>
      </x:c>
      <x:c r="Q79" s="40" t="n">
        <x:v>53.92614736683777</x:v>
      </x:c>
      <x:c r="R79" s="40" t="n">
        <x:v>53.92614736683777</x:v>
      </x:c>
      <x:c r="S79" s="40" t="n">
        <x:v>53.92614736683777</x:v>
      </x:c>
      <x:c r="T79" s="2"/>
      <x:c r="U79" s="2"/>
    </x:row>
    <x:row r="80" ht="21" customHeight="1">
      <x:c r="A80" s="2"/>
      <x:c r="B80" s="2"/>
      <x:c r="C80" s="2" t="str">
        <x:v>Downside</x:v>
      </x:c>
      <x:c r="D80" s="2"/>
      <x:c r="E80" s="33"/>
      <x:c r="F80" s="33"/>
      <x:c r="G80" s="33"/>
      <x:c r="H80" s="33"/>
      <x:c r="I80" s="33"/>
      <x:c r="J80" s="33"/>
      <x:c r="K80" s="33"/>
      <x:c r="L80" s="33"/>
      <x:c r="M80" s="33"/>
      <x:c r="N80" s="33"/>
      <x:c r="O80" s="40" t="n">
        <x:v>53.92614736683777</x:v>
      </x:c>
      <x:c r="P80" s="40" t="n">
        <x:v>53.92614736683777</x:v>
      </x:c>
      <x:c r="Q80" s="40" t="n">
        <x:v>53.92614736683777</x:v>
      </x:c>
      <x:c r="R80" s="40" t="n">
        <x:v>53.92614736683777</x:v>
      </x:c>
      <x:c r="S80" s="40" t="n">
        <x:v>53.92614736683777</x:v>
      </x:c>
      <x:c r="T80" s="2"/>
      <x:c r="U80" s="2"/>
    </x:row>
    <x:row r="81" ht="21" customHeight="1">
      <x:c r="A81" s="2"/>
      <x:c r="B81" s="2"/>
      <x:c r="C81" s="29" t="str">
        <x:v>Other current assets / revenue</x:v>
      </x:c>
      <x:c r="D81" s="29"/>
      <x:c r="E81" s="62" t="n">
        <x:f>'Balance Sheet'!E13/'Income Statement'!E8</x:f>
        <x:v>0.05284195048202877</x:v>
      </x:c>
      <x:c r="F81" s="62" t="n">
        <x:f>'Balance Sheet'!F13/'Income Statement'!F8</x:f>
        <x:v>0.06117252627763683</x:v>
      </x:c>
      <x:c r="G81" s="62" t="n">
        <x:f>'Balance Sheet'!G13/'Income Statement'!G8</x:f>
        <x:v>0.080624269923635</x:v>
      </x:c>
      <x:c r="H81" s="62" t="n">
        <x:f>'Balance Sheet'!H13/'Income Statement'!H8</x:f>
        <x:v>0.08028528476033983</x:v>
      </x:c>
      <x:c r="I81" s="62" t="n">
        <x:f>'Balance Sheet'!I13/'Income Statement'!I8</x:f>
        <x:v>0.07967850173718528</x:v>
      </x:c>
      <x:c r="J81" s="62" t="n">
        <x:f>'Balance Sheet'!J13/'Income Statement'!J8</x:f>
        <x:v>0.08535834972512231</x:v>
      </x:c>
      <x:c r="K81" s="62" t="n">
        <x:f>'Balance Sheet'!K13/'Income Statement'!K8</x:f>
        <x:v>0.10290446641342048</x:v>
      </x:c>
      <x:c r="L81" s="62" t="n">
        <x:f>'Balance Sheet'!L13/'Income Statement'!L8</x:f>
        <x:v>0.1061553022576513</x:v>
      </x:c>
      <x:c r="M81" s="62" t="n">
        <x:f>'Balance Sheet'!M13/'Income Statement'!M8</x:f>
        <x:v>0.09130567505785804</x:v>
      </x:c>
      <x:c r="N81" s="62" t="n">
        <x:f>'Balance Sheet'!N13/'Income Statement'!N8</x:f>
        <x:v>0.1464384837225281</x:v>
      </x:c>
      <x:c r="O81" s="32" t="n">
        <x:f>IF(NOT(CHOOSE($D$4,ISNUMBER(O82),ISNUMBER(O83),ISNUMBER(O84))),"n.a.",CHOOSE($D$4,O82,O83,O84))</x:f>
        <x:v>0.135</x:v>
      </x:c>
      <x:c r="P81" s="32" t="n">
        <x:f>IF(NOT(CHOOSE($D$4,ISNUMBER(P82),ISNUMBER(P83),ISNUMBER(P84))),"n.a.",CHOOSE($D$4,P82,P83,P84))</x:f>
        <x:v>0.125</x:v>
      </x:c>
      <x:c r="Q81" s="32" t="n">
        <x:f>IF(NOT(CHOOSE($D$4,ISNUMBER(Q82),ISNUMBER(Q83),ISNUMBER(Q84))),"n.a.",CHOOSE($D$4,Q82,Q83,Q84))</x:f>
        <x:v>0.12</x:v>
      </x:c>
      <x:c r="R81" s="32" t="n">
        <x:f>IF(NOT(CHOOSE($D$4,ISNUMBER(R82),ISNUMBER(R83),ISNUMBER(R84))),"n.a.",CHOOSE($D$4,R82,R83,R84))</x:f>
        <x:v>0.115</x:v>
      </x:c>
      <x:c r="S81" s="32" t="n">
        <x:f>IF(NOT(CHOOSE($D$4,ISNUMBER(S82),ISNUMBER(S83),ISNUMBER(S84))),"n.a.",CHOOSE($D$4,S82,S83,S84))</x:f>
        <x:v>0.11</x:v>
      </x:c>
      <x:c r="T81" s="2"/>
      <x:c r="U81" s="2"/>
    </x:row>
    <x:row r="82" ht="21" customHeight="1">
      <x:c r="A82" s="2"/>
      <x:c r="B82" s="2"/>
      <x:c r="C82" s="18" t="str">
        <x:v>Base</x:v>
      </x:c>
      <x:c r="D82" s="18"/>
      <x:c r="E82" s="19"/>
      <x:c r="F82" s="19"/>
      <x:c r="G82" s="19"/>
      <x:c r="H82" s="19"/>
      <x:c r="I82" s="19"/>
      <x:c r="J82" s="19"/>
      <x:c r="K82" s="19"/>
      <x:c r="L82" s="19"/>
      <x:c r="M82" s="19"/>
      <x:c r="N82" s="19"/>
      <x:c r="O82" s="31" t="n">
        <x:v>0.135</x:v>
      </x:c>
      <x:c r="P82" s="31" t="n">
        <x:v>0.125</x:v>
      </x:c>
      <x:c r="Q82" s="31" t="n">
        <x:v>0.12</x:v>
      </x:c>
      <x:c r="R82" s="31" t="n">
        <x:v>0.115</x:v>
      </x:c>
      <x:c r="S82" s="31" t="n">
        <x:v>0.11</x:v>
      </x:c>
      <x:c r="T82" s="2"/>
      <x:c r="U82" s="2"/>
    </x:row>
    <x:row r="83" ht="21" customHeight="1">
      <x:c r="A83" s="2"/>
      <x:c r="B83" s="2"/>
      <x:c r="C83" s="18" t="str">
        <x:v>Upside</x:v>
      </x:c>
      <x:c r="D83" s="18"/>
      <x:c r="E83" s="19"/>
      <x:c r="F83" s="19"/>
      <x:c r="G83" s="19"/>
      <x:c r="H83" s="19"/>
      <x:c r="I83" s="19"/>
      <x:c r="J83" s="19"/>
      <x:c r="K83" s="19"/>
      <x:c r="L83" s="19"/>
      <x:c r="M83" s="19"/>
      <x:c r="N83" s="19"/>
      <x:c r="O83" s="31" t="n">
        <x:v>0.13</x:v>
      </x:c>
      <x:c r="P83" s="31" t="n">
        <x:v>0.12</x:v>
      </x:c>
      <x:c r="Q83" s="31" t="n">
        <x:v>0.115</x:v>
      </x:c>
      <x:c r="R83" s="31" t="n">
        <x:v>0.11</x:v>
      </x:c>
      <x:c r="S83" s="31" t="n">
        <x:v>0.105</x:v>
      </x:c>
      <x:c r="T83" s="2"/>
      <x:c r="U83" s="2"/>
    </x:row>
    <x:row r="84" ht="21" customHeight="1">
      <x:c r="A84" s="2"/>
      <x:c r="B84" s="2"/>
      <x:c r="C84" s="18" t="str">
        <x:v>Downside</x:v>
      </x:c>
      <x:c r="D84" s="18"/>
      <x:c r="E84" s="19"/>
      <x:c r="F84" s="19"/>
      <x:c r="G84" s="19"/>
      <x:c r="H84" s="19"/>
      <x:c r="I84" s="19"/>
      <x:c r="J84" s="19"/>
      <x:c r="K84" s="19"/>
      <x:c r="L84" s="19"/>
      <x:c r="M84" s="19"/>
      <x:c r="N84" s="19"/>
      <x:c r="O84" s="31" t="n">
        <x:v>0.146</x:v>
      </x:c>
      <x:c r="P84" s="31" t="n">
        <x:v>0.145</x:v>
      </x:c>
      <x:c r="Q84" s="31" t="n">
        <x:v>0.14</x:v>
      </x:c>
      <x:c r="R84" s="31" t="n">
        <x:v>0.135</x:v>
      </x:c>
      <x:c r="S84" s="31" t="n">
        <x:v>0.13</x:v>
      </x:c>
      <x:c r="T84" s="2"/>
      <x:c r="U84" s="2"/>
    </x:row>
    <x:row r="85" ht="21" customHeight="1">
      <x:c r="A85" s="2"/>
      <x:c r="B85" s="2"/>
      <x:c r="C85" s="29" t="str">
        <x:v>Accrued compensation / revenue</x:v>
      </x:c>
      <x:c r="D85" s="29"/>
      <x:c r="E85" s="62" t="n">
        <x:f>'Balance Sheet'!E27/'Income Statement'!E8</x:f>
        <x:v>0.06025618456886643</x:v>
      </x:c>
      <x:c r="F85" s="62" t="n">
        <x:f>'Balance Sheet'!F27/'Income Statement'!F8</x:f>
        <x:v>0.055300833635375135</x:v>
      </x:c>
      <x:c r="G85" s="62" t="n">
        <x:f>'Balance Sheet'!G27/'Income Statement'!G8</x:f>
        <x:v>0.05427397630380713</x:v>
      </x:c>
      <x:c r="H85" s="62" t="n">
        <x:f>'Balance Sheet'!H27/'Income Statement'!H8</x:f>
        <x:v>0.05505716183617103</x:v>
      </x:c>
      <x:c r="I85" s="62" t="n">
        <x:f>'Balance Sheet'!I27/'Income Statement'!I8</x:f>
        <x:v>0.05983175479510733</x:v>
      </x:c>
      <x:c r="J85" s="62" t="n">
        <x:f>'Balance Sheet'!J27/'Income Statement'!J8</x:f>
        <x:v>0.05377011146416503</x:v>
      </x:c>
      <x:c r="K85" s="62" t="n">
        <x:f>'Balance Sheet'!K27/'Income Statement'!K8</x:f>
        <x:v>0.05195007432225185</x:v>
      </x:c>
      <x:c r="L85" s="62" t="n">
        <x:f>'Balance Sheet'!L27/'Income Statement'!L8</x:f>
        <x:v>0.05125610920276434</x:v>
      </x:c>
      <x:c r="M85" s="62" t="n">
        <x:f>'Balance Sheet'!M27/'Income Statement'!M8</x:f>
        <x:v>0.048661100935667535</x:v>
      </x:c>
      <x:c r="N85" s="62" t="n">
        <x:f>'Balance Sheet'!N27/'Income Statement'!N8</x:f>
        <x:v>0.045036900424603496</x:v>
      </x:c>
      <x:c r="O85" s="32" t="n">
        <x:f>IF(NOT(CHOOSE($D$4,ISNUMBER(O86),ISNUMBER(O87),ISNUMBER(O88))),"n.a.",CHOOSE($D$4,O86,O87,O88))</x:f>
        <x:v>0.045036900424603496</x:v>
      </x:c>
      <x:c r="P85" s="32" t="n">
        <x:f>IF(NOT(CHOOSE($D$4,ISNUMBER(P86),ISNUMBER(P87),ISNUMBER(P88))),"n.a.",CHOOSE($D$4,P86,P87,P88))</x:f>
        <x:v>0.045036900424603496</x:v>
      </x:c>
      <x:c r="Q85" s="32" t="n">
        <x:f>IF(NOT(CHOOSE($D$4,ISNUMBER(Q86),ISNUMBER(Q87),ISNUMBER(Q88))),"n.a.",CHOOSE($D$4,Q86,Q87,Q88))</x:f>
        <x:v>0.045036900424603496</x:v>
      </x:c>
      <x:c r="R85" s="32" t="n">
        <x:f>IF(NOT(CHOOSE($D$4,ISNUMBER(R86),ISNUMBER(R87),ISNUMBER(R88))),"n.a.",CHOOSE($D$4,R86,R87,R88))</x:f>
        <x:v>0.045036900424603496</x:v>
      </x:c>
      <x:c r="S85" s="32" t="n">
        <x:f>IF(NOT(CHOOSE($D$4,ISNUMBER(S86),ISNUMBER(S87),ISNUMBER(S88))),"n.a.",CHOOSE($D$4,S86,S87,S88))</x:f>
        <x:v>0.045036900424603496</x:v>
      </x:c>
      <x:c r="T85" s="2"/>
      <x:c r="U85" s="2"/>
    </x:row>
    <x:row r="86" ht="21" customHeight="1">
      <x:c r="A86" s="2"/>
      <x:c r="B86" s="2"/>
      <x:c r="C86" s="18" t="str">
        <x:v>Base</x:v>
      </x:c>
      <x:c r="D86" s="18"/>
      <x:c r="E86" s="19"/>
      <x:c r="F86" s="19"/>
      <x:c r="G86" s="19"/>
      <x:c r="H86" s="19"/>
      <x:c r="I86" s="19"/>
      <x:c r="J86" s="19"/>
      <x:c r="K86" s="19"/>
      <x:c r="L86" s="19"/>
      <x:c r="M86" s="19"/>
      <x:c r="N86" s="19"/>
      <x:c r="O86" s="31" t="n">
        <x:v>0.045036900424603496</x:v>
      </x:c>
      <x:c r="P86" s="31" t="n">
        <x:v>0.045036900424603496</x:v>
      </x:c>
      <x:c r="Q86" s="31" t="n">
        <x:v>0.045036900424603496</x:v>
      </x:c>
      <x:c r="R86" s="31" t="n">
        <x:v>0.045036900424603496</x:v>
      </x:c>
      <x:c r="S86" s="31" t="n">
        <x:v>0.045036900424603496</x:v>
      </x:c>
      <x:c r="T86" s="2"/>
      <x:c r="U86" s="2"/>
    </x:row>
    <x:row r="87" ht="21" customHeight="1">
      <x:c r="A87" s="2"/>
      <x:c r="B87" s="2"/>
      <x:c r="C87" s="18" t="str">
        <x:v>Upside</x:v>
      </x:c>
      <x:c r="D87" s="18"/>
      <x:c r="E87" s="19"/>
      <x:c r="F87" s="19"/>
      <x:c r="G87" s="19"/>
      <x:c r="H87" s="19"/>
      <x:c r="I87" s="19"/>
      <x:c r="J87" s="19"/>
      <x:c r="K87" s="19"/>
      <x:c r="L87" s="19"/>
      <x:c r="M87" s="19"/>
      <x:c r="N87" s="19"/>
      <x:c r="O87" s="31" t="n">
        <x:v>0.045036900424603496</x:v>
      </x:c>
      <x:c r="P87" s="31" t="n">
        <x:v>0.045036900424603496</x:v>
      </x:c>
      <x:c r="Q87" s="31" t="n">
        <x:v>0.045036900424603496</x:v>
      </x:c>
      <x:c r="R87" s="31" t="n">
        <x:v>0.045036900424603496</x:v>
      </x:c>
      <x:c r="S87" s="31" t="n">
        <x:v>0.045036900424603496</x:v>
      </x:c>
      <x:c r="T87" s="2"/>
      <x:c r="U87" s="2"/>
    </x:row>
    <x:row r="88" ht="21" customHeight="1">
      <x:c r="A88" s="2"/>
      <x:c r="B88" s="2"/>
      <x:c r="C88" s="18" t="str">
        <x:v>Downside</x:v>
      </x:c>
      <x:c r="D88" s="18"/>
      <x:c r="E88" s="19"/>
      <x:c r="F88" s="19"/>
      <x:c r="G88" s="19"/>
      <x:c r="H88" s="19"/>
      <x:c r="I88" s="19"/>
      <x:c r="J88" s="19"/>
      <x:c r="K88" s="19"/>
      <x:c r="L88" s="19"/>
      <x:c r="M88" s="19"/>
      <x:c r="N88" s="19"/>
      <x:c r="O88" s="31" t="n">
        <x:v>0.045036900424603496</x:v>
      </x:c>
      <x:c r="P88" s="31" t="n">
        <x:v>0.045036900424603496</x:v>
      </x:c>
      <x:c r="Q88" s="31" t="n">
        <x:v>0.045036900424603496</x:v>
      </x:c>
      <x:c r="R88" s="31" t="n">
        <x:v>0.045036900424603496</x:v>
      </x:c>
      <x:c r="S88" s="31" t="n">
        <x:v>0.045036900424603496</x:v>
      </x:c>
      <x:c r="T88" s="2"/>
      <x:c r="U88" s="2"/>
    </x:row>
    <x:row r="89" ht="21" customHeight="1">
      <x:c r="A89" s="2"/>
      <x:c r="B89" s="2"/>
      <x:c r="C89" s="29" t="str">
        <x:v>Current unearned revenue / revenue</x:v>
      </x:c>
      <x:c r="D89" s="29"/>
      <x:c r="E89" s="62" t="n">
        <x:f>'Balance Sheet'!E29/'Income Statement'!E8</x:f>
        <x:v>0.24865642894864917</x:v>
      </x:c>
      <x:c r="F89" s="62" t="n">
        <x:f>'Balance Sheet'!F29/'Income Statement'!F8</x:f>
        <x:v>0.2619155491119971</x:v>
      </x:c>
      <x:c r="G89" s="62" t="n">
        <x:f>'Balance Sheet'!G29/'Income Statement'!G8</x:f>
        <x:v>0.25965687404146437</x:v>
      </x:c>
      <x:c r="H89" s="62" t="n">
        <x:f>'Balance Sheet'!H29/'Income Statement'!H8</x:f>
        <x:v>0.25172184735866865</x:v>
      </x:c>
      <x:c r="I89" s="62" t="n">
        <x:f>'Balance Sheet'!I29/'Income Statement'!I8</x:f>
        <x:v>0.24704321545856933</x:v>
      </x:c>
      <x:c r="J89" s="62" t="n">
        <x:f>'Balance Sheet'!J29/'Income Statement'!J8</x:f>
        <x:v>0.22967670348514652</x:v>
      </x:c>
      <x:c r="K89" s="62" t="n">
        <x:f>'Balance Sheet'!K29/'Income Statement'!K8</x:f>
        <x:v>0.24019536134771016</x:v>
      </x:c>
      <x:c r="L89" s="62" t="n">
        <x:f>'Balance Sheet'!L29/'Income Statement'!L8</x:f>
        <x:v>0.23491159504246864</x:v>
      </x:c>
      <x:c r="M89" s="62" t="n">
        <x:f>'Balance Sheet'!M29/'Income Statement'!M8</x:f>
        <x:v>0.229142707046613</x:v>
      </x:c>
      <x:c r="N89" s="62" t="n">
        <x:f>'Balance Sheet'!N29/'Income Statement'!N8</x:f>
        <x:v>0.2198807252914817</x:v>
      </x:c>
      <x:c r="O89" s="32" t="n">
        <x:f>IF(NOT(CHOOSE($D$4,ISNUMBER(O90),ISNUMBER(O91),ISNUMBER(O92))),"n.a.",CHOOSE($D$4,O90,O91,O92))</x:f>
        <x:v>0.2198807252914817</x:v>
      </x:c>
      <x:c r="P89" s="32" t="n">
        <x:f>IF(NOT(CHOOSE($D$4,ISNUMBER(P90),ISNUMBER(P91),ISNUMBER(P92))),"n.a.",CHOOSE($D$4,P90,P91,P92))</x:f>
        <x:v>0.2198807252914817</x:v>
      </x:c>
      <x:c r="Q89" s="32" t="n">
        <x:f>IF(NOT(CHOOSE($D$4,ISNUMBER(Q90),ISNUMBER(Q91),ISNUMBER(Q92))),"n.a.",CHOOSE($D$4,Q90,Q91,Q92))</x:f>
        <x:v>0.2198807252914817</x:v>
      </x:c>
      <x:c r="R89" s="32" t="n">
        <x:f>IF(NOT(CHOOSE($D$4,ISNUMBER(R90),ISNUMBER(R91),ISNUMBER(R92))),"n.a.",CHOOSE($D$4,R90,R91,R92))</x:f>
        <x:v>0.2198807252914817</x:v>
      </x:c>
      <x:c r="S89" s="32" t="n">
        <x:f>IF(NOT(CHOOSE($D$4,ISNUMBER(S90),ISNUMBER(S91),ISNUMBER(S92))),"n.a.",CHOOSE($D$4,S90,S91,S92))</x:f>
        <x:v>0.2198807252914817</x:v>
      </x:c>
      <x:c r="T89" s="2"/>
      <x:c r="U89" s="2"/>
    </x:row>
    <x:row r="90" ht="21" customHeight="1">
      <x:c r="A90" s="2"/>
      <x:c r="B90" s="2"/>
      <x:c r="C90" s="18" t="str">
        <x:v>Base</x:v>
      </x:c>
      <x:c r="D90" s="18"/>
      <x:c r="E90" s="19"/>
      <x:c r="F90" s="19"/>
      <x:c r="G90" s="19"/>
      <x:c r="H90" s="19"/>
      <x:c r="I90" s="19"/>
      <x:c r="J90" s="19"/>
      <x:c r="K90" s="19"/>
      <x:c r="L90" s="19"/>
      <x:c r="M90" s="19"/>
      <x:c r="N90" s="19"/>
      <x:c r="O90" s="31" t="n">
        <x:v>0.2198807252914817</x:v>
      </x:c>
      <x:c r="P90" s="31" t="n">
        <x:v>0.2198807252914817</x:v>
      </x:c>
      <x:c r="Q90" s="31" t="n">
        <x:v>0.2198807252914817</x:v>
      </x:c>
      <x:c r="R90" s="31" t="n">
        <x:v>0.2198807252914817</x:v>
      </x:c>
      <x:c r="S90" s="31" t="n">
        <x:v>0.2198807252914817</x:v>
      </x:c>
      <x:c r="T90" s="2"/>
      <x:c r="U90" s="2"/>
    </x:row>
    <x:row r="91" ht="21" customHeight="1">
      <x:c r="A91" s="2"/>
      <x:c r="B91" s="2"/>
      <x:c r="C91" s="18" t="str">
        <x:v>Upside</x:v>
      </x:c>
      <x:c r="D91" s="18"/>
      <x:c r="E91" s="19"/>
      <x:c r="F91" s="19"/>
      <x:c r="G91" s="19"/>
      <x:c r="H91" s="19"/>
      <x:c r="I91" s="19"/>
      <x:c r="J91" s="19"/>
      <x:c r="K91" s="19"/>
      <x:c r="L91" s="19"/>
      <x:c r="M91" s="19"/>
      <x:c r="N91" s="19"/>
      <x:c r="O91" s="31" t="n">
        <x:v>0.2198807252914817</x:v>
      </x:c>
      <x:c r="P91" s="31" t="n">
        <x:v>0.2198807252914817</x:v>
      </x:c>
      <x:c r="Q91" s="31" t="n">
        <x:v>0.2198807252914817</x:v>
      </x:c>
      <x:c r="R91" s="31" t="n">
        <x:v>0.2198807252914817</x:v>
      </x:c>
      <x:c r="S91" s="31" t="n">
        <x:v>0.2198807252914817</x:v>
      </x:c>
      <x:c r="T91" s="2"/>
      <x:c r="U91" s="2"/>
    </x:row>
    <x:row r="92" ht="21" customHeight="1">
      <x:c r="A92" s="2"/>
      <x:c r="B92" s="2"/>
      <x:c r="C92" s="18" t="str">
        <x:v>Downside</x:v>
      </x:c>
      <x:c r="D92" s="18"/>
      <x:c r="E92" s="19"/>
      <x:c r="F92" s="19"/>
      <x:c r="G92" s="19"/>
      <x:c r="H92" s="19"/>
      <x:c r="I92" s="19"/>
      <x:c r="J92" s="19"/>
      <x:c r="K92" s="19"/>
      <x:c r="L92" s="19"/>
      <x:c r="M92" s="19"/>
      <x:c r="N92" s="19"/>
      <x:c r="O92" s="31" t="n">
        <x:v>0.2198807252914817</x:v>
      </x:c>
      <x:c r="P92" s="31" t="n">
        <x:v>0.2198807252914817</x:v>
      </x:c>
      <x:c r="Q92" s="31" t="n">
        <x:v>0.2198807252914817</x:v>
      </x:c>
      <x:c r="R92" s="31" t="n">
        <x:v>0.2198807252914817</x:v>
      </x:c>
      <x:c r="S92" s="31" t="n">
        <x:v>0.2198807252914817</x:v>
      </x:c>
      <x:c r="T92" s="2"/>
      <x:c r="U92" s="2"/>
    </x:row>
    <x:row r="93" ht="32" customHeight="1">
      <x:c r="A93" s="2"/>
      <x:c r="B93" s="2"/>
      <x:c r="C93" s="28" t="str">
        <x:v>Other current liabilities excluding leases / revenue</x:v>
      </x:c>
      <x:c r="D93" s="29"/>
      <x:c r="E93" s="30"/>
      <x:c r="F93" s="30"/>
      <x:c r="G93" s="30"/>
      <x:c r="H93" s="30"/>
      <x:c r="I93" s="30"/>
      <x:c r="J93" s="30"/>
      <x:c r="K93" s="30"/>
      <x:c r="L93" s="30"/>
      <x:c r="M93" s="30"/>
      <x:c r="N93" s="62" t="n">
        <x:f>'Working Capital'!N21/'Income Statement'!N8</x:f>
        <x:v>0.051395405603319684</x:v>
      </x:c>
      <x:c r="O93" s="32" t="n">
        <x:f>IF(NOT(CHOOSE($D$4,ISNUMBER(O94),ISNUMBER(O95),ISNUMBER(O96))),"n.a.",CHOOSE($D$4,O94,O95,O96))</x:f>
        <x:v>0.051395405603319684</x:v>
      </x:c>
      <x:c r="P93" s="32" t="n">
        <x:f>IF(NOT(CHOOSE($D$4,ISNUMBER(P94),ISNUMBER(P95),ISNUMBER(P96))),"n.a.",CHOOSE($D$4,P94,P95,P96))</x:f>
        <x:v>0.051395405603319684</x:v>
      </x:c>
      <x:c r="Q93" s="32" t="n">
        <x:f>IF(NOT(CHOOSE($D$4,ISNUMBER(Q94),ISNUMBER(Q95),ISNUMBER(Q96))),"n.a.",CHOOSE($D$4,Q94,Q95,Q96))</x:f>
        <x:v>0.051395405603319684</x:v>
      </x:c>
      <x:c r="R93" s="32" t="n">
        <x:f>IF(NOT(CHOOSE($D$4,ISNUMBER(R94),ISNUMBER(R95),ISNUMBER(R96))),"n.a.",CHOOSE($D$4,R94,R95,R96))</x:f>
        <x:v>0.051395405603319684</x:v>
      </x:c>
      <x:c r="S93" s="32" t="n">
        <x:f>IF(NOT(CHOOSE($D$4,ISNUMBER(S94),ISNUMBER(S95),ISNUMBER(S96))),"n.a.",CHOOSE($D$4,S94,S95,S96))</x:f>
        <x:v>0.051395405603319684</x:v>
      </x:c>
      <x:c r="T93" s="2"/>
      <x:c r="U93" s="2"/>
    </x:row>
    <x:row r="94" ht="21" customHeight="1">
      <x:c r="A94" s="2"/>
      <x:c r="B94" s="2"/>
      <x:c r="C94" s="18" t="str">
        <x:v>Base</x:v>
      </x:c>
      <x:c r="D94" s="18"/>
      <x:c r="E94" s="19"/>
      <x:c r="F94" s="19"/>
      <x:c r="G94" s="19"/>
      <x:c r="H94" s="19"/>
      <x:c r="I94" s="19"/>
      <x:c r="J94" s="19"/>
      <x:c r="K94" s="19"/>
      <x:c r="L94" s="19"/>
      <x:c r="M94" s="19"/>
      <x:c r="N94" s="19"/>
      <x:c r="O94" s="31" t="n">
        <x:v>0.051395405603319684</x:v>
      </x:c>
      <x:c r="P94" s="31" t="n">
        <x:v>0.051395405603319684</x:v>
      </x:c>
      <x:c r="Q94" s="31" t="n">
        <x:v>0.051395405603319684</x:v>
      </x:c>
      <x:c r="R94" s="31" t="n">
        <x:v>0.051395405603319684</x:v>
      </x:c>
      <x:c r="S94" s="31" t="n">
        <x:v>0.051395405603319684</x:v>
      </x:c>
      <x:c r="T94" s="2"/>
      <x:c r="U94" s="2"/>
    </x:row>
    <x:row r="95" ht="21" customHeight="1">
      <x:c r="A95" s="2"/>
      <x:c r="B95" s="2"/>
      <x:c r="C95" s="18" t="str">
        <x:v>Upside</x:v>
      </x:c>
      <x:c r="D95" s="18"/>
      <x:c r="E95" s="19"/>
      <x:c r="F95" s="19"/>
      <x:c r="G95" s="19"/>
      <x:c r="H95" s="19"/>
      <x:c r="I95" s="19"/>
      <x:c r="J95" s="19"/>
      <x:c r="K95" s="19"/>
      <x:c r="L95" s="19"/>
      <x:c r="M95" s="19"/>
      <x:c r="N95" s="19"/>
      <x:c r="O95" s="31" t="n">
        <x:v>0.051395405603319684</x:v>
      </x:c>
      <x:c r="P95" s="31" t="n">
        <x:v>0.051395405603319684</x:v>
      </x:c>
      <x:c r="Q95" s="31" t="n">
        <x:v>0.051395405603319684</x:v>
      </x:c>
      <x:c r="R95" s="31" t="n">
        <x:v>0.051395405603319684</x:v>
      </x:c>
      <x:c r="S95" s="31" t="n">
        <x:v>0.051395405603319684</x:v>
      </x:c>
      <x:c r="T95" s="2"/>
      <x:c r="U95" s="2"/>
    </x:row>
    <x:row r="96" ht="21" customHeight="1">
      <x:c r="A96" s="2"/>
      <x:c r="B96" s="2"/>
      <x:c r="C96" s="18" t="str">
        <x:v>Downside</x:v>
      </x:c>
      <x:c r="D96" s="18"/>
      <x:c r="E96" s="19"/>
      <x:c r="F96" s="19"/>
      <x:c r="G96" s="19"/>
      <x:c r="H96" s="19"/>
      <x:c r="I96" s="19"/>
      <x:c r="J96" s="19"/>
      <x:c r="K96" s="19"/>
      <x:c r="L96" s="19"/>
      <x:c r="M96" s="19"/>
      <x:c r="N96" s="19"/>
      <x:c r="O96" s="31" t="n">
        <x:v>0.051395405603319684</x:v>
      </x:c>
      <x:c r="P96" s="31" t="n">
        <x:v>0.051395405603319684</x:v>
      </x:c>
      <x:c r="Q96" s="31" t="n">
        <x:v>0.051395405603319684</x:v>
      </x:c>
      <x:c r="R96" s="31" t="n">
        <x:v>0.051395405603319684</x:v>
      </x:c>
      <x:c r="S96" s="31" t="n">
        <x:v>0.051395405603319684</x:v>
      </x:c>
      <x:c r="T96" s="2"/>
      <x:c r="U96" s="2"/>
    </x:row>
    <x:row r="97" ht="21" customHeight="1">
      <x:c r="A97" s="2"/>
      <x:c r="B97" s="2"/>
      <x:c r="C97" s="29" t="str">
        <x:v>Other long-term assets / revenue</x:v>
      </x:c>
      <x:c r="D97" s="29"/>
      <x:c r="E97" s="62" t="n">
        <x:f>'Balance Sheet'!E21/'Income Statement'!E8</x:f>
        <x:v>0.06291743898271739</x:v>
      </x:c>
      <x:c r="F97" s="62" t="n">
        <x:f>'Balance Sheet'!F21/'Income Statement'!F8</x:f>
        <x:v>0.06743385284523377</x:v>
      </x:c>
      <x:c r="G97" s="62" t="n">
        <x:f>'Balance Sheet'!G21/'Income Statement'!G8</x:f>
        <x:v>0.11699498581565919</x:v>
      </x:c>
      <x:c r="H97" s="62" t="n">
        <x:f>'Balance Sheet'!H21/'Income Statement'!H8</x:f>
        <x:v>0.09186448973883858</x:v>
      </x:c>
      <x:c r="I97" s="62" t="n">
        <x:f>'Balance Sheet'!I21/'Income Statement'!I8</x:f>
        <x:v>0.08968516491361668</x:v>
      </x:c>
      <x:c r="J97" s="62" t="n">
        <x:f>'Balance Sheet'!J21/'Income Statement'!J8</x:f>
        <x:v>0.11044030866999546</x:v>
      </x:c>
      <x:c r="K97" s="62" t="n">
        <x:f>'Balance Sheet'!K21/'Income Statement'!K8</x:f>
        <x:v>0.14440223674586508</x:v>
      </x:c>
      <x:c r="L97" s="62" t="n">
        <x:f>'Balance Sheet'!L21/'Income Statement'!L8</x:f>
        <x:v>0.14874225895676438</x:v>
      </x:c>
      <x:c r="M97" s="62" t="n">
        <x:f>'Balance Sheet'!M21/'Income Statement'!M8</x:f>
        <x:v>0.14398844258920077</x:v>
      </x:c>
      <x:c r="N97" s="62" t="n">
        <x:f>'Balance Sheet'!N21/'Income Statement'!N8</x:f>
        <x:v>0.11693923860667371</x:v>
      </x:c>
      <x:c r="O97" s="32" t="n">
        <x:f>IF(NOT(CHOOSE($D$4,ISNUMBER(O98),ISNUMBER(O99),ISNUMBER(O100))),"n.a.",CHOOSE($D$4,O98,O99,O100))</x:f>
        <x:v>0.11693923860667371</x:v>
      </x:c>
      <x:c r="P97" s="32" t="n">
        <x:f>IF(NOT(CHOOSE($D$4,ISNUMBER(P98),ISNUMBER(P99),ISNUMBER(P100))),"n.a.",CHOOSE($D$4,P98,P99,P100))</x:f>
        <x:v>0.11693923860667371</x:v>
      </x:c>
      <x:c r="Q97" s="32" t="n">
        <x:f>IF(NOT(CHOOSE($D$4,ISNUMBER(Q98),ISNUMBER(Q99),ISNUMBER(Q100))),"n.a.",CHOOSE($D$4,Q98,Q99,Q100))</x:f>
        <x:v>0.11693923860667371</x:v>
      </x:c>
      <x:c r="R97" s="32" t="n">
        <x:f>IF(NOT(CHOOSE($D$4,ISNUMBER(R98),ISNUMBER(R99),ISNUMBER(R100))),"n.a.",CHOOSE($D$4,R98,R99,R100))</x:f>
        <x:v>0.11693923860667371</x:v>
      </x:c>
      <x:c r="S97" s="32" t="n">
        <x:f>IF(NOT(CHOOSE($D$4,ISNUMBER(S98),ISNUMBER(S99),ISNUMBER(S100))),"n.a.",CHOOSE($D$4,S98,S99,S100))</x:f>
        <x:v>0.11693923860667371</x:v>
      </x:c>
      <x:c r="T97" s="2"/>
      <x:c r="U97" s="2"/>
    </x:row>
    <x:row r="98" ht="21" customHeight="1">
      <x:c r="A98" s="2"/>
      <x:c r="B98" s="2"/>
      <x:c r="C98" s="18" t="str">
        <x:v>Base</x:v>
      </x:c>
      <x:c r="D98" s="18"/>
      <x:c r="E98" s="19"/>
      <x:c r="F98" s="19"/>
      <x:c r="G98" s="19"/>
      <x:c r="H98" s="19"/>
      <x:c r="I98" s="19"/>
      <x:c r="J98" s="19"/>
      <x:c r="K98" s="19"/>
      <x:c r="L98" s="19"/>
      <x:c r="M98" s="19"/>
      <x:c r="N98" s="19"/>
      <x:c r="O98" s="31" t="n">
        <x:v>0.11693923860667371</x:v>
      </x:c>
      <x:c r="P98" s="31" t="n">
        <x:v>0.11693923860667371</x:v>
      </x:c>
      <x:c r="Q98" s="31" t="n">
        <x:v>0.11693923860667371</x:v>
      </x:c>
      <x:c r="R98" s="31" t="n">
        <x:v>0.11693923860667371</x:v>
      </x:c>
      <x:c r="S98" s="31" t="n">
        <x:v>0.11693923860667371</x:v>
      </x:c>
      <x:c r="T98" s="2"/>
      <x:c r="U98" s="2"/>
    </x:row>
    <x:row r="99" ht="21" customHeight="1">
      <x:c r="A99" s="2"/>
      <x:c r="B99" s="2"/>
      <x:c r="C99" s="18" t="str">
        <x:v>Upside</x:v>
      </x:c>
      <x:c r="D99" s="18"/>
      <x:c r="E99" s="19"/>
      <x:c r="F99" s="19"/>
      <x:c r="G99" s="19"/>
      <x:c r="H99" s="19"/>
      <x:c r="I99" s="19"/>
      <x:c r="J99" s="19"/>
      <x:c r="K99" s="19"/>
      <x:c r="L99" s="19"/>
      <x:c r="M99" s="19"/>
      <x:c r="N99" s="19"/>
      <x:c r="O99" s="31" t="n">
        <x:v>0.11693923860667371</x:v>
      </x:c>
      <x:c r="P99" s="31" t="n">
        <x:v>0.11693923860667371</x:v>
      </x:c>
      <x:c r="Q99" s="31" t="n">
        <x:v>0.11693923860667371</x:v>
      </x:c>
      <x:c r="R99" s="31" t="n">
        <x:v>0.11693923860667371</x:v>
      </x:c>
      <x:c r="S99" s="31" t="n">
        <x:v>0.11693923860667371</x:v>
      </x:c>
      <x:c r="T99" s="2"/>
      <x:c r="U99" s="2"/>
    </x:row>
    <x:row r="100" ht="21" customHeight="1">
      <x:c r="A100" s="2"/>
      <x:c r="B100" s="2"/>
      <x:c r="C100" s="18" t="str">
        <x:v>Downside</x:v>
      </x:c>
      <x:c r="D100" s="18"/>
      <x:c r="E100" s="19"/>
      <x:c r="F100" s="19"/>
      <x:c r="G100" s="19"/>
      <x:c r="H100" s="19"/>
      <x:c r="I100" s="19"/>
      <x:c r="J100" s="19"/>
      <x:c r="K100" s="19"/>
      <x:c r="L100" s="19"/>
      <x:c r="M100" s="19"/>
      <x:c r="N100" s="19"/>
      <x:c r="O100" s="31" t="n">
        <x:v>0.11693923860667371</x:v>
      </x:c>
      <x:c r="P100" s="31" t="n">
        <x:v>0.11693923860667371</x:v>
      </x:c>
      <x:c r="Q100" s="31" t="n">
        <x:v>0.11693923860667371</x:v>
      </x:c>
      <x:c r="R100" s="31" t="n">
        <x:v>0.11693923860667371</x:v>
      </x:c>
      <x:c r="S100" s="31" t="n">
        <x:v>0.11693923860667371</x:v>
      </x:c>
      <x:c r="T100" s="2"/>
      <x:c r="U100" s="2"/>
    </x:row>
    <x:row r="101" ht="21" customHeight="1">
      <x:c r="A101" s="2"/>
      <x:c r="B101" s="2"/>
      <x:c r="C101" s="29" t="str">
        <x:v>Long-term income tax liabilities / revenue</x:v>
      </x:c>
      <x:c r="D101" s="29"/>
      <x:c r="E101" s="62" t="n">
        <x:f>'Balance Sheet'!E35/'Income Statement'!E8</x:f>
        <x:v>0.13963819366062274</x:v>
      </x:c>
      <x:c r="F101" s="62" t="n">
        <x:f>'Balance Sheet'!F35/'Income Statement'!F8</x:f>
        <x:v>0.2742388546574846</x:v>
      </x:c>
      <x:c r="G101" s="62" t="n">
        <x:f>'Balance Sheet'!G35/'Income Statement'!G8</x:f>
        <x:v>0.23530907559419276</x:v>
      </x:c>
      <x:c r="H101" s="62" t="n">
        <x:f>'Balance Sheet'!H35/'Income Statement'!H8</x:f>
        <x:v>0.2057965947627871</x:v>
      </x:c>
      <x:c r="I101" s="62" t="n">
        <x:f>'Balance Sheet'!I35/'Income Statement'!I8</x:f>
        <x:v>0.1617605064014088</x:v>
      </x:c>
      <x:c r="J101" s="62" t="n">
        <x:f>'Balance Sheet'!J35/'Income Statement'!J8</x:f>
        <x:v>0.1314823220860443</x:v>
      </x:c>
      <x:c r="K101" s="62" t="n">
        <x:f>'Balance Sheet'!K35/'Income Statement'!K8</x:f>
        <x:v>0.12061439728192908</x:v>
      </x:c>
      <x:c r="L101" s="62" t="n">
        <x:f>'Balance Sheet'!L35/'Income Statement'!L8</x:f>
        <x:v>0.11394734050799193</x:v>
      </x:c>
      <x:c r="M101" s="62" t="n">
        <x:f>'Balance Sheet'!M35/'Income Statement'!M8</x:f>
        <x:v>0.09223921284661583</x:v>
      </x:c>
      <x:c r="N101" s="62" t="n">
        <x:f>'Balance Sheet'!N35/'Income Statement'!N8</x:f>
        <x:v>0.08632800846193485</x:v>
      </x:c>
      <x:c r="O101" s="32" t="n">
        <x:f>IF(NOT(CHOOSE($D$4,ISNUMBER(O102),ISNUMBER(O103),ISNUMBER(O104))),"n.a.",CHOOSE($D$4,O102,O103,O104))</x:f>
        <x:v>0.08632800846193485</x:v>
      </x:c>
      <x:c r="P101" s="32" t="n">
        <x:f>IF(NOT(CHOOSE($D$4,ISNUMBER(P102),ISNUMBER(P103),ISNUMBER(P104))),"n.a.",CHOOSE($D$4,P102,P103,P104))</x:f>
        <x:v>0.08632800846193485</x:v>
      </x:c>
      <x:c r="Q101" s="32" t="n">
        <x:f>IF(NOT(CHOOSE($D$4,ISNUMBER(Q102),ISNUMBER(Q103),ISNUMBER(Q104))),"n.a.",CHOOSE($D$4,Q102,Q103,Q104))</x:f>
        <x:v>0.08632800846193485</x:v>
      </x:c>
      <x:c r="R101" s="32" t="n">
        <x:f>IF(NOT(CHOOSE($D$4,ISNUMBER(R102),ISNUMBER(R103),ISNUMBER(R104))),"n.a.",CHOOSE($D$4,R102,R103,R104))</x:f>
        <x:v>0.08632800846193485</x:v>
      </x:c>
      <x:c r="S101" s="32" t="n">
        <x:f>IF(NOT(CHOOSE($D$4,ISNUMBER(S102),ISNUMBER(S103),ISNUMBER(S104))),"n.a.",CHOOSE($D$4,S102,S103,S104))</x:f>
        <x:v>0.08632800846193485</x:v>
      </x:c>
      <x:c r="T101" s="2"/>
      <x:c r="U101" s="2"/>
    </x:row>
    <x:row r="102" ht="21" customHeight="1">
      <x:c r="A102" s="2"/>
      <x:c r="B102" s="2"/>
      <x:c r="C102" s="18" t="str">
        <x:v>Base</x:v>
      </x:c>
      <x:c r="D102" s="18"/>
      <x:c r="E102" s="19"/>
      <x:c r="F102" s="19"/>
      <x:c r="G102" s="19"/>
      <x:c r="H102" s="19"/>
      <x:c r="I102" s="19"/>
      <x:c r="J102" s="19"/>
      <x:c r="K102" s="19"/>
      <x:c r="L102" s="19"/>
      <x:c r="M102" s="19"/>
      <x:c r="N102" s="19"/>
      <x:c r="O102" s="31" t="n">
        <x:v>0.08632800846193485</x:v>
      </x:c>
      <x:c r="P102" s="31" t="n">
        <x:v>0.08632800846193485</x:v>
      </x:c>
      <x:c r="Q102" s="31" t="n">
        <x:v>0.08632800846193485</x:v>
      </x:c>
      <x:c r="R102" s="31" t="n">
        <x:v>0.08632800846193485</x:v>
      </x:c>
      <x:c r="S102" s="31" t="n">
        <x:v>0.08632800846193485</x:v>
      </x:c>
      <x:c r="T102" s="2"/>
      <x:c r="U102" s="2"/>
    </x:row>
    <x:row r="103" ht="21" customHeight="1">
      <x:c r="A103" s="2"/>
      <x:c r="B103" s="2"/>
      <x:c r="C103" s="18" t="str">
        <x:v>Upside</x:v>
      </x:c>
      <x:c r="D103" s="18"/>
      <x:c r="E103" s="19"/>
      <x:c r="F103" s="19"/>
      <x:c r="G103" s="19"/>
      <x:c r="H103" s="19"/>
      <x:c r="I103" s="19"/>
      <x:c r="J103" s="19"/>
      <x:c r="K103" s="19"/>
      <x:c r="L103" s="19"/>
      <x:c r="M103" s="19"/>
      <x:c r="N103" s="19"/>
      <x:c r="O103" s="31" t="n">
        <x:v>0.08632800846193485</x:v>
      </x:c>
      <x:c r="P103" s="31" t="n">
        <x:v>0.08632800846193485</x:v>
      </x:c>
      <x:c r="Q103" s="31" t="n">
        <x:v>0.08632800846193485</x:v>
      </x:c>
      <x:c r="R103" s="31" t="n">
        <x:v>0.08632800846193485</x:v>
      </x:c>
      <x:c r="S103" s="31" t="n">
        <x:v>0.08632800846193485</x:v>
      </x:c>
      <x:c r="T103" s="2"/>
      <x:c r="U103" s="2"/>
    </x:row>
    <x:row r="104" ht="21" customHeight="1">
      <x:c r="A104" s="2"/>
      <x:c r="B104" s="2"/>
      <x:c r="C104" s="18" t="str">
        <x:v>Downside</x:v>
      </x:c>
      <x:c r="D104" s="18"/>
      <x:c r="E104" s="19"/>
      <x:c r="F104" s="19"/>
      <x:c r="G104" s="19"/>
      <x:c r="H104" s="19"/>
      <x:c r="I104" s="19"/>
      <x:c r="J104" s="19"/>
      <x:c r="K104" s="19"/>
      <x:c r="L104" s="19"/>
      <x:c r="M104" s="19"/>
      <x:c r="N104" s="19"/>
      <x:c r="O104" s="31" t="n">
        <x:v>0.08632800846193485</x:v>
      </x:c>
      <x:c r="P104" s="31" t="n">
        <x:v>0.08632800846193485</x:v>
      </x:c>
      <x:c r="Q104" s="31" t="n">
        <x:v>0.08632800846193485</x:v>
      </x:c>
      <x:c r="R104" s="31" t="n">
        <x:v>0.08632800846193485</x:v>
      </x:c>
      <x:c r="S104" s="31" t="n">
        <x:v>0.08632800846193485</x:v>
      </x:c>
      <x:c r="T104" s="2"/>
      <x:c r="U104" s="2"/>
    </x:row>
    <x:row r="105" ht="21" customHeight="1">
      <x:c r="A105" s="2"/>
      <x:c r="B105" s="2"/>
      <x:c r="C105" s="29" t="str">
        <x:v>Long-term unearned revenue / revenue</x:v>
      </x:c>
      <x:c r="D105" s="29"/>
      <x:c r="E105" s="62" t="n">
        <x:f>'Balance Sheet'!E36/'Income Statement'!E8</x:f>
        <x:v>0.027368464652949644</x:v>
      </x:c>
      <x:c r="F105" s="62" t="n">
        <x:f>'Balance Sheet'!F36/'Income Statement'!F8</x:f>
        <x:v>0.03456868430590794</x:v>
      </x:c>
      <x:c r="G105" s="62" t="n">
        <x:f>'Balance Sheet'!G36/'Income Statement'!G8</x:f>
        <x:v>0.03599723464952361</x:v>
      </x:c>
      <x:c r="H105" s="62" t="n">
        <x:f>'Balance Sheet'!H36/'Income Statement'!H8</x:f>
        <x:v>0.022235429850015732</x:v>
      </x:c>
      <x:c r="I105" s="62" t="n">
        <x:f>'Balance Sheet'!I36/'Income Statement'!I8</x:f>
        <x:v>0.01556327637903955</x:v>
      </x:c>
      <x:c r="J105" s="62" t="n">
        <x:f>'Balance Sheet'!J36/'Income Statement'!J8</x:f>
        <x:v>0.014475210571442982</x:v>
      </x:c>
      <x:c r="K105" s="62" t="n">
        <x:f>'Balance Sheet'!K36/'Income Statement'!K8</x:f>
        <x:v>0.013741358563575019</x:v>
      </x:c>
      <x:c r="L105" s="62" t="n">
        <x:f>'Balance Sheet'!L36/'Income Statement'!L8</x:f>
        <x:v>0.01061512226564731</x:v>
      </x:c>
      <x:c r="M105" s="62" t="n">
        <x:f>'Balance Sheet'!M36/'Income Statement'!M8</x:f>
        <x:v>0.009619343754880664</x:v>
      </x:c>
      <x:c r="N105" s="62" t="n">
        <x:f>'Balance Sheet'!N36/'Income Statement'!N8</x:f>
        <x:v>0.00827811077058453</x:v>
      </x:c>
      <x:c r="O105" s="32" t="n">
        <x:f>IF(NOT(CHOOSE($D$4,ISNUMBER(O106),ISNUMBER(O107),ISNUMBER(O108))),"n.a.",CHOOSE($D$4,O106,O107,O108))</x:f>
        <x:v>0.00827811077058453</x:v>
      </x:c>
      <x:c r="P105" s="32" t="n">
        <x:f>IF(NOT(CHOOSE($D$4,ISNUMBER(P106),ISNUMBER(P107),ISNUMBER(P108))),"n.a.",CHOOSE($D$4,P106,P107,P108))</x:f>
        <x:v>0.00827811077058453</x:v>
      </x:c>
      <x:c r="Q105" s="32" t="n">
        <x:f>IF(NOT(CHOOSE($D$4,ISNUMBER(Q106),ISNUMBER(Q107),ISNUMBER(Q108))),"n.a.",CHOOSE($D$4,Q106,Q107,Q108))</x:f>
        <x:v>0.00827811077058453</x:v>
      </x:c>
      <x:c r="R105" s="32" t="n">
        <x:f>IF(NOT(CHOOSE($D$4,ISNUMBER(R106),ISNUMBER(R107),ISNUMBER(R108))),"n.a.",CHOOSE($D$4,R106,R107,R108))</x:f>
        <x:v>0.00827811077058453</x:v>
      </x:c>
      <x:c r="S105" s="32" t="n">
        <x:f>IF(NOT(CHOOSE($D$4,ISNUMBER(S106),ISNUMBER(S107),ISNUMBER(S108))),"n.a.",CHOOSE($D$4,S106,S107,S108))</x:f>
        <x:v>0.00827811077058453</x:v>
      </x:c>
      <x:c r="T105" s="2"/>
      <x:c r="U105" s="2"/>
    </x:row>
    <x:row r="106" ht="21" customHeight="1">
      <x:c r="A106" s="2"/>
      <x:c r="B106" s="2"/>
      <x:c r="C106" s="18" t="str">
        <x:v>Base</x:v>
      </x:c>
      <x:c r="D106" s="18"/>
      <x:c r="E106" s="19"/>
      <x:c r="F106" s="19"/>
      <x:c r="G106" s="19"/>
      <x:c r="H106" s="19"/>
      <x:c r="I106" s="19"/>
      <x:c r="J106" s="19"/>
      <x:c r="K106" s="19"/>
      <x:c r="L106" s="19"/>
      <x:c r="M106" s="19"/>
      <x:c r="N106" s="19"/>
      <x:c r="O106" s="31" t="n">
        <x:v>0.00827811077058453</x:v>
      </x:c>
      <x:c r="P106" s="31" t="n">
        <x:v>0.00827811077058453</x:v>
      </x:c>
      <x:c r="Q106" s="31" t="n">
        <x:v>0.00827811077058453</x:v>
      </x:c>
      <x:c r="R106" s="31" t="n">
        <x:v>0.00827811077058453</x:v>
      </x:c>
      <x:c r="S106" s="31" t="n">
        <x:v>0.00827811077058453</x:v>
      </x:c>
      <x:c r="T106" s="2"/>
      <x:c r="U106" s="2"/>
    </x:row>
    <x:row r="107" ht="21" customHeight="1">
      <x:c r="A107" s="2"/>
      <x:c r="B107" s="2"/>
      <x:c r="C107" s="18" t="str">
        <x:v>Upside</x:v>
      </x:c>
      <x:c r="D107" s="18"/>
      <x:c r="E107" s="19"/>
      <x:c r="F107" s="19"/>
      <x:c r="G107" s="19"/>
      <x:c r="H107" s="19"/>
      <x:c r="I107" s="19"/>
      <x:c r="J107" s="19"/>
      <x:c r="K107" s="19"/>
      <x:c r="L107" s="19"/>
      <x:c r="M107" s="19"/>
      <x:c r="N107" s="19"/>
      <x:c r="O107" s="31" t="n">
        <x:v>0.00827811077058453</x:v>
      </x:c>
      <x:c r="P107" s="31" t="n">
        <x:v>0.00827811077058453</x:v>
      </x:c>
      <x:c r="Q107" s="31" t="n">
        <x:v>0.00827811077058453</x:v>
      </x:c>
      <x:c r="R107" s="31" t="n">
        <x:v>0.00827811077058453</x:v>
      </x:c>
      <x:c r="S107" s="31" t="n">
        <x:v>0.00827811077058453</x:v>
      </x:c>
      <x:c r="T107" s="2"/>
      <x:c r="U107" s="2"/>
    </x:row>
    <x:row r="108" ht="21" customHeight="1">
      <x:c r="A108" s="2"/>
      <x:c r="B108" s="2"/>
      <x:c r="C108" s="18" t="str">
        <x:v>Downside</x:v>
      </x:c>
      <x:c r="D108" s="18"/>
      <x:c r="E108" s="19"/>
      <x:c r="F108" s="19"/>
      <x:c r="G108" s="19"/>
      <x:c r="H108" s="19"/>
      <x:c r="I108" s="19"/>
      <x:c r="J108" s="19"/>
      <x:c r="K108" s="19"/>
      <x:c r="L108" s="19"/>
      <x:c r="M108" s="19"/>
      <x:c r="N108" s="19"/>
      <x:c r="O108" s="31" t="n">
        <x:v>0.00827811077058453</x:v>
      </x:c>
      <x:c r="P108" s="31" t="n">
        <x:v>0.00827811077058453</x:v>
      </x:c>
      <x:c r="Q108" s="31" t="n">
        <x:v>0.00827811077058453</x:v>
      </x:c>
      <x:c r="R108" s="31" t="n">
        <x:v>0.00827811077058453</x:v>
      </x:c>
      <x:c r="S108" s="31" t="n">
        <x:v>0.00827811077058453</x:v>
      </x:c>
      <x:c r="T108" s="2"/>
      <x:c r="U108" s="2"/>
    </x:row>
    <x:row r="109" ht="32" customHeight="1">
      <x:c r="A109" s="2"/>
      <x:c r="B109" s="2"/>
      <x:c r="C109" s="28" t="str">
        <x:v>Other long-term liabilities excluding finance leases / revenue</x:v>
      </x:c>
      <x:c r="D109" s="29"/>
      <x:c r="E109" s="30"/>
      <x:c r="F109" s="30"/>
      <x:c r="G109" s="30"/>
      <x:c r="H109" s="30"/>
      <x:c r="I109" s="30"/>
      <x:c r="J109" s="30"/>
      <x:c r="K109" s="30"/>
      <x:c r="L109" s="30"/>
      <x:c r="M109" s="30"/>
      <x:c r="N109" s="62" t="n">
        <x:f>'Working Capital'!N28/'Income Statement'!N8</x:f>
        <x:v>0.008477002401767122</x:v>
      </x:c>
      <x:c r="O109" s="32" t="n">
        <x:f>IF(NOT(CHOOSE($D$4,ISNUMBER(O110),ISNUMBER(O111),ISNUMBER(O112))),"n.a.",CHOOSE($D$4,O110,O111,O112))</x:f>
        <x:v>0.008477002401767122</x:v>
      </x:c>
      <x:c r="P109" s="32" t="n">
        <x:f>IF(NOT(CHOOSE($D$4,ISNUMBER(P110),ISNUMBER(P111),ISNUMBER(P112))),"n.a.",CHOOSE($D$4,P110,P111,P112))</x:f>
        <x:v>0.008477002401767122</x:v>
      </x:c>
      <x:c r="Q109" s="32" t="n">
        <x:f>IF(NOT(CHOOSE($D$4,ISNUMBER(Q110),ISNUMBER(Q111),ISNUMBER(Q112))),"n.a.",CHOOSE($D$4,Q110,Q111,Q112))</x:f>
        <x:v>0.008477002401767122</x:v>
      </x:c>
      <x:c r="R109" s="32" t="n">
        <x:f>IF(NOT(CHOOSE($D$4,ISNUMBER(R110),ISNUMBER(R111),ISNUMBER(R112))),"n.a.",CHOOSE($D$4,R110,R111,R112))</x:f>
        <x:v>0.008477002401767122</x:v>
      </x:c>
      <x:c r="S109" s="32" t="n">
        <x:f>IF(NOT(CHOOSE($D$4,ISNUMBER(S110),ISNUMBER(S111),ISNUMBER(S112))),"n.a.",CHOOSE($D$4,S110,S111,S112))</x:f>
        <x:v>0.008477002401767122</x:v>
      </x:c>
      <x:c r="T109" s="2"/>
      <x:c r="U109" s="2"/>
    </x:row>
    <x:row r="110" ht="21" customHeight="1">
      <x:c r="A110" s="2"/>
      <x:c r="B110" s="2"/>
      <x:c r="C110" s="18" t="str">
        <x:v>Base</x:v>
      </x:c>
      <x:c r="D110" s="18"/>
      <x:c r="E110" s="19"/>
      <x:c r="F110" s="19"/>
      <x:c r="G110" s="19"/>
      <x:c r="H110" s="19"/>
      <x:c r="I110" s="19"/>
      <x:c r="J110" s="19"/>
      <x:c r="K110" s="19"/>
      <x:c r="L110" s="19"/>
      <x:c r="M110" s="19"/>
      <x:c r="N110" s="19"/>
      <x:c r="O110" s="31" t="n">
        <x:v>0.008477002401767122</x:v>
      </x:c>
      <x:c r="P110" s="31" t="n">
        <x:v>0.008477002401767122</x:v>
      </x:c>
      <x:c r="Q110" s="31" t="n">
        <x:v>0.008477002401767122</x:v>
      </x:c>
      <x:c r="R110" s="31" t="n">
        <x:v>0.008477002401767122</x:v>
      </x:c>
      <x:c r="S110" s="31" t="n">
        <x:v>0.008477002401767122</x:v>
      </x:c>
      <x:c r="T110" s="2"/>
      <x:c r="U110" s="2"/>
    </x:row>
    <x:row r="111" ht="21" customHeight="1">
      <x:c r="A111" s="2"/>
      <x:c r="B111" s="2"/>
      <x:c r="C111" s="18" t="str">
        <x:v>Upside</x:v>
      </x:c>
      <x:c r="D111" s="18"/>
      <x:c r="E111" s="19"/>
      <x:c r="F111" s="19"/>
      <x:c r="G111" s="19"/>
      <x:c r="H111" s="19"/>
      <x:c r="I111" s="19"/>
      <x:c r="J111" s="19"/>
      <x:c r="K111" s="19"/>
      <x:c r="L111" s="19"/>
      <x:c r="M111" s="19"/>
      <x:c r="N111" s="19"/>
      <x:c r="O111" s="31" t="n">
        <x:v>0.008477002401767122</x:v>
      </x:c>
      <x:c r="P111" s="31" t="n">
        <x:v>0.008477002401767122</x:v>
      </x:c>
      <x:c r="Q111" s="31" t="n">
        <x:v>0.008477002401767122</x:v>
      </x:c>
      <x:c r="R111" s="31" t="n">
        <x:v>0.008477002401767122</x:v>
      </x:c>
      <x:c r="S111" s="31" t="n">
        <x:v>0.008477002401767122</x:v>
      </x:c>
      <x:c r="T111" s="2"/>
      <x:c r="U111" s="2"/>
    </x:row>
    <x:row r="112" ht="21" customHeight="1">
      <x:c r="A112" s="2"/>
      <x:c r="B112" s="2"/>
      <x:c r="C112" s="18" t="str">
        <x:v>Downside</x:v>
      </x:c>
      <x:c r="D112" s="18"/>
      <x:c r="E112" s="19"/>
      <x:c r="F112" s="19"/>
      <x:c r="G112" s="19"/>
      <x:c r="H112" s="19"/>
      <x:c r="I112" s="19"/>
      <x:c r="J112" s="19"/>
      <x:c r="K112" s="19"/>
      <x:c r="L112" s="19"/>
      <x:c r="M112" s="19"/>
      <x:c r="N112" s="19"/>
      <x:c r="O112" s="31" t="n">
        <x:v>0.008477002401767122</x:v>
      </x:c>
      <x:c r="P112" s="31" t="n">
        <x:v>0.008477002401767122</x:v>
      </x:c>
      <x:c r="Q112" s="31" t="n">
        <x:v>0.008477002401767122</x:v>
      </x:c>
      <x:c r="R112" s="31" t="n">
        <x:v>0.008477002401767122</x:v>
      </x:c>
      <x:c r="S112" s="31" t="n">
        <x:v>0.008477002401767122</x:v>
      </x:c>
      <x:c r="T112" s="2"/>
      <x:c r="U112" s="2"/>
    </x:row>
    <x:row r="113" ht="21" customHeight="1">
      <x:c r="A113" s="2"/>
      <x:c r="B113" s="2"/>
      <x:c r="C113" s="29" t="str">
        <x:v>Deferred tax liabilities / revenue</x:v>
      </x:c>
      <x:c r="D113" s="29"/>
      <x:c r="E113" s="62" t="n">
        <x:f>'Balance Sheet'!E37/'Income Statement'!E8</x:f>
        <x:v>0.05937600314794297</x:v>
      </x:c>
      <x:c r="F113" s="62" t="n">
        <x:f>'Balance Sheet'!F37/'Income Statement'!F8</x:f>
        <x:v>0.004902138455962306</x:v>
      </x:c>
      <x:c r="G113" s="62" t="n">
        <x:f>'Balance Sheet'!G37/'Income Statement'!G8</x:f>
        <x:v>0.001851513393673069</x:v>
      </x:c>
      <x:c r="H113" s="62" t="n">
        <x:f>'Balance Sheet'!H37/'Income Statement'!H8</x:f>
        <x:v>0.0014264238016991225</x:v>
      </x:c>
      <x:c r="I113" s="62" t="n">
        <x:f>'Balance Sheet'!I37/'Income Statement'!I8</x:f>
        <x:v>0.0011779544048355624</x:v>
      </x:c>
      <x:c r="J113" s="62" t="n">
        <x:f>'Balance Sheet'!J37/'Income Statement'!J8</x:f>
        <x:v>0.0011600342966661622</x:v>
      </x:c>
      <x:c r="K113" s="62" t="n">
        <x:f>'Balance Sheet'!K37/'Income Statement'!K8</x:f>
        <x:v>0.0020432720666304885</x:v>
      </x:c>
      <x:c r="L113" s="62" t="n">
        <x:f>'Balance Sheet'!L37/'Income Statement'!L8</x:f>
        <x:v>0.010680395884498331</x:v>
      </x:c>
      <x:c r="M113" s="62" t="n">
        <x:f>'Balance Sheet'!M37/'Income Statement'!M8</x:f>
        <x:v>0.010063040422541211</x:v>
      </x:c>
      <x:c r="N113" s="62" t="n">
        <x:f>'Balance Sheet'!N37/'Income Statement'!N8</x:f>
        <x:v>0.009203258206539918</x:v>
      </x:c>
      <x:c r="O113" s="32" t="n">
        <x:f>IF(NOT(CHOOSE($D$4,ISNUMBER(O114),ISNUMBER(O115),ISNUMBER(O116))),"n.a.",CHOOSE($D$4,O114,O115,O116))</x:f>
        <x:v>0.009203258206539918</x:v>
      </x:c>
      <x:c r="P113" s="32" t="n">
        <x:f>IF(NOT(CHOOSE($D$4,ISNUMBER(P114),ISNUMBER(P115),ISNUMBER(P116))),"n.a.",CHOOSE($D$4,P114,P115,P116))</x:f>
        <x:v>0.009203258206539918</x:v>
      </x:c>
      <x:c r="Q113" s="32" t="n">
        <x:f>IF(NOT(CHOOSE($D$4,ISNUMBER(Q114),ISNUMBER(Q115),ISNUMBER(Q116))),"n.a.",CHOOSE($D$4,Q114,Q115,Q116))</x:f>
        <x:v>0.009203258206539918</x:v>
      </x:c>
      <x:c r="R113" s="32" t="n">
        <x:f>IF(NOT(CHOOSE($D$4,ISNUMBER(R114),ISNUMBER(R115),ISNUMBER(R116))),"n.a.",CHOOSE($D$4,R114,R115,R116))</x:f>
        <x:v>0.009203258206539918</x:v>
      </x:c>
      <x:c r="S113" s="32" t="n">
        <x:f>IF(NOT(CHOOSE($D$4,ISNUMBER(S114),ISNUMBER(S115),ISNUMBER(S116))),"n.a.",CHOOSE($D$4,S114,S115,S116))</x:f>
        <x:v>0.009203258206539918</x:v>
      </x:c>
      <x:c r="T113" s="2"/>
      <x:c r="U113" s="2"/>
    </x:row>
    <x:row r="114" ht="21" customHeight="1">
      <x:c r="A114" s="2"/>
      <x:c r="B114" s="2"/>
      <x:c r="C114" s="18" t="str">
        <x:v>Base</x:v>
      </x:c>
      <x:c r="D114" s="18"/>
      <x:c r="E114" s="19"/>
      <x:c r="F114" s="19"/>
      <x:c r="G114" s="19"/>
      <x:c r="H114" s="19"/>
      <x:c r="I114" s="19"/>
      <x:c r="J114" s="19"/>
      <x:c r="K114" s="19"/>
      <x:c r="L114" s="19"/>
      <x:c r="M114" s="19"/>
      <x:c r="N114" s="19"/>
      <x:c r="O114" s="31" t="n">
        <x:v>0.009203258206539918</x:v>
      </x:c>
      <x:c r="P114" s="31" t="n">
        <x:v>0.009203258206539918</x:v>
      </x:c>
      <x:c r="Q114" s="31" t="n">
        <x:v>0.009203258206539918</x:v>
      </x:c>
      <x:c r="R114" s="31" t="n">
        <x:v>0.009203258206539918</x:v>
      </x:c>
      <x:c r="S114" s="31" t="n">
        <x:v>0.009203258206539918</x:v>
      </x:c>
      <x:c r="T114" s="2"/>
      <x:c r="U114" s="2"/>
    </x:row>
    <x:row r="115" ht="21" customHeight="1">
      <x:c r="A115" s="2"/>
      <x:c r="B115" s="2"/>
      <x:c r="C115" s="18" t="str">
        <x:v>Upside</x:v>
      </x:c>
      <x:c r="D115" s="18"/>
      <x:c r="E115" s="19"/>
      <x:c r="F115" s="19"/>
      <x:c r="G115" s="19"/>
      <x:c r="H115" s="19"/>
      <x:c r="I115" s="19"/>
      <x:c r="J115" s="19"/>
      <x:c r="K115" s="19"/>
      <x:c r="L115" s="19"/>
      <x:c r="M115" s="19"/>
      <x:c r="N115" s="19"/>
      <x:c r="O115" s="31" t="n">
        <x:v>0.009203258206539918</x:v>
      </x:c>
      <x:c r="P115" s="31" t="n">
        <x:v>0.009203258206539918</x:v>
      </x:c>
      <x:c r="Q115" s="31" t="n">
        <x:v>0.009203258206539918</x:v>
      </x:c>
      <x:c r="R115" s="31" t="n">
        <x:v>0.009203258206539918</x:v>
      </x:c>
      <x:c r="S115" s="31" t="n">
        <x:v>0.009203258206539918</x:v>
      </x:c>
      <x:c r="T115" s="2"/>
      <x:c r="U115" s="2"/>
    </x:row>
    <x:row r="116" ht="21" customHeight="1">
      <x:c r="A116" s="2"/>
      <x:c r="B116" s="2"/>
      <x:c r="C116" s="18" t="str">
        <x:v>Downside</x:v>
      </x:c>
      <x:c r="D116" s="18"/>
      <x:c r="E116" s="19"/>
      <x:c r="F116" s="19"/>
      <x:c r="G116" s="19"/>
      <x:c r="H116" s="19"/>
      <x:c r="I116" s="19"/>
      <x:c r="J116" s="19"/>
      <x:c r="K116" s="19"/>
      <x:c r="L116" s="19"/>
      <x:c r="M116" s="19"/>
      <x:c r="N116" s="19"/>
      <x:c r="O116" s="31" t="n">
        <x:v>0.009203258206539918</x:v>
      </x:c>
      <x:c r="P116" s="31" t="n">
        <x:v>0.009203258206539918</x:v>
      </x:c>
      <x:c r="Q116" s="31" t="n">
        <x:v>0.009203258206539918</x:v>
      </x:c>
      <x:c r="R116" s="31" t="n">
        <x:v>0.009203258206539918</x:v>
      </x:c>
      <x:c r="S116" s="31" t="n">
        <x:v>0.009203258206539918</x:v>
      </x:c>
      <x:c r="T116" s="2"/>
      <x:c r="U116" s="2"/>
    </x:row>
    <x:row r="117" ht="21" customHeight="1">
      <x:c r="A117" s="2"/>
      <x:c r="B117" s="2"/>
      <x:c r="C117" s="38" t="str">
        <x:v>Minimum cash balance</x:v>
      </x:c>
      <x:c r="D117" s="38"/>
      <x:c r="E117" s="43"/>
      <x:c r="F117" s="43"/>
      <x:c r="G117" s="43"/>
      <x:c r="H117" s="43"/>
      <x:c r="I117" s="43"/>
      <x:c r="J117" s="43"/>
      <x:c r="K117" s="43"/>
      <x:c r="L117" s="43"/>
      <x:c r="M117" s="43"/>
      <x:c r="N117" s="43"/>
      <x:c r="O117" s="44" t="n">
        <x:f>IF(NOT(CHOOSE($D$4,ISNUMBER(O118),ISNUMBER(O119),ISNUMBER(O120))),"n.a.",CHOOSE($D$4,O118,O119,O120))</x:f>
        <x:v>25000</x:v>
      </x:c>
      <x:c r="P117" s="44" t="n">
        <x:f>IF(NOT(CHOOSE($D$4,ISNUMBER(P118),ISNUMBER(P119),ISNUMBER(P120))),"n.a.",CHOOSE($D$4,P118,P119,P120))</x:f>
        <x:v>25000</x:v>
      </x:c>
      <x:c r="Q117" s="44" t="n">
        <x:f>IF(NOT(CHOOSE($D$4,ISNUMBER(Q118),ISNUMBER(Q119),ISNUMBER(Q120))),"n.a.",CHOOSE($D$4,Q118,Q119,Q120))</x:f>
        <x:v>25000</x:v>
      </x:c>
      <x:c r="R117" s="44" t="n">
        <x:f>IF(NOT(CHOOSE($D$4,ISNUMBER(R118),ISNUMBER(R119),ISNUMBER(R120))),"n.a.",CHOOSE($D$4,R118,R119,R120))</x:f>
        <x:v>25000</x:v>
      </x:c>
      <x:c r="S117" s="44" t="n">
        <x:f>IF(NOT(CHOOSE($D$4,ISNUMBER(S118),ISNUMBER(S119),ISNUMBER(S120))),"n.a.",CHOOSE($D$4,S118,S119,S120))</x:f>
        <x:v>25000</x:v>
      </x:c>
      <x:c r="T117" s="2"/>
      <x:c r="U117" s="2"/>
    </x:row>
    <x:row r="118" ht="21" customHeight="1">
      <x:c r="A118" s="2"/>
      <x:c r="B118" s="2"/>
      <x:c r="C118" s="2" t="str">
        <x:v>Base</x:v>
      </x:c>
      <x:c r="D118" s="2"/>
      <x:c r="E118" s="11"/>
      <x:c r="F118" s="11"/>
      <x:c r="G118" s="11"/>
      <x:c r="H118" s="11"/>
      <x:c r="I118" s="11"/>
      <x:c r="J118" s="11"/>
      <x:c r="K118" s="11"/>
      <x:c r="L118" s="11"/>
      <x:c r="M118" s="11"/>
      <x:c r="N118" s="11"/>
      <x:c r="O118" s="12" t="n">
        <x:v>25000</x:v>
      </x:c>
      <x:c r="P118" s="12" t="n">
        <x:v>25000</x:v>
      </x:c>
      <x:c r="Q118" s="12" t="n">
        <x:v>25000</x:v>
      </x:c>
      <x:c r="R118" s="12" t="n">
        <x:v>25000</x:v>
      </x:c>
      <x:c r="S118" s="12" t="n">
        <x:v>25000</x:v>
      </x:c>
      <x:c r="T118" s="2"/>
      <x:c r="U118" s="2"/>
    </x:row>
    <x:row r="119" ht="21" customHeight="1">
      <x:c r="A119" s="2"/>
      <x:c r="B119" s="2"/>
      <x:c r="C119" s="2" t="str">
        <x:v>Upside</x:v>
      </x:c>
      <x:c r="D119" s="2"/>
      <x:c r="E119" s="11"/>
      <x:c r="F119" s="11"/>
      <x:c r="G119" s="11"/>
      <x:c r="H119" s="11"/>
      <x:c r="I119" s="11"/>
      <x:c r="J119" s="11"/>
      <x:c r="K119" s="11"/>
      <x:c r="L119" s="11"/>
      <x:c r="M119" s="11"/>
      <x:c r="N119" s="11"/>
      <x:c r="O119" s="12" t="n">
        <x:v>25000</x:v>
      </x:c>
      <x:c r="P119" s="12" t="n">
        <x:v>25000</x:v>
      </x:c>
      <x:c r="Q119" s="12" t="n">
        <x:v>25000</x:v>
      </x:c>
      <x:c r="R119" s="12" t="n">
        <x:v>25000</x:v>
      </x:c>
      <x:c r="S119" s="12" t="n">
        <x:v>25000</x:v>
      </x:c>
      <x:c r="T119" s="2"/>
      <x:c r="U119" s="2"/>
    </x:row>
    <x:row r="120" ht="21" customHeight="1">
      <x:c r="A120" s="2"/>
      <x:c r="B120" s="2"/>
      <x:c r="C120" s="2" t="str">
        <x:v>Downside</x:v>
      </x:c>
      <x:c r="D120" s="2"/>
      <x:c r="E120" s="11"/>
      <x:c r="F120" s="11"/>
      <x:c r="G120" s="11"/>
      <x:c r="H120" s="11"/>
      <x:c r="I120" s="11"/>
      <x:c r="J120" s="11"/>
      <x:c r="K120" s="11"/>
      <x:c r="L120" s="11"/>
      <x:c r="M120" s="11"/>
      <x:c r="N120" s="11"/>
      <x:c r="O120" s="12" t="n">
        <x:v>25000</x:v>
      </x:c>
      <x:c r="P120" s="12" t="n">
        <x:v>25000</x:v>
      </x:c>
      <x:c r="Q120" s="12" t="n">
        <x:v>25000</x:v>
      </x:c>
      <x:c r="R120" s="12" t="n">
        <x:v>25000</x:v>
      </x:c>
      <x:c r="S120" s="12" t="n">
        <x:v>25000</x:v>
      </x:c>
      <x:c r="T120" s="2"/>
      <x:c r="U120" s="2"/>
    </x:row>
    <x:row r="121" ht="21" customHeight="1">
      <x:c r="A121" s="2"/>
      <x:c r="B121" s="2"/>
      <x:c r="C121" s="38" t="str">
        <x:v>Minimum short-term investment reserve</x:v>
      </x:c>
      <x:c r="D121" s="38"/>
      <x:c r="E121" s="43"/>
      <x:c r="F121" s="43"/>
      <x:c r="G121" s="43"/>
      <x:c r="H121" s="43"/>
      <x:c r="I121" s="43"/>
      <x:c r="J121" s="43"/>
      <x:c r="K121" s="43"/>
      <x:c r="L121" s="43"/>
      <x:c r="M121" s="43"/>
      <x:c r="N121" s="43"/>
      <x:c r="O121" s="44" t="n">
        <x:f>IF(NOT(CHOOSE($D$4,ISNUMBER(O122),ISNUMBER(O123),ISNUMBER(O124))),"n.a.",CHOOSE($D$4,O122,O123,O124))</x:f>
        <x:v>20000</x:v>
      </x:c>
      <x:c r="P121" s="44" t="n">
        <x:f>IF(NOT(CHOOSE($D$4,ISNUMBER(P122),ISNUMBER(P123),ISNUMBER(P124))),"n.a.",CHOOSE($D$4,P122,P123,P124))</x:f>
        <x:v>20000</x:v>
      </x:c>
      <x:c r="Q121" s="44" t="n">
        <x:f>IF(NOT(CHOOSE($D$4,ISNUMBER(Q122),ISNUMBER(Q123),ISNUMBER(Q124))),"n.a.",CHOOSE($D$4,Q122,Q123,Q124))</x:f>
        <x:v>20000</x:v>
      </x:c>
      <x:c r="R121" s="44" t="n">
        <x:f>IF(NOT(CHOOSE($D$4,ISNUMBER(R122),ISNUMBER(R123),ISNUMBER(R124))),"n.a.",CHOOSE($D$4,R122,R123,R124))</x:f>
        <x:v>20000</x:v>
      </x:c>
      <x:c r="S121" s="44" t="n">
        <x:f>IF(NOT(CHOOSE($D$4,ISNUMBER(S122),ISNUMBER(S123),ISNUMBER(S124))),"n.a.",CHOOSE($D$4,S122,S123,S124))</x:f>
        <x:v>20000</x:v>
      </x:c>
      <x:c r="T121" s="2"/>
      <x:c r="U121" s="2"/>
    </x:row>
    <x:row r="122" ht="21" customHeight="1">
      <x:c r="A122" s="2"/>
      <x:c r="B122" s="2"/>
      <x:c r="C122" s="2" t="str">
        <x:v>Base</x:v>
      </x:c>
      <x:c r="D122" s="2"/>
      <x:c r="E122" s="11"/>
      <x:c r="F122" s="11"/>
      <x:c r="G122" s="11"/>
      <x:c r="H122" s="11"/>
      <x:c r="I122" s="11"/>
      <x:c r="J122" s="11"/>
      <x:c r="K122" s="11"/>
      <x:c r="L122" s="11"/>
      <x:c r="M122" s="11"/>
      <x:c r="N122" s="11"/>
      <x:c r="O122" s="12" t="n">
        <x:v>20000</x:v>
      </x:c>
      <x:c r="P122" s="12" t="n">
        <x:v>20000</x:v>
      </x:c>
      <x:c r="Q122" s="12" t="n">
        <x:v>20000</x:v>
      </x:c>
      <x:c r="R122" s="12" t="n">
        <x:v>20000</x:v>
      </x:c>
      <x:c r="S122" s="12" t="n">
        <x:v>20000</x:v>
      </x:c>
      <x:c r="T122" s="2"/>
      <x:c r="U122" s="2"/>
    </x:row>
    <x:row r="123" ht="21" customHeight="1">
      <x:c r="A123" s="2"/>
      <x:c r="B123" s="2"/>
      <x:c r="C123" s="2" t="str">
        <x:v>Upside</x:v>
      </x:c>
      <x:c r="D123" s="2"/>
      <x:c r="E123" s="11"/>
      <x:c r="F123" s="11"/>
      <x:c r="G123" s="11"/>
      <x:c r="H123" s="11"/>
      <x:c r="I123" s="11"/>
      <x:c r="J123" s="11"/>
      <x:c r="K123" s="11"/>
      <x:c r="L123" s="11"/>
      <x:c r="M123" s="11"/>
      <x:c r="N123" s="11"/>
      <x:c r="O123" s="12" t="n">
        <x:v>20000</x:v>
      </x:c>
      <x:c r="P123" s="12" t="n">
        <x:v>20000</x:v>
      </x:c>
      <x:c r="Q123" s="12" t="n">
        <x:v>20000</x:v>
      </x:c>
      <x:c r="R123" s="12" t="n">
        <x:v>20000</x:v>
      </x:c>
      <x:c r="S123" s="12" t="n">
        <x:v>20000</x:v>
      </x:c>
      <x:c r="T123" s="2"/>
      <x:c r="U123" s="2"/>
    </x:row>
    <x:row r="124" ht="21" customHeight="1">
      <x:c r="A124" s="2"/>
      <x:c r="B124" s="2"/>
      <x:c r="C124" s="2" t="str">
        <x:v>Downside</x:v>
      </x:c>
      <x:c r="D124" s="2"/>
      <x:c r="E124" s="11"/>
      <x:c r="F124" s="11"/>
      <x:c r="G124" s="11"/>
      <x:c r="H124" s="11"/>
      <x:c r="I124" s="11"/>
      <x:c r="J124" s="11"/>
      <x:c r="K124" s="11"/>
      <x:c r="L124" s="11"/>
      <x:c r="M124" s="11"/>
      <x:c r="N124" s="11"/>
      <x:c r="O124" s="12" t="n">
        <x:v>20000</x:v>
      </x:c>
      <x:c r="P124" s="12" t="n">
        <x:v>20000</x:v>
      </x:c>
      <x:c r="Q124" s="12" t="n">
        <x:v>20000</x:v>
      </x:c>
      <x:c r="R124" s="12" t="n">
        <x:v>20000</x:v>
      </x:c>
      <x:c r="S124" s="12" t="n">
        <x:v>20000</x:v>
      </x:c>
      <x:c r="T124" s="2"/>
      <x:c r="U124" s="2"/>
    </x:row>
    <x:row r="125" ht="21" customHeight="1">
      <x:c r="A125" s="2"/>
      <x:c r="B125" s="2"/>
      <x:c r="C125" s="29" t="str">
        <x:v>Cash coupon rate on opening debt face value</x:v>
      </x:c>
      <x:c r="D125" s="29"/>
      <x:c r="E125" s="30"/>
      <x:c r="F125" s="30"/>
      <x:c r="G125" s="30"/>
      <x:c r="H125" s="30"/>
      <x:c r="I125" s="30"/>
      <x:c r="J125" s="30"/>
      <x:c r="K125" s="30"/>
      <x:c r="L125" s="30"/>
      <x:c r="M125" s="30"/>
      <x:c r="N125" s="30"/>
      <x:c r="O125" s="32" t="n">
        <x:f>IF(NOT(CHOOSE($D$4,ISNUMBER(O126),ISNUMBER(O127),ISNUMBER(O128))),"n.a.",CHOOSE($D$4,O126,O127,O128))</x:f>
        <x:v>0.035</x:v>
      </x:c>
      <x:c r="P125" s="32" t="n">
        <x:f>IF(NOT(CHOOSE($D$4,ISNUMBER(P126),ISNUMBER(P127),ISNUMBER(P128))),"n.a.",CHOOSE($D$4,P126,P127,P128))</x:f>
        <x:v>0.035</x:v>
      </x:c>
      <x:c r="Q125" s="32" t="n">
        <x:f>IF(NOT(CHOOSE($D$4,ISNUMBER(Q126),ISNUMBER(Q127),ISNUMBER(Q128))),"n.a.",CHOOSE($D$4,Q126,Q127,Q128))</x:f>
        <x:v>0.035</x:v>
      </x:c>
      <x:c r="R125" s="32" t="n">
        <x:f>IF(NOT(CHOOSE($D$4,ISNUMBER(R126),ISNUMBER(R127),ISNUMBER(R128))),"n.a.",CHOOSE($D$4,R126,R127,R128))</x:f>
        <x:v>0.035</x:v>
      </x:c>
      <x:c r="S125" s="32" t="n">
        <x:f>IF(NOT(CHOOSE($D$4,ISNUMBER(S126),ISNUMBER(S127),ISNUMBER(S128))),"n.a.",CHOOSE($D$4,S126,S127,S128))</x:f>
        <x:v>0.035</x:v>
      </x:c>
      <x:c r="T125" s="2"/>
      <x:c r="U125" s="2"/>
    </x:row>
    <x:row r="126" ht="21" customHeight="1">
      <x:c r="A126" s="2"/>
      <x:c r="B126" s="2"/>
      <x:c r="C126" s="18" t="str">
        <x:v>Base</x:v>
      </x:c>
      <x:c r="D126" s="18"/>
      <x:c r="E126" s="19"/>
      <x:c r="F126" s="19"/>
      <x:c r="G126" s="19"/>
      <x:c r="H126" s="19"/>
      <x:c r="I126" s="19"/>
      <x:c r="J126" s="19"/>
      <x:c r="K126" s="19"/>
      <x:c r="L126" s="19"/>
      <x:c r="M126" s="19"/>
      <x:c r="N126" s="19"/>
      <x:c r="O126" s="31" t="n">
        <x:v>0.035</x:v>
      </x:c>
      <x:c r="P126" s="31" t="n">
        <x:v>0.035</x:v>
      </x:c>
      <x:c r="Q126" s="31" t="n">
        <x:v>0.035</x:v>
      </x:c>
      <x:c r="R126" s="31" t="n">
        <x:v>0.035</x:v>
      </x:c>
      <x:c r="S126" s="31" t="n">
        <x:v>0.035</x:v>
      </x:c>
      <x:c r="T126" s="2"/>
      <x:c r="U126" s="2"/>
    </x:row>
    <x:row r="127" ht="21" customHeight="1">
      <x:c r="A127" s="2"/>
      <x:c r="B127" s="2"/>
      <x:c r="C127" s="18" t="str">
        <x:v>Upside</x:v>
      </x:c>
      <x:c r="D127" s="18"/>
      <x:c r="E127" s="19"/>
      <x:c r="F127" s="19"/>
      <x:c r="G127" s="19"/>
      <x:c r="H127" s="19"/>
      <x:c r="I127" s="19"/>
      <x:c r="J127" s="19"/>
      <x:c r="K127" s="19"/>
      <x:c r="L127" s="19"/>
      <x:c r="M127" s="19"/>
      <x:c r="N127" s="19"/>
      <x:c r="O127" s="31" t="n">
        <x:v>0.035</x:v>
      </x:c>
      <x:c r="P127" s="31" t="n">
        <x:v>0.035</x:v>
      </x:c>
      <x:c r="Q127" s="31" t="n">
        <x:v>0.035</x:v>
      </x:c>
      <x:c r="R127" s="31" t="n">
        <x:v>0.035</x:v>
      </x:c>
      <x:c r="S127" s="31" t="n">
        <x:v>0.035</x:v>
      </x:c>
      <x:c r="T127" s="2"/>
      <x:c r="U127" s="2"/>
    </x:row>
    <x:row r="128" ht="21" customHeight="1">
      <x:c r="A128" s="2"/>
      <x:c r="B128" s="2"/>
      <x:c r="C128" s="18" t="str">
        <x:v>Downside</x:v>
      </x:c>
      <x:c r="D128" s="18"/>
      <x:c r="E128" s="19"/>
      <x:c r="F128" s="19"/>
      <x:c r="G128" s="19"/>
      <x:c r="H128" s="19"/>
      <x:c r="I128" s="19"/>
      <x:c r="J128" s="19"/>
      <x:c r="K128" s="19"/>
      <x:c r="L128" s="19"/>
      <x:c r="M128" s="19"/>
      <x:c r="N128" s="19"/>
      <x:c r="O128" s="31" t="n">
        <x:v>0.035</x:v>
      </x:c>
      <x:c r="P128" s="31" t="n">
        <x:v>0.035</x:v>
      </x:c>
      <x:c r="Q128" s="31" t="n">
        <x:v>0.035</x:v>
      </x:c>
      <x:c r="R128" s="31" t="n">
        <x:v>0.035</x:v>
      </x:c>
      <x:c r="S128" s="31" t="n">
        <x:v>0.035</x:v>
      </x:c>
      <x:c r="T128" s="2"/>
      <x:c r="U128" s="2"/>
    </x:row>
    <x:row r="129" ht="21" customHeight="1">
      <x:c r="A129" s="2"/>
      <x:c r="B129" s="2"/>
      <x:c r="C129" s="29" t="str">
        <x:v>Yield on opening cash and short-term investments</x:v>
      </x:c>
      <x:c r="D129" s="29"/>
      <x:c r="E129" s="30"/>
      <x:c r="F129" s="30"/>
      <x:c r="G129" s="30"/>
      <x:c r="H129" s="30"/>
      <x:c r="I129" s="30"/>
      <x:c r="J129" s="30"/>
      <x:c r="K129" s="30"/>
      <x:c r="L129" s="30"/>
      <x:c r="M129" s="30"/>
      <x:c r="N129" s="30"/>
      <x:c r="O129" s="32" t="n">
        <x:f>IF(NOT(CHOOSE($D$4,ISNUMBER(O130),ISNUMBER(O131),ISNUMBER(O132))),"n.a.",CHOOSE($D$4,O130,O131,O132))</x:f>
        <x:v>0.035</x:v>
      </x:c>
      <x:c r="P129" s="32" t="n">
        <x:f>IF(NOT(CHOOSE($D$4,ISNUMBER(P130),ISNUMBER(P131),ISNUMBER(P132))),"n.a.",CHOOSE($D$4,P130,P131,P132))</x:f>
        <x:v>0.035</x:v>
      </x:c>
      <x:c r="Q129" s="32" t="n">
        <x:f>IF(NOT(CHOOSE($D$4,ISNUMBER(Q130),ISNUMBER(Q131),ISNUMBER(Q132))),"n.a.",CHOOSE($D$4,Q130,Q131,Q132))</x:f>
        <x:v>0.035</x:v>
      </x:c>
      <x:c r="R129" s="32" t="n">
        <x:f>IF(NOT(CHOOSE($D$4,ISNUMBER(R130),ISNUMBER(R131),ISNUMBER(R132))),"n.a.",CHOOSE($D$4,R130,R131,R132))</x:f>
        <x:v>0.035</x:v>
      </x:c>
      <x:c r="S129" s="32" t="n">
        <x:f>IF(NOT(CHOOSE($D$4,ISNUMBER(S130),ISNUMBER(S131),ISNUMBER(S132))),"n.a.",CHOOSE($D$4,S130,S131,S132))</x:f>
        <x:v>0.035</x:v>
      </x:c>
      <x:c r="T129" s="2"/>
      <x:c r="U129" s="2"/>
    </x:row>
    <x:row r="130" ht="21" customHeight="1">
      <x:c r="A130" s="2"/>
      <x:c r="B130" s="2"/>
      <x:c r="C130" s="18" t="str">
        <x:v>Base</x:v>
      </x:c>
      <x:c r="D130" s="18"/>
      <x:c r="E130" s="19"/>
      <x:c r="F130" s="19"/>
      <x:c r="G130" s="19"/>
      <x:c r="H130" s="19"/>
      <x:c r="I130" s="19"/>
      <x:c r="J130" s="19"/>
      <x:c r="K130" s="19"/>
      <x:c r="L130" s="19"/>
      <x:c r="M130" s="19"/>
      <x:c r="N130" s="19"/>
      <x:c r="O130" s="31" t="n">
        <x:v>0.035</x:v>
      </x:c>
      <x:c r="P130" s="31" t="n">
        <x:v>0.035</x:v>
      </x:c>
      <x:c r="Q130" s="31" t="n">
        <x:v>0.035</x:v>
      </x:c>
      <x:c r="R130" s="31" t="n">
        <x:v>0.035</x:v>
      </x:c>
      <x:c r="S130" s="31" t="n">
        <x:v>0.035</x:v>
      </x:c>
      <x:c r="T130" s="2"/>
      <x:c r="U130" s="2"/>
    </x:row>
    <x:row r="131" ht="21" customHeight="1">
      <x:c r="A131" s="2"/>
      <x:c r="B131" s="2"/>
      <x:c r="C131" s="18" t="str">
        <x:v>Upside</x:v>
      </x:c>
      <x:c r="D131" s="18"/>
      <x:c r="E131" s="19"/>
      <x:c r="F131" s="19"/>
      <x:c r="G131" s="19"/>
      <x:c r="H131" s="19"/>
      <x:c r="I131" s="19"/>
      <x:c r="J131" s="19"/>
      <x:c r="K131" s="19"/>
      <x:c r="L131" s="19"/>
      <x:c r="M131" s="19"/>
      <x:c r="N131" s="19"/>
      <x:c r="O131" s="31" t="n">
        <x:v>0.035</x:v>
      </x:c>
      <x:c r="P131" s="31" t="n">
        <x:v>0.035</x:v>
      </x:c>
      <x:c r="Q131" s="31" t="n">
        <x:v>0.035</x:v>
      </x:c>
      <x:c r="R131" s="31" t="n">
        <x:v>0.035</x:v>
      </x:c>
      <x:c r="S131" s="31" t="n">
        <x:v>0.035</x:v>
      </x:c>
      <x:c r="T131" s="2"/>
      <x:c r="U131" s="2"/>
    </x:row>
    <x:row r="132" ht="21" customHeight="1">
      <x:c r="A132" s="2"/>
      <x:c r="B132" s="2"/>
      <x:c r="C132" s="18" t="str">
        <x:v>Downside</x:v>
      </x:c>
      <x:c r="D132" s="18"/>
      <x:c r="E132" s="19"/>
      <x:c r="F132" s="19"/>
      <x:c r="G132" s="19"/>
      <x:c r="H132" s="19"/>
      <x:c r="I132" s="19"/>
      <x:c r="J132" s="19"/>
      <x:c r="K132" s="19"/>
      <x:c r="L132" s="19"/>
      <x:c r="M132" s="19"/>
      <x:c r="N132" s="19"/>
      <x:c r="O132" s="31" t="n">
        <x:v>0.035</x:v>
      </x:c>
      <x:c r="P132" s="31" t="n">
        <x:v>0.035</x:v>
      </x:c>
      <x:c r="Q132" s="31" t="n">
        <x:v>0.035</x:v>
      </x:c>
      <x:c r="R132" s="31" t="n">
        <x:v>0.035</x:v>
      </x:c>
      <x:c r="S132" s="31" t="n">
        <x:v>0.035</x:v>
      </x:c>
      <x:c r="T132" s="2"/>
      <x:c r="U132" s="2"/>
    </x:row>
    <x:row r="133" ht="32" customHeight="1">
      <x:c r="A133" s="2"/>
      <x:c r="B133" s="2"/>
      <x:c r="C133" s="28" t="str">
        <x:v>Cash interest capitalized within the capex budget</x:v>
      </x:c>
      <x:c r="D133" s="29"/>
      <x:c r="E133" s="30"/>
      <x:c r="F133" s="30"/>
      <x:c r="G133" s="30"/>
      <x:c r="H133" s="30"/>
      <x:c r="I133" s="30"/>
      <x:c r="J133" s="30"/>
      <x:c r="K133" s="30"/>
      <x:c r="L133" s="30"/>
      <x:c r="M133" s="30"/>
      <x:c r="N133" s="30"/>
      <x:c r="O133" s="32" t="n">
        <x:f>IF(NOT(CHOOSE($D$4,ISNUMBER(O134),ISNUMBER(O135),ISNUMBER(O136))),"n.a.",CHOOSE($D$4,O134,O135,O136))</x:f>
        <x:v>0.2</x:v>
      </x:c>
      <x:c r="P133" s="32" t="n">
        <x:f>IF(NOT(CHOOSE($D$4,ISNUMBER(P134),ISNUMBER(P135),ISNUMBER(P136))),"n.a.",CHOOSE($D$4,P134,P135,P136))</x:f>
        <x:v>0.2</x:v>
      </x:c>
      <x:c r="Q133" s="32" t="n">
        <x:f>IF(NOT(CHOOSE($D$4,ISNUMBER(Q134),ISNUMBER(Q135),ISNUMBER(Q136))),"n.a.",CHOOSE($D$4,Q134,Q135,Q136))</x:f>
        <x:v>0.2</x:v>
      </x:c>
      <x:c r="R133" s="32" t="n">
        <x:f>IF(NOT(CHOOSE($D$4,ISNUMBER(R134),ISNUMBER(R135),ISNUMBER(R136))),"n.a.",CHOOSE($D$4,R134,R135,R136))</x:f>
        <x:v>0.2</x:v>
      </x:c>
      <x:c r="S133" s="32" t="n">
        <x:f>IF(NOT(CHOOSE($D$4,ISNUMBER(S134),ISNUMBER(S135),ISNUMBER(S136))),"n.a.",CHOOSE($D$4,S134,S135,S136))</x:f>
        <x:v>0.2</x:v>
      </x:c>
      <x:c r="T133" s="2"/>
      <x:c r="U133" s="2"/>
    </x:row>
    <x:row r="134" ht="21" customHeight="1">
      <x:c r="A134" s="2"/>
      <x:c r="B134" s="2"/>
      <x:c r="C134" s="18" t="str">
        <x:v>Base</x:v>
      </x:c>
      <x:c r="D134" s="18"/>
      <x:c r="E134" s="19"/>
      <x:c r="F134" s="19"/>
      <x:c r="G134" s="19"/>
      <x:c r="H134" s="19"/>
      <x:c r="I134" s="19"/>
      <x:c r="J134" s="19"/>
      <x:c r="K134" s="19"/>
      <x:c r="L134" s="19"/>
      <x:c r="M134" s="19"/>
      <x:c r="N134" s="19"/>
      <x:c r="O134" s="31" t="n">
        <x:v>0.2</x:v>
      </x:c>
      <x:c r="P134" s="31" t="n">
        <x:v>0.2</x:v>
      </x:c>
      <x:c r="Q134" s="31" t="n">
        <x:v>0.2</x:v>
      </x:c>
      <x:c r="R134" s="31" t="n">
        <x:v>0.2</x:v>
      </x:c>
      <x:c r="S134" s="31" t="n">
        <x:v>0.2</x:v>
      </x:c>
      <x:c r="T134" s="2"/>
      <x:c r="U134" s="2"/>
    </x:row>
    <x:row r="135" ht="21" customHeight="1">
      <x:c r="A135" s="2"/>
      <x:c r="B135" s="2"/>
      <x:c r="C135" s="18" t="str">
        <x:v>Upside</x:v>
      </x:c>
      <x:c r="D135" s="18"/>
      <x:c r="E135" s="19"/>
      <x:c r="F135" s="19"/>
      <x:c r="G135" s="19"/>
      <x:c r="H135" s="19"/>
      <x:c r="I135" s="19"/>
      <x:c r="J135" s="19"/>
      <x:c r="K135" s="19"/>
      <x:c r="L135" s="19"/>
      <x:c r="M135" s="19"/>
      <x:c r="N135" s="19"/>
      <x:c r="O135" s="31" t="n">
        <x:v>0.2</x:v>
      </x:c>
      <x:c r="P135" s="31" t="n">
        <x:v>0.2</x:v>
      </x:c>
      <x:c r="Q135" s="31" t="n">
        <x:v>0.2</x:v>
      </x:c>
      <x:c r="R135" s="31" t="n">
        <x:v>0.2</x:v>
      </x:c>
      <x:c r="S135" s="31" t="n">
        <x:v>0.2</x:v>
      </x:c>
      <x:c r="T135" s="2"/>
      <x:c r="U135" s="2"/>
    </x:row>
    <x:row r="136" ht="21" customHeight="1">
      <x:c r="A136" s="2"/>
      <x:c r="B136" s="2"/>
      <x:c r="C136" s="18" t="str">
        <x:v>Downside</x:v>
      </x:c>
      <x:c r="D136" s="18"/>
      <x:c r="E136" s="19"/>
      <x:c r="F136" s="19"/>
      <x:c r="G136" s="19"/>
      <x:c r="H136" s="19"/>
      <x:c r="I136" s="19"/>
      <x:c r="J136" s="19"/>
      <x:c r="K136" s="19"/>
      <x:c r="L136" s="19"/>
      <x:c r="M136" s="19"/>
      <x:c r="N136" s="19"/>
      <x:c r="O136" s="31" t="n">
        <x:v>0.2</x:v>
      </x:c>
      <x:c r="P136" s="31" t="n">
        <x:v>0.2</x:v>
      </x:c>
      <x:c r="Q136" s="31" t="n">
        <x:v>0.2</x:v>
      </x:c>
      <x:c r="R136" s="31" t="n">
        <x:v>0.2</x:v>
      </x:c>
      <x:c r="S136" s="31" t="n">
        <x:v>0.2</x:v>
      </x:c>
      <x:c r="T136" s="2"/>
      <x:c r="U136" s="2"/>
    </x:row>
    <x:row r="137" ht="32" customHeight="1">
      <x:c r="A137" s="2"/>
      <x:c r="B137" s="2"/>
      <x:c r="C137" s="28" t="str">
        <x:v>Annual amortization of debt accounting adjustments</x:v>
      </x:c>
      <x:c r="D137" s="29"/>
      <x:c r="E137" s="30"/>
      <x:c r="F137" s="30"/>
      <x:c r="G137" s="30"/>
      <x:c r="H137" s="30"/>
      <x:c r="I137" s="30"/>
      <x:c r="J137" s="30"/>
      <x:c r="K137" s="30"/>
      <x:c r="L137" s="30"/>
      <x:c r="M137" s="30"/>
      <x:c r="N137" s="30"/>
      <x:c r="O137" s="32" t="n">
        <x:f>IF(NOT(CHOOSE($D$4,ISNUMBER(O138),ISNUMBER(O139),ISNUMBER(O140))),"n.a.",CHOOSE($D$4,O138,O139,O140))</x:f>
        <x:v>0.03</x:v>
      </x:c>
      <x:c r="P137" s="32" t="n">
        <x:f>IF(NOT(CHOOSE($D$4,ISNUMBER(P138),ISNUMBER(P139),ISNUMBER(P140))),"n.a.",CHOOSE($D$4,P138,P139,P140))</x:f>
        <x:v>0.03</x:v>
      </x:c>
      <x:c r="Q137" s="32" t="n">
        <x:f>IF(NOT(CHOOSE($D$4,ISNUMBER(Q138),ISNUMBER(Q139),ISNUMBER(Q140))),"n.a.",CHOOSE($D$4,Q138,Q139,Q140))</x:f>
        <x:v>0.03</x:v>
      </x:c>
      <x:c r="R137" s="32" t="n">
        <x:f>IF(NOT(CHOOSE($D$4,ISNUMBER(R138),ISNUMBER(R139),ISNUMBER(R140))),"n.a.",CHOOSE($D$4,R138,R139,R140))</x:f>
        <x:v>0.03</x:v>
      </x:c>
      <x:c r="S137" s="32" t="n">
        <x:f>IF(NOT(CHOOSE($D$4,ISNUMBER(S138),ISNUMBER(S139),ISNUMBER(S140))),"n.a.",CHOOSE($D$4,S138,S139,S140))</x:f>
        <x:v>0.03</x:v>
      </x:c>
      <x:c r="T137" s="2"/>
      <x:c r="U137" s="2"/>
    </x:row>
    <x:row r="138" ht="21" customHeight="1">
      <x:c r="A138" s="2"/>
      <x:c r="B138" s="2"/>
      <x:c r="C138" s="18" t="str">
        <x:v>Base</x:v>
      </x:c>
      <x:c r="D138" s="18"/>
      <x:c r="E138" s="19"/>
      <x:c r="F138" s="19"/>
      <x:c r="G138" s="19"/>
      <x:c r="H138" s="19"/>
      <x:c r="I138" s="19"/>
      <x:c r="J138" s="19"/>
      <x:c r="K138" s="19"/>
      <x:c r="L138" s="19"/>
      <x:c r="M138" s="19"/>
      <x:c r="N138" s="19"/>
      <x:c r="O138" s="31" t="n">
        <x:v>0.03</x:v>
      </x:c>
      <x:c r="P138" s="31" t="n">
        <x:v>0.03</x:v>
      </x:c>
      <x:c r="Q138" s="31" t="n">
        <x:v>0.03</x:v>
      </x:c>
      <x:c r="R138" s="31" t="n">
        <x:v>0.03</x:v>
      </x:c>
      <x:c r="S138" s="31" t="n">
        <x:v>0.03</x:v>
      </x:c>
      <x:c r="T138" s="2"/>
      <x:c r="U138" s="2"/>
    </x:row>
    <x:row r="139" ht="21" customHeight="1">
      <x:c r="A139" s="2"/>
      <x:c r="B139" s="2"/>
      <x:c r="C139" s="18" t="str">
        <x:v>Upside</x:v>
      </x:c>
      <x:c r="D139" s="18"/>
      <x:c r="E139" s="19"/>
      <x:c r="F139" s="19"/>
      <x:c r="G139" s="19"/>
      <x:c r="H139" s="19"/>
      <x:c r="I139" s="19"/>
      <x:c r="J139" s="19"/>
      <x:c r="K139" s="19"/>
      <x:c r="L139" s="19"/>
      <x:c r="M139" s="19"/>
      <x:c r="N139" s="19"/>
      <x:c r="O139" s="31" t="n">
        <x:v>0.03</x:v>
      </x:c>
      <x:c r="P139" s="31" t="n">
        <x:v>0.03</x:v>
      </x:c>
      <x:c r="Q139" s="31" t="n">
        <x:v>0.03</x:v>
      </x:c>
      <x:c r="R139" s="31" t="n">
        <x:v>0.03</x:v>
      </x:c>
      <x:c r="S139" s="31" t="n">
        <x:v>0.03</x:v>
      </x:c>
      <x:c r="T139" s="2"/>
      <x:c r="U139" s="2"/>
    </x:row>
    <x:row r="140" ht="21" customHeight="1">
      <x:c r="A140" s="2"/>
      <x:c r="B140" s="2"/>
      <x:c r="C140" s="18" t="str">
        <x:v>Downside</x:v>
      </x:c>
      <x:c r="D140" s="18"/>
      <x:c r="E140" s="19"/>
      <x:c r="F140" s="19"/>
      <x:c r="G140" s="19"/>
      <x:c r="H140" s="19"/>
      <x:c r="I140" s="19"/>
      <x:c r="J140" s="19"/>
      <x:c r="K140" s="19"/>
      <x:c r="L140" s="19"/>
      <x:c r="M140" s="19"/>
      <x:c r="N140" s="19"/>
      <x:c r="O140" s="31" t="n">
        <x:v>0.03</x:v>
      </x:c>
      <x:c r="P140" s="31" t="n">
        <x:v>0.03</x:v>
      </x:c>
      <x:c r="Q140" s="31" t="n">
        <x:v>0.03</x:v>
      </x:c>
      <x:c r="R140" s="31" t="n">
        <x:v>0.03</x:v>
      </x:c>
      <x:c r="S140" s="31" t="n">
        <x:v>0.03</x:v>
      </x:c>
      <x:c r="T140" s="2"/>
      <x:c r="U140" s="2"/>
    </x:row>
    <x:row r="141" ht="21" customHeight="1">
      <x:c r="A141" s="2"/>
      <x:c r="B141" s="2"/>
      <x:c r="C141" s="29" t="str">
        <x:v>Finance lease interest rate</x:v>
      </x:c>
      <x:c r="D141" s="29"/>
      <x:c r="E141" s="30"/>
      <x:c r="F141" s="30"/>
      <x:c r="G141" s="30"/>
      <x:c r="H141" s="30"/>
      <x:c r="I141" s="30"/>
      <x:c r="J141" s="30"/>
      <x:c r="K141" s="30"/>
      <x:c r="L141" s="30"/>
      <x:c r="M141" s="30"/>
      <x:c r="N141" s="30"/>
      <x:c r="O141" s="32" t="n">
        <x:f>IF(NOT(CHOOSE($D$4,ISNUMBER(O142),ISNUMBER(O143),ISNUMBER(O144))),"n.a.",CHOOSE($D$4,O142,O143,O144))</x:f>
        <x:v>0.045</x:v>
      </x:c>
      <x:c r="P141" s="32" t="n">
        <x:f>IF(NOT(CHOOSE($D$4,ISNUMBER(P142),ISNUMBER(P143),ISNUMBER(P144))),"n.a.",CHOOSE($D$4,P142,P143,P144))</x:f>
        <x:v>0.045</x:v>
      </x:c>
      <x:c r="Q141" s="32" t="n">
        <x:f>IF(NOT(CHOOSE($D$4,ISNUMBER(Q142),ISNUMBER(Q143),ISNUMBER(Q144))),"n.a.",CHOOSE($D$4,Q142,Q143,Q144))</x:f>
        <x:v>0.045</x:v>
      </x:c>
      <x:c r="R141" s="32" t="n">
        <x:f>IF(NOT(CHOOSE($D$4,ISNUMBER(R142),ISNUMBER(R143),ISNUMBER(R144))),"n.a.",CHOOSE($D$4,R142,R143,R144))</x:f>
        <x:v>0.045</x:v>
      </x:c>
      <x:c r="S141" s="32" t="n">
        <x:f>IF(NOT(CHOOSE($D$4,ISNUMBER(S142),ISNUMBER(S143),ISNUMBER(S144))),"n.a.",CHOOSE($D$4,S142,S143,S144))</x:f>
        <x:v>0.045</x:v>
      </x:c>
      <x:c r="T141" s="2"/>
      <x:c r="U141" s="2"/>
    </x:row>
    <x:row r="142" ht="21" customHeight="1">
      <x:c r="A142" s="2"/>
      <x:c r="B142" s="2"/>
      <x:c r="C142" s="18" t="str">
        <x:v>Base</x:v>
      </x:c>
      <x:c r="D142" s="18"/>
      <x:c r="E142" s="19"/>
      <x:c r="F142" s="19"/>
      <x:c r="G142" s="19"/>
      <x:c r="H142" s="19"/>
      <x:c r="I142" s="19"/>
      <x:c r="J142" s="19"/>
      <x:c r="K142" s="19"/>
      <x:c r="L142" s="19"/>
      <x:c r="M142" s="19"/>
      <x:c r="N142" s="19"/>
      <x:c r="O142" s="31" t="n">
        <x:v>0.045</x:v>
      </x:c>
      <x:c r="P142" s="31" t="n">
        <x:v>0.045</x:v>
      </x:c>
      <x:c r="Q142" s="31" t="n">
        <x:v>0.045</x:v>
      </x:c>
      <x:c r="R142" s="31" t="n">
        <x:v>0.045</x:v>
      </x:c>
      <x:c r="S142" s="31" t="n">
        <x:v>0.045</x:v>
      </x:c>
      <x:c r="T142" s="2"/>
      <x:c r="U142" s="2"/>
    </x:row>
    <x:row r="143" ht="21" customHeight="1">
      <x:c r="A143" s="2"/>
      <x:c r="B143" s="2"/>
      <x:c r="C143" s="18" t="str">
        <x:v>Upside</x:v>
      </x:c>
      <x:c r="D143" s="18"/>
      <x:c r="E143" s="19"/>
      <x:c r="F143" s="19"/>
      <x:c r="G143" s="19"/>
      <x:c r="H143" s="19"/>
      <x:c r="I143" s="19"/>
      <x:c r="J143" s="19"/>
      <x:c r="K143" s="19"/>
      <x:c r="L143" s="19"/>
      <x:c r="M143" s="19"/>
      <x:c r="N143" s="19"/>
      <x:c r="O143" s="31" t="n">
        <x:v>0.045</x:v>
      </x:c>
      <x:c r="P143" s="31" t="n">
        <x:v>0.045</x:v>
      </x:c>
      <x:c r="Q143" s="31" t="n">
        <x:v>0.045</x:v>
      </x:c>
      <x:c r="R143" s="31" t="n">
        <x:v>0.045</x:v>
      </x:c>
      <x:c r="S143" s="31" t="n">
        <x:v>0.045</x:v>
      </x:c>
      <x:c r="T143" s="2"/>
      <x:c r="U143" s="2"/>
    </x:row>
    <x:row r="144" ht="21" customHeight="1">
      <x:c r="A144" s="2"/>
      <x:c r="B144" s="2"/>
      <x:c r="C144" s="18" t="str">
        <x:v>Downside</x:v>
      </x:c>
      <x:c r="D144" s="18"/>
      <x:c r="E144" s="19"/>
      <x:c r="F144" s="19"/>
      <x:c r="G144" s="19"/>
      <x:c r="H144" s="19"/>
      <x:c r="I144" s="19"/>
      <x:c r="J144" s="19"/>
      <x:c r="K144" s="19"/>
      <x:c r="L144" s="19"/>
      <x:c r="M144" s="19"/>
      <x:c r="N144" s="19"/>
      <x:c r="O144" s="31" t="n">
        <x:v>0.045</x:v>
      </x:c>
      <x:c r="P144" s="31" t="n">
        <x:v>0.045</x:v>
      </x:c>
      <x:c r="Q144" s="31" t="n">
        <x:v>0.045</x:v>
      </x:c>
      <x:c r="R144" s="31" t="n">
        <x:v>0.045</x:v>
      </x:c>
      <x:c r="S144" s="31" t="n">
        <x:v>0.045</x:v>
      </x:c>
      <x:c r="T144" s="2"/>
      <x:c r="U144" s="2"/>
    </x:row>
    <x:row r="145" ht="21" customHeight="1">
      <x:c r="A145" s="2"/>
      <x:c r="B145" s="2"/>
      <x:c r="C145" s="29" t="str">
        <x:v>Operating lease interest rate</x:v>
      </x:c>
      <x:c r="D145" s="29"/>
      <x:c r="E145" s="30"/>
      <x:c r="F145" s="30"/>
      <x:c r="G145" s="30"/>
      <x:c r="H145" s="30"/>
      <x:c r="I145" s="30"/>
      <x:c r="J145" s="30"/>
      <x:c r="K145" s="30"/>
      <x:c r="L145" s="30"/>
      <x:c r="M145" s="30"/>
      <x:c r="N145" s="30"/>
      <x:c r="O145" s="32" t="n">
        <x:f>IF(NOT(CHOOSE($D$4,ISNUMBER(O146),ISNUMBER(O147),ISNUMBER(O148))),"n.a.",CHOOSE($D$4,O146,O147,O148))</x:f>
        <x:v>0.037</x:v>
      </x:c>
      <x:c r="P145" s="32" t="n">
        <x:f>IF(NOT(CHOOSE($D$4,ISNUMBER(P146),ISNUMBER(P147),ISNUMBER(P148))),"n.a.",CHOOSE($D$4,P146,P147,P148))</x:f>
        <x:v>0.037</x:v>
      </x:c>
      <x:c r="Q145" s="32" t="n">
        <x:f>IF(NOT(CHOOSE($D$4,ISNUMBER(Q146),ISNUMBER(Q147),ISNUMBER(Q148))),"n.a.",CHOOSE($D$4,Q146,Q147,Q148))</x:f>
        <x:v>0.037</x:v>
      </x:c>
      <x:c r="R145" s="32" t="n">
        <x:f>IF(NOT(CHOOSE($D$4,ISNUMBER(R146),ISNUMBER(R147),ISNUMBER(R148))),"n.a.",CHOOSE($D$4,R146,R147,R148))</x:f>
        <x:v>0.037</x:v>
      </x:c>
      <x:c r="S145" s="32" t="n">
        <x:f>IF(NOT(CHOOSE($D$4,ISNUMBER(S146),ISNUMBER(S147),ISNUMBER(S148))),"n.a.",CHOOSE($D$4,S146,S147,S148))</x:f>
        <x:v>0.037</x:v>
      </x:c>
      <x:c r="T145" s="2"/>
      <x:c r="U145" s="2"/>
    </x:row>
    <x:row r="146" ht="21" customHeight="1">
      <x:c r="A146" s="2"/>
      <x:c r="B146" s="2"/>
      <x:c r="C146" s="18" t="str">
        <x:v>Base</x:v>
      </x:c>
      <x:c r="D146" s="18"/>
      <x:c r="E146" s="19"/>
      <x:c r="F146" s="19"/>
      <x:c r="G146" s="19"/>
      <x:c r="H146" s="19"/>
      <x:c r="I146" s="19"/>
      <x:c r="J146" s="19"/>
      <x:c r="K146" s="19"/>
      <x:c r="L146" s="19"/>
      <x:c r="M146" s="19"/>
      <x:c r="N146" s="19"/>
      <x:c r="O146" s="31" t="n">
        <x:v>0.037</x:v>
      </x:c>
      <x:c r="P146" s="31" t="n">
        <x:v>0.037</x:v>
      </x:c>
      <x:c r="Q146" s="31" t="n">
        <x:v>0.037</x:v>
      </x:c>
      <x:c r="R146" s="31" t="n">
        <x:v>0.037</x:v>
      </x:c>
      <x:c r="S146" s="31" t="n">
        <x:v>0.037</x:v>
      </x:c>
      <x:c r="T146" s="2"/>
      <x:c r="U146" s="2"/>
    </x:row>
    <x:row r="147" ht="21" customHeight="1">
      <x:c r="A147" s="2"/>
      <x:c r="B147" s="2"/>
      <x:c r="C147" s="18" t="str">
        <x:v>Upside</x:v>
      </x:c>
      <x:c r="D147" s="18"/>
      <x:c r="E147" s="19"/>
      <x:c r="F147" s="19"/>
      <x:c r="G147" s="19"/>
      <x:c r="H147" s="19"/>
      <x:c r="I147" s="19"/>
      <x:c r="J147" s="19"/>
      <x:c r="K147" s="19"/>
      <x:c r="L147" s="19"/>
      <x:c r="M147" s="19"/>
      <x:c r="N147" s="19"/>
      <x:c r="O147" s="31" t="n">
        <x:v>0.037</x:v>
      </x:c>
      <x:c r="P147" s="31" t="n">
        <x:v>0.037</x:v>
      </x:c>
      <x:c r="Q147" s="31" t="n">
        <x:v>0.037</x:v>
      </x:c>
      <x:c r="R147" s="31" t="n">
        <x:v>0.037</x:v>
      </x:c>
      <x:c r="S147" s="31" t="n">
        <x:v>0.037</x:v>
      </x:c>
      <x:c r="T147" s="2"/>
      <x:c r="U147" s="2"/>
    </x:row>
    <x:row r="148" ht="21" customHeight="1">
      <x:c r="A148" s="2"/>
      <x:c r="B148" s="2"/>
      <x:c r="C148" s="18" t="str">
        <x:v>Downside</x:v>
      </x:c>
      <x:c r="D148" s="18"/>
      <x:c r="E148" s="19"/>
      <x:c r="F148" s="19"/>
      <x:c r="G148" s="19"/>
      <x:c r="H148" s="19"/>
      <x:c r="I148" s="19"/>
      <x:c r="J148" s="19"/>
      <x:c r="K148" s="19"/>
      <x:c r="L148" s="19"/>
      <x:c r="M148" s="19"/>
      <x:c r="N148" s="19"/>
      <x:c r="O148" s="31" t="n">
        <x:v>0.037</x:v>
      </x:c>
      <x:c r="P148" s="31" t="n">
        <x:v>0.037</x:v>
      </x:c>
      <x:c r="Q148" s="31" t="n">
        <x:v>0.037</x:v>
      </x:c>
      <x:c r="R148" s="31" t="n">
        <x:v>0.037</x:v>
      </x:c>
      <x:c r="S148" s="31" t="n">
        <x:v>0.037</x:v>
      </x:c>
      <x:c r="T148" s="2"/>
      <x:c r="U148" s="2"/>
    </x:row>
    <x:row r="149" ht="21" customHeight="1">
      <x:c r="A149" s="2"/>
      <x:c r="B149" s="2"/>
      <x:c r="C149" s="38" t="str">
        <x:v>New finance lease principal term in years</x:v>
      </x:c>
      <x:c r="D149" s="38"/>
      <x:c r="E149" s="39"/>
      <x:c r="F149" s="39"/>
      <x:c r="G149" s="39"/>
      <x:c r="H149" s="39"/>
      <x:c r="I149" s="39"/>
      <x:c r="J149" s="39"/>
      <x:c r="K149" s="39"/>
      <x:c r="L149" s="39"/>
      <x:c r="M149" s="39"/>
      <x:c r="N149" s="39"/>
      <x:c r="O149" s="41" t="n">
        <x:f>IF(NOT(CHOOSE($D$4,ISNUMBER(O150),ISNUMBER(O151),ISNUMBER(O152))),"n.a.",CHOOSE($D$4,O150,O151,O152))</x:f>
        <x:v>13</x:v>
      </x:c>
      <x:c r="P149" s="41" t="n">
        <x:f>IF(NOT(CHOOSE($D$4,ISNUMBER(P150),ISNUMBER(P151),ISNUMBER(P152))),"n.a.",CHOOSE($D$4,P150,P151,P152))</x:f>
        <x:v>13</x:v>
      </x:c>
      <x:c r="Q149" s="41" t="n">
        <x:f>IF(NOT(CHOOSE($D$4,ISNUMBER(Q150),ISNUMBER(Q151),ISNUMBER(Q152))),"n.a.",CHOOSE($D$4,Q150,Q151,Q152))</x:f>
        <x:v>13</x:v>
      </x:c>
      <x:c r="R149" s="41" t="n">
        <x:f>IF(NOT(CHOOSE($D$4,ISNUMBER(R150),ISNUMBER(R151),ISNUMBER(R152))),"n.a.",CHOOSE($D$4,R150,R151,R152))</x:f>
        <x:v>13</x:v>
      </x:c>
      <x:c r="S149" s="41" t="n">
        <x:f>IF(NOT(CHOOSE($D$4,ISNUMBER(S150),ISNUMBER(S151),ISNUMBER(S152))),"n.a.",CHOOSE($D$4,S150,S151,S152))</x:f>
        <x:v>13</x:v>
      </x:c>
      <x:c r="T149" s="2"/>
      <x:c r="U149" s="2"/>
    </x:row>
    <x:row r="150" ht="21" customHeight="1">
      <x:c r="A150" s="2"/>
      <x:c r="B150" s="2"/>
      <x:c r="C150" s="2" t="str">
        <x:v>Base</x:v>
      </x:c>
      <x:c r="D150" s="2"/>
      <x:c r="E150" s="33"/>
      <x:c r="F150" s="33"/>
      <x:c r="G150" s="33"/>
      <x:c r="H150" s="33"/>
      <x:c r="I150" s="33"/>
      <x:c r="J150" s="33"/>
      <x:c r="K150" s="33"/>
      <x:c r="L150" s="33"/>
      <x:c r="M150" s="33"/>
      <x:c r="N150" s="33"/>
      <x:c r="O150" s="40" t="n">
        <x:v>13</x:v>
      </x:c>
      <x:c r="P150" s="40" t="n">
        <x:v>13</x:v>
      </x:c>
      <x:c r="Q150" s="40" t="n">
        <x:v>13</x:v>
      </x:c>
      <x:c r="R150" s="40" t="n">
        <x:v>13</x:v>
      </x:c>
      <x:c r="S150" s="40" t="n">
        <x:v>13</x:v>
      </x:c>
      <x:c r="T150" s="2"/>
      <x:c r="U150" s="2"/>
    </x:row>
    <x:row r="151" ht="21" customHeight="1">
      <x:c r="A151" s="2"/>
      <x:c r="B151" s="2"/>
      <x:c r="C151" s="2" t="str">
        <x:v>Upside</x:v>
      </x:c>
      <x:c r="D151" s="2"/>
      <x:c r="E151" s="33"/>
      <x:c r="F151" s="33"/>
      <x:c r="G151" s="33"/>
      <x:c r="H151" s="33"/>
      <x:c r="I151" s="33"/>
      <x:c r="J151" s="33"/>
      <x:c r="K151" s="33"/>
      <x:c r="L151" s="33"/>
      <x:c r="M151" s="33"/>
      <x:c r="N151" s="33"/>
      <x:c r="O151" s="40" t="n">
        <x:v>13</x:v>
      </x:c>
      <x:c r="P151" s="40" t="n">
        <x:v>13</x:v>
      </x:c>
      <x:c r="Q151" s="40" t="n">
        <x:v>13</x:v>
      </x:c>
      <x:c r="R151" s="40" t="n">
        <x:v>13</x:v>
      </x:c>
      <x:c r="S151" s="40" t="n">
        <x:v>13</x:v>
      </x:c>
      <x:c r="T151" s="2"/>
      <x:c r="U151" s="2"/>
    </x:row>
    <x:row r="152" ht="21" customHeight="1">
      <x:c r="A152" s="2"/>
      <x:c r="B152" s="2"/>
      <x:c r="C152" s="2" t="str">
        <x:v>Downside</x:v>
      </x:c>
      <x:c r="D152" s="2"/>
      <x:c r="E152" s="33"/>
      <x:c r="F152" s="33"/>
      <x:c r="G152" s="33"/>
      <x:c r="H152" s="33"/>
      <x:c r="I152" s="33"/>
      <x:c r="J152" s="33"/>
      <x:c r="K152" s="33"/>
      <x:c r="L152" s="33"/>
      <x:c r="M152" s="33"/>
      <x:c r="N152" s="33"/>
      <x:c r="O152" s="40" t="n">
        <x:v>13</x:v>
      </x:c>
      <x:c r="P152" s="40" t="n">
        <x:v>13</x:v>
      </x:c>
      <x:c r="Q152" s="40" t="n">
        <x:v>13</x:v>
      </x:c>
      <x:c r="R152" s="40" t="n">
        <x:v>13</x:v>
      </x:c>
      <x:c r="S152" s="40" t="n">
        <x:v>13</x:v>
      </x:c>
      <x:c r="T152" s="2"/>
      <x:c r="U152" s="2"/>
    </x:row>
    <x:row r="153" ht="21" customHeight="1">
      <x:c r="A153" s="2"/>
      <x:c r="B153" s="2"/>
      <x:c r="C153" s="38" t="str">
        <x:v>New operating lease term in years</x:v>
      </x:c>
      <x:c r="D153" s="38"/>
      <x:c r="E153" s="39"/>
      <x:c r="F153" s="39"/>
      <x:c r="G153" s="39"/>
      <x:c r="H153" s="39"/>
      <x:c r="I153" s="39"/>
      <x:c r="J153" s="39"/>
      <x:c r="K153" s="39"/>
      <x:c r="L153" s="39"/>
      <x:c r="M153" s="39"/>
      <x:c r="N153" s="39"/>
      <x:c r="O153" s="41" t="n">
        <x:f>IF(NOT(CHOOSE($D$4,ISNUMBER(O154),ISNUMBER(O155),ISNUMBER(O156))),"n.a.",CHOOSE($D$4,O154,O155,O156))</x:f>
        <x:v>6</x:v>
      </x:c>
      <x:c r="P153" s="41" t="n">
        <x:f>IF(NOT(CHOOSE($D$4,ISNUMBER(P154),ISNUMBER(P155),ISNUMBER(P156))),"n.a.",CHOOSE($D$4,P154,P155,P156))</x:f>
        <x:v>6</x:v>
      </x:c>
      <x:c r="Q153" s="41" t="n">
        <x:f>IF(NOT(CHOOSE($D$4,ISNUMBER(Q154),ISNUMBER(Q155),ISNUMBER(Q156))),"n.a.",CHOOSE($D$4,Q154,Q155,Q156))</x:f>
        <x:v>6</x:v>
      </x:c>
      <x:c r="R153" s="41" t="n">
        <x:f>IF(NOT(CHOOSE($D$4,ISNUMBER(R154),ISNUMBER(R155),ISNUMBER(R156))),"n.a.",CHOOSE($D$4,R154,R155,R156))</x:f>
        <x:v>6</x:v>
      </x:c>
      <x:c r="S153" s="41" t="n">
        <x:f>IF(NOT(CHOOSE($D$4,ISNUMBER(S154),ISNUMBER(S155),ISNUMBER(S156))),"n.a.",CHOOSE($D$4,S154,S155,S156))</x:f>
        <x:v>6</x:v>
      </x:c>
      <x:c r="T153" s="2"/>
      <x:c r="U153" s="2"/>
    </x:row>
    <x:row r="154" ht="21" customHeight="1">
      <x:c r="A154" s="2"/>
      <x:c r="B154" s="2"/>
      <x:c r="C154" s="2" t="str">
        <x:v>Base</x:v>
      </x:c>
      <x:c r="D154" s="2"/>
      <x:c r="E154" s="33"/>
      <x:c r="F154" s="33"/>
      <x:c r="G154" s="33"/>
      <x:c r="H154" s="33"/>
      <x:c r="I154" s="33"/>
      <x:c r="J154" s="33"/>
      <x:c r="K154" s="33"/>
      <x:c r="L154" s="33"/>
      <x:c r="M154" s="33"/>
      <x:c r="N154" s="33"/>
      <x:c r="O154" s="40" t="n">
        <x:v>6</x:v>
      </x:c>
      <x:c r="P154" s="40" t="n">
        <x:v>6</x:v>
      </x:c>
      <x:c r="Q154" s="40" t="n">
        <x:v>6</x:v>
      </x:c>
      <x:c r="R154" s="40" t="n">
        <x:v>6</x:v>
      </x:c>
      <x:c r="S154" s="40" t="n">
        <x:v>6</x:v>
      </x:c>
      <x:c r="T154" s="2"/>
      <x:c r="U154" s="2"/>
    </x:row>
    <x:row r="155" ht="21" customHeight="1">
      <x:c r="A155" s="2"/>
      <x:c r="B155" s="2"/>
      <x:c r="C155" s="2" t="str">
        <x:v>Upside</x:v>
      </x:c>
      <x:c r="D155" s="2"/>
      <x:c r="E155" s="33"/>
      <x:c r="F155" s="33"/>
      <x:c r="G155" s="33"/>
      <x:c r="H155" s="33"/>
      <x:c r="I155" s="33"/>
      <x:c r="J155" s="33"/>
      <x:c r="K155" s="33"/>
      <x:c r="L155" s="33"/>
      <x:c r="M155" s="33"/>
      <x:c r="N155" s="33"/>
      <x:c r="O155" s="40" t="n">
        <x:v>6</x:v>
      </x:c>
      <x:c r="P155" s="40" t="n">
        <x:v>6</x:v>
      </x:c>
      <x:c r="Q155" s="40" t="n">
        <x:v>6</x:v>
      </x:c>
      <x:c r="R155" s="40" t="n">
        <x:v>6</x:v>
      </x:c>
      <x:c r="S155" s="40" t="n">
        <x:v>6</x:v>
      </x:c>
      <x:c r="T155" s="2"/>
      <x:c r="U155" s="2"/>
    </x:row>
    <x:row r="156" ht="21" customHeight="1">
      <x:c r="A156" s="2"/>
      <x:c r="B156" s="2"/>
      <x:c r="C156" s="2" t="str">
        <x:v>Downside</x:v>
      </x:c>
      <x:c r="D156" s="2"/>
      <x:c r="E156" s="33"/>
      <x:c r="F156" s="33"/>
      <x:c r="G156" s="33"/>
      <x:c r="H156" s="33"/>
      <x:c r="I156" s="33"/>
      <x:c r="J156" s="33"/>
      <x:c r="K156" s="33"/>
      <x:c r="L156" s="33"/>
      <x:c r="M156" s="33"/>
      <x:c r="N156" s="33"/>
      <x:c r="O156" s="40" t="n">
        <x:v>6</x:v>
      </x:c>
      <x:c r="P156" s="40" t="n">
        <x:v>6</x:v>
      </x:c>
      <x:c r="Q156" s="40" t="n">
        <x:v>6</x:v>
      </x:c>
      <x:c r="R156" s="40" t="n">
        <x:v>6</x:v>
      </x:c>
      <x:c r="S156" s="40" t="n">
        <x:v>6</x:v>
      </x:c>
      <x:c r="T156" s="2"/>
      <x:c r="U156" s="2"/>
    </x:row>
    <x:row r="157" ht="21" customHeight="1">
      <x:c r="A157" s="2"/>
      <x:c r="B157" s="2"/>
      <x:c r="C157" s="38" t="str">
        <x:v>Legacy operating ROU remaining life in years</x:v>
      </x:c>
      <x:c r="D157" s="38"/>
      <x:c r="E157" s="39"/>
      <x:c r="F157" s="39"/>
      <x:c r="G157" s="39"/>
      <x:c r="H157" s="39"/>
      <x:c r="I157" s="39"/>
      <x:c r="J157" s="39"/>
      <x:c r="K157" s="39"/>
      <x:c r="L157" s="39"/>
      <x:c r="M157" s="39"/>
      <x:c r="N157" s="39"/>
      <x:c r="O157" s="41" t="n">
        <x:f>IF(NOT(CHOOSE($D$4,ISNUMBER(O158),ISNUMBER(O159),ISNUMBER(O160))),"n.a.",CHOOSE($D$4,O158,O159,O160))</x:f>
        <x:v>6</x:v>
      </x:c>
      <x:c r="P157" s="41" t="n">
        <x:f>IF(NOT(CHOOSE($D$4,ISNUMBER(P158),ISNUMBER(P159),ISNUMBER(P160))),"n.a.",CHOOSE($D$4,P158,P159,P160))</x:f>
        <x:v>6</x:v>
      </x:c>
      <x:c r="Q157" s="41" t="n">
        <x:f>IF(NOT(CHOOSE($D$4,ISNUMBER(Q158),ISNUMBER(Q159),ISNUMBER(Q160))),"n.a.",CHOOSE($D$4,Q158,Q159,Q160))</x:f>
        <x:v>6</x:v>
      </x:c>
      <x:c r="R157" s="41" t="n">
        <x:f>IF(NOT(CHOOSE($D$4,ISNUMBER(R158),ISNUMBER(R159),ISNUMBER(R160))),"n.a.",CHOOSE($D$4,R158,R159,R160))</x:f>
        <x:v>6</x:v>
      </x:c>
      <x:c r="S157" s="41" t="n">
        <x:f>IF(NOT(CHOOSE($D$4,ISNUMBER(S158),ISNUMBER(S159),ISNUMBER(S160))),"n.a.",CHOOSE($D$4,S158,S159,S160))</x:f>
        <x:v>6</x:v>
      </x:c>
      <x:c r="T157" s="2"/>
      <x:c r="U157" s="2"/>
    </x:row>
    <x:row r="158" ht="21" customHeight="1">
      <x:c r="A158" s="2"/>
      <x:c r="B158" s="2"/>
      <x:c r="C158" s="2" t="str">
        <x:v>Base</x:v>
      </x:c>
      <x:c r="D158" s="2"/>
      <x:c r="E158" s="33"/>
      <x:c r="F158" s="33"/>
      <x:c r="G158" s="33"/>
      <x:c r="H158" s="33"/>
      <x:c r="I158" s="33"/>
      <x:c r="J158" s="33"/>
      <x:c r="K158" s="33"/>
      <x:c r="L158" s="33"/>
      <x:c r="M158" s="33"/>
      <x:c r="N158" s="33"/>
      <x:c r="O158" s="40" t="n">
        <x:v>6</x:v>
      </x:c>
      <x:c r="P158" s="40" t="n">
        <x:v>6</x:v>
      </x:c>
      <x:c r="Q158" s="40" t="n">
        <x:v>6</x:v>
      </x:c>
      <x:c r="R158" s="40" t="n">
        <x:v>6</x:v>
      </x:c>
      <x:c r="S158" s="40" t="n">
        <x:v>6</x:v>
      </x:c>
      <x:c r="T158" s="2"/>
      <x:c r="U158" s="2"/>
    </x:row>
    <x:row r="159" ht="21" customHeight="1">
      <x:c r="A159" s="2"/>
      <x:c r="B159" s="2"/>
      <x:c r="C159" s="2" t="str">
        <x:v>Upside</x:v>
      </x:c>
      <x:c r="D159" s="2"/>
      <x:c r="E159" s="33"/>
      <x:c r="F159" s="33"/>
      <x:c r="G159" s="33"/>
      <x:c r="H159" s="33"/>
      <x:c r="I159" s="33"/>
      <x:c r="J159" s="33"/>
      <x:c r="K159" s="33"/>
      <x:c r="L159" s="33"/>
      <x:c r="M159" s="33"/>
      <x:c r="N159" s="33"/>
      <x:c r="O159" s="40" t="n">
        <x:v>6</x:v>
      </x:c>
      <x:c r="P159" s="40" t="n">
        <x:v>6</x:v>
      </x:c>
      <x:c r="Q159" s="40" t="n">
        <x:v>6</x:v>
      </x:c>
      <x:c r="R159" s="40" t="n">
        <x:v>6</x:v>
      </x:c>
      <x:c r="S159" s="40" t="n">
        <x:v>6</x:v>
      </x:c>
      <x:c r="T159" s="2"/>
      <x:c r="U159" s="2"/>
    </x:row>
    <x:row r="160" ht="21" customHeight="1">
      <x:c r="A160" s="2"/>
      <x:c r="B160" s="2"/>
      <x:c r="C160" s="2" t="str">
        <x:v>Downside</x:v>
      </x:c>
      <x:c r="D160" s="2"/>
      <x:c r="E160" s="33"/>
      <x:c r="F160" s="33"/>
      <x:c r="G160" s="33"/>
      <x:c r="H160" s="33"/>
      <x:c r="I160" s="33"/>
      <x:c r="J160" s="33"/>
      <x:c r="K160" s="33"/>
      <x:c r="L160" s="33"/>
      <x:c r="M160" s="33"/>
      <x:c r="N160" s="33"/>
      <x:c r="O160" s="40" t="n">
        <x:v>6</x:v>
      </x:c>
      <x:c r="P160" s="40" t="n">
        <x:v>6</x:v>
      </x:c>
      <x:c r="Q160" s="40" t="n">
        <x:v>6</x:v>
      </x:c>
      <x:c r="R160" s="40" t="n">
        <x:v>6</x:v>
      </x:c>
      <x:c r="S160" s="40" t="n">
        <x:v>6</x:v>
      </x:c>
      <x:c r="T160" s="2"/>
      <x:c r="U160" s="2"/>
    </x:row>
    <x:row r="161" ht="21" customHeight="1">
      <x:c r="A161" s="2"/>
      <x:c r="B161" s="2"/>
      <x:c r="C161" s="38" t="str">
        <x:v>Planned new debt face value</x:v>
      </x:c>
      <x:c r="D161" s="38"/>
      <x:c r="E161" s="43"/>
      <x:c r="F161" s="43"/>
      <x:c r="G161" s="43"/>
      <x:c r="H161" s="43"/>
      <x:c r="I161" s="43"/>
      <x:c r="J161" s="43"/>
      <x:c r="K161" s="43"/>
      <x:c r="L161" s="43"/>
      <x:c r="M161" s="43"/>
      <x:c r="N161" s="43"/>
      <x:c r="O161" s="44" t="n">
        <x:f>IF(NOT(CHOOSE($D$4,ISNUMBER(O162),ISNUMBER(O163),ISNUMBER(O164))),"n.a.",CHOOSE($D$4,O162,O163,O164))</x:f>
        <x:v>0</x:v>
      </x:c>
      <x:c r="P161" s="44" t="n">
        <x:f>IF(NOT(CHOOSE($D$4,ISNUMBER(P162),ISNUMBER(P163),ISNUMBER(P164))),"n.a.",CHOOSE($D$4,P162,P163,P164))</x:f>
        <x:v>0</x:v>
      </x:c>
      <x:c r="Q161" s="44" t="n">
        <x:f>IF(NOT(CHOOSE($D$4,ISNUMBER(Q162),ISNUMBER(Q163),ISNUMBER(Q164))),"n.a.",CHOOSE($D$4,Q162,Q163,Q164))</x:f>
        <x:v>0</x:v>
      </x:c>
      <x:c r="R161" s="44" t="n">
        <x:f>IF(NOT(CHOOSE($D$4,ISNUMBER(R162),ISNUMBER(R163),ISNUMBER(R164))),"n.a.",CHOOSE($D$4,R162,R163,R164))</x:f>
        <x:v>0</x:v>
      </x:c>
      <x:c r="S161" s="44" t="n">
        <x:f>IF(NOT(CHOOSE($D$4,ISNUMBER(S162),ISNUMBER(S163),ISNUMBER(S164))),"n.a.",CHOOSE($D$4,S162,S163,S164))</x:f>
        <x:v>0</x:v>
      </x:c>
      <x:c r="T161" s="2"/>
      <x:c r="U161" s="2"/>
    </x:row>
    <x:row r="162" ht="21" customHeight="1">
      <x:c r="A162" s="2"/>
      <x:c r="B162" s="2"/>
      <x:c r="C162" s="2" t="str">
        <x:v>Base</x:v>
      </x:c>
      <x:c r="D162" s="2"/>
      <x:c r="E162" s="11"/>
      <x:c r="F162" s="11"/>
      <x:c r="G162" s="11"/>
      <x:c r="H162" s="11"/>
      <x:c r="I162" s="11"/>
      <x:c r="J162" s="11"/>
      <x:c r="K162" s="11"/>
      <x:c r="L162" s="11"/>
      <x:c r="M162" s="11"/>
      <x:c r="N162" s="11"/>
      <x:c r="O162" s="12" t="n">
        <x:v>0</x:v>
      </x:c>
      <x:c r="P162" s="12" t="n">
        <x:v>0</x:v>
      </x:c>
      <x:c r="Q162" s="12" t="n">
        <x:v>0</x:v>
      </x:c>
      <x:c r="R162" s="12" t="n">
        <x:v>0</x:v>
      </x:c>
      <x:c r="S162" s="12" t="n">
        <x:v>0</x:v>
      </x:c>
      <x:c r="T162" s="2"/>
      <x:c r="U162" s="2"/>
    </x:row>
    <x:row r="163" ht="21" customHeight="1">
      <x:c r="A163" s="2"/>
      <x:c r="B163" s="2"/>
      <x:c r="C163" s="2" t="str">
        <x:v>Upside</x:v>
      </x:c>
      <x:c r="D163" s="2"/>
      <x:c r="E163" s="11"/>
      <x:c r="F163" s="11"/>
      <x:c r="G163" s="11"/>
      <x:c r="H163" s="11"/>
      <x:c r="I163" s="11"/>
      <x:c r="J163" s="11"/>
      <x:c r="K163" s="11"/>
      <x:c r="L163" s="11"/>
      <x:c r="M163" s="11"/>
      <x:c r="N163" s="11"/>
      <x:c r="O163" s="12" t="n">
        <x:v>0</x:v>
      </x:c>
      <x:c r="P163" s="12" t="n">
        <x:v>0</x:v>
      </x:c>
      <x:c r="Q163" s="12" t="n">
        <x:v>0</x:v>
      </x:c>
      <x:c r="R163" s="12" t="n">
        <x:v>0</x:v>
      </x:c>
      <x:c r="S163" s="12" t="n">
        <x:v>0</x:v>
      </x:c>
      <x:c r="T163" s="2"/>
      <x:c r="U163" s="2"/>
    </x:row>
    <x:row r="164" ht="21" customHeight="1">
      <x:c r="A164" s="2"/>
      <x:c r="B164" s="2"/>
      <x:c r="C164" s="2" t="str">
        <x:v>Downside</x:v>
      </x:c>
      <x:c r="D164" s="2"/>
      <x:c r="E164" s="11"/>
      <x:c r="F164" s="11"/>
      <x:c r="G164" s="11"/>
      <x:c r="H164" s="11"/>
      <x:c r="I164" s="11"/>
      <x:c r="J164" s="11"/>
      <x:c r="K164" s="11"/>
      <x:c r="L164" s="11"/>
      <x:c r="M164" s="11"/>
      <x:c r="N164" s="11"/>
      <x:c r="O164" s="12" t="n">
        <x:v>0</x:v>
      </x:c>
      <x:c r="P164" s="12" t="n">
        <x:v>0</x:v>
      </x:c>
      <x:c r="Q164" s="12" t="n">
        <x:v>0</x:v>
      </x:c>
      <x:c r="R164" s="12" t="n">
        <x:v>0</x:v>
      </x:c>
      <x:c r="S164" s="12" t="n">
        <x:v>0</x:v>
      </x:c>
      <x:c r="T164" s="2"/>
      <x:c r="U164" s="2"/>
    </x:row>
    <x:row r="165" ht="21" customHeight="1">
      <x:c r="A165" s="2"/>
      <x:c r="B165" s="2"/>
      <x:c r="C165" s="29" t="str">
        <x:v>Planned short-term investment balance growth</x:v>
      </x:c>
      <x:c r="D165" s="29"/>
      <x:c r="E165" s="30"/>
      <x:c r="F165" s="30"/>
      <x:c r="G165" s="30"/>
      <x:c r="H165" s="30"/>
      <x:c r="I165" s="30"/>
      <x:c r="J165" s="30"/>
      <x:c r="K165" s="30"/>
      <x:c r="L165" s="30"/>
      <x:c r="M165" s="30"/>
      <x:c r="N165" s="30"/>
      <x:c r="O165" s="32" t="n">
        <x:f>IF(NOT(CHOOSE($D$4,ISNUMBER(O166),ISNUMBER(O167),ISNUMBER(O168))),"n.a.",CHOOSE($D$4,O166,O167,O168))</x:f>
        <x:v>0</x:v>
      </x:c>
      <x:c r="P165" s="32" t="n">
        <x:f>IF(NOT(CHOOSE($D$4,ISNUMBER(P166),ISNUMBER(P167),ISNUMBER(P168))),"n.a.",CHOOSE($D$4,P166,P167,P168))</x:f>
        <x:v>0</x:v>
      </x:c>
      <x:c r="Q165" s="32" t="n">
        <x:f>IF(NOT(CHOOSE($D$4,ISNUMBER(Q166),ISNUMBER(Q167),ISNUMBER(Q168))),"n.a.",CHOOSE($D$4,Q166,Q167,Q168))</x:f>
        <x:v>0</x:v>
      </x:c>
      <x:c r="R165" s="32" t="n">
        <x:f>IF(NOT(CHOOSE($D$4,ISNUMBER(R166),ISNUMBER(R167),ISNUMBER(R168))),"n.a.",CHOOSE($D$4,R166,R167,R168))</x:f>
        <x:v>0</x:v>
      </x:c>
      <x:c r="S165" s="32" t="n">
        <x:f>IF(NOT(CHOOSE($D$4,ISNUMBER(S166),ISNUMBER(S167),ISNUMBER(S168))),"n.a.",CHOOSE($D$4,S166,S167,S168))</x:f>
        <x:v>0</x:v>
      </x:c>
      <x:c r="T165" s="2"/>
      <x:c r="U165" s="2"/>
    </x:row>
    <x:row r="166" ht="21" customHeight="1">
      <x:c r="A166" s="2"/>
      <x:c r="B166" s="2"/>
      <x:c r="C166" s="18" t="str">
        <x:v>Base</x:v>
      </x:c>
      <x:c r="D166" s="18"/>
      <x:c r="E166" s="19"/>
      <x:c r="F166" s="19"/>
      <x:c r="G166" s="19"/>
      <x:c r="H166" s="19"/>
      <x:c r="I166" s="19"/>
      <x:c r="J166" s="19"/>
      <x:c r="K166" s="19"/>
      <x:c r="L166" s="19"/>
      <x:c r="M166" s="19"/>
      <x:c r="N166" s="19"/>
      <x:c r="O166" s="31" t="n">
        <x:v>0</x:v>
      </x:c>
      <x:c r="P166" s="31" t="n">
        <x:v>0</x:v>
      </x:c>
      <x:c r="Q166" s="31" t="n">
        <x:v>0</x:v>
      </x:c>
      <x:c r="R166" s="31" t="n">
        <x:v>0</x:v>
      </x:c>
      <x:c r="S166" s="31" t="n">
        <x:v>0</x:v>
      </x:c>
      <x:c r="T166" s="2"/>
      <x:c r="U166" s="2"/>
    </x:row>
    <x:row r="167" ht="21" customHeight="1">
      <x:c r="A167" s="2"/>
      <x:c r="B167" s="2"/>
      <x:c r="C167" s="18" t="str">
        <x:v>Upside</x:v>
      </x:c>
      <x:c r="D167" s="18"/>
      <x:c r="E167" s="19"/>
      <x:c r="F167" s="19"/>
      <x:c r="G167" s="19"/>
      <x:c r="H167" s="19"/>
      <x:c r="I167" s="19"/>
      <x:c r="J167" s="19"/>
      <x:c r="K167" s="19"/>
      <x:c r="L167" s="19"/>
      <x:c r="M167" s="19"/>
      <x:c r="N167" s="19"/>
      <x:c r="O167" s="31" t="n">
        <x:v>0</x:v>
      </x:c>
      <x:c r="P167" s="31" t="n">
        <x:v>0</x:v>
      </x:c>
      <x:c r="Q167" s="31" t="n">
        <x:v>0</x:v>
      </x:c>
      <x:c r="R167" s="31" t="n">
        <x:v>0</x:v>
      </x:c>
      <x:c r="S167" s="31" t="n">
        <x:v>0</x:v>
      </x:c>
      <x:c r="T167" s="2"/>
      <x:c r="U167" s="2"/>
    </x:row>
    <x:row r="168" ht="21" customHeight="1">
      <x:c r="A168" s="2"/>
      <x:c r="B168" s="2"/>
      <x:c r="C168" s="18" t="str">
        <x:v>Downside</x:v>
      </x:c>
      <x:c r="D168" s="18"/>
      <x:c r="E168" s="19"/>
      <x:c r="F168" s="19"/>
      <x:c r="G168" s="19"/>
      <x:c r="H168" s="19"/>
      <x:c r="I168" s="19"/>
      <x:c r="J168" s="19"/>
      <x:c r="K168" s="19"/>
      <x:c r="L168" s="19"/>
      <x:c r="M168" s="19"/>
      <x:c r="N168" s="19"/>
      <x:c r="O168" s="31" t="n">
        <x:v>0</x:v>
      </x:c>
      <x:c r="P168" s="31" t="n">
        <x:v>0</x:v>
      </x:c>
      <x:c r="Q168" s="31" t="n">
        <x:v>0</x:v>
      </x:c>
      <x:c r="R168" s="31" t="n">
        <x:v>0</x:v>
      </x:c>
      <x:c r="S168" s="31" t="n">
        <x:v>0</x:v>
      </x:c>
      <x:c r="T168" s="2"/>
      <x:c r="U168" s="2"/>
    </x:row>
    <x:row r="169" ht="21" customHeight="1">
      <x:c r="A169" s="2"/>
      <x:c r="B169" s="2"/>
      <x:c r="C169" s="29" t="str">
        <x:v>Cash purchases of equity investments / revenue</x:v>
      </x:c>
      <x:c r="D169" s="29"/>
      <x:c r="E169" s="30"/>
      <x:c r="F169" s="30"/>
      <x:c r="G169" s="30"/>
      <x:c r="H169" s="30"/>
      <x:c r="I169" s="30"/>
      <x:c r="J169" s="30"/>
      <x:c r="K169" s="30"/>
      <x:c r="L169" s="30"/>
      <x:c r="M169" s="30"/>
      <x:c r="N169" s="30"/>
      <x:c r="O169" s="32" t="n">
        <x:f>IF(NOT(CHOOSE($D$4,ISNUMBER(O170),ISNUMBER(O171),ISNUMBER(O172))),"n.a.",CHOOSE($D$4,O170,O171,O172))</x:f>
        <x:v>0.01</x:v>
      </x:c>
      <x:c r="P169" s="32" t="n">
        <x:f>IF(NOT(CHOOSE($D$4,ISNUMBER(P170),ISNUMBER(P171),ISNUMBER(P172))),"n.a.",CHOOSE($D$4,P170,P171,P172))</x:f>
        <x:v>0.01</x:v>
      </x:c>
      <x:c r="Q169" s="32" t="n">
        <x:f>IF(NOT(CHOOSE($D$4,ISNUMBER(Q170),ISNUMBER(Q171),ISNUMBER(Q172))),"n.a.",CHOOSE($D$4,Q170,Q171,Q172))</x:f>
        <x:v>0.01</x:v>
      </x:c>
      <x:c r="R169" s="32" t="n">
        <x:f>IF(NOT(CHOOSE($D$4,ISNUMBER(R170),ISNUMBER(R171),ISNUMBER(R172))),"n.a.",CHOOSE($D$4,R170,R171,R172))</x:f>
        <x:v>0.01</x:v>
      </x:c>
      <x:c r="S169" s="32" t="n">
        <x:f>IF(NOT(CHOOSE($D$4,ISNUMBER(S170),ISNUMBER(S171),ISNUMBER(S172))),"n.a.",CHOOSE($D$4,S170,S171,S172))</x:f>
        <x:v>0.01</x:v>
      </x:c>
      <x:c r="T169" s="2"/>
      <x:c r="U169" s="2"/>
    </x:row>
    <x:row r="170" ht="21" customHeight="1">
      <x:c r="A170" s="2"/>
      <x:c r="B170" s="2"/>
      <x:c r="C170" s="18" t="str">
        <x:v>Base</x:v>
      </x:c>
      <x:c r="D170" s="18"/>
      <x:c r="E170" s="19"/>
      <x:c r="F170" s="19"/>
      <x:c r="G170" s="19"/>
      <x:c r="H170" s="19"/>
      <x:c r="I170" s="19"/>
      <x:c r="J170" s="19"/>
      <x:c r="K170" s="19"/>
      <x:c r="L170" s="19"/>
      <x:c r="M170" s="19"/>
      <x:c r="N170" s="19"/>
      <x:c r="O170" s="31" t="n">
        <x:v>0.01</x:v>
      </x:c>
      <x:c r="P170" s="31" t="n">
        <x:v>0.01</x:v>
      </x:c>
      <x:c r="Q170" s="31" t="n">
        <x:v>0.01</x:v>
      </x:c>
      <x:c r="R170" s="31" t="n">
        <x:v>0.01</x:v>
      </x:c>
      <x:c r="S170" s="31" t="n">
        <x:v>0.01</x:v>
      </x:c>
      <x:c r="T170" s="2"/>
      <x:c r="U170" s="2"/>
    </x:row>
    <x:row r="171" ht="21" customHeight="1">
      <x:c r="A171" s="2"/>
      <x:c r="B171" s="2"/>
      <x:c r="C171" s="18" t="str">
        <x:v>Upside</x:v>
      </x:c>
      <x:c r="D171" s="18"/>
      <x:c r="E171" s="19"/>
      <x:c r="F171" s="19"/>
      <x:c r="G171" s="19"/>
      <x:c r="H171" s="19"/>
      <x:c r="I171" s="19"/>
      <x:c r="J171" s="19"/>
      <x:c r="K171" s="19"/>
      <x:c r="L171" s="19"/>
      <x:c r="M171" s="19"/>
      <x:c r="N171" s="19"/>
      <x:c r="O171" s="31" t="n">
        <x:v>0.01</x:v>
      </x:c>
      <x:c r="P171" s="31" t="n">
        <x:v>0.01</x:v>
      </x:c>
      <x:c r="Q171" s="31" t="n">
        <x:v>0.01</x:v>
      </x:c>
      <x:c r="R171" s="31" t="n">
        <x:v>0.01</x:v>
      </x:c>
      <x:c r="S171" s="31" t="n">
        <x:v>0.01</x:v>
      </x:c>
      <x:c r="T171" s="2"/>
      <x:c r="U171" s="2"/>
    </x:row>
    <x:row r="172" ht="21" customHeight="1">
      <x:c r="A172" s="2"/>
      <x:c r="B172" s="2"/>
      <x:c r="C172" s="18" t="str">
        <x:v>Downside</x:v>
      </x:c>
      <x:c r="D172" s="18"/>
      <x:c r="E172" s="19"/>
      <x:c r="F172" s="19"/>
      <x:c r="G172" s="19"/>
      <x:c r="H172" s="19"/>
      <x:c r="I172" s="19"/>
      <x:c r="J172" s="19"/>
      <x:c r="K172" s="19"/>
      <x:c r="L172" s="19"/>
      <x:c r="M172" s="19"/>
      <x:c r="N172" s="19"/>
      <x:c r="O172" s="31" t="n">
        <x:v>0.01</x:v>
      </x:c>
      <x:c r="P172" s="31" t="n">
        <x:v>0.01</x:v>
      </x:c>
      <x:c r="Q172" s="31" t="n">
        <x:v>0.01</x:v>
      </x:c>
      <x:c r="R172" s="31" t="n">
        <x:v>0.01</x:v>
      </x:c>
      <x:c r="S172" s="31" t="n">
        <x:v>0.01</x:v>
      </x:c>
      <x:c r="T172" s="2"/>
      <x:c r="U172" s="2"/>
    </x:row>
    <x:row r="173" ht="32" customHeight="1">
      <x:c r="A173" s="2"/>
      <x:c r="B173" s="2"/>
      <x:c r="C173" s="28" t="str">
        <x:v>Cash proceeds from employee share issuance / revenue</x:v>
      </x:c>
      <x:c r="D173" s="29"/>
      <x:c r="E173" s="62" t="n">
        <x:f>'Cash Flow'!E43/'Income Statement'!E8</x:f>
        <x:v>0.007994118317093124</x:v>
      </x:c>
      <x:c r="F173" s="62" t="n">
        <x:f>'Cash Flow'!F43/'Income Statement'!F8</x:f>
        <x:v>0.009079376585719464</x:v>
      </x:c>
      <x:c r="G173" s="62" t="n">
        <x:f>'Cash Flow'!G43/'Income Statement'!G8</x:f>
        <x:v>0.00907479955182251</x:v>
      </x:c>
      <x:c r="H173" s="62" t="n">
        <x:f>'Cash Flow'!H43/'Income Statement'!H8</x:f>
        <x:v>0.00939062336118589</x:v>
      </x:c>
      <x:c r="I173" s="62" t="n">
        <x:f>'Cash Flow'!I43/'Income Statement'!I8</x:f>
        <x:v>0.010072105087811147</x:v>
      </x:c>
      <x:c r="J173" s="62" t="n">
        <x:f>'Cash Flow'!J43/'Income Statement'!J8</x:f>
        <x:v>0.009285318000706108</x:v>
      </x:c>
      <x:c r="K173" s="62" t="n">
        <x:f>'Cash Flow'!K43/'Income Statement'!K8</x:f>
        <x:v>0.008805417266356794</x:v>
      </x:c>
      <x:c r="L173" s="62" t="n">
        <x:f>'Cash Flow'!L43/'Income Statement'!L8</x:f>
        <x:v>0.008167361558734019</x:v>
      </x:c>
      <x:c r="M173" s="62" t="n">
        <x:f>'Cash Flow'!M43/'Income Statement'!M8</x:f>
        <x:v>0.00729792278968068</x:v>
      </x:c>
      <x:c r="N173" s="62" t="n">
        <x:f>'Cash Flow'!N43/'Income Statement'!N8</x:f>
        <x:v>0.006054140712815552</x:v>
      </x:c>
      <x:c r="O173" s="32" t="n">
        <x:f>IF(NOT(CHOOSE($D$4,ISNUMBER(O174),ISNUMBER(O175),ISNUMBER(O176))),"n.a.",CHOOSE($D$4,O174,O175,O176))</x:f>
        <x:v>0.006</x:v>
      </x:c>
      <x:c r="P173" s="32" t="n">
        <x:f>IF(NOT(CHOOSE($D$4,ISNUMBER(P174),ISNUMBER(P175),ISNUMBER(P176))),"n.a.",CHOOSE($D$4,P174,P175,P176))</x:f>
        <x:v>0.006</x:v>
      </x:c>
      <x:c r="Q173" s="32" t="n">
        <x:f>IF(NOT(CHOOSE($D$4,ISNUMBER(Q174),ISNUMBER(Q175),ISNUMBER(Q176))),"n.a.",CHOOSE($D$4,Q174,Q175,Q176))</x:f>
        <x:v>0.006</x:v>
      </x:c>
      <x:c r="R173" s="32" t="n">
        <x:f>IF(NOT(CHOOSE($D$4,ISNUMBER(R174),ISNUMBER(R175),ISNUMBER(R176))),"n.a.",CHOOSE($D$4,R174,R175,R176))</x:f>
        <x:v>0.006</x:v>
      </x:c>
      <x:c r="S173" s="32" t="n">
        <x:f>IF(NOT(CHOOSE($D$4,ISNUMBER(S174),ISNUMBER(S175),ISNUMBER(S176))),"n.a.",CHOOSE($D$4,S174,S175,S176))</x:f>
        <x:v>0.006</x:v>
      </x:c>
      <x:c r="T173" s="2"/>
      <x:c r="U173" s="2"/>
    </x:row>
    <x:row r="174" ht="21" customHeight="1">
      <x:c r="A174" s="2"/>
      <x:c r="B174" s="2"/>
      <x:c r="C174" s="18" t="str">
        <x:v>Base</x:v>
      </x:c>
      <x:c r="D174" s="18"/>
      <x:c r="E174" s="19"/>
      <x:c r="F174" s="19"/>
      <x:c r="G174" s="19"/>
      <x:c r="H174" s="19"/>
      <x:c r="I174" s="19"/>
      <x:c r="J174" s="19"/>
      <x:c r="K174" s="19"/>
      <x:c r="L174" s="19"/>
      <x:c r="M174" s="19"/>
      <x:c r="N174" s="19"/>
      <x:c r="O174" s="31" t="n">
        <x:v>0.006</x:v>
      </x:c>
      <x:c r="P174" s="31" t="n">
        <x:v>0.006</x:v>
      </x:c>
      <x:c r="Q174" s="31" t="n">
        <x:v>0.006</x:v>
      </x:c>
      <x:c r="R174" s="31" t="n">
        <x:v>0.006</x:v>
      </x:c>
      <x:c r="S174" s="31" t="n">
        <x:v>0.006</x:v>
      </x:c>
      <x:c r="T174" s="2"/>
      <x:c r="U174" s="2"/>
    </x:row>
    <x:row r="175" ht="21" customHeight="1">
      <x:c r="A175" s="2"/>
      <x:c r="B175" s="2"/>
      <x:c r="C175" s="18" t="str">
        <x:v>Upside</x:v>
      </x:c>
      <x:c r="D175" s="18"/>
      <x:c r="E175" s="19"/>
      <x:c r="F175" s="19"/>
      <x:c r="G175" s="19"/>
      <x:c r="H175" s="19"/>
      <x:c r="I175" s="19"/>
      <x:c r="J175" s="19"/>
      <x:c r="K175" s="19"/>
      <x:c r="L175" s="19"/>
      <x:c r="M175" s="19"/>
      <x:c r="N175" s="19"/>
      <x:c r="O175" s="31" t="n">
        <x:v>0.006</x:v>
      </x:c>
      <x:c r="P175" s="31" t="n">
        <x:v>0.006</x:v>
      </x:c>
      <x:c r="Q175" s="31" t="n">
        <x:v>0.006</x:v>
      </x:c>
      <x:c r="R175" s="31" t="n">
        <x:v>0.006</x:v>
      </x:c>
      <x:c r="S175" s="31" t="n">
        <x:v>0.006</x:v>
      </x:c>
      <x:c r="T175" s="2"/>
      <x:c r="U175" s="2"/>
    </x:row>
    <x:row r="176" ht="21" customHeight="1">
      <x:c r="A176" s="2"/>
      <x:c r="B176" s="2"/>
      <x:c r="C176" s="18" t="str">
        <x:v>Downside</x:v>
      </x:c>
      <x:c r="D176" s="18"/>
      <x:c r="E176" s="19"/>
      <x:c r="F176" s="19"/>
      <x:c r="G176" s="19"/>
      <x:c r="H176" s="19"/>
      <x:c r="I176" s="19"/>
      <x:c r="J176" s="19"/>
      <x:c r="K176" s="19"/>
      <x:c r="L176" s="19"/>
      <x:c r="M176" s="19"/>
      <x:c r="N176" s="19"/>
      <x:c r="O176" s="31" t="n">
        <x:v>0.006</x:v>
      </x:c>
      <x:c r="P176" s="31" t="n">
        <x:v>0.006</x:v>
      </x:c>
      <x:c r="Q176" s="31" t="n">
        <x:v>0.006</x:v>
      </x:c>
      <x:c r="R176" s="31" t="n">
        <x:v>0.006</x:v>
      </x:c>
      <x:c r="S176" s="31" t="n">
        <x:v>0.006</x:v>
      </x:c>
      <x:c r="T176" s="2"/>
      <x:c r="U176" s="2"/>
    </x:row>
    <x:row r="177" ht="21" customHeight="1">
      <x:c r="A177" s="2"/>
      <x:c r="B177" s="2"/>
      <x:c r="C177" s="29" t="str">
        <x:v>Stock-based compensation / revenue</x:v>
      </x:c>
      <x:c r="D177" s="29"/>
      <x:c r="E177" s="62" t="n">
        <x:f>'Cash Flow'!E12/'Income Statement'!E8</x:f>
        <x:v>0.033819676714541634</x:v>
      </x:c>
      <x:c r="F177" s="62" t="n">
        <x:f>'Cash Flow'!F12/'Income Statement'!F8</x:f>
        <x:v>0.03570134106560348</x:v>
      </x:c>
      <x:c r="G177" s="62" t="n">
        <x:f>'Cash Flow'!G12/'Income Statement'!G8</x:f>
        <x:v>0.036966696598142126</x:v>
      </x:c>
      <x:c r="H177" s="62" t="n">
        <x:f>'Cash Flow'!H12/'Income Statement'!H8</x:f>
        <x:v>0.036982134741111075</x:v>
      </x:c>
      <x:c r="I177" s="62" t="n">
        <x:f>'Cash Flow'!I12/'Income Statement'!I8</x:f>
        <x:v>0.036397601256484696</x:v>
      </x:c>
      <x:c r="J177" s="62" t="n">
        <x:f>'Cash Flow'!J12/'Income Statement'!J8</x:f>
        <x:v>0.037837292580824126</x:v>
      </x:c>
      <x:c r="K177" s="62" t="n">
        <x:f>'Cash Flow'!K12/'Income Statement'!K8</x:f>
        <x:v>0.04535308968218389</x:v>
      </x:c>
      <x:c r="L177" s="62" t="n">
        <x:f>'Cash Flow'!L12/'Income Statement'!L8</x:f>
        <x:v>0.04379043904667879</x:v>
      </x:c>
      <x:c r="M177" s="62" t="n">
        <x:f>'Cash Flow'!M12/'Income Statement'!M8</x:f>
        <x:v>0.042502591188539135</x:v>
      </x:c>
      <x:c r="N177" s="62" t="n">
        <x:f>'Cash Flow'!N12/'Income Statement'!N8</x:f>
        <x:v>0.0373825861336371</x:v>
      </x:c>
      <x:c r="O177" s="32" t="n">
        <x:f>IF(NOT(CHOOSE($D$4,ISNUMBER(O178),ISNUMBER(O179),ISNUMBER(O180))),"n.a.",CHOOSE($D$4,O178,O179,O180))</x:f>
        <x:v>0.0375</x:v>
      </x:c>
      <x:c r="P177" s="32" t="n">
        <x:f>IF(NOT(CHOOSE($D$4,ISNUMBER(P178),ISNUMBER(P179),ISNUMBER(P180))),"n.a.",CHOOSE($D$4,P178,P179,P180))</x:f>
        <x:v>0.0375</x:v>
      </x:c>
      <x:c r="Q177" s="32" t="n">
        <x:f>IF(NOT(CHOOSE($D$4,ISNUMBER(Q178),ISNUMBER(Q179),ISNUMBER(Q180))),"n.a.",CHOOSE($D$4,Q178,Q179,Q180))</x:f>
        <x:v>0.0375</x:v>
      </x:c>
      <x:c r="R177" s="32" t="n">
        <x:f>IF(NOT(CHOOSE($D$4,ISNUMBER(R178),ISNUMBER(R179),ISNUMBER(R180))),"n.a.",CHOOSE($D$4,R178,R179,R180))</x:f>
        <x:v>0.0375</x:v>
      </x:c>
      <x:c r="S177" s="32" t="n">
        <x:f>IF(NOT(CHOOSE($D$4,ISNUMBER(S178),ISNUMBER(S179),ISNUMBER(S180))),"n.a.",CHOOSE($D$4,S178,S179,S180))</x:f>
        <x:v>0.0375</x:v>
      </x:c>
      <x:c r="T177" s="2"/>
      <x:c r="U177" s="2"/>
    </x:row>
    <x:row r="178" ht="21" customHeight="1">
      <x:c r="A178" s="2"/>
      <x:c r="B178" s="2"/>
      <x:c r="C178" s="18" t="str">
        <x:v>Base</x:v>
      </x:c>
      <x:c r="D178" s="18"/>
      <x:c r="E178" s="19"/>
      <x:c r="F178" s="19"/>
      <x:c r="G178" s="19"/>
      <x:c r="H178" s="19"/>
      <x:c r="I178" s="19"/>
      <x:c r="J178" s="19"/>
      <x:c r="K178" s="19"/>
      <x:c r="L178" s="19"/>
      <x:c r="M178" s="19"/>
      <x:c r="N178" s="19"/>
      <x:c r="O178" s="31" t="n">
        <x:v>0.0375</x:v>
      </x:c>
      <x:c r="P178" s="31" t="n">
        <x:v>0.0375</x:v>
      </x:c>
      <x:c r="Q178" s="31" t="n">
        <x:v>0.0375</x:v>
      </x:c>
      <x:c r="R178" s="31" t="n">
        <x:v>0.0375</x:v>
      </x:c>
      <x:c r="S178" s="31" t="n">
        <x:v>0.0375</x:v>
      </x:c>
      <x:c r="T178" s="2"/>
      <x:c r="U178" s="2"/>
    </x:row>
    <x:row r="179" ht="21" customHeight="1">
      <x:c r="A179" s="2"/>
      <x:c r="B179" s="2"/>
      <x:c r="C179" s="18" t="str">
        <x:v>Upside</x:v>
      </x:c>
      <x:c r="D179" s="18"/>
      <x:c r="E179" s="19"/>
      <x:c r="F179" s="19"/>
      <x:c r="G179" s="19"/>
      <x:c r="H179" s="19"/>
      <x:c r="I179" s="19"/>
      <x:c r="J179" s="19"/>
      <x:c r="K179" s="19"/>
      <x:c r="L179" s="19"/>
      <x:c r="M179" s="19"/>
      <x:c r="N179" s="19"/>
      <x:c r="O179" s="31" t="n">
        <x:v>0.0375</x:v>
      </x:c>
      <x:c r="P179" s="31" t="n">
        <x:v>0.0375</x:v>
      </x:c>
      <x:c r="Q179" s="31" t="n">
        <x:v>0.0375</x:v>
      </x:c>
      <x:c r="R179" s="31" t="n">
        <x:v>0.0375</x:v>
      </x:c>
      <x:c r="S179" s="31" t="n">
        <x:v>0.0375</x:v>
      </x:c>
      <x:c r="T179" s="2"/>
      <x:c r="U179" s="2"/>
    </x:row>
    <x:row r="180" ht="21" customHeight="1">
      <x:c r="A180" s="2"/>
      <x:c r="B180" s="2"/>
      <x:c r="C180" s="18" t="str">
        <x:v>Downside</x:v>
      </x:c>
      <x:c r="D180" s="18"/>
      <x:c r="E180" s="19"/>
      <x:c r="F180" s="19"/>
      <x:c r="G180" s="19"/>
      <x:c r="H180" s="19"/>
      <x:c r="I180" s="19"/>
      <x:c r="J180" s="19"/>
      <x:c r="K180" s="19"/>
      <x:c r="L180" s="19"/>
      <x:c r="M180" s="19"/>
      <x:c r="N180" s="19"/>
      <x:c r="O180" s="31" t="n">
        <x:v>0.0375</x:v>
      </x:c>
      <x:c r="P180" s="31" t="n">
        <x:v>0.0375</x:v>
      </x:c>
      <x:c r="Q180" s="31" t="n">
        <x:v>0.0375</x:v>
      </x:c>
      <x:c r="R180" s="31" t="n">
        <x:v>0.0375</x:v>
      </x:c>
      <x:c r="S180" s="31" t="n">
        <x:v>0.0375</x:v>
      </x:c>
      <x:c r="T180" s="2"/>
      <x:c r="U180" s="2"/>
    </x:row>
    <x:row r="181" ht="21" customHeight="1">
      <x:c r="A181" s="2"/>
      <x:c r="B181" s="2"/>
      <x:c r="C181" s="29" t="str">
        <x:v>Share of buybacks charged to retained earnings</x:v>
      </x:c>
      <x:c r="D181" s="29"/>
      <x:c r="E181" s="30"/>
      <x:c r="F181" s="30"/>
      <x:c r="G181" s="30"/>
      <x:c r="H181" s="30"/>
      <x:c r="I181" s="30"/>
      <x:c r="J181" s="30"/>
      <x:c r="K181" s="30"/>
      <x:c r="L181" s="30"/>
      <x:c r="M181" s="30"/>
      <x:c r="N181" s="30"/>
      <x:c r="O181" s="32" t="n">
        <x:f>IF(NOT(CHOOSE($D$4,ISNUMBER(O182),ISNUMBER(O183),ISNUMBER(O184))),"n.a.",CHOOSE($D$4,O182,O183,O184))</x:f>
        <x:v>0.75</x:v>
      </x:c>
      <x:c r="P181" s="32" t="n">
        <x:f>IF(NOT(CHOOSE($D$4,ISNUMBER(P182),ISNUMBER(P183),ISNUMBER(P184))),"n.a.",CHOOSE($D$4,P182,P183,P184))</x:f>
        <x:v>0.75</x:v>
      </x:c>
      <x:c r="Q181" s="32" t="n">
        <x:f>IF(NOT(CHOOSE($D$4,ISNUMBER(Q182),ISNUMBER(Q183),ISNUMBER(Q184))),"n.a.",CHOOSE($D$4,Q182,Q183,Q184))</x:f>
        <x:v>0.75</x:v>
      </x:c>
      <x:c r="R181" s="32" t="n">
        <x:f>IF(NOT(CHOOSE($D$4,ISNUMBER(R182),ISNUMBER(R183),ISNUMBER(R184))),"n.a.",CHOOSE($D$4,R182,R183,R184))</x:f>
        <x:v>0.75</x:v>
      </x:c>
      <x:c r="S181" s="32" t="n">
        <x:f>IF(NOT(CHOOSE($D$4,ISNUMBER(S182),ISNUMBER(S183),ISNUMBER(S184))),"n.a.",CHOOSE($D$4,S182,S183,S184))</x:f>
        <x:v>0.75</x:v>
      </x:c>
      <x:c r="T181" s="2"/>
      <x:c r="U181" s="2"/>
    </x:row>
    <x:row r="182" ht="21" customHeight="1">
      <x:c r="A182" s="2"/>
      <x:c r="B182" s="2"/>
      <x:c r="C182" s="18" t="str">
        <x:v>Base</x:v>
      </x:c>
      <x:c r="D182" s="18"/>
      <x:c r="E182" s="19"/>
      <x:c r="F182" s="19"/>
      <x:c r="G182" s="19"/>
      <x:c r="H182" s="19"/>
      <x:c r="I182" s="19"/>
      <x:c r="J182" s="19"/>
      <x:c r="K182" s="19"/>
      <x:c r="L182" s="19"/>
      <x:c r="M182" s="19"/>
      <x:c r="N182" s="19"/>
      <x:c r="O182" s="31" t="n">
        <x:v>0.75</x:v>
      </x:c>
      <x:c r="P182" s="31" t="n">
        <x:v>0.75</x:v>
      </x:c>
      <x:c r="Q182" s="31" t="n">
        <x:v>0.75</x:v>
      </x:c>
      <x:c r="R182" s="31" t="n">
        <x:v>0.75</x:v>
      </x:c>
      <x:c r="S182" s="31" t="n">
        <x:v>0.75</x:v>
      </x:c>
      <x:c r="T182" s="2"/>
      <x:c r="U182" s="2"/>
    </x:row>
    <x:row r="183" ht="21" customHeight="1">
      <x:c r="A183" s="2"/>
      <x:c r="B183" s="2"/>
      <x:c r="C183" s="18" t="str">
        <x:v>Upside</x:v>
      </x:c>
      <x:c r="D183" s="18"/>
      <x:c r="E183" s="19"/>
      <x:c r="F183" s="19"/>
      <x:c r="G183" s="19"/>
      <x:c r="H183" s="19"/>
      <x:c r="I183" s="19"/>
      <x:c r="J183" s="19"/>
      <x:c r="K183" s="19"/>
      <x:c r="L183" s="19"/>
      <x:c r="M183" s="19"/>
      <x:c r="N183" s="19"/>
      <x:c r="O183" s="31" t="n">
        <x:v>0.75</x:v>
      </x:c>
      <x:c r="P183" s="31" t="n">
        <x:v>0.75</x:v>
      </x:c>
      <x:c r="Q183" s="31" t="n">
        <x:v>0.75</x:v>
      </x:c>
      <x:c r="R183" s="31" t="n">
        <x:v>0.75</x:v>
      </x:c>
      <x:c r="S183" s="31" t="n">
        <x:v>0.75</x:v>
      </x:c>
      <x:c r="T183" s="2"/>
      <x:c r="U183" s="2"/>
    </x:row>
    <x:row r="184" ht="21" customHeight="1">
      <x:c r="A184" s="2"/>
      <x:c r="B184" s="2"/>
      <x:c r="C184" s="18" t="str">
        <x:v>Downside</x:v>
      </x:c>
      <x:c r="D184" s="18"/>
      <x:c r="E184" s="19"/>
      <x:c r="F184" s="19"/>
      <x:c r="G184" s="19"/>
      <x:c r="H184" s="19"/>
      <x:c r="I184" s="19"/>
      <x:c r="J184" s="19"/>
      <x:c r="K184" s="19"/>
      <x:c r="L184" s="19"/>
      <x:c r="M184" s="19"/>
      <x:c r="N184" s="19"/>
      <x:c r="O184" s="31" t="n">
        <x:v>0.75</x:v>
      </x:c>
      <x:c r="P184" s="31" t="n">
        <x:v>0.75</x:v>
      </x:c>
      <x:c r="Q184" s="31" t="n">
        <x:v>0.75</x:v>
      </x:c>
      <x:c r="R184" s="31" t="n">
        <x:v>0.75</x:v>
      </x:c>
      <x:c r="S184" s="31" t="n">
        <x:v>0.75</x:v>
      </x:c>
      <x:c r="T184" s="2"/>
      <x:c r="U184" s="2"/>
    </x:row>
    <x:row r="185" ht="21" customHeight="1">
      <x:c r="A185" s="2"/>
      <x:c r="B185" s="2"/>
      <x:c r="C185" s="29" t="str">
        <x:v>Dividends as share of positive net income</x:v>
      </x:c>
      <x:c r="D185" s="29"/>
      <x:c r="E185" s="62" t="n">
        <x:f>-'Cash Flow'!E45/'Income Statement'!E28</x:f>
        <x:v>0.4647102671740751</x:v>
      </x:c>
      <x:c r="F185" s="62" t="n">
        <x:f>-'Cash Flow'!F45/'Income Statement'!F28</x:f>
        <x:v>0.7663387846237403</x:v>
      </x:c>
      <x:c r="G185" s="62" t="n">
        <x:f>-'Cash Flow'!G45/'Income Statement'!G28</x:f>
        <x:v>0.35196228338430174</x:v>
      </x:c>
      <x:c r="H185" s="62" t="n">
        <x:f>-'Cash Flow'!H45/'Income Statement'!H28</x:f>
        <x:v>0.34183961518484224</x:v>
      </x:c>
      <x:c r="I185" s="62" t="n">
        <x:f>-'Cash Flow'!I45/'Income Statement'!I28</x:f>
        <x:v>0.269638164874084</x:v>
      </x:c>
      <x:c r="J185" s="62" t="n">
        <x:f>-'Cash Flow'!J45/'Income Statement'!J28</x:f>
        <x:v>0.24931947537738183</x:v>
      </x:c>
      <x:c r="K185" s="62" t="n">
        <x:f>-'Cash Flow'!K45/'Income Statement'!K28</x:f>
        <x:v>0.2736280593137187</x:v>
      </x:c>
      <x:c r="L185" s="62" t="n">
        <x:f>-'Cash Flow'!L45/'Income Statement'!L28</x:f>
        <x:v>0.24701597531088318</x:v>
      </x:c>
      <x:c r="M185" s="62" t="n">
        <x:f>-'Cash Flow'!M45/'Income Statement'!M28</x:f>
        <x:v>0.23648754811846964</x:v>
      </x:c>
      <x:c r="N185" s="62" t="n">
        <x:f>-'Cash Flow'!N45/'Income Statement'!N28</x:f>
        <x:v>0.19772110445685576</x:v>
      </x:c>
      <x:c r="O185" s="32" t="n">
        <x:f>IF(NOT(CHOOSE($D$4,ISNUMBER(O186),ISNUMBER(O187),ISNUMBER(O188))),"n.a.",CHOOSE($D$4,O186,O187,O188))</x:f>
        <x:v>0.2</x:v>
      </x:c>
      <x:c r="P185" s="32" t="n">
        <x:f>IF(NOT(CHOOSE($D$4,ISNUMBER(P186),ISNUMBER(P187),ISNUMBER(P188))),"n.a.",CHOOSE($D$4,P186,P187,P188))</x:f>
        <x:v>0.2</x:v>
      </x:c>
      <x:c r="Q185" s="32" t="n">
        <x:f>IF(NOT(CHOOSE($D$4,ISNUMBER(Q186),ISNUMBER(Q187),ISNUMBER(Q188))),"n.a.",CHOOSE($D$4,Q186,Q187,Q188))</x:f>
        <x:v>0.2</x:v>
      </x:c>
      <x:c r="R185" s="32" t="n">
        <x:f>IF(NOT(CHOOSE($D$4,ISNUMBER(R186),ISNUMBER(R187),ISNUMBER(R188))),"n.a.",CHOOSE($D$4,R186,R187,R188))</x:f>
        <x:v>0.2</x:v>
      </x:c>
      <x:c r="S185" s="32" t="n">
        <x:f>IF(NOT(CHOOSE($D$4,ISNUMBER(S186),ISNUMBER(S187),ISNUMBER(S188))),"n.a.",CHOOSE($D$4,S186,S187,S188))</x:f>
        <x:v>0.2</x:v>
      </x:c>
      <x:c r="T185" s="2"/>
      <x:c r="U185" s="2"/>
    </x:row>
    <x:row r="186" ht="21" customHeight="1">
      <x:c r="A186" s="2"/>
      <x:c r="B186" s="2"/>
      <x:c r="C186" s="18" t="str">
        <x:v>Base</x:v>
      </x:c>
      <x:c r="D186" s="18"/>
      <x:c r="E186" s="19"/>
      <x:c r="F186" s="19"/>
      <x:c r="G186" s="19"/>
      <x:c r="H186" s="19"/>
      <x:c r="I186" s="19"/>
      <x:c r="J186" s="19"/>
      <x:c r="K186" s="19"/>
      <x:c r="L186" s="19"/>
      <x:c r="M186" s="19"/>
      <x:c r="N186" s="19"/>
      <x:c r="O186" s="31" t="n">
        <x:v>0.2</x:v>
      </x:c>
      <x:c r="P186" s="31" t="n">
        <x:v>0.2</x:v>
      </x:c>
      <x:c r="Q186" s="31" t="n">
        <x:v>0.2</x:v>
      </x:c>
      <x:c r="R186" s="31" t="n">
        <x:v>0.2</x:v>
      </x:c>
      <x:c r="S186" s="31" t="n">
        <x:v>0.2</x:v>
      </x:c>
      <x:c r="T186" s="2"/>
      <x:c r="U186" s="2"/>
    </x:row>
    <x:row r="187" ht="21" customHeight="1">
      <x:c r="A187" s="2"/>
      <x:c r="B187" s="2"/>
      <x:c r="C187" s="18" t="str">
        <x:v>Upside</x:v>
      </x:c>
      <x:c r="D187" s="18"/>
      <x:c r="E187" s="19"/>
      <x:c r="F187" s="19"/>
      <x:c r="G187" s="19"/>
      <x:c r="H187" s="19"/>
      <x:c r="I187" s="19"/>
      <x:c r="J187" s="19"/>
      <x:c r="K187" s="19"/>
      <x:c r="L187" s="19"/>
      <x:c r="M187" s="19"/>
      <x:c r="N187" s="19"/>
      <x:c r="O187" s="31" t="n">
        <x:v>0.2</x:v>
      </x:c>
      <x:c r="P187" s="31" t="n">
        <x:v>0.2</x:v>
      </x:c>
      <x:c r="Q187" s="31" t="n">
        <x:v>0.2</x:v>
      </x:c>
      <x:c r="R187" s="31" t="n">
        <x:v>0.2</x:v>
      </x:c>
      <x:c r="S187" s="31" t="n">
        <x:v>0.2</x:v>
      </x:c>
      <x:c r="T187" s="2"/>
      <x:c r="U187" s="2"/>
    </x:row>
    <x:row r="188" ht="21" customHeight="1">
      <x:c r="A188" s="2"/>
      <x:c r="B188" s="2"/>
      <x:c r="C188" s="18" t="str">
        <x:v>Downside</x:v>
      </x:c>
      <x:c r="D188" s="18"/>
      <x:c r="E188" s="19"/>
      <x:c r="F188" s="19"/>
      <x:c r="G188" s="19"/>
      <x:c r="H188" s="19"/>
      <x:c r="I188" s="19"/>
      <x:c r="J188" s="19"/>
      <x:c r="K188" s="19"/>
      <x:c r="L188" s="19"/>
      <x:c r="M188" s="19"/>
      <x:c r="N188" s="19"/>
      <x:c r="O188" s="31" t="n">
        <x:v>0.2</x:v>
      </x:c>
      <x:c r="P188" s="31" t="n">
        <x:v>0.2</x:v>
      </x:c>
      <x:c r="Q188" s="31" t="n">
        <x:v>0.2</x:v>
      </x:c>
      <x:c r="R188" s="31" t="n">
        <x:v>0.2</x:v>
      </x:c>
      <x:c r="S188" s="31" t="n">
        <x:v>0.2</x:v>
      </x:c>
      <x:c r="T188" s="2"/>
      <x:c r="U188" s="2"/>
    </x:row>
    <x:row r="189" ht="21" customHeight="1">
      <x:c r="A189" s="2"/>
      <x:c r="B189" s="2"/>
      <x:c r="C189" s="29" t="str">
        <x:v>Effective income tax rate</x:v>
      </x:c>
      <x:c r="D189" s="29"/>
      <x:c r="E189" s="62" t="n">
        <x:f>'Income Statement'!E26</x:f>
        <x:v>0.14755359352530015</x:v>
      </x:c>
      <x:c r="F189" s="62" t="n">
        <x:f>'Income Statement'!F26</x:f>
        <x:v>0.5456763722103416</x:v>
      </x:c>
      <x:c r="G189" s="62" t="n">
        <x:f>'Income Statement'!G26</x:f>
        <x:v>0.10181285478850027</x:v>
      </x:c>
      <x:c r="H189" s="62" t="n">
        <x:f>'Income Statement'!H26</x:f>
        <x:v>0.16507655177615205</x:v>
      </x:c>
      <x:c r="I189" s="62" t="n">
        <x:f>'Income Statement'!I26</x:f>
        <x:v>0.13826615285083402</x:v>
      </x:c>
      <x:c r="J189" s="62" t="n">
        <x:f>'Income Statement'!J26</x:f>
        <x:v>0.13113383343685794</x:v>
      </x:c>
      <x:c r="K189" s="62" t="n">
        <x:f>'Income Statement'!K26</x:f>
        <x:v>0.18978625253328257</x:v>
      </x:c>
      <x:c r="L189" s="62" t="n">
        <x:f>'Income Statement'!L26</x:f>
        <x:v>0.18231326597827197</x:v>
      </x:c>
      <x:c r="M189" s="62" t="n">
        <x:f>'Income Statement'!M26</x:f>
        <x:v>0.17629644009803683</x:v>
      </x:c>
      <x:c r="N189" s="62" t="n">
        <x:f>'Income Statement'!N26</x:f>
        <x:v>0.19396265985271252</x:v>
      </x:c>
      <x:c r="O189" s="32" t="n">
        <x:f>IF(NOT(CHOOSE($D$4,ISNUMBER(O190),ISNUMBER(O191),ISNUMBER(O192))),"n.a.",CHOOSE($D$4,O190,O191,O192))</x:f>
        <x:v>0.2</x:v>
      </x:c>
      <x:c r="P189" s="32" t="n">
        <x:f>IF(NOT(CHOOSE($D$4,ISNUMBER(P190),ISNUMBER(P191),ISNUMBER(P192))),"n.a.",CHOOSE($D$4,P190,P191,P192))</x:f>
        <x:v>0.2</x:v>
      </x:c>
      <x:c r="Q189" s="32" t="n">
        <x:f>IF(NOT(CHOOSE($D$4,ISNUMBER(Q190),ISNUMBER(Q191),ISNUMBER(Q192))),"n.a.",CHOOSE($D$4,Q190,Q191,Q192))</x:f>
        <x:v>0.2</x:v>
      </x:c>
      <x:c r="R189" s="32" t="n">
        <x:f>IF(NOT(CHOOSE($D$4,ISNUMBER(R190),ISNUMBER(R191),ISNUMBER(R192))),"n.a.",CHOOSE($D$4,R190,R191,R192))</x:f>
        <x:v>0.2</x:v>
      </x:c>
      <x:c r="S189" s="32" t="n">
        <x:f>IF(NOT(CHOOSE($D$4,ISNUMBER(S190),ISNUMBER(S191),ISNUMBER(S192))),"n.a.",CHOOSE($D$4,S190,S191,S192))</x:f>
        <x:v>0.2</x:v>
      </x:c>
      <x:c r="T189" s="2"/>
      <x:c r="U189" s="2"/>
    </x:row>
    <x:row r="190" ht="21" customHeight="1">
      <x:c r="A190" s="2"/>
      <x:c r="B190" s="2"/>
      <x:c r="C190" s="18" t="str">
        <x:v>Base</x:v>
      </x:c>
      <x:c r="D190" s="18"/>
      <x:c r="E190" s="19"/>
      <x:c r="F190" s="19"/>
      <x:c r="G190" s="19"/>
      <x:c r="H190" s="19"/>
      <x:c r="I190" s="19"/>
      <x:c r="J190" s="19"/>
      <x:c r="K190" s="19"/>
      <x:c r="L190" s="19"/>
      <x:c r="M190" s="19"/>
      <x:c r="N190" s="19"/>
      <x:c r="O190" s="31" t="n">
        <x:v>0.2</x:v>
      </x:c>
      <x:c r="P190" s="31" t="n">
        <x:v>0.2</x:v>
      </x:c>
      <x:c r="Q190" s="31" t="n">
        <x:v>0.2</x:v>
      </x:c>
      <x:c r="R190" s="31" t="n">
        <x:v>0.2</x:v>
      </x:c>
      <x:c r="S190" s="31" t="n">
        <x:v>0.2</x:v>
      </x:c>
      <x:c r="T190" s="2"/>
      <x:c r="U190" s="2"/>
    </x:row>
    <x:row r="191" ht="21" customHeight="1">
      <x:c r="A191" s="2"/>
      <x:c r="B191" s="2"/>
      <x:c r="C191" s="18" t="str">
        <x:v>Upside</x:v>
      </x:c>
      <x:c r="D191" s="18"/>
      <x:c r="E191" s="19"/>
      <x:c r="F191" s="19"/>
      <x:c r="G191" s="19"/>
      <x:c r="H191" s="19"/>
      <x:c r="I191" s="19"/>
      <x:c r="J191" s="19"/>
      <x:c r="K191" s="19"/>
      <x:c r="L191" s="19"/>
      <x:c r="M191" s="19"/>
      <x:c r="N191" s="19"/>
      <x:c r="O191" s="31" t="n">
        <x:v>0.2</x:v>
      </x:c>
      <x:c r="P191" s="31" t="n">
        <x:v>0.2</x:v>
      </x:c>
      <x:c r="Q191" s="31" t="n">
        <x:v>0.2</x:v>
      </x:c>
      <x:c r="R191" s="31" t="n">
        <x:v>0.2</x:v>
      </x:c>
      <x:c r="S191" s="31" t="n">
        <x:v>0.2</x:v>
      </x:c>
      <x:c r="T191" s="2"/>
      <x:c r="U191" s="2"/>
    </x:row>
    <x:row r="192" ht="21" customHeight="1">
      <x:c r="A192" s="2"/>
      <x:c r="B192" s="2"/>
      <x:c r="C192" s="18" t="str">
        <x:v>Downside</x:v>
      </x:c>
      <x:c r="D192" s="18"/>
      <x:c r="E192" s="19"/>
      <x:c r="F192" s="19"/>
      <x:c r="G192" s="19"/>
      <x:c r="H192" s="19"/>
      <x:c r="I192" s="19"/>
      <x:c r="J192" s="19"/>
      <x:c r="K192" s="19"/>
      <x:c r="L192" s="19"/>
      <x:c r="M192" s="19"/>
      <x:c r="N192" s="19"/>
      <x:c r="O192" s="31" t="n">
        <x:v>0.2</x:v>
      </x:c>
      <x:c r="P192" s="31" t="n">
        <x:v>0.2</x:v>
      </x:c>
      <x:c r="Q192" s="31" t="n">
        <x:v>0.2</x:v>
      </x:c>
      <x:c r="R192" s="31" t="n">
        <x:v>0.2</x:v>
      </x:c>
      <x:c r="S192" s="31" t="n">
        <x:v>0.2</x:v>
      </x:c>
      <x:c r="T192" s="2"/>
      <x:c r="U192" s="2"/>
    </x:row>
    <x:row r="193" ht="21" customHeight="1">
      <x:c r="A193" s="2"/>
      <x:c r="B193" s="2"/>
      <x:c r="C193" s="29" t="str">
        <x:v>Cash share repurchases / revenue</x:v>
      </x:c>
      <x:c r="D193" s="29"/>
      <x:c r="E193" s="62" t="n">
        <x:f>-'Cash Flow'!E44/'Income Statement'!E8</x:f>
        <x:v>0.12206563046877426</x:v>
      </x:c>
      <x:c r="F193" s="62" t="n">
        <x:f>-'Cash Flow'!F44/'Income Statement'!F8</x:f>
        <x:v>0.09714570496556724</x:v>
      </x:c>
      <x:c r="G193" s="62" t="n">
        <x:f>-'Cash Flow'!G44/'Income Statement'!G8</x:f>
        <x:v>0.15529667919550552</x:v>
      </x:c>
      <x:c r="H193" s="62" t="n">
        <x:f>-'Cash Flow'!H44/'Income Statement'!H8</x:f>
        <x:v>0.16059853861483062</x:v>
      </x:c>
      <x:c r="I193" s="62" t="n">
        <x:f>-'Cash Flow'!I44/'Income Statement'!I8</x:f>
        <x:v>0.16292061301223168</x:v>
      </x:c>
      <x:c r="J193" s="62" t="n">
        <x:f>-'Cash Flow'!J44/'Income Statement'!J8</x:f>
        <x:v>0.16490644071216018</x:v>
      </x:c>
      <x:c r="K193" s="62" t="n">
        <x:f>-'Cash Flow'!K44/'Income Statement'!K8</x:f>
        <x:v>0.10497133284571644</x:v>
      </x:c>
      <x:c r="L193" s="62" t="n">
        <x:f>-'Cash Flow'!L44/'Income Statement'!L8</x:f>
        <x:v>0.07038943872846991</x:v>
      </x:c>
      <x:c r="M193" s="62" t="n">
        <x:f>-'Cash Flow'!M44/'Income Statement'!M8</x:f>
        <x:v>0.06538314094645824</x:v>
      </x:c>
      <x:c r="N193" s="62" t="n">
        <x:f>-'Cash Flow'!N44/'Income Statement'!N8</x:f>
        <x:v>0.06711387148587115</x:v>
      </x:c>
      <x:c r="O193" s="32" t="n">
        <x:f>IF(NOT(CHOOSE($D$4,ISNUMBER(O194),ISNUMBER(O195),ISNUMBER(O196))),"n.a.",CHOOSE($D$4,O194,O195,O196))</x:f>
        <x:v>0.065</x:v>
      </x:c>
      <x:c r="P193" s="32" t="n">
        <x:f>IF(NOT(CHOOSE($D$4,ISNUMBER(P194),ISNUMBER(P195),ISNUMBER(P196))),"n.a.",CHOOSE($D$4,P194,P195,P196))</x:f>
        <x:v>0.065</x:v>
      </x:c>
      <x:c r="Q193" s="32" t="n">
        <x:f>IF(NOT(CHOOSE($D$4,ISNUMBER(Q194),ISNUMBER(Q195),ISNUMBER(Q196))),"n.a.",CHOOSE($D$4,Q194,Q195,Q196))</x:f>
        <x:v>0.065</x:v>
      </x:c>
      <x:c r="R193" s="32" t="n">
        <x:f>IF(NOT(CHOOSE($D$4,ISNUMBER(R194),ISNUMBER(R195),ISNUMBER(R196))),"n.a.",CHOOSE($D$4,R194,R195,R196))</x:f>
        <x:v>0.065</x:v>
      </x:c>
      <x:c r="S193" s="32" t="n">
        <x:f>IF(NOT(CHOOSE($D$4,ISNUMBER(S194),ISNUMBER(S195),ISNUMBER(S196))),"n.a.",CHOOSE($D$4,S194,S195,S196))</x:f>
        <x:v>0.065</x:v>
      </x:c>
      <x:c r="T193" s="2"/>
      <x:c r="U193" s="2"/>
    </x:row>
    <x:row r="194" ht="21" customHeight="1">
      <x:c r="A194" s="2"/>
      <x:c r="B194" s="2"/>
      <x:c r="C194" s="18" t="str">
        <x:v>Base</x:v>
      </x:c>
      <x:c r="D194" s="18"/>
      <x:c r="E194" s="19"/>
      <x:c r="F194" s="19"/>
      <x:c r="G194" s="19"/>
      <x:c r="H194" s="19"/>
      <x:c r="I194" s="19"/>
      <x:c r="J194" s="19"/>
      <x:c r="K194" s="19"/>
      <x:c r="L194" s="19"/>
      <x:c r="M194" s="19"/>
      <x:c r="N194" s="19"/>
      <x:c r="O194" s="31" t="n">
        <x:v>0.065</x:v>
      </x:c>
      <x:c r="P194" s="31" t="n">
        <x:v>0.065</x:v>
      </x:c>
      <x:c r="Q194" s="31" t="n">
        <x:v>0.065</x:v>
      </x:c>
      <x:c r="R194" s="31" t="n">
        <x:v>0.065</x:v>
      </x:c>
      <x:c r="S194" s="31" t="n">
        <x:v>0.065</x:v>
      </x:c>
      <x:c r="T194" s="2"/>
      <x:c r="U194" s="2"/>
    </x:row>
    <x:row r="195" ht="21" customHeight="1">
      <x:c r="A195" s="2"/>
      <x:c r="B195" s="2"/>
      <x:c r="C195" s="18" t="str">
        <x:v>Upside</x:v>
      </x:c>
      <x:c r="D195" s="18"/>
      <x:c r="E195" s="19"/>
      <x:c r="F195" s="19"/>
      <x:c r="G195" s="19"/>
      <x:c r="H195" s="19"/>
      <x:c r="I195" s="19"/>
      <x:c r="J195" s="19"/>
      <x:c r="K195" s="19"/>
      <x:c r="L195" s="19"/>
      <x:c r="M195" s="19"/>
      <x:c r="N195" s="19"/>
      <x:c r="O195" s="31" t="n">
        <x:v>0.07</x:v>
      </x:c>
      <x:c r="P195" s="31" t="n">
        <x:v>0.07</x:v>
      </x:c>
      <x:c r="Q195" s="31" t="n">
        <x:v>0.07</x:v>
      </x:c>
      <x:c r="R195" s="31" t="n">
        <x:v>0.07</x:v>
      </x:c>
      <x:c r="S195" s="31" t="n">
        <x:v>0.07</x:v>
      </x:c>
      <x:c r="T195" s="2"/>
      <x:c r="U195" s="2"/>
    </x:row>
    <x:row r="196" ht="21" customHeight="1">
      <x:c r="A196" s="2"/>
      <x:c r="B196" s="2"/>
      <x:c r="C196" s="18" t="str">
        <x:v>Downside</x:v>
      </x:c>
      <x:c r="D196" s="18"/>
      <x:c r="E196" s="19"/>
      <x:c r="F196" s="19"/>
      <x:c r="G196" s="19"/>
      <x:c r="H196" s="19"/>
      <x:c r="I196" s="19"/>
      <x:c r="J196" s="19"/>
      <x:c r="K196" s="19"/>
      <x:c r="L196" s="19"/>
      <x:c r="M196" s="19"/>
      <x:c r="N196" s="19"/>
      <x:c r="O196" s="31" t="n">
        <x:v>0.045</x:v>
      </x:c>
      <x:c r="P196" s="31" t="n">
        <x:v>0.045</x:v>
      </x:c>
      <x:c r="Q196" s="31" t="n">
        <x:v>0.045</x:v>
      </x:c>
      <x:c r="R196" s="31" t="n">
        <x:v>0.045</x:v>
      </x:c>
      <x:c r="S196" s="31" t="n">
        <x:v>0.045</x:v>
      </x:c>
      <x:c r="T196" s="2"/>
      <x:c r="U196" s="2"/>
    </x:row>
    <x:row r="197" ht="21" customHeight="1">
      <x:c r="A197" s="2"/>
      <x:c r="B197" s="2"/>
      <x:c r="C197" s="29" t="str">
        <x:v>Net change in diluted weighted average shares</x:v>
      </x:c>
      <x:c r="D197" s="29"/>
      <x:c r="E197" s="32" t="str">
        <x:f>"n.a."</x:f>
        <x:v>n.a.</x:v>
      </x:c>
      <x:c r="F197" s="62" t="n">
        <x:f>'Income Statement'!F32/'Income Statement'!E32-1</x:f>
        <x:v>-0.004851889683350374</x:v>
      </x:c>
      <x:c r="G197" s="62" t="n">
        <x:f>'Income Statement'!G32/'Income Statement'!F32-1</x:f>
        <x:v>-0.005260456761611465</x:v>
      </x:c>
      <x:c r="H197" s="62" t="n">
        <x:f>'Income Statement'!H32/'Income Statement'!G32-1</x:f>
        <x:v>-0.009028763059460876</x:v>
      </x:c>
      <x:c r="I197" s="62" t="n">
        <x:f>'Income Statement'!I32/'Income Statement'!H32-1</x:f>
        <x:v>-0.009761811792268649</x:v>
      </x:c>
      <x:c r="J197" s="62" t="n">
        <x:f>'Income Statement'!J32/'Income Statement'!I32-1</x:f>
        <x:v>-0.008937960042061044</x:v>
      </x:c>
      <x:c r="K197" s="62" t="n">
        <x:f>'Income Statement'!K32/'Income Statement'!J32-1</x:f>
        <x:v>-0.009018567639257347</x:v>
      </x:c>
      <x:c r="L197" s="62" t="n">
        <x:f>'Income Statement'!L32/'Income Statement'!K32-1</x:f>
        <x:v>-0.0004014989293361637</x:v>
      </x:c>
      <x:c r="M197" s="62" t="n">
        <x:f>'Income Statement'!M32/'Income Statement'!L32-1</x:f>
        <x:v>-0.0005355469272995128</x:v>
      </x:c>
      <x:c r="N197" s="62" t="n">
        <x:f>'Income Statement'!N32/'Income Statement'!M32-1</x:f>
        <x:v>-0.0016075016744808712</x:v>
      </x:c>
      <x:c r="O197" s="32" t="n">
        <x:f>IF(NOT(CHOOSE($D$4,ISNUMBER(O198),ISNUMBER(O199),ISNUMBER(O200))),"n.a.",CHOOSE($D$4,O198,O199,O200))</x:f>
        <x:v>-0.003</x:v>
      </x:c>
      <x:c r="P197" s="32" t="n">
        <x:f>IF(NOT(CHOOSE($D$4,ISNUMBER(P198),ISNUMBER(P199),ISNUMBER(P200))),"n.a.",CHOOSE($D$4,P198,P199,P200))</x:f>
        <x:v>-0.003</x:v>
      </x:c>
      <x:c r="Q197" s="32" t="n">
        <x:f>IF(NOT(CHOOSE($D$4,ISNUMBER(Q198),ISNUMBER(Q199),ISNUMBER(Q200))),"n.a.",CHOOSE($D$4,Q198,Q199,Q200))</x:f>
        <x:v>-0.003</x:v>
      </x:c>
      <x:c r="R197" s="32" t="n">
        <x:f>IF(NOT(CHOOSE($D$4,ISNUMBER(R198),ISNUMBER(R199),ISNUMBER(R200))),"n.a.",CHOOSE($D$4,R198,R199,R200))</x:f>
        <x:v>-0.003</x:v>
      </x:c>
      <x:c r="S197" s="32" t="n">
        <x:f>IF(NOT(CHOOSE($D$4,ISNUMBER(S198),ISNUMBER(S199),ISNUMBER(S200))),"n.a.",CHOOSE($D$4,S198,S199,S200))</x:f>
        <x:v>-0.003</x:v>
      </x:c>
      <x:c r="T197" s="2"/>
      <x:c r="U197" s="2"/>
    </x:row>
    <x:row r="198" ht="21" customHeight="1">
      <x:c r="A198" s="2"/>
      <x:c r="B198" s="2"/>
      <x:c r="C198" s="18" t="str">
        <x:v>Base</x:v>
      </x:c>
      <x:c r="D198" s="18"/>
      <x:c r="E198" s="19"/>
      <x:c r="F198" s="19"/>
      <x:c r="G198" s="19"/>
      <x:c r="H198" s="19"/>
      <x:c r="I198" s="19"/>
      <x:c r="J198" s="19"/>
      <x:c r="K198" s="19"/>
      <x:c r="L198" s="19"/>
      <x:c r="M198" s="19"/>
      <x:c r="N198" s="19"/>
      <x:c r="O198" s="31" t="n">
        <x:v>-0.003</x:v>
      </x:c>
      <x:c r="P198" s="31" t="n">
        <x:v>-0.003</x:v>
      </x:c>
      <x:c r="Q198" s="31" t="n">
        <x:v>-0.003</x:v>
      </x:c>
      <x:c r="R198" s="31" t="n">
        <x:v>-0.003</x:v>
      </x:c>
      <x:c r="S198" s="31" t="n">
        <x:v>-0.003</x:v>
      </x:c>
      <x:c r="T198" s="2"/>
      <x:c r="U198" s="2"/>
    </x:row>
    <x:row r="199" ht="21" customHeight="1">
      <x:c r="A199" s="2"/>
      <x:c r="B199" s="2"/>
      <x:c r="C199" s="18" t="str">
        <x:v>Upside</x:v>
      </x:c>
      <x:c r="D199" s="18"/>
      <x:c r="E199" s="19"/>
      <x:c r="F199" s="19"/>
      <x:c r="G199" s="19"/>
      <x:c r="H199" s="19"/>
      <x:c r="I199" s="19"/>
      <x:c r="J199" s="19"/>
      <x:c r="K199" s="19"/>
      <x:c r="L199" s="19"/>
      <x:c r="M199" s="19"/>
      <x:c r="N199" s="19"/>
      <x:c r="O199" s="31" t="n">
        <x:v>-0.005</x:v>
      </x:c>
      <x:c r="P199" s="31" t="n">
        <x:v>-0.005</x:v>
      </x:c>
      <x:c r="Q199" s="31" t="n">
        <x:v>-0.005</x:v>
      </x:c>
      <x:c r="R199" s="31" t="n">
        <x:v>-0.005</x:v>
      </x:c>
      <x:c r="S199" s="31" t="n">
        <x:v>-0.005</x:v>
      </x:c>
      <x:c r="T199" s="2"/>
      <x:c r="U199" s="2"/>
    </x:row>
    <x:row r="200" ht="21" customHeight="1">
      <x:c r="A200" s="2"/>
      <x:c r="B200" s="2"/>
      <x:c r="C200" s="18" t="str">
        <x:v>Downside</x:v>
      </x:c>
      <x:c r="D200" s="18"/>
      <x:c r="E200" s="19"/>
      <x:c r="F200" s="19"/>
      <x:c r="G200" s="19"/>
      <x:c r="H200" s="19"/>
      <x:c r="I200" s="19"/>
      <x:c r="J200" s="19"/>
      <x:c r="K200" s="19"/>
      <x:c r="L200" s="19"/>
      <x:c r="M200" s="19"/>
      <x:c r="N200" s="19"/>
      <x:c r="O200" s="31" t="n">
        <x:v>0.002</x:v>
      </x:c>
      <x:c r="P200" s="31" t="n">
        <x:v>0.002</x:v>
      </x:c>
      <x:c r="Q200" s="31" t="n">
        <x:v>0.002</x:v>
      </x:c>
      <x:c r="R200" s="31" t="n">
        <x:v>0.002</x:v>
      </x:c>
      <x:c r="S200" s="31" t="n">
        <x:v>0.002</x:v>
      </x:c>
      <x:c r="T200" s="2"/>
      <x:c r="U200" s="2"/>
    </x:row>
    <x:row r="201" ht="21" customHeight="1">
      <x:c r="A201" s="2"/>
      <x:c r="B201" s="2"/>
      <x:c r="C201" s="2"/>
      <x:c r="D201" s="2"/>
      <x:c r="E201" s="2"/>
      <x:c r="F201" s="2"/>
      <x:c r="G201" s="2"/>
      <x:c r="H201" s="2"/>
      <x:c r="I201" s="2"/>
      <x:c r="J201" s="2"/>
      <x:c r="K201" s="2"/>
      <x:c r="L201" s="2"/>
      <x:c r="M201" s="2"/>
      <x:c r="N201" s="2"/>
      <x:c r="O201" s="2"/>
      <x:c r="P201" s="2"/>
      <x:c r="Q201" s="2"/>
      <x:c r="R201" s="2"/>
      <x:c r="S201" s="2"/>
      <x:c r="T201" s="2"/>
      <x:c r="U201" s="2"/>
    </x:row>
    <x:row r="202" ht="21" customHeight="1">
      <x:c r="A202" s="2"/>
      <x:c r="B202" s="2"/>
      <x:c r="C202" s="2"/>
      <x:c r="D202" s="2"/>
      <x:c r="E202" s="2"/>
      <x:c r="F202" s="2"/>
      <x:c r="G202" s="2"/>
      <x:c r="H202" s="2"/>
      <x:c r="I202" s="2"/>
      <x:c r="J202" s="2"/>
      <x:c r="K202" s="2"/>
      <x:c r="L202" s="2"/>
      <x:c r="M202" s="2"/>
      <x:c r="N202" s="2"/>
      <x:c r="O202" s="2"/>
      <x:c r="P202" s="2"/>
      <x:c r="Q202" s="2"/>
      <x:c r="R202" s="2"/>
      <x:c r="S202" s="2"/>
      <x:c r="T202" s="2"/>
      <x:c r="U202" s="2"/>
    </x:row>
    <x:row r="203" ht="25" customHeight="1">
      <x:c r="A203" s="2"/>
      <x:c r="B203" s="2"/>
      <x:c r="C203" s="10" t="str">
        <x:v>Shared allocation assumptions</x:v>
      </x:c>
      <x:c r="D203" s="10"/>
      <x:c r="E203" s="10"/>
      <x:c r="F203" s="10"/>
      <x:c r="G203" s="10"/>
      <x:c r="H203" s="10"/>
      <x:c r="I203" s="10"/>
      <x:c r="J203" s="10"/>
      <x:c r="K203" s="10"/>
      <x:c r="L203" s="10"/>
      <x:c r="M203" s="10"/>
      <x:c r="N203" s="10"/>
      <x:c r="O203" s="10"/>
      <x:c r="P203" s="10"/>
      <x:c r="Q203" s="10"/>
      <x:c r="R203" s="10"/>
      <x:c r="S203" s="10"/>
      <x:c r="T203" s="2"/>
      <x:c r="U203" s="2"/>
    </x:row>
    <x:row r="204" ht="21" customHeight="1">
      <x:c r="A204" s="2"/>
      <x:c r="B204" s="2"/>
      <x:c r="C204" s="2"/>
      <x:c r="D204" s="2"/>
      <x:c r="E204" s="2" t="str">
        <x:v>PBP</x:v>
      </x:c>
      <x:c r="F204" s="2" t="str">
        <x:v>IC</x:v>
      </x:c>
      <x:c r="G204" s="2" t="str">
        <x:v>MPC</x:v>
      </x:c>
      <x:c r="H204" s="2" t="str">
        <x:v>R&amp;D</x:v>
      </x:c>
      <x:c r="I204" s="2"/>
      <x:c r="J204" s="2"/>
      <x:c r="K204" s="2"/>
      <x:c r="L204" s="2"/>
      <x:c r="M204" s="2"/>
      <x:c r="N204" s="2"/>
      <x:c r="O204" s="2"/>
      <x:c r="P204" s="2"/>
      <x:c r="Q204" s="2"/>
      <x:c r="R204" s="2"/>
      <x:c r="S204" s="2"/>
      <x:c r="T204" s="2"/>
      <x:c r="U204" s="2"/>
    </x:row>
    <x:row r="205" ht="21" customHeight="1">
      <x:c r="A205" s="2"/>
      <x:c r="B205" s="2"/>
      <x:c r="C205" s="2" t="str">
        <x:v>ppe expense allocation</x:v>
      </x:c>
      <x:c r="D205" s="2"/>
      <x:c r="E205" s="46" t="n">
        <x:v>0.05</x:v>
      </x:c>
      <x:c r="F205" s="46" t="n">
        <x:v>0.75</x:v>
      </x:c>
      <x:c r="G205" s="46" t="n">
        <x:v>0.05</x:v>
      </x:c>
      <x:c r="H205" s="46" t="n">
        <x:v>0.15</x:v>
      </x:c>
      <x:c r="I205" s="2"/>
      <x:c r="J205" s="2"/>
      <x:c r="K205" s="2"/>
      <x:c r="L205" s="2"/>
      <x:c r="M205" s="2"/>
      <x:c r="N205" s="2"/>
      <x:c r="O205" s="2"/>
      <x:c r="P205" s="2"/>
      <x:c r="Q205" s="2"/>
      <x:c r="R205" s="2"/>
      <x:c r="S205" s="2"/>
      <x:c r="T205" s="2"/>
      <x:c r="U205" s="2"/>
    </x:row>
    <x:row r="206" ht="21" customHeight="1">
      <x:c r="A206" s="2"/>
      <x:c r="B206" s="2"/>
      <x:c r="C206" s="2" t="str">
        <x:v>intangibles expense allocation</x:v>
      </x:c>
      <x:c r="D206" s="2"/>
      <x:c r="E206" s="46" t="n">
        <x:v>0.2</x:v>
      </x:c>
      <x:c r="F206" s="46" t="n">
        <x:v>0.05</x:v>
      </x:c>
      <x:c r="G206" s="46" t="n">
        <x:v>0.65</x:v>
      </x:c>
      <x:c r="H206" s="46" t="n">
        <x:v>0.1</x:v>
      </x:c>
      <x:c r="I206" s="2"/>
      <x:c r="J206" s="2"/>
      <x:c r="K206" s="2"/>
      <x:c r="L206" s="2"/>
      <x:c r="M206" s="2"/>
      <x:c r="N206" s="2"/>
      <x:c r="O206" s="2"/>
      <x:c r="P206" s="2"/>
      <x:c r="Q206" s="2"/>
      <x:c r="R206" s="2"/>
      <x:c r="S206" s="2"/>
      <x:c r="T206" s="2"/>
      <x:c r="U206" s="2"/>
    </x:row>
    <x:row r="207" ht="21" customHeight="1">
      <x:c r="A207" s="2"/>
      <x:c r="B207" s="2"/>
      <x:c r="C207" s="2" t="str">
        <x:v>operating leases expense allocation</x:v>
      </x:c>
      <x:c r="D207" s="2"/>
      <x:c r="E207" s="46" t="n">
        <x:v>0.2</x:v>
      </x:c>
      <x:c r="F207" s="46" t="n">
        <x:v>0.6</x:v>
      </x:c>
      <x:c r="G207" s="46" t="n">
        <x:v>0.1</x:v>
      </x:c>
      <x:c r="H207" s="46" t="n">
        <x:v>0.1</x:v>
      </x:c>
      <x:c r="I207" s="2"/>
      <x:c r="J207" s="2"/>
      <x:c r="K207" s="2"/>
      <x:c r="L207" s="2"/>
      <x:c r="M207" s="2"/>
      <x:c r="N207" s="2"/>
      <x:c r="O207" s="2"/>
      <x:c r="P207" s="2"/>
      <x:c r="Q207" s="2"/>
      <x:c r="R207" s="2"/>
      <x:c r="S207" s="2"/>
      <x:c r="T207" s="2"/>
      <x:c r="U207" s="2"/>
    </x:row>
    <x:row r="208" ht="21" customHeight="1">
      <x:c r="A208" s="2"/>
      <x:c r="B208" s="2"/>
      <x:c r="C208" s="2" t="str">
        <x:v>Operating expense allocation</x:v>
      </x:c>
      <x:c r="D208" s="2"/>
      <x:c r="E208" s="46" t="n">
        <x:v>0.44284331036054</x:v>
      </x:c>
      <x:c r="F208" s="46" t="n">
        <x:v>0.32669305690038164</x:v>
      </x:c>
      <x:c r="G208" s="46" t="n">
        <x:v>0.23046363273907844</x:v>
      </x:c>
      <x:c r="H208" s="46" t="n">
        <x:v>0</x:v>
      </x:c>
      <x:c r="I208" s="2"/>
      <x:c r="J208" s="2"/>
      <x:c r="K208" s="2"/>
      <x:c r="L208" s="2"/>
      <x:c r="M208" s="2"/>
      <x:c r="N208" s="2"/>
      <x:c r="O208" s="2"/>
      <x:c r="P208" s="2"/>
      <x:c r="Q208" s="2"/>
      <x:c r="R208" s="2"/>
      <x:c r="S208" s="2"/>
      <x:c r="T208" s="2"/>
      <x:c r="U208" s="2"/>
    </x:row>
    <x:row r="209" ht="21" customHeight="1">
      <x:c r="A209" s="2"/>
      <x:c r="B209" s="2"/>
      <x:c r="C209" s="2"/>
      <x:c r="D209" s="2"/>
      <x:c r="E209" s="2"/>
      <x:c r="F209" s="2"/>
      <x:c r="G209" s="2"/>
      <x:c r="H209" s="2"/>
      <x:c r="I209" s="2"/>
      <x:c r="J209" s="2"/>
      <x:c r="K209" s="2"/>
      <x:c r="L209" s="2"/>
      <x:c r="M209" s="2"/>
      <x:c r="N209" s="2"/>
      <x:c r="O209" s="2"/>
      <x:c r="P209" s="2"/>
      <x:c r="Q209" s="2"/>
      <x:c r="R209" s="2"/>
      <x:c r="S209" s="2"/>
      <x:c r="T209" s="2"/>
      <x:c r="U209" s="2"/>
    </x:row>
    <x:row r="210" ht="21" customHeight="1">
      <x:c r="A210" s="2"/>
      <x:c r="B210" s="2"/>
      <x:c r="C210" s="2"/>
      <x:c r="D210" s="2"/>
      <x:c r="E210" s="2"/>
      <x:c r="F210" s="2"/>
      <x:c r="G210" s="2"/>
      <x:c r="H210" s="2"/>
      <x:c r="I210" s="2"/>
      <x:c r="J210" s="2"/>
      <x:c r="K210" s="2"/>
      <x:c r="L210" s="2"/>
      <x:c r="M210" s="2"/>
      <x:c r="N210" s="2"/>
      <x:c r="O210" s="2"/>
      <x:c r="P210" s="2"/>
      <x:c r="Q210" s="2"/>
      <x:c r="R210" s="2"/>
      <x:c r="S210" s="2"/>
      <x:c r="T210" s="2"/>
      <x:c r="U210" s="2"/>
    </x:row>
    <x:row r="211" ht="21" customHeight="1">
      <x:c r="A211" s="2"/>
      <x:c r="B211" s="2"/>
      <x:c r="C211" s="2" t="str">
        <x:v>Assumed FY2032 legacy debt maturity</x:v>
      </x:c>
      <x:c r="D211" s="2"/>
      <x:c r="E211" s="2"/>
      <x:c r="F211" s="2"/>
      <x:c r="G211" s="2"/>
      <x:c r="H211" s="2"/>
      <x:c r="I211" s="2"/>
      <x:c r="J211" s="2"/>
      <x:c r="K211" s="2"/>
      <x:c r="L211" s="2"/>
      <x:c r="M211" s="2"/>
      <x:c r="N211" s="2"/>
      <x:c r="O211" s="12" t="n">
        <x:v>0</x:v>
      </x:c>
      <x:c r="P211" s="2"/>
      <x:c r="Q211" s="2"/>
      <x:c r="R211" s="2"/>
      <x:c r="S211" s="2"/>
      <x:c r="T211" s="2"/>
      <x:c r="U211" s="2"/>
    </x:row>
    <x:row r="212" ht="21" customHeight="1">
      <x:c r="A212" s="2"/>
      <x:c r="B212" s="2"/>
      <x:c r="C212" s="2" t="str">
        <x:v>Assumed FY2032 legacy operating lease payment</x:v>
      </x:c>
      <x:c r="D212" s="2"/>
      <x:c r="E212" s="2"/>
      <x:c r="F212" s="2"/>
      <x:c r="G212" s="2"/>
      <x:c r="H212" s="2"/>
      <x:c r="I212" s="2"/>
      <x:c r="J212" s="2"/>
      <x:c r="K212" s="2"/>
      <x:c r="L212" s="2"/>
      <x:c r="M212" s="2"/>
      <x:c r="N212" s="2"/>
      <x:c r="O212" s="12" t="n">
        <x:v>2000</x:v>
      </x:c>
      <x:c r="P212" s="2"/>
      <x:c r="Q212" s="2"/>
      <x:c r="R212" s="2"/>
      <x:c r="S212" s="2"/>
      <x:c r="T212" s="2"/>
      <x:c r="U212" s="2"/>
    </x:row>
    <x:row r="213" ht="21" customHeight="1">
      <x:c r="A213" s="2"/>
      <x:c r="B213" s="2"/>
      <x:c r="C213" s="2" t="str">
        <x:v>Assumed FY2032 legacy finance lease payment</x:v>
      </x:c>
      <x:c r="D213" s="2"/>
      <x:c r="E213" s="2"/>
      <x:c r="F213" s="2"/>
      <x:c r="G213" s="2"/>
      <x:c r="H213" s="2"/>
      <x:c r="I213" s="2"/>
      <x:c r="J213" s="2"/>
      <x:c r="K213" s="2"/>
      <x:c r="L213" s="2"/>
      <x:c r="M213" s="2"/>
      <x:c r="N213" s="2"/>
      <x:c r="O213" s="12" t="n">
        <x:v>6500</x:v>
      </x:c>
      <x:c r="P213" s="2"/>
      <x:c r="Q213" s="2"/>
      <x:c r="R213" s="2"/>
      <x:c r="S213" s="2"/>
      <x:c r="T213" s="2"/>
      <x:c r="U213" s="2"/>
    </x:row>
    <x:row r="214" ht="21" customHeight="1">
      <x:c r="A214" s="2"/>
      <x:c r="B214" s="2"/>
      <x:c r="C214" s="2"/>
      <x:c r="D214" s="2"/>
      <x:c r="E214" s="2"/>
      <x:c r="F214" s="2"/>
      <x:c r="G214" s="2"/>
      <x:c r="H214" s="2"/>
      <x:c r="I214" s="2"/>
      <x:c r="J214" s="2"/>
      <x:c r="K214" s="2"/>
      <x:c r="L214" s="2"/>
      <x:c r="M214" s="2"/>
      <x:c r="N214" s="2"/>
      <x:c r="O214" s="2"/>
      <x:c r="P214" s="2"/>
      <x:c r="Q214" s="2"/>
      <x:c r="R214" s="2"/>
      <x:c r="S214" s="2"/>
      <x:c r="T214" s="2"/>
      <x:c r="U214" s="2"/>
    </x:row>
    <x:row r="215" ht="21" customHeight="1">
      <x:c r="A215" s="2"/>
      <x:c r="B215" s="2"/>
      <x:c r="C215" s="2"/>
      <x:c r="D215" s="2"/>
      <x:c r="E215" s="2"/>
      <x:c r="F215" s="2"/>
      <x:c r="G215" s="2"/>
      <x:c r="H215" s="2"/>
      <x:c r="I215" s="2"/>
      <x:c r="J215" s="2"/>
      <x:c r="K215" s="2"/>
      <x:c r="L215" s="2"/>
      <x:c r="M215" s="2"/>
      <x:c r="N215" s="2"/>
      <x:c r="O215" s="2"/>
      <x:c r="P215" s="2"/>
      <x:c r="Q215" s="2"/>
      <x:c r="R215" s="2"/>
      <x:c r="S215" s="2"/>
      <x:c r="T215" s="2"/>
      <x:c r="U215" s="2"/>
    </x:row>
    <x:row r="216" ht="21" customHeight="1">
      <x:c r="A216" s="2"/>
      <x:c r="B216" s="2"/>
      <x:c r="C216" s="2"/>
      <x:c r="D216" s="2"/>
      <x:c r="E216" s="2"/>
      <x:c r="F216" s="2"/>
      <x:c r="G216" s="2"/>
      <x:c r="H216" s="2"/>
      <x:c r="I216" s="2"/>
      <x:c r="J216" s="2"/>
      <x:c r="K216" s="2"/>
      <x:c r="L216" s="2"/>
      <x:c r="M216" s="2"/>
      <x:c r="N216" s="2"/>
      <x:c r="O216" s="2"/>
      <x:c r="P216" s="2"/>
      <x:c r="Q216" s="2"/>
      <x:c r="R216" s="2"/>
      <x:c r="S216" s="2"/>
      <x:c r="T216" s="2"/>
      <x:c r="U216" s="2"/>
    </x:row>
    <x:row r="217" ht="21" customHeight="1">
      <x:c r="A217" s="2"/>
      <x:c r="B217" s="2"/>
      <x:c r="C217" s="2"/>
      <x:c r="D217" s="2"/>
      <x:c r="E217" s="2"/>
      <x:c r="F217" s="2"/>
      <x:c r="G217" s="2"/>
      <x:c r="H217" s="2"/>
      <x:c r="I217" s="2"/>
      <x:c r="J217" s="2"/>
      <x:c r="K217" s="2"/>
      <x:c r="L217" s="2"/>
      <x:c r="M217" s="2"/>
      <x:c r="N217" s="2"/>
      <x:c r="O217" s="2"/>
      <x:c r="P217" s="2"/>
      <x:c r="Q217" s="2"/>
      <x:c r="R217" s="2"/>
      <x:c r="S217" s="2"/>
      <x:c r="T217" s="2"/>
      <x:c r="U217" s="2"/>
    </x:row>
    <x:row r="218" ht="21" customHeight="1">
      <x:c r="A218" s="2"/>
      <x:c r="B218" s="2"/>
      <x:c r="C218" s="2"/>
      <x:c r="D218" s="2"/>
      <x:c r="E218" s="2"/>
      <x:c r="F218" s="2"/>
      <x:c r="G218" s="2"/>
      <x:c r="H218" s="2"/>
      <x:c r="I218" s="2"/>
      <x:c r="J218" s="2"/>
      <x:c r="K218" s="2"/>
      <x:c r="L218" s="2"/>
      <x:c r="M218" s="2"/>
      <x:c r="N218" s="2"/>
      <x:c r="O218" s="2"/>
      <x:c r="P218" s="2"/>
      <x:c r="Q218" s="2"/>
      <x:c r="R218" s="2"/>
      <x:c r="S218" s="2"/>
      <x:c r="T218" s="2"/>
      <x:c r="U218" s="2"/>
    </x:row>
    <x:row r="219" ht="21" customHeight="1">
      <x:c r="A219" s="2"/>
      <x:c r="B219" s="2"/>
      <x:c r="C219" s="2"/>
      <x:c r="D219" s="2"/>
      <x:c r="E219" s="2"/>
      <x:c r="F219" s="2"/>
      <x:c r="G219" s="2"/>
      <x:c r="H219" s="2"/>
      <x:c r="I219" s="2"/>
      <x:c r="J219" s="2"/>
      <x:c r="K219" s="2"/>
      <x:c r="L219" s="2"/>
      <x:c r="M219" s="2"/>
      <x:c r="N219" s="2"/>
      <x:c r="O219" s="2"/>
      <x:c r="P219" s="2"/>
      <x:c r="Q219" s="2"/>
      <x:c r="R219" s="2"/>
      <x:c r="S219" s="2"/>
      <x:c r="T219" s="2"/>
      <x:c r="U219" s="2"/>
    </x:row>
    <x:row r="220" ht="21" customHeight="1">
      <x:c r="A220" s="2"/>
      <x:c r="B220" s="2"/>
      <x:c r="C220" s="2"/>
      <x:c r="D220" s="2"/>
      <x:c r="E220" s="2"/>
      <x:c r="F220" s="2"/>
      <x:c r="G220" s="2"/>
      <x:c r="H220" s="2"/>
      <x:c r="I220" s="2"/>
      <x:c r="J220" s="2"/>
      <x:c r="K220" s="2"/>
      <x:c r="L220" s="2"/>
      <x:c r="M220" s="2"/>
      <x:c r="N220" s="2"/>
      <x:c r="O220" s="2"/>
      <x:c r="P220" s="2"/>
      <x:c r="Q220" s="2"/>
      <x:c r="R220" s="2"/>
      <x:c r="S220" s="2"/>
      <x:c r="T220" s="2"/>
      <x:c r="U220" s="2"/>
    </x:row>
    <x:row r="221" ht="21" customHeight="1">
      <x:c r="A221" s="2"/>
      <x:c r="B221" s="2"/>
      <x:c r="C221" s="2"/>
      <x:c r="D221" s="2"/>
      <x:c r="E221" s="2"/>
      <x:c r="F221" s="2"/>
      <x:c r="G221" s="2"/>
      <x:c r="H221" s="2"/>
      <x:c r="I221" s="2"/>
      <x:c r="J221" s="2"/>
      <x:c r="K221" s="2"/>
      <x:c r="L221" s="2"/>
      <x:c r="M221" s="2"/>
      <x:c r="N221" s="2"/>
      <x:c r="O221" s="2"/>
      <x:c r="P221" s="2"/>
      <x:c r="Q221" s="2"/>
      <x:c r="R221" s="2"/>
      <x:c r="S221" s="2"/>
      <x:c r="T221" s="2"/>
      <x:c r="U221" s="2"/>
    </x:row>
    <x:row r="222" ht="21" customHeight="1">
      <x:c r="A222" s="2"/>
      <x:c r="B222" s="2"/>
      <x:c r="C222" s="2"/>
      <x:c r="D222" s="2"/>
      <x:c r="E222" s="2"/>
      <x:c r="F222" s="2"/>
      <x:c r="G222" s="2"/>
      <x:c r="H222" s="2"/>
      <x:c r="I222" s="2"/>
      <x:c r="J222" s="2"/>
      <x:c r="K222" s="2"/>
      <x:c r="L222" s="2"/>
      <x:c r="M222" s="2"/>
      <x:c r="N222" s="2"/>
      <x:c r="O222" s="2"/>
      <x:c r="P222" s="2"/>
      <x:c r="Q222" s="2"/>
      <x:c r="R222" s="2"/>
      <x:c r="S222" s="2"/>
      <x:c r="T222" s="2"/>
      <x:c r="U222" s="2"/>
    </x:row>
    <x:row r="223" ht="21" customHeight="1">
      <x:c r="A223" s="2"/>
      <x:c r="B223" s="2"/>
      <x:c r="C223" s="2"/>
      <x:c r="D223" s="2"/>
      <x:c r="E223" s="2"/>
      <x:c r="F223" s="2"/>
      <x:c r="G223" s="2"/>
      <x:c r="H223" s="2"/>
      <x:c r="I223" s="2"/>
      <x:c r="J223" s="2"/>
      <x:c r="K223" s="2"/>
      <x:c r="L223" s="2"/>
      <x:c r="M223" s="2"/>
      <x:c r="N223" s="2"/>
      <x:c r="O223" s="2"/>
      <x:c r="P223" s="2"/>
      <x:c r="Q223" s="2"/>
      <x:c r="R223" s="2"/>
      <x:c r="S223" s="2"/>
      <x:c r="T223" s="2"/>
      <x:c r="U223" s="2"/>
    </x:row>
    <x:row r="224" ht="21" customHeight="1">
      <x:c r="A224" s="2"/>
      <x:c r="B224" s="2"/>
      <x:c r="C224" s="2"/>
      <x:c r="D224" s="2"/>
      <x:c r="E224" s="2"/>
      <x:c r="F224" s="2"/>
      <x:c r="G224" s="2"/>
      <x:c r="H224" s="2"/>
      <x:c r="I224" s="2"/>
      <x:c r="J224" s="2"/>
      <x:c r="K224" s="2"/>
      <x:c r="L224" s="2"/>
      <x:c r="M224" s="2"/>
      <x:c r="N224" s="2"/>
      <x:c r="O224" s="2"/>
      <x:c r="P224" s="2"/>
      <x:c r="Q224" s="2"/>
      <x:c r="R224" s="2"/>
      <x:c r="S224" s="2"/>
      <x:c r="T224" s="2"/>
      <x:c r="U224" s="2"/>
    </x:row>
    <x:row r="225" ht="21" customHeight="1">
      <x:c r="A225" s="2"/>
      <x:c r="B225" s="2"/>
      <x:c r="C225" s="2"/>
      <x:c r="D225" s="2"/>
      <x:c r="E225" s="2"/>
      <x:c r="F225" s="2"/>
      <x:c r="G225" s="2"/>
      <x:c r="H225" s="2"/>
      <x:c r="I225" s="2"/>
      <x:c r="J225" s="2"/>
      <x:c r="K225" s="2"/>
      <x:c r="L225" s="2"/>
      <x:c r="M225" s="2"/>
      <x:c r="N225" s="2"/>
      <x:c r="O225" s="2"/>
      <x:c r="P225" s="2"/>
      <x:c r="Q225" s="2"/>
      <x:c r="R225" s="2"/>
      <x:c r="S225" s="2"/>
      <x:c r="T225" s="2"/>
      <x:c r="U225" s="2"/>
    </x:row>
    <x:row r="226" ht="21" customHeight="1">
      <x:c r="A226" s="2"/>
      <x:c r="B226" s="2"/>
      <x:c r="C226" s="2"/>
      <x:c r="D226" s="2"/>
      <x:c r="E226" s="2"/>
      <x:c r="F226" s="2"/>
      <x:c r="G226" s="2"/>
      <x:c r="H226" s="2"/>
      <x:c r="I226" s="2"/>
      <x:c r="J226" s="2"/>
      <x:c r="K226" s="2"/>
      <x:c r="L226" s="2"/>
      <x:c r="M226" s="2"/>
      <x:c r="N226" s="2"/>
      <x:c r="O226" s="2"/>
      <x:c r="P226" s="2"/>
      <x:c r="Q226" s="2"/>
      <x:c r="R226" s="2"/>
      <x:c r="S226" s="2"/>
      <x:c r="T226" s="2"/>
      <x:c r="U226" s="2"/>
    </x:row>
    <x:row r="227" ht="21" customHeight="1">
      <x:c r="A227" s="2"/>
      <x:c r="B227" s="2"/>
      <x:c r="C227" s="2"/>
      <x:c r="D227" s="2"/>
      <x:c r="E227" s="2"/>
      <x:c r="F227" s="2"/>
      <x:c r="G227" s="2"/>
      <x:c r="H227" s="2"/>
      <x:c r="I227" s="2"/>
      <x:c r="J227" s="2"/>
      <x:c r="K227" s="2"/>
      <x:c r="L227" s="2"/>
      <x:c r="M227" s="2"/>
      <x:c r="N227" s="2"/>
      <x:c r="O227" s="2"/>
      <x:c r="P227" s="2"/>
      <x:c r="Q227" s="2"/>
      <x:c r="R227" s="2"/>
      <x:c r="S227" s="2"/>
      <x:c r="T227" s="2"/>
      <x:c r="U227" s="2"/>
    </x:row>
    <x:row r="228" ht="21" customHeight="1">
      <x:c r="A228" s="2"/>
      <x:c r="B228" s="2"/>
      <x:c r="C228" s="2"/>
      <x:c r="D228" s="2"/>
      <x:c r="E228" s="2"/>
      <x:c r="F228" s="2"/>
      <x:c r="G228" s="2"/>
      <x:c r="H228" s="2"/>
      <x:c r="I228" s="2"/>
      <x:c r="J228" s="2"/>
      <x:c r="K228" s="2"/>
      <x:c r="L228" s="2"/>
      <x:c r="M228" s="2"/>
      <x:c r="N228" s="2"/>
      <x:c r="O228" s="2"/>
      <x:c r="P228" s="2"/>
      <x:c r="Q228" s="2"/>
      <x:c r="R228" s="2"/>
      <x:c r="S228" s="2"/>
      <x:c r="T228" s="2"/>
      <x:c r="U228" s="2"/>
    </x:row>
    <x:row r="229" ht="21" customHeight="1">
      <x:c r="A229" s="2"/>
      <x:c r="B229" s="2"/>
      <x:c r="C229" s="2"/>
      <x:c r="D229" s="2"/>
      <x:c r="E229" s="2"/>
      <x:c r="F229" s="2"/>
      <x:c r="G229" s="2"/>
      <x:c r="H229" s="2"/>
      <x:c r="I229" s="2"/>
      <x:c r="J229" s="2"/>
      <x:c r="K229" s="2"/>
      <x:c r="L229" s="2"/>
      <x:c r="M229" s="2"/>
      <x:c r="N229" s="2"/>
      <x:c r="O229" s="2"/>
      <x:c r="P229" s="2"/>
      <x:c r="Q229" s="2"/>
      <x:c r="R229" s="2"/>
      <x:c r="S229" s="2"/>
      <x:c r="T229" s="2"/>
      <x:c r="U229" s="2"/>
    </x:row>
    <x:row r="230" ht="21" customHeight="1">
      <x:c r="A230" s="2"/>
      <x:c r="B230" s="2"/>
      <x:c r="C230" s="2"/>
      <x:c r="D230" s="2"/>
      <x:c r="E230" s="2"/>
      <x:c r="F230" s="2"/>
      <x:c r="G230" s="2"/>
      <x:c r="H230" s="2"/>
      <x:c r="I230" s="2"/>
      <x:c r="J230" s="2"/>
      <x:c r="K230" s="2"/>
      <x:c r="L230" s="2"/>
      <x:c r="M230" s="2"/>
      <x:c r="N230" s="2"/>
      <x:c r="O230" s="2"/>
      <x:c r="P230" s="2"/>
      <x:c r="Q230" s="2"/>
      <x:c r="R230" s="2"/>
      <x:c r="S230" s="2"/>
      <x:c r="T230" s="2"/>
      <x:c r="U230" s="2"/>
    </x:row>
    <x:row r="231" ht="21" customHeight="1">
      <x:c r="A231" s="2"/>
      <x:c r="B231" s="2"/>
      <x:c r="C231" s="2"/>
      <x:c r="D231" s="2"/>
      <x:c r="E231" s="2"/>
      <x:c r="F231" s="2"/>
      <x:c r="G231" s="2"/>
      <x:c r="H231" s="2"/>
      <x:c r="I231" s="2"/>
      <x:c r="J231" s="2"/>
      <x:c r="K231" s="2"/>
      <x:c r="L231" s="2"/>
      <x:c r="M231" s="2"/>
      <x:c r="N231" s="2"/>
      <x:c r="O231" s="2"/>
      <x:c r="P231" s="2"/>
      <x:c r="Q231" s="2"/>
      <x:c r="R231" s="2"/>
      <x:c r="S231" s="2"/>
      <x:c r="T231" s="2"/>
      <x:c r="U231" s="2"/>
    </x:row>
    <x:row r="232" ht="21" customHeight="1">
      <x:c r="A232" s="2"/>
      <x:c r="B232" s="2"/>
      <x:c r="C232" s="2"/>
      <x:c r="D232" s="2"/>
      <x:c r="E232" s="2"/>
      <x:c r="F232" s="2"/>
      <x:c r="G232" s="2"/>
      <x:c r="H232" s="2"/>
      <x:c r="I232" s="2"/>
      <x:c r="J232" s="2"/>
      <x:c r="K232" s="2"/>
      <x:c r="L232" s="2"/>
      <x:c r="M232" s="2"/>
      <x:c r="N232" s="2"/>
      <x:c r="O232" s="2"/>
      <x:c r="P232" s="2"/>
      <x:c r="Q232" s="2"/>
      <x:c r="R232" s="2"/>
      <x:c r="S232" s="2"/>
      <x:c r="T232" s="2"/>
      <x:c r="U232" s="2"/>
    </x:row>
    <x:row r="233" ht="21" customHeight="1">
      <x:c r="A233" s="2"/>
      <x:c r="B233" s="2"/>
      <x:c r="C233" s="2"/>
      <x:c r="D233" s="2"/>
      <x:c r="E233" s="2"/>
      <x:c r="F233" s="2"/>
      <x:c r="G233" s="2"/>
      <x:c r="H233" s="2"/>
      <x:c r="I233" s="2"/>
      <x:c r="J233" s="2"/>
      <x:c r="K233" s="2"/>
      <x:c r="L233" s="2"/>
      <x:c r="M233" s="2"/>
      <x:c r="N233" s="2"/>
      <x:c r="O233" s="2"/>
      <x:c r="P233" s="2"/>
      <x:c r="Q233" s="2"/>
      <x:c r="R233" s="2"/>
      <x:c r="S233" s="2"/>
      <x:c r="T233" s="2"/>
      <x:c r="U233" s="2"/>
    </x:row>
    <x:row r="234" ht="21" customHeight="1">
      <x:c r="A234" s="2"/>
      <x:c r="B234" s="2"/>
      <x:c r="C234" s="2"/>
      <x:c r="D234" s="2"/>
      <x:c r="E234" s="2"/>
      <x:c r="F234" s="2"/>
      <x:c r="G234" s="2"/>
      <x:c r="H234" s="2"/>
      <x:c r="I234" s="2"/>
      <x:c r="J234" s="2"/>
      <x:c r="K234" s="2"/>
      <x:c r="L234" s="2"/>
      <x:c r="M234" s="2"/>
      <x:c r="N234" s="2"/>
      <x:c r="O234" s="2"/>
      <x:c r="P234" s="2"/>
      <x:c r="Q234" s="2"/>
      <x:c r="R234" s="2"/>
      <x:c r="S234" s="2"/>
      <x:c r="T234" s="2"/>
      <x:c r="U234" s="2"/>
    </x:row>
    <x:row r="235" ht="21" customHeight="1">
      <x:c r="A235" s="2"/>
      <x:c r="B235" s="2"/>
      <x:c r="C235" s="2"/>
      <x:c r="D235" s="2"/>
      <x:c r="E235" s="2"/>
      <x:c r="F235" s="2"/>
      <x:c r="G235" s="2"/>
      <x:c r="H235" s="2"/>
      <x:c r="I235" s="2"/>
      <x:c r="J235" s="2"/>
      <x:c r="K235" s="2"/>
      <x:c r="L235" s="2"/>
      <x:c r="M235" s="2"/>
      <x:c r="N235" s="2"/>
      <x:c r="O235" s="2"/>
      <x:c r="P235" s="2"/>
      <x:c r="Q235" s="2"/>
      <x:c r="R235" s="2"/>
      <x:c r="S235" s="2"/>
      <x:c r="T235" s="2"/>
      <x:c r="U235" s="2"/>
    </x:row>
    <x:row r="236" ht="21" customHeight="1">
      <x:c r="A236" s="2"/>
      <x:c r="B236" s="2"/>
      <x:c r="C236" s="2"/>
      <x:c r="D236" s="2"/>
      <x:c r="E236" s="2"/>
      <x:c r="F236" s="2"/>
      <x:c r="G236" s="2"/>
      <x:c r="H236" s="2"/>
      <x:c r="I236" s="2"/>
      <x:c r="J236" s="2"/>
      <x:c r="K236" s="2"/>
      <x:c r="L236" s="2"/>
      <x:c r="M236" s="2"/>
      <x:c r="N236" s="2"/>
      <x:c r="O236" s="2"/>
      <x:c r="P236" s="2"/>
      <x:c r="Q236" s="2"/>
      <x:c r="R236" s="2"/>
      <x:c r="S236" s="2"/>
      <x:c r="T236" s="2"/>
      <x:c r="U236" s="2"/>
    </x:row>
    <x:row r="237" ht="21" customHeight="1">
      <x:c r="A237" s="2"/>
      <x:c r="B237" s="2"/>
      <x:c r="C237" s="2"/>
      <x:c r="D237" s="2"/>
      <x:c r="E237" s="2"/>
      <x:c r="F237" s="2"/>
      <x:c r="G237" s="2"/>
      <x:c r="H237" s="2"/>
      <x:c r="I237" s="2"/>
      <x:c r="J237" s="2"/>
      <x:c r="K237" s="2"/>
      <x:c r="L237" s="2"/>
      <x:c r="M237" s="2"/>
      <x:c r="N237" s="2"/>
      <x:c r="O237" s="2"/>
      <x:c r="P237" s="2"/>
      <x:c r="Q237" s="2"/>
      <x:c r="R237" s="2"/>
      <x:c r="S237" s="2"/>
      <x:c r="T237" s="2"/>
      <x:c r="U237" s="2"/>
    </x:row>
    <x:row r="238" ht="21" customHeight="1">
      <x:c r="A238" s="2"/>
      <x:c r="B238" s="2"/>
      <x:c r="C238" s="2"/>
      <x:c r="D238" s="2"/>
      <x:c r="E238" s="2"/>
      <x:c r="F238" s="2"/>
      <x:c r="G238" s="2"/>
      <x:c r="H238" s="2"/>
      <x:c r="I238" s="2"/>
      <x:c r="J238" s="2"/>
      <x:c r="K238" s="2"/>
      <x:c r="L238" s="2"/>
      <x:c r="M238" s="2"/>
      <x:c r="N238" s="2"/>
      <x:c r="O238" s="2"/>
      <x:c r="P238" s="2"/>
      <x:c r="Q238" s="2"/>
      <x:c r="R238" s="2"/>
      <x:c r="S238" s="2"/>
      <x:c r="T238" s="2"/>
      <x:c r="U238" s="2"/>
    </x:row>
    <x:row r="239" ht="21" customHeight="1">
      <x:c r="A239" s="2"/>
      <x:c r="B239" s="2"/>
      <x:c r="C239" s="2"/>
      <x:c r="D239" s="2"/>
      <x:c r="E239" s="2"/>
      <x:c r="F239" s="2"/>
      <x:c r="G239" s="2"/>
      <x:c r="H239" s="2"/>
      <x:c r="I239" s="2"/>
      <x:c r="J239" s="2"/>
      <x:c r="K239" s="2"/>
      <x:c r="L239" s="2"/>
      <x:c r="M239" s="2"/>
      <x:c r="N239" s="2"/>
      <x:c r="O239" s="2"/>
      <x:c r="P239" s="2"/>
      <x:c r="Q239" s="2"/>
      <x:c r="R239" s="2"/>
      <x:c r="S239" s="2"/>
      <x:c r="T239" s="2"/>
      <x:c r="U239" s="2"/>
    </x:row>
    <x:row r="240" ht="21" customHeight="1">
      <x:c r="A240" s="2"/>
      <x:c r="B240" s="2"/>
      <x:c r="C240" s="2"/>
      <x:c r="D240" s="2"/>
      <x:c r="E240" s="2"/>
      <x:c r="F240" s="2"/>
      <x:c r="G240" s="2"/>
      <x:c r="H240" s="2"/>
      <x:c r="I240" s="2"/>
      <x:c r="J240" s="2"/>
      <x:c r="K240" s="2"/>
      <x:c r="L240" s="2"/>
      <x:c r="M240" s="2"/>
      <x:c r="N240" s="2"/>
      <x:c r="O240" s="2"/>
      <x:c r="P240" s="2"/>
      <x:c r="Q240" s="2"/>
      <x:c r="R240" s="2"/>
      <x:c r="S240" s="2"/>
      <x:c r="T240" s="2"/>
      <x:c r="U240" s="2"/>
    </x:row>
    <x:row r="241" ht="21" customHeight="1">
      <x:c r="A241" s="2"/>
      <x:c r="B241" s="2"/>
      <x:c r="C241" s="2"/>
      <x:c r="D241" s="2"/>
      <x:c r="E241" s="2"/>
      <x:c r="F241" s="2"/>
      <x:c r="G241" s="2"/>
      <x:c r="H241" s="2"/>
      <x:c r="I241" s="2"/>
      <x:c r="J241" s="2"/>
      <x:c r="K241" s="2"/>
      <x:c r="L241" s="2"/>
      <x:c r="M241" s="2"/>
      <x:c r="N241" s="2"/>
      <x:c r="O241" s="2"/>
      <x:c r="P241" s="2"/>
      <x:c r="Q241" s="2"/>
      <x:c r="R241" s="2"/>
      <x:c r="S241" s="2"/>
      <x:c r="T241" s="2"/>
      <x:c r="U241" s="2"/>
    </x:row>
    <x:row r="242" ht="21" customHeight="1">
      <x:c r="A242" s="2"/>
      <x:c r="B242" s="2"/>
      <x:c r="C242" s="2"/>
      <x:c r="D242" s="2"/>
      <x:c r="E242" s="2"/>
      <x:c r="F242" s="2"/>
      <x:c r="G242" s="2"/>
      <x:c r="H242" s="2"/>
      <x:c r="I242" s="2"/>
      <x:c r="J242" s="2"/>
      <x:c r="K242" s="2"/>
      <x:c r="L242" s="2"/>
      <x:c r="M242" s="2"/>
      <x:c r="N242" s="2"/>
      <x:c r="O242" s="2"/>
      <x:c r="P242" s="2"/>
      <x:c r="Q242" s="2"/>
      <x:c r="R242" s="2"/>
      <x:c r="S242" s="2"/>
      <x:c r="T242" s="2"/>
      <x:c r="U242" s="2"/>
    </x:row>
    <x:row r="243" ht="21" customHeight="1">
      <x:c r="A243" s="2"/>
      <x:c r="B243" s="2"/>
      <x:c r="C243" s="2"/>
      <x:c r="D243" s="2"/>
      <x:c r="E243" s="2"/>
      <x:c r="F243" s="2"/>
      <x:c r="G243" s="2"/>
      <x:c r="H243" s="2"/>
      <x:c r="I243" s="2"/>
      <x:c r="J243" s="2"/>
      <x:c r="K243" s="2"/>
      <x:c r="L243" s="2"/>
      <x:c r="M243" s="2"/>
      <x:c r="N243" s="2"/>
      <x:c r="O243" s="2"/>
      <x:c r="P243" s="2"/>
      <x:c r="Q243" s="2"/>
      <x:c r="R243" s="2"/>
      <x:c r="S243" s="2"/>
      <x:c r="T243" s="2"/>
      <x:c r="U243" s="2"/>
    </x:row>
    <x:row r="244" ht="21" customHeight="1">
      <x:c r="A244" s="2"/>
      <x:c r="B244" s="2"/>
      <x:c r="C244" s="2"/>
      <x:c r="D244" s="2"/>
      <x:c r="E244" s="2"/>
      <x:c r="F244" s="2"/>
      <x:c r="G244" s="2"/>
      <x:c r="H244" s="2"/>
      <x:c r="I244" s="2"/>
      <x:c r="J244" s="2"/>
      <x:c r="K244" s="2"/>
      <x:c r="L244" s="2"/>
      <x:c r="M244" s="2"/>
      <x:c r="N244" s="2"/>
      <x:c r="O244" s="2"/>
      <x:c r="P244" s="2"/>
      <x:c r="Q244" s="2"/>
      <x:c r="R244" s="2"/>
      <x:c r="S244" s="2"/>
      <x:c r="T244" s="2"/>
      <x:c r="U244" s="2"/>
    </x:row>
    <x:row r="245" ht="21" customHeight="1">
      <x:c r="A245" s="2"/>
      <x:c r="B245" s="2"/>
      <x:c r="C245" s="2"/>
      <x:c r="D245" s="2"/>
      <x:c r="E245" s="2"/>
      <x:c r="F245" s="2"/>
      <x:c r="G245" s="2"/>
      <x:c r="H245" s="2"/>
      <x:c r="I245" s="2"/>
      <x:c r="J245" s="2"/>
      <x:c r="K245" s="2"/>
      <x:c r="L245" s="2"/>
      <x:c r="M245" s="2"/>
      <x:c r="N245" s="2"/>
      <x:c r="O245" s="2"/>
      <x:c r="P245" s="2"/>
      <x:c r="Q245" s="2"/>
      <x:c r="R245" s="2"/>
      <x:c r="S245" s="2"/>
      <x:c r="T245" s="2"/>
      <x:c r="U245" s="2"/>
    </x:row>
  </x:sheetData>
  <x:dataValidations count="1">
    <x:dataValidation type="list" sqref="D4">
      <x:formula1>"1,2,3"</x:formula1>
    </x:dataValidation>
  </x:dataValidations>
  <x:pageMargins left="0.7" right="0.7" top="0.75" bottom="0.75" header="0.3" footer="0.3"/>
  <x:drawing xmlns:r="http://schemas.openxmlformats.org/officeDocument/2006/relationships" r:id="R3b3cc661c51a4170"/>
</x:worksheet>
</file>

<file path=xl/worksheets/sheet7.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Income Statement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64" t="str">
        <x:v>Revenue</x:v>
      </x:c>
      <x:c r="D8" s="64"/>
      <x:c r="E8" s="66" t="n">
        <x:f>'Historical Inputs'!E9</x:f>
        <x:v>96571</x:v>
      </x:c>
      <x:c r="F8" s="66" t="n">
        <x:f>'Historical Inputs'!F9</x:f>
        <x:v>110360</x:v>
      </x:c>
      <x:c r="G8" s="66" t="n">
        <x:f>'Historical Inputs'!G9</x:f>
        <x:v>125843</x:v>
      </x:c>
      <x:c r="H8" s="66" t="n">
        <x:f>'Historical Inputs'!H9</x:f>
        <x:v>143015</x:v>
      </x:c>
      <x:c r="I8" s="66" t="n">
        <x:f>'Historical Inputs'!I9</x:f>
        <x:v>168088</x:v>
      </x:c>
      <x:c r="J8" s="66" t="n">
        <x:f>'Historical Inputs'!J9</x:f>
        <x:v>198270</x:v>
      </x:c>
      <x:c r="K8" s="66" t="n">
        <x:f>'Historical Inputs'!K9</x:f>
        <x:v>211915</x:v>
      </x:c>
      <x:c r="L8" s="66" t="n">
        <x:f>'Historical Inputs'!L9</x:f>
        <x:v>245122</x:v>
      </x:c>
      <x:c r="M8" s="66" t="n">
        <x:f>'Historical Inputs'!M9</x:f>
        <x:v>281724</x:v>
      </x:c>
      <x:c r="N8" s="66" t="n">
        <x:f>'Historical Inputs'!N9</x:f>
        <x:v>331839</x:v>
      </x:c>
      <x:c r="O8" s="66" t="n">
        <x:f>'Segments'!O51</x:f>
        <x:v>385048.80000000005</x:v>
      </x:c>
      <x:c r="P8" s="66" t="n">
        <x:f>'Segments'!P51</x:f>
        <x:v>444477.44240000006</x:v>
      </x:c>
      <x:c r="Q8" s="66" t="n">
        <x:f>'Segments'!Q51</x:f>
        <x:v>508922.316432</x:v>
      </x:c>
      <x:c r="R8" s="66" t="n">
        <x:f>'Segments'!R51</x:f>
        <x:v>577301.7649200001</x:v>
      </x:c>
      <x:c r="S8" s="66" t="n">
        <x:f>'Segments'!S51</x:f>
        <x:v>648107.1509938752</x:v>
      </x:c>
      <x:c r="T8" s="2"/>
      <x:c r="U8" s="2"/>
    </x:row>
    <x:row r="9" ht="21" customHeight="1">
      <x:c r="A9" s="2"/>
      <x:c r="B9" s="2"/>
      <x:c r="C9" s="18" t="str">
        <x:v>Revenue growth</x:v>
      </x:c>
      <x:c r="D9" s="18"/>
      <x:c r="E9" s="54" t="str">
        <x:f>"n.a."</x:f>
        <x:v>n.a.</x:v>
      </x:c>
      <x:c r="F9" s="54" t="n">
        <x:f>F8/E8-1</x:f>
        <x:v>0.1427861366248666</x:v>
      </x:c>
      <x:c r="G9" s="54" t="n">
        <x:f>G8/F8-1</x:f>
        <x:v>0.14029539688292858</x:v>
      </x:c>
      <x:c r="H9" s="54" t="n">
        <x:f>H8/G8-1</x:f>
        <x:v>0.1364557424727637</x:v>
      </x:c>
      <x:c r="I9" s="54" t="n">
        <x:f>I8/H8-1</x:f>
        <x:v>0.17531727441177503</x:v>
      </x:c>
      <x:c r="J9" s="54" t="n">
        <x:f>J8/I8-1</x:f>
        <x:v>0.17956070629670173</x:v>
      </x:c>
      <x:c r="K9" s="54" t="n">
        <x:f>K8/J8-1</x:f>
        <x:v>0.06882029555656421</x:v>
      </x:c>
      <x:c r="L9" s="54" t="n">
        <x:f>L8/K8-1</x:f>
        <x:v>0.1566996201307127</x:v>
      </x:c>
      <x:c r="M9" s="54" t="n">
        <x:f>M8/L8-1</x:f>
        <x:v>0.14932156232406713</x:v>
      </x:c>
      <x:c r="N9" s="54" t="n">
        <x:f>N8/M8-1</x:f>
        <x:v>0.17788686799846665</x:v>
      </x:c>
      <x:c r="O9" s="54" t="n">
        <x:f>O8/N8-1</x:f>
        <x:v>0.16034824116514357</x:v>
      </x:c>
      <x:c r="P9" s="54" t="n">
        <x:f>P8/O8-1</x:f>
        <x:v>0.15434054696443678</x:v>
      </x:c>
      <x:c r="Q9" s="54" t="n">
        <x:f>Q8/P8-1</x:f>
        <x:v>0.14499020171647747</x:v>
      </x:c>
      <x:c r="R9" s="54" t="n">
        <x:f>R8/Q8-1</x:f>
        <x:v>0.1343612694514973</x:v>
      </x:c>
      <x:c r="S9" s="54" t="n">
        <x:f>S8/R8-1</x:f>
        <x:v>0.12264883008574734</x:v>
      </x:c>
      <x:c r="T9" s="2"/>
      <x:c r="U9" s="2"/>
    </x:row>
    <x:row r="10" ht="21" customHeight="1">
      <x:c r="A10" s="2"/>
      <x:c r="B10" s="2"/>
      <x:c r="C10" s="2" t="str">
        <x:v>Cost of revenue</x:v>
      </x:c>
      <x:c r="D10" s="2"/>
      <x:c r="E10" s="51" t="n">
        <x:f>'Historical Inputs'!E10</x:f>
        <x:v>34261</x:v>
      </x:c>
      <x:c r="F10" s="51" t="n">
        <x:f>'Historical Inputs'!F10</x:f>
        <x:v>38353</x:v>
      </x:c>
      <x:c r="G10" s="51" t="n">
        <x:f>'Historical Inputs'!G10</x:f>
        <x:v>42910</x:v>
      </x:c>
      <x:c r="H10" s="51" t="n">
        <x:f>'Historical Inputs'!H10</x:f>
        <x:v>46078</x:v>
      </x:c>
      <x:c r="I10" s="51" t="n">
        <x:f>'Historical Inputs'!I10</x:f>
        <x:v>52232</x:v>
      </x:c>
      <x:c r="J10" s="51" t="n">
        <x:f>'Historical Inputs'!J10</x:f>
        <x:v>62650</x:v>
      </x:c>
      <x:c r="K10" s="51" t="n">
        <x:f>'Historical Inputs'!K10</x:f>
        <x:v>65863</x:v>
      </x:c>
      <x:c r="L10" s="51" t="n">
        <x:f>'Historical Inputs'!L10</x:f>
        <x:v>74114</x:v>
      </x:c>
      <x:c r="M10" s="51" t="n">
        <x:f>'Historical Inputs'!M10</x:f>
        <x:v>87831</x:v>
      </x:c>
      <x:c r="N10" s="51" t="n">
        <x:f>'Historical Inputs'!N10</x:f>
        <x:v>106374</x:v>
      </x:c>
      <x:c r="O10" s="51" t="n">
        <x:f>'Segments'!O52</x:f>
        <x:v>126934.72594780002</x:v>
      </x:c>
      <x:c r="P10" s="51" t="n">
        <x:f>'Segments'!P52</x:f>
        <x:v>158587.80304314074</x:v>
      </x:c>
      <x:c r="Q10" s="51" t="n">
        <x:f>'Segments'!Q52</x:f>
        <x:v>192262.23061159597</x:v>
      </x:c>
      <x:c r="R10" s="51" t="n">
        <x:f>'Segments'!R52</x:f>
        <x:v>226627.30469749935</x:v>
      </x:c>
      <x:c r="S10" s="51" t="n">
        <x:f>'Segments'!S52</x:f>
        <x:v>261654.77493136932</x:v>
      </x:c>
      <x:c r="T10" s="2"/>
      <x:c r="U10" s="2"/>
    </x:row>
    <x:row r="11" ht="21" customHeight="1">
      <x:c r="A11" s="2"/>
      <x:c r="B11" s="2"/>
      <x:c r="C11" s="64" t="str">
        <x:v>Gross profit</x:v>
      </x:c>
      <x:c r="D11" s="64"/>
      <x:c r="E11" s="66" t="n">
        <x:f>'Historical Inputs'!E11</x:f>
        <x:v>62310</x:v>
      </x:c>
      <x:c r="F11" s="66" t="n">
        <x:f>'Historical Inputs'!F11</x:f>
        <x:v>72007</x:v>
      </x:c>
      <x:c r="G11" s="66" t="n">
        <x:f>'Historical Inputs'!G11</x:f>
        <x:v>82933</x:v>
      </x:c>
      <x:c r="H11" s="66" t="n">
        <x:f>'Historical Inputs'!H11</x:f>
        <x:v>96937</x:v>
      </x:c>
      <x:c r="I11" s="66" t="n">
        <x:f>'Historical Inputs'!I11</x:f>
        <x:v>115856</x:v>
      </x:c>
      <x:c r="J11" s="66" t="n">
        <x:f>'Historical Inputs'!J11</x:f>
        <x:v>135620</x:v>
      </x:c>
      <x:c r="K11" s="66" t="n">
        <x:f>'Historical Inputs'!K11</x:f>
        <x:v>146052</x:v>
      </x:c>
      <x:c r="L11" s="66" t="n">
        <x:f>'Historical Inputs'!L11</x:f>
        <x:v>171008</x:v>
      </x:c>
      <x:c r="M11" s="66" t="n">
        <x:f>'Historical Inputs'!M11</x:f>
        <x:v>193893</x:v>
      </x:c>
      <x:c r="N11" s="66" t="n">
        <x:f>'Historical Inputs'!N11</x:f>
        <x:v>225465</x:v>
      </x:c>
      <x:c r="O11" s="68" t="n">
        <x:f>O8-O10</x:f>
        <x:v>258114.0740522</x:v>
      </x:c>
      <x:c r="P11" s="68" t="n">
        <x:f>P8-P10</x:f>
        <x:v>285889.6393568593</x:v>
      </x:c>
      <x:c r="Q11" s="68" t="n">
        <x:f>Q8-Q10</x:f>
        <x:v>316660.08582040406</x:v>
      </x:c>
      <x:c r="R11" s="68" t="n">
        <x:f>R8-R10</x:f>
        <x:v>350674.4602225007</x:v>
      </x:c>
      <x:c r="S11" s="68" t="n">
        <x:f>S8-S10</x:f>
        <x:v>386452.3760625059</x:v>
      </x:c>
      <x:c r="T11" s="2"/>
      <x:c r="U11" s="2"/>
    </x:row>
    <x:row r="12" ht="21" customHeight="1">
      <x:c r="A12" s="2"/>
      <x:c r="B12" s="2"/>
      <x:c r="C12" s="18" t="str">
        <x:v>Gross margin</x:v>
      </x:c>
      <x:c r="D12" s="18"/>
      <x:c r="E12" s="54" t="n">
        <x:f>E11/E8</x:f>
        <x:v>0.6452247569146017</x:v>
      </x:c>
      <x:c r="F12" s="54" t="n">
        <x:f>F11/F8</x:f>
        <x:v>0.652473722363175</x:v>
      </x:c>
      <x:c r="G12" s="54" t="n">
        <x:f>G11/G8</x:f>
        <x:v>0.6590195720063889</x:v>
      </x:c>
      <x:c r="H12" s="54" t="n">
        <x:f>H11/H8</x:f>
        <x:v>0.6778100199279796</x:v>
      </x:c>
      <x:c r="I12" s="54" t="n">
        <x:f>I11/I8</x:f>
        <x:v>0.689258007710247</x:v>
      </x:c>
      <x:c r="J12" s="54" t="n">
        <x:f>J11/J8</x:f>
        <x:v>0.684016744842891</x:v>
      </x:c>
      <x:c r="K12" s="54" t="n">
        <x:f>K11/K8</x:f>
        <x:v>0.6892008588349102</x:v>
      </x:c>
      <x:c r="L12" s="54" t="n">
        <x:f>L11/L8</x:f>
        <x:v>0.6976444382797138</x:v>
      </x:c>
      <x:c r="M12" s="54" t="n">
        <x:f>M11/M8</x:f>
        <x:v>0.6882374238616519</x:v>
      </x:c>
      <x:c r="N12" s="54" t="n">
        <x:f>N11/N8</x:f>
        <x:v>0.6794409337058032</x:v>
      </x:c>
      <x:c r="O12" s="54" t="n">
        <x:f>O11/O8</x:f>
        <x:v>0.6703411984460151</x:v>
      </x:c>
      <x:c r="P12" s="54" t="n">
        <x:f>P11/P8</x:f>
        <x:v>0.6432039336196003</x:v>
      </x:c>
      <x:c r="Q12" s="54" t="n">
        <x:f>Q11/Q8</x:f>
        <x:v>0.6222169388060521</x:v>
      </x:c>
      <x:c r="R12" s="54" t="n">
        <x:f>R11/R8</x:f>
        <x:v>0.6074370139351568</x:v>
      </x:c>
      <x:c r="S12" s="54" t="n">
        <x:f>S11/S8</x:f>
        <x:v>0.5962785250400021</x:v>
      </x:c>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Research and development</x:v>
      </x:c>
      <x:c r="D14" s="2"/>
      <x:c r="E14" s="51" t="n">
        <x:f>'Historical Inputs'!E12</x:f>
        <x:v>13037</x:v>
      </x:c>
      <x:c r="F14" s="51" t="n">
        <x:f>'Historical Inputs'!F12</x:f>
        <x:v>14726</x:v>
      </x:c>
      <x:c r="G14" s="51" t="n">
        <x:f>'Historical Inputs'!G12</x:f>
        <x:v>16876</x:v>
      </x:c>
      <x:c r="H14" s="51" t="n">
        <x:f>'Historical Inputs'!H12</x:f>
        <x:v>19269</x:v>
      </x:c>
      <x:c r="I14" s="51" t="n">
        <x:f>'Historical Inputs'!I12</x:f>
        <x:v>20716</x:v>
      </x:c>
      <x:c r="J14" s="51" t="n">
        <x:f>'Historical Inputs'!J12</x:f>
        <x:v>24512</x:v>
      </x:c>
      <x:c r="K14" s="51" t="n">
        <x:f>'Historical Inputs'!K12</x:f>
        <x:v>27195</x:v>
      </x:c>
      <x:c r="L14" s="51" t="n">
        <x:f>'Historical Inputs'!L12</x:f>
        <x:v>29510</x:v>
      </x:c>
      <x:c r="M14" s="51" t="n">
        <x:f>'Historical Inputs'!M12</x:f>
        <x:v>32488</x:v>
      </x:c>
      <x:c r="N14" s="51" t="n">
        <x:f>'Historical Inputs'!N12</x:f>
        <x:v>35562</x:v>
      </x:c>
      <x:c r="O14" s="51" t="n">
        <x:f>'Expense Plan'!O18</x:f>
        <x:v>42340.911817928674</x:v>
      </x:c>
      <x:c r="P14" s="51" t="n">
        <x:f>'Expense Plan'!P18</x:f>
        <x:v>51150.89940868524</x:v>
      </x:c>
      <x:c r="Q14" s="51" t="n">
        <x:f>'Expense Plan'!Q18</x:f>
        <x:v>60522.53930091431</x:v>
      </x:c>
      <x:c r="R14" s="51" t="n">
        <x:f>'Expense Plan'!R18</x:f>
        <x:v>70220.21893489482</x:v>
      </x:c>
      <x:c r="S14" s="51" t="n">
        <x:f>'Expense Plan'!S18</x:f>
        <x:v>80133.32454351732</x:v>
      </x:c>
      <x:c r="T14" s="2"/>
      <x:c r="U14" s="2"/>
    </x:row>
    <x:row r="15" ht="21" customHeight="1">
      <x:c r="A15" s="2"/>
      <x:c r="B15" s="2"/>
      <x:c r="C15" s="2" t="str">
        <x:v>Sales and marketing</x:v>
      </x:c>
      <x:c r="D15" s="2"/>
      <x:c r="E15" s="51" t="n">
        <x:f>'Historical Inputs'!E13</x:f>
        <x:v>15461</x:v>
      </x:c>
      <x:c r="F15" s="51" t="n">
        <x:f>'Historical Inputs'!F13</x:f>
        <x:v>17469</x:v>
      </x:c>
      <x:c r="G15" s="51" t="n">
        <x:f>'Historical Inputs'!G13</x:f>
        <x:v>18213</x:v>
      </x:c>
      <x:c r="H15" s="51" t="n">
        <x:f>'Historical Inputs'!H13</x:f>
        <x:v>19598</x:v>
      </x:c>
      <x:c r="I15" s="51" t="n">
        <x:f>'Historical Inputs'!I13</x:f>
        <x:v>20117</x:v>
      </x:c>
      <x:c r="J15" s="51" t="n">
        <x:f>'Historical Inputs'!J13</x:f>
        <x:v>21825</x:v>
      </x:c>
      <x:c r="K15" s="51" t="n">
        <x:f>'Historical Inputs'!K13</x:f>
        <x:v>22759</x:v>
      </x:c>
      <x:c r="L15" s="51" t="n">
        <x:f>'Historical Inputs'!L13</x:f>
        <x:v>24456</x:v>
      </x:c>
      <x:c r="M15" s="51" t="n">
        <x:f>'Historical Inputs'!M13</x:f>
        <x:v>25654</x:v>
      </x:c>
      <x:c r="N15" s="51" t="n">
        <x:f>'Historical Inputs'!N13</x:f>
        <x:v>26710</x:v>
      </x:c>
      <x:c r="O15" s="51" t="n">
        <x:f>'Expense Plan'!O20</x:f>
        <x:v>30803.904000000006</x:v>
      </x:c>
      <x:c r="P15" s="51" t="n">
        <x:f>'Expense Plan'!P20</x:f>
        <x:v>35113.7179496</x:v>
      </x:c>
      <x:c r="Q15" s="51" t="n">
        <x:f>'Expense Plan'!Q20</x:f>
        <x:v>39695.940681696</x:v>
      </x:c>
      <x:c r="R15" s="51" t="n">
        <x:f>'Expense Plan'!R20</x:f>
        <x:v>44452.23589884001</x:v>
      </x:c>
      <x:c r="S15" s="51" t="n">
        <x:f>'Expense Plan'!S20</x:f>
        <x:v>49256.14347553452</x:v>
      </x:c>
      <x:c r="T15" s="2"/>
      <x:c r="U15" s="2"/>
    </x:row>
    <x:row r="16" ht="21" customHeight="1">
      <x:c r="A16" s="2"/>
      <x:c r="B16" s="2"/>
      <x:c r="C16" s="2" t="str">
        <x:v>General and administrative</x:v>
      </x:c>
      <x:c r="D16" s="2"/>
      <x:c r="E16" s="51" t="n">
        <x:f>'Historical Inputs'!E14</x:f>
        <x:v>4481</x:v>
      </x:c>
      <x:c r="F16" s="51" t="n">
        <x:f>'Historical Inputs'!F14</x:f>
        <x:v>4754</x:v>
      </x:c>
      <x:c r="G16" s="51" t="n">
        <x:f>'Historical Inputs'!G14</x:f>
        <x:v>4885</x:v>
      </x:c>
      <x:c r="H16" s="51" t="n">
        <x:f>'Historical Inputs'!H14</x:f>
        <x:v>5111</x:v>
      </x:c>
      <x:c r="I16" s="51" t="n">
        <x:f>'Historical Inputs'!I14</x:f>
        <x:v>5107</x:v>
      </x:c>
      <x:c r="J16" s="51" t="n">
        <x:f>'Historical Inputs'!J14</x:f>
        <x:v>5900</x:v>
      </x:c>
      <x:c r="K16" s="51" t="n">
        <x:f>'Historical Inputs'!K14</x:f>
        <x:v>7575</x:v>
      </x:c>
      <x:c r="L16" s="51" t="n">
        <x:f>'Historical Inputs'!L14</x:f>
        <x:v>7609</x:v>
      </x:c>
      <x:c r="M16" s="51" t="n">
        <x:f>'Historical Inputs'!M14</x:f>
        <x:v>7223</x:v>
      </x:c>
      <x:c r="N16" s="51" t="n">
        <x:f>'Historical Inputs'!N14</x:f>
        <x:v>7956</x:v>
      </x:c>
      <x:c r="O16" s="51" t="n">
        <x:f>'Expense Plan'!O21</x:f>
        <x:v>9241.1712</x:v>
      </x:c>
      <x:c r="P16" s="51" t="n">
        <x:f>'Expense Plan'!P21</x:f>
        <x:v>10445.219896400002</x:v>
      </x:c>
      <x:c r="Q16" s="51" t="n">
        <x:f>'Expense Plan'!Q21</x:f>
        <x:v>11705.213277936</x:v>
      </x:c>
      <x:c r="R16" s="51" t="n">
        <x:f>'Expense Plan'!R21</x:f>
        <x:v>12989.289710700003</x:v>
      </x:c>
      <x:c r="S16" s="51" t="n">
        <x:f>'Expense Plan'!S21</x:f>
        <x:v>14258.357321865255</x:v>
      </x:c>
      <x:c r="T16" s="2"/>
      <x:c r="U16" s="2"/>
    </x:row>
    <x:row r="17" ht="21" customHeight="1">
      <x:c r="A17" s="2"/>
      <x:c r="B17" s="2"/>
      <x:c r="C17" s="2" t="str">
        <x:v>Impairment, integration and restructuring</x:v>
      </x:c>
      <x:c r="D17" s="2"/>
      <x:c r="E17" s="51" t="n">
        <x:f>'Historical Inputs'!E24</x:f>
        <x:v>306</x:v>
      </x:c>
      <x:c r="F17" s="51" t="n">
        <x:f>'Historical Inputs'!F24</x:f>
        <x:v>0</x:v>
      </x:c>
      <x:c r="G17" s="51" t="n">
        <x:f>'Historical Inputs'!G24</x:f>
        <x:v>0</x:v>
      </x:c>
      <x:c r="H17" s="51" t="n">
        <x:f>'Historical Inputs'!H24</x:f>
        <x:v>0</x:v>
      </x:c>
      <x:c r="I17" s="51" t="n">
        <x:f>'Historical Inputs'!I24</x:f>
        <x:v>0</x:v>
      </x:c>
      <x:c r="J17" s="51" t="n">
        <x:f>'Historical Inputs'!J24</x:f>
        <x:v>0</x:v>
      </x:c>
      <x:c r="K17" s="51" t="n">
        <x:f>'Historical Inputs'!K24</x:f>
        <x:v>0</x:v>
      </x:c>
      <x:c r="L17" s="51" t="n">
        <x:f>'Historical Inputs'!L24</x:f>
        <x:v>0</x:v>
      </x:c>
      <x:c r="M17" s="51" t="n">
        <x:f>'Historical Inputs'!M24</x:f>
        <x:v>0</x:v>
      </x:c>
      <x:c r="N17" s="51" t="n">
        <x:f>'Historical Inputs'!N24</x:f>
        <x:v>0</x:v>
      </x:c>
      <x:c r="O17" s="51" t="n">
        <x:f>'Expense Plan'!O22</x:f>
        <x:v>0</x:v>
      </x:c>
      <x:c r="P17" s="51" t="n">
        <x:f>'Expense Plan'!P22</x:f>
        <x:v>0</x:v>
      </x:c>
      <x:c r="Q17" s="51" t="n">
        <x:f>'Expense Plan'!Q22</x:f>
        <x:v>0</x:v>
      </x:c>
      <x:c r="R17" s="51" t="n">
        <x:f>'Expense Plan'!R22</x:f>
        <x:v>0</x:v>
      </x:c>
      <x:c r="S17" s="51" t="n">
        <x:f>'Expense Plan'!S22</x:f>
        <x:v>0</x:v>
      </x:c>
      <x:c r="T17" s="2"/>
      <x:c r="U17" s="2"/>
    </x:row>
    <x:row r="18" ht="21" customHeight="1">
      <x:c r="A18" s="2"/>
      <x:c r="B18" s="2"/>
      <x:c r="C18" s="64" t="str">
        <x:v>Total operating expenses</x:v>
      </x:c>
      <x:c r="D18" s="64"/>
      <x:c r="E18" s="68" t="n">
        <x:f>SUM(E14:E17)</x:f>
        <x:v>33285</x:v>
      </x:c>
      <x:c r="F18" s="68" t="n">
        <x:f>SUM(F14:F17)</x:f>
        <x:v>36949</x:v>
      </x:c>
      <x:c r="G18" s="68" t="n">
        <x:f>SUM(G14:G17)</x:f>
        <x:v>39974</x:v>
      </x:c>
      <x:c r="H18" s="68" t="n">
        <x:f>SUM(H14:H17)</x:f>
        <x:v>43978</x:v>
      </x:c>
      <x:c r="I18" s="68" t="n">
        <x:f>SUM(I14:I17)</x:f>
        <x:v>45940</x:v>
      </x:c>
      <x:c r="J18" s="68" t="n">
        <x:f>SUM(J14:J17)</x:f>
        <x:v>52237</x:v>
      </x:c>
      <x:c r="K18" s="68" t="n">
        <x:f>SUM(K14:K17)</x:f>
        <x:v>57529</x:v>
      </x:c>
      <x:c r="L18" s="68" t="n">
        <x:f>SUM(L14:L17)</x:f>
        <x:v>61575</x:v>
      </x:c>
      <x:c r="M18" s="68" t="n">
        <x:f>SUM(M14:M17)</x:f>
        <x:v>65365</x:v>
      </x:c>
      <x:c r="N18" s="68" t="n">
        <x:f>SUM(N14:N17)</x:f>
        <x:v>70228</x:v>
      </x:c>
      <x:c r="O18" s="68" t="n">
        <x:f>SUM(O14:O17)</x:f>
        <x:v>82385.98701792868</x:v>
      </x:c>
      <x:c r="P18" s="68" t="n">
        <x:f>SUM(P14:P17)</x:f>
        <x:v>96709.83725468523</x:v>
      </x:c>
      <x:c r="Q18" s="68" t="n">
        <x:f>SUM(Q14:Q17)</x:f>
        <x:v>111923.69326054631</x:v>
      </x:c>
      <x:c r="R18" s="68" t="n">
        <x:f>SUM(R14:R17)</x:f>
        <x:v>127661.74454443483</x:v>
      </x:c>
      <x:c r="S18" s="68" t="n">
        <x:f>SUM(S14:S17)</x:f>
        <x:v>143647.82534091707</x:v>
      </x:c>
      <x:c r="T18" s="2"/>
      <x:c r="U18" s="2"/>
    </x:row>
    <x:row r="19" ht="21" customHeight="1">
      <x:c r="A19" s="2"/>
      <x:c r="B19" s="2"/>
      <x:c r="C19" s="64" t="str">
        <x:v>Operating income</x:v>
      </x:c>
      <x:c r="D19" s="64"/>
      <x:c r="E19" s="66" t="n">
        <x:f>'Historical Inputs'!E15</x:f>
        <x:v>29025</x:v>
      </x:c>
      <x:c r="F19" s="66" t="n">
        <x:f>'Historical Inputs'!F15</x:f>
        <x:v>35058</x:v>
      </x:c>
      <x:c r="G19" s="66" t="n">
        <x:f>'Historical Inputs'!G15</x:f>
        <x:v>42959</x:v>
      </x:c>
      <x:c r="H19" s="66" t="n">
        <x:f>'Historical Inputs'!H15</x:f>
        <x:v>52959</x:v>
      </x:c>
      <x:c r="I19" s="66" t="n">
        <x:f>'Historical Inputs'!I15</x:f>
        <x:v>69916</x:v>
      </x:c>
      <x:c r="J19" s="66" t="n">
        <x:f>'Historical Inputs'!J15</x:f>
        <x:v>83383</x:v>
      </x:c>
      <x:c r="K19" s="66" t="n">
        <x:f>'Historical Inputs'!K15</x:f>
        <x:v>88523</x:v>
      </x:c>
      <x:c r="L19" s="66" t="n">
        <x:f>'Historical Inputs'!L15</x:f>
        <x:v>109433</x:v>
      </x:c>
      <x:c r="M19" s="66" t="n">
        <x:f>'Historical Inputs'!M15</x:f>
        <x:v>128528</x:v>
      </x:c>
      <x:c r="N19" s="66" t="n">
        <x:f>'Historical Inputs'!N15</x:f>
        <x:v>155237</x:v>
      </x:c>
      <x:c r="O19" s="68" t="n">
        <x:f>O11-O18</x:f>
        <x:v>175728.08703427133</x:v>
      </x:c>
      <x:c r="P19" s="68" t="n">
        <x:f>P11-P18</x:f>
        <x:v>189179.8021021741</x:v>
      </x:c>
      <x:c r="Q19" s="68" t="n">
        <x:f>Q11-Q18</x:f>
        <x:v>204736.39255985775</x:v>
      </x:c>
      <x:c r="R19" s="68" t="n">
        <x:f>R11-R18</x:f>
        <x:v>223012.7156780659</x:v>
      </x:c>
      <x:c r="S19" s="68" t="n">
        <x:f>S11-S18</x:f>
        <x:v>242804.5507215888</x:v>
      </x:c>
      <x:c r="T19" s="2"/>
      <x:c r="U19" s="2"/>
    </x:row>
    <x:row r="20" ht="21" customHeight="1">
      <x:c r="A20" s="2"/>
      <x:c r="B20" s="2"/>
      <x:c r="C20" s="18" t="str">
        <x:v>Operating margin</x:v>
      </x:c>
      <x:c r="D20" s="18"/>
      <x:c r="E20" s="54" t="n">
        <x:f>E19/E8</x:f>
        <x:v>0.3005560675565128</x:v>
      </x:c>
      <x:c r="F20" s="54" t="n">
        <x:f>F19/F8</x:f>
        <x:v>0.3176694454512505</x:v>
      </x:c>
      <x:c r="G20" s="54" t="n">
        <x:f>G19/G8</x:f>
        <x:v>0.3413698020549415</x:v>
      </x:c>
      <x:c r="H20" s="54" t="n">
        <x:f>H19/H8</x:f>
        <x:v>0.37030381428521486</x:v>
      </x:c>
      <x:c r="I20" s="54" t="n">
        <x:f>I19/I8</x:f>
        <x:v>0.415948788729713</x:v>
      </x:c>
      <x:c r="J20" s="54" t="n">
        <x:f>J19/J8</x:f>
        <x:v>0.4205527815604983</x:v>
      </x:c>
      <x:c r="K20" s="54" t="n">
        <x:f>K19/K8</x:f>
        <x:v>0.417728806361041</x:v>
      </x:c>
      <x:c r="L20" s="54" t="n">
        <x:f>L19/L8</x:f>
        <x:v>0.44644299573273716</x:v>
      </x:c>
      <x:c r="M20" s="54" t="n">
        <x:f>M19/M8</x:f>
        <x:v>0.4562195624085985</x:v>
      </x:c>
      <x:c r="N20" s="54" t="n">
        <x:f>N19/N8</x:f>
        <x:v>0.4678081840892722</x:v>
      </x:c>
      <x:c r="O20" s="54" t="n">
        <x:f>O19/O8</x:f>
        <x:v>0.45637874221208147</x:v>
      </x:c>
      <x:c r="P20" s="54" t="n">
        <x:f>P19/P8</x:f>
        <x:v>0.4256229541834091</x:v>
      </x:c>
      <x:c r="Q20" s="54" t="n">
        <x:f>Q19/Q8</x:f>
        <x:v>0.4022939964496796</x:v>
      </x:c>
      <x:c r="R20" s="54" t="n">
        <x:f>R19/R8</x:f>
        <x:v>0.38630180822151133</x:v>
      </x:c>
      <x:c r="S20" s="54" t="n">
        <x:f>S19/S8</x:f>
        <x:v>0.3746364321844728</x:v>
      </x:c>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Other income and expense, net</x:v>
      </x:c>
      <x:c r="D22" s="2"/>
      <x:c r="E22" s="51" t="n">
        <x:f>'Historical Inputs'!E16</x:f>
        <x:v>876</x:v>
      </x:c>
      <x:c r="F22" s="51" t="n">
        <x:f>'Historical Inputs'!F16</x:f>
        <x:v>1416</x:v>
      </x:c>
      <x:c r="G22" s="51" t="n">
        <x:f>'Historical Inputs'!G16</x:f>
        <x:v>729</x:v>
      </x:c>
      <x:c r="H22" s="51" t="n">
        <x:f>'Historical Inputs'!H16</x:f>
        <x:v>77</x:v>
      </x:c>
      <x:c r="I22" s="51" t="n">
        <x:f>'Historical Inputs'!I16</x:f>
        <x:v>1186</x:v>
      </x:c>
      <x:c r="J22" s="51" t="n">
        <x:f>'Historical Inputs'!J16</x:f>
        <x:v>333</x:v>
      </x:c>
      <x:c r="K22" s="51" t="n">
        <x:f>'Historical Inputs'!K16</x:f>
        <x:v>788</x:v>
      </x:c>
      <x:c r="L22" s="51" t="n">
        <x:f>'Historical Inputs'!L16</x:f>
        <x:v>-1646</x:v>
      </x:c>
      <x:c r="M22" s="51" t="n">
        <x:f>'Historical Inputs'!M16</x:f>
        <x:v>-4901</x:v>
      </x:c>
      <x:c r="N22" s="51" t="n">
        <x:f>'Historical Inputs'!N16</x:f>
        <x:v>10697</x:v>
      </x:c>
      <x:c r="O22" s="51" t="n">
        <x:f>'Debt and Leases'!O26-'Debt and Leases'!O25</x:f>
        <x:v>-1694.7628800000002</x:v>
      </x:c>
      <x:c r="P22" s="51" t="n">
        <x:f>'Debt and Leases'!P26-'Debt and Leases'!P25</x:f>
        <x:v>-1730.5016880917674</x:v>
      </x:c>
      <x:c r="Q22" s="51" t="n">
        <x:f>'Debt and Leases'!Q26-'Debt and Leases'!Q25</x:f>
        <x:v>-617.126328978964</x:v>
      </x:c>
      <x:c r="R22" s="51" t="n">
        <x:f>'Debt and Leases'!R26-'Debt and Leases'!R25</x:f>
        <x:v>1517.8983101153235</x:v>
      </x:c>
      <x:c r="S22" s="51" t="n">
        <x:f>'Debt and Leases'!S26-'Debt and Leases'!S25</x:f>
        <x:v>4956.134473784497</x:v>
      </x:c>
      <x:c r="T22" s="2"/>
      <x:c r="U22" s="2"/>
    </x:row>
    <x:row r="23" ht="21" customHeight="1">
      <x:c r="A23" s="2"/>
      <x:c r="B23" s="2"/>
      <x:c r="C23" s="64" t="str">
        <x:v>Income before income taxes</x:v>
      </x:c>
      <x:c r="D23" s="64"/>
      <x:c r="E23" s="66" t="n">
        <x:f>'Historical Inputs'!E17</x:f>
        <x:v>29901</x:v>
      </x:c>
      <x:c r="F23" s="66" t="n">
        <x:f>'Historical Inputs'!F17</x:f>
        <x:v>36474</x:v>
      </x:c>
      <x:c r="G23" s="66" t="n">
        <x:f>'Historical Inputs'!G17</x:f>
        <x:v>43688</x:v>
      </x:c>
      <x:c r="H23" s="66" t="n">
        <x:f>'Historical Inputs'!H17</x:f>
        <x:v>53036</x:v>
      </x:c>
      <x:c r="I23" s="66" t="n">
        <x:f>'Historical Inputs'!I17</x:f>
        <x:v>71102</x:v>
      </x:c>
      <x:c r="J23" s="66" t="n">
        <x:f>'Historical Inputs'!J17</x:f>
        <x:v>83716</x:v>
      </x:c>
      <x:c r="K23" s="66" t="n">
        <x:f>'Historical Inputs'!K17</x:f>
        <x:v>89311</x:v>
      </x:c>
      <x:c r="L23" s="66" t="n">
        <x:f>'Historical Inputs'!L17</x:f>
        <x:v>107787</x:v>
      </x:c>
      <x:c r="M23" s="66" t="n">
        <x:f>'Historical Inputs'!M17</x:f>
        <x:v>123627</x:v>
      </x:c>
      <x:c r="N23" s="66" t="n">
        <x:f>'Historical Inputs'!N17</x:f>
        <x:v>165934</x:v>
      </x:c>
      <x:c r="O23" s="68" t="n">
        <x:f>O19+O22</x:f>
        <x:v>174033.32415427134</x:v>
      </x:c>
      <x:c r="P23" s="68" t="n">
        <x:f>P19+P22</x:f>
        <x:v>187449.30041408233</x:v>
      </x:c>
      <x:c r="Q23" s="68" t="n">
        <x:f>Q19+Q22</x:f>
        <x:v>204119.26623087877</x:v>
      </x:c>
      <x:c r="R23" s="68" t="n">
        <x:f>R19+R22</x:f>
        <x:v>224530.61398818123</x:v>
      </x:c>
      <x:c r="S23" s="68" t="n">
        <x:f>S19+S22</x:f>
        <x:v>247760.6851953733</x:v>
      </x:c>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t="str">
        <x:v>Income tax expense</x:v>
      </x:c>
      <x:c r="D25" s="2"/>
      <x:c r="E25" s="51" t="n">
        <x:f>'Historical Inputs'!E18</x:f>
        <x:v>4412</x:v>
      </x:c>
      <x:c r="F25" s="51" t="n">
        <x:f>'Historical Inputs'!F18</x:f>
        <x:v>19903</x:v>
      </x:c>
      <x:c r="G25" s="51" t="n">
        <x:f>'Historical Inputs'!G18</x:f>
        <x:v>4448</x:v>
      </x:c>
      <x:c r="H25" s="51" t="n">
        <x:f>'Historical Inputs'!H18</x:f>
        <x:v>8755</x:v>
      </x:c>
      <x:c r="I25" s="51" t="n">
        <x:f>'Historical Inputs'!I18</x:f>
        <x:v>9831</x:v>
      </x:c>
      <x:c r="J25" s="51" t="n">
        <x:f>'Historical Inputs'!J18</x:f>
        <x:v>10978</x:v>
      </x:c>
      <x:c r="K25" s="51" t="n">
        <x:f>'Historical Inputs'!K18</x:f>
        <x:v>16950</x:v>
      </x:c>
      <x:c r="L25" s="51" t="n">
        <x:f>'Historical Inputs'!L18</x:f>
        <x:v>19651</x:v>
      </x:c>
      <x:c r="M25" s="51" t="n">
        <x:f>'Historical Inputs'!M18</x:f>
        <x:v>21795</x:v>
      </x:c>
      <x:c r="N25" s="51" t="n">
        <x:f>'Historical Inputs'!N18</x:f>
        <x:v>32185</x:v>
      </x:c>
      <x:c r="O25" s="51" t="n">
        <x:f>'Tax and Equity'!O10</x:f>
        <x:v>34806.66483085427</x:v>
      </x:c>
      <x:c r="P25" s="51" t="n">
        <x:f>'Tax and Equity'!P10</x:f>
        <x:v>37489.86008281647</x:v>
      </x:c>
      <x:c r="Q25" s="51" t="n">
        <x:f>'Tax and Equity'!Q10</x:f>
        <x:v>40823.85324617576</x:v>
      </x:c>
      <x:c r="R25" s="51" t="n">
        <x:f>'Tax and Equity'!R10</x:f>
        <x:v>44906.12279763625</x:v>
      </x:c>
      <x:c r="S25" s="51" t="n">
        <x:f>'Tax and Equity'!S10</x:f>
        <x:v>49552.13703907467</x:v>
      </x:c>
      <x:c r="T25" s="2"/>
      <x:c r="U25" s="2"/>
    </x:row>
    <x:row r="26" ht="21" customHeight="1">
      <x:c r="A26" s="2"/>
      <x:c r="B26" s="2"/>
      <x:c r="C26" s="18" t="str">
        <x:v>Effective tax rate</x:v>
      </x:c>
      <x:c r="D26" s="18"/>
      <x:c r="E26" s="54" t="n">
        <x:f>E25/E23</x:f>
        <x:v>0.14755359352530015</x:v>
      </x:c>
      <x:c r="F26" s="54" t="n">
        <x:f>F25/F23</x:f>
        <x:v>0.5456763722103416</x:v>
      </x:c>
      <x:c r="G26" s="54" t="n">
        <x:f>G25/G23</x:f>
        <x:v>0.10181285478850027</x:v>
      </x:c>
      <x:c r="H26" s="54" t="n">
        <x:f>H25/H23</x:f>
        <x:v>0.16507655177615205</x:v>
      </x:c>
      <x:c r="I26" s="54" t="n">
        <x:f>I25/I23</x:f>
        <x:v>0.13826615285083402</x:v>
      </x:c>
      <x:c r="J26" s="54" t="n">
        <x:f>J25/J23</x:f>
        <x:v>0.13113383343685794</x:v>
      </x:c>
      <x:c r="K26" s="54" t="n">
        <x:f>K25/K23</x:f>
        <x:v>0.18978625253328257</x:v>
      </x:c>
      <x:c r="L26" s="54" t="n">
        <x:f>L25/L23</x:f>
        <x:v>0.18231326597827197</x:v>
      </x:c>
      <x:c r="M26" s="54" t="n">
        <x:f>M25/M23</x:f>
        <x:v>0.17629644009803683</x:v>
      </x:c>
      <x:c r="N26" s="54" t="n">
        <x:f>N25/N23</x:f>
        <x:v>0.19396265985271252</x:v>
      </x:c>
      <x:c r="O26" s="54" t="n">
        <x:f>O25/O23</x:f>
        <x:v>0.20000000000000004</x:v>
      </x:c>
      <x:c r="P26" s="54" t="n">
        <x:f>P25/P23</x:f>
        <x:v>0.2</x:v>
      </x:c>
      <x:c r="Q26" s="54" t="n">
        <x:f>Q25/Q23</x:f>
        <x:v>0.2</x:v>
      </x:c>
      <x:c r="R26" s="54" t="n">
        <x:f>R25/R23</x:f>
        <x:v>0.2</x:v>
      </x:c>
      <x:c r="S26" s="54" t="n">
        <x:f>S25/S23</x:f>
        <x:v>0.2</x:v>
      </x:c>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64" t="str">
        <x:v>Net income</x:v>
      </x:c>
      <x:c r="D28" s="64"/>
      <x:c r="E28" s="66" t="n">
        <x:f>'Historical Inputs'!E19</x:f>
        <x:v>25489</x:v>
      </x:c>
      <x:c r="F28" s="66" t="n">
        <x:f>'Historical Inputs'!F19</x:f>
        <x:v>16571</x:v>
      </x:c>
      <x:c r="G28" s="66" t="n">
        <x:f>'Historical Inputs'!G19</x:f>
        <x:v>39240</x:v>
      </x:c>
      <x:c r="H28" s="66" t="n">
        <x:f>'Historical Inputs'!H19</x:f>
        <x:v>44281</x:v>
      </x:c>
      <x:c r="I28" s="66" t="n">
        <x:f>'Historical Inputs'!I19</x:f>
        <x:v>61271</x:v>
      </x:c>
      <x:c r="J28" s="66" t="n">
        <x:f>'Historical Inputs'!J19</x:f>
        <x:v>72738</x:v>
      </x:c>
      <x:c r="K28" s="66" t="n">
        <x:f>'Historical Inputs'!K19</x:f>
        <x:v>72361</x:v>
      </x:c>
      <x:c r="L28" s="66" t="n">
        <x:f>'Historical Inputs'!L19</x:f>
        <x:v>88136</x:v>
      </x:c>
      <x:c r="M28" s="66" t="n">
        <x:f>'Historical Inputs'!M19</x:f>
        <x:v>101832</x:v>
      </x:c>
      <x:c r="N28" s="66" t="n">
        <x:f>'Historical Inputs'!N19</x:f>
        <x:v>133749</x:v>
      </x:c>
      <x:c r="O28" s="68" t="n">
        <x:f>O23-O25</x:f>
        <x:v>139226.65932341706</x:v>
      </x:c>
      <x:c r="P28" s="68" t="n">
        <x:f>P23-P25</x:f>
        <x:v>149959.44033126585</x:v>
      </x:c>
      <x:c r="Q28" s="68" t="n">
        <x:f>Q23-Q25</x:f>
        <x:v>163295.41298470303</x:v>
      </x:c>
      <x:c r="R28" s="68" t="n">
        <x:f>R23-R25</x:f>
        <x:v>179624.49119054497</x:v>
      </x:c>
      <x:c r="S28" s="68" t="n">
        <x:f>S23-S25</x:f>
        <x:v>198208.54815629864</x:v>
      </x:c>
      <x:c r="T28" s="2"/>
      <x:c r="U28" s="2"/>
    </x:row>
    <x:row r="29" ht="21" customHeight="1">
      <x:c r="A29" s="2"/>
      <x:c r="B29" s="2"/>
      <x:c r="C29" s="18" t="str">
        <x:v>Net margin</x:v>
      </x:c>
      <x:c r="D29" s="18"/>
      <x:c r="E29" s="54" t="n">
        <x:f>E28/E8</x:f>
        <x:v>0.26394052044609667</x:v>
      </x:c>
      <x:c r="F29" s="54" t="n">
        <x:f>F28/F8</x:f>
        <x:v>0.1501540413193186</x:v>
      </x:c>
      <x:c r="G29" s="54" t="n">
        <x:f>G28/G8</x:f>
        <x:v>0.3118171054409065</x:v>
      </x:c>
      <x:c r="H29" s="54" t="n">
        <x:f>H28/H8</x:f>
        <x:v>0.3096248645247002</x:v>
      </x:c>
      <x:c r="I29" s="54" t="n">
        <x:f>I28/I8</x:f>
        <x:v>0.36451739564989766</x:v>
      </x:c>
      <x:c r="J29" s="54" t="n">
        <x:f>J28/J8</x:f>
        <x:v>0.3668633681343622</x:v>
      </x:c>
      <x:c r="K29" s="54" t="n">
        <x:f>K28/K8</x:f>
        <x:v>0.3414623787839464</x:v>
      </x:c>
      <x:c r="L29" s="54" t="n">
        <x:f>L28/L8</x:f>
        <x:v>0.35955972944084985</x:v>
      </x:c>
      <x:c r="M29" s="54" t="n">
        <x:f>M28/M8</x:f>
        <x:v>0.3614601524896707</x:v>
      </x:c>
      <x:c r="N29" s="54" t="n">
        <x:f>N28/N8</x:f>
        <x:v>0.4030538905915218</x:v>
      </x:c>
      <x:c r="O29" s="54" t="n">
        <x:f>O28/O8</x:f>
        <x:v>0.36158185488025685</x:v>
      </x:c>
      <x:c r="P29" s="54" t="n">
        <x:f>P28/P8</x:f>
        <x:v>0.3373836915582149</x:v>
      </x:c>
      <x:c r="Q29" s="54" t="n">
        <x:f>Q28/Q8</x:f>
        <x:v>0.32086510595477463</x:v>
      </x:c>
      <x:c r="R29" s="54" t="n">
        <x:f>R28/R8</x:f>
        <x:v>0.3111448848860466</x:v>
      </x:c>
      <x:c r="S29" s="54" t="n">
        <x:f>S28/S8</x:f>
        <x:v>0.30582681868630046</x:v>
      </x:c>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t="str">
        <x:v>Basic weighted average shares</x:v>
      </x:c>
      <x:c r="D31" s="2"/>
      <x:c r="E31" s="52" t="n">
        <x:f>'Historical Inputs'!E22</x:f>
        <x:v>7746</x:v>
      </x:c>
      <x:c r="F31" s="52" t="n">
        <x:f>'Historical Inputs'!F22</x:f>
        <x:v>7700</x:v>
      </x:c>
      <x:c r="G31" s="52" t="n">
        <x:f>'Historical Inputs'!G22</x:f>
        <x:v>7673</x:v>
      </x:c>
      <x:c r="H31" s="52" t="n">
        <x:f>'Historical Inputs'!H22</x:f>
        <x:v>7610</x:v>
      </x:c>
      <x:c r="I31" s="52" t="n">
        <x:f>'Historical Inputs'!I22</x:f>
        <x:v>7547</x:v>
      </x:c>
      <x:c r="J31" s="52" t="n">
        <x:f>'Historical Inputs'!J22</x:f>
        <x:v>7496</x:v>
      </x:c>
      <x:c r="K31" s="52" t="n">
        <x:f>'Historical Inputs'!K22</x:f>
        <x:v>7446</x:v>
      </x:c>
      <x:c r="L31" s="52" t="n">
        <x:f>'Historical Inputs'!L22</x:f>
        <x:v>7431</x:v>
      </x:c>
      <x:c r="M31" s="52" t="n">
        <x:f>'Historical Inputs'!M22</x:f>
        <x:v>7433</x:v>
      </x:c>
      <x:c r="N31" s="52" t="n">
        <x:f>'Historical Inputs'!N22</x:f>
        <x:v>7429</x:v>
      </x:c>
      <x:c r="O31" s="52" t="n">
        <x:f>'Tax and Equity'!O35</x:f>
        <x:v>7406.713</x:v>
      </x:c>
      <x:c r="P31" s="52" t="n">
        <x:f>'Tax and Equity'!P35</x:f>
        <x:v>7384.492861</x:v>
      </x:c>
      <x:c r="Q31" s="52" t="n">
        <x:f>'Tax and Equity'!Q35</x:f>
        <x:v>7362.339382417</x:v>
      </x:c>
      <x:c r="R31" s="52" t="n">
        <x:f>'Tax and Equity'!R35</x:f>
        <x:v>7340.25236426975</x:v>
      </x:c>
      <x:c r="S31" s="52" t="n">
        <x:f>'Tax and Equity'!S35</x:f>
        <x:v>7318.23160717694</x:v>
      </x:c>
      <x:c r="T31" s="2"/>
      <x:c r="U31" s="2"/>
    </x:row>
    <x:row r="32" ht="21" customHeight="1">
      <x:c r="A32" s="2"/>
      <x:c r="B32" s="2"/>
      <x:c r="C32" s="2" t="str">
        <x:v>Diluted weighted average shares</x:v>
      </x:c>
      <x:c r="D32" s="2"/>
      <x:c r="E32" s="52" t="n">
        <x:f>'Historical Inputs'!E23</x:f>
        <x:v>7832</x:v>
      </x:c>
      <x:c r="F32" s="52" t="n">
        <x:f>'Historical Inputs'!F23</x:f>
        <x:v>7794</x:v>
      </x:c>
      <x:c r="G32" s="52" t="n">
        <x:f>'Historical Inputs'!G23</x:f>
        <x:v>7753</x:v>
      </x:c>
      <x:c r="H32" s="52" t="n">
        <x:f>'Historical Inputs'!H23</x:f>
        <x:v>7683</x:v>
      </x:c>
      <x:c r="I32" s="52" t="n">
        <x:f>'Historical Inputs'!I23</x:f>
        <x:v>7608</x:v>
      </x:c>
      <x:c r="J32" s="52" t="n">
        <x:f>'Historical Inputs'!J23</x:f>
        <x:v>7540</x:v>
      </x:c>
      <x:c r="K32" s="52" t="n">
        <x:f>'Historical Inputs'!K23</x:f>
        <x:v>7472</x:v>
      </x:c>
      <x:c r="L32" s="52" t="n">
        <x:f>'Historical Inputs'!L23</x:f>
        <x:v>7469</x:v>
      </x:c>
      <x:c r="M32" s="52" t="n">
        <x:f>'Historical Inputs'!M23</x:f>
        <x:v>7465</x:v>
      </x:c>
      <x:c r="N32" s="52" t="n">
        <x:f>'Historical Inputs'!N23</x:f>
        <x:v>7453</x:v>
      </x:c>
      <x:c r="O32" s="52" t="n">
        <x:f>'Tax and Equity'!O34</x:f>
        <x:v>7430.641</x:v>
      </x:c>
      <x:c r="P32" s="52" t="n">
        <x:f>'Tax and Equity'!P34</x:f>
        <x:v>7408.349077</x:v>
      </x:c>
      <x:c r="Q32" s="52" t="n">
        <x:f>'Tax and Equity'!Q34</x:f>
        <x:v>7386.124029769</x:v>
      </x:c>
      <x:c r="R32" s="52" t="n">
        <x:f>'Tax and Equity'!R34</x:f>
        <x:v>7363.965657679693</x:v>
      </x:c>
      <x:c r="S32" s="52" t="n">
        <x:f>'Tax and Equity'!S34</x:f>
        <x:v>7341.873760706654</x:v>
      </x:c>
      <x:c r="T32" s="2"/>
      <x:c r="U32" s="2"/>
    </x:row>
    <x:row r="33" ht="21" customHeight="1">
      <x:c r="A33" s="2"/>
      <x:c r="B33" s="2"/>
      <x:c r="C33" s="2" t="str">
        <x:v>Diluted earnings per share</x:v>
      </x:c>
      <x:c r="D33" s="2"/>
      <x:c r="E33" s="53" t="n">
        <x:f>'Historical Inputs'!E21</x:f>
        <x:v>3.25</x:v>
      </x:c>
      <x:c r="F33" s="53" t="n">
        <x:f>'Historical Inputs'!F21</x:f>
        <x:v>2.13</x:v>
      </x:c>
      <x:c r="G33" s="53" t="n">
        <x:f>'Historical Inputs'!G21</x:f>
        <x:v>5.06</x:v>
      </x:c>
      <x:c r="H33" s="53" t="n">
        <x:f>'Historical Inputs'!H21</x:f>
        <x:v>5.76</x:v>
      </x:c>
      <x:c r="I33" s="53" t="n">
        <x:f>'Historical Inputs'!I21</x:f>
        <x:v>8.05</x:v>
      </x:c>
      <x:c r="J33" s="53" t="n">
        <x:f>'Historical Inputs'!J21</x:f>
        <x:v>9.65</x:v>
      </x:c>
      <x:c r="K33" s="53" t="n">
        <x:f>'Historical Inputs'!K21</x:f>
        <x:v>9.68</x:v>
      </x:c>
      <x:c r="L33" s="53" t="n">
        <x:f>'Historical Inputs'!L21</x:f>
        <x:v>11.8</x:v>
      </x:c>
      <x:c r="M33" s="53" t="n">
        <x:f>'Historical Inputs'!M21</x:f>
        <x:v>13.64</x:v>
      </x:c>
      <x:c r="N33" s="53" t="n">
        <x:f>'Historical Inputs'!N21</x:f>
        <x:v>17.95</x:v>
      </x:c>
      <x:c r="O33" s="61" t="n">
        <x:f>O28/O32</x:f>
        <x:v>18.73683028468433</x:v>
      </x:c>
      <x:c r="P33" s="61" t="n">
        <x:f>P28/P32</x:f>
        <x:v>20.24195117868173</x:v>
      </x:c>
      <x:c r="Q33" s="61" t="n">
        <x:f>Q28/Q32</x:f>
        <x:v>22.108403856550193</x:v>
      </x:c>
      <x:c r="R33" s="61" t="n">
        <x:f>R28/R32</x:f>
        <x:v>24.39235862041523</x:v>
      </x:c>
      <x:c r="S33" s="61" t="n">
        <x:f>S28/S32</x:f>
        <x:v>26.996997580794837</x:v>
      </x:c>
      <x:c r="T33" s="2"/>
      <x:c r="U33" s="2"/>
    </x:row>
    <x:row r="34" ht="21" customHeight="1">
      <x:c r="A34" s="2"/>
      <x:c r="B34" s="2"/>
      <x:c r="C34" s="2" t="str">
        <x:v>Basic earnings per share</x:v>
      </x:c>
      <x:c r="D34" s="2"/>
      <x:c r="E34" s="53" t="n">
        <x:f>'Historical Inputs'!E20</x:f>
        <x:v>3.29</x:v>
      </x:c>
      <x:c r="F34" s="53" t="n">
        <x:f>'Historical Inputs'!F20</x:f>
        <x:v>2.15</x:v>
      </x:c>
      <x:c r="G34" s="53" t="n">
        <x:f>'Historical Inputs'!G20</x:f>
        <x:v>5.11</x:v>
      </x:c>
      <x:c r="H34" s="53" t="n">
        <x:f>'Historical Inputs'!H20</x:f>
        <x:v>5.82</x:v>
      </x:c>
      <x:c r="I34" s="53" t="n">
        <x:f>'Historical Inputs'!I20</x:f>
        <x:v>8.12</x:v>
      </x:c>
      <x:c r="J34" s="53" t="n">
        <x:f>'Historical Inputs'!J20</x:f>
        <x:v>9.7</x:v>
      </x:c>
      <x:c r="K34" s="53" t="n">
        <x:f>'Historical Inputs'!K20</x:f>
        <x:v>9.72</x:v>
      </x:c>
      <x:c r="L34" s="53" t="n">
        <x:f>'Historical Inputs'!L20</x:f>
        <x:v>11.86</x:v>
      </x:c>
      <x:c r="M34" s="53" t="n">
        <x:f>'Historical Inputs'!M20</x:f>
        <x:v>13.7</x:v>
      </x:c>
      <x:c r="N34" s="53" t="n">
        <x:f>'Historical Inputs'!N20</x:f>
        <x:v>18</x:v>
      </x:c>
      <x:c r="O34" s="61" t="n">
        <x:f>O28/O31</x:f>
        <x:v>18.79736116728393</x:v>
      </x:c>
      <x:c r="P34" s="61" t="n">
        <x:f>P28/P31</x:f>
        <x:v>20.307344479030142</x:v>
      </x:c>
      <x:c r="Q34" s="61" t="n">
        <x:f>Q28/Q31</x:f>
        <x:v>22.179826886911915</x:v>
      </x:c>
      <x:c r="R34" s="61" t="n">
        <x:f>R28/R31</x:f>
        <x:v>24.471160155869523</x:v>
      </x:c>
      <x:c r="S34" s="61" t="n">
        <x:f>S28/S31</x:f>
        <x:v>27.084213618207553</x:v>
      </x:c>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64" t="str">
        <x:v>Operating income plus disclosed D&amp;A</x:v>
      </x:c>
      <x:c r="D36" s="64"/>
      <x:c r="E36" s="66" t="n">
        <x:f>E19+'PPE and Intangibles'!E21+'PPE and Intangibles'!E42</x:f>
        <x:v>36825</x:v>
      </x:c>
      <x:c r="F36" s="66" t="n">
        <x:f>F19+'PPE and Intangibles'!F21+'PPE and Intangibles'!F42</x:f>
        <x:v>44958</x:v>
      </x:c>
      <x:c r="G36" s="66" t="n">
        <x:f>G19+'PPE and Intangibles'!G21+'PPE and Intangibles'!G42</x:f>
        <x:v>54559</x:v>
      </x:c>
      <x:c r="H36" s="66" t="n">
        <x:f>H19+'PPE and Intangibles'!H21+'PPE and Intangibles'!H42</x:f>
        <x:v>65259</x:v>
      </x:c>
      <x:c r="I36" s="66" t="n">
        <x:f>I19+'PPE and Intangibles'!I21+'PPE and Intangibles'!I42</x:f>
        <x:v>80816</x:v>
      </x:c>
      <x:c r="J36" s="66" t="n">
        <x:f>J19+'PPE and Intangibles'!J21+'PPE and Intangibles'!J42</x:f>
        <x:v>97983</x:v>
      </x:c>
      <x:c r="K36" s="66" t="n">
        <x:f>K19+'PPE and Intangibles'!K21+'PPE and Intangibles'!K42</x:f>
        <x:v>102023</x:v>
      </x:c>
      <x:c r="L36" s="66" t="n">
        <x:f>L19+'PPE and Intangibles'!L21+'PPE and Intangibles'!L42</x:f>
        <x:v>129433</x:v>
      </x:c>
      <x:c r="M36" s="66" t="n">
        <x:f>M19+'PPE and Intangibles'!M21+'PPE and Intangibles'!M42</x:f>
        <x:v>156528</x:v>
      </x:c>
      <x:c r="N36" s="66" t="n">
        <x:f>N19+'PPE and Intangibles'!N21+'PPE and Intangibles'!N42</x:f>
        <x:v>194237</x:v>
      </x:c>
      <x:c r="O36" s="66" t="n">
        <x:f>O19+'PPE and Intangibles'!O21+'PPE and Intangibles'!O42</x:f>
        <x:v>229144.45363427134</x:v>
      </x:c>
      <x:c r="P36" s="66" t="n">
        <x:f>P19+'PPE and Intangibles'!P21+'PPE and Intangibles'!P42</x:f>
        <x:v>266920.4223635874</x:v>
      </x:c>
      <x:c r="Q36" s="66" t="n">
        <x:f>Q19+'PPE and Intangibles'!Q21+'PPE and Intangibles'!Q42</x:f>
        <x:v>308245.96315238444</x:v>
      </x:c>
      <x:c r="R36" s="66" t="n">
        <x:f>R19+'PPE and Intangibles'!R21+'PPE and Intangibles'!R42</x:f>
        <x:v>352499.80753028055</x:v>
      </x:c>
      <x:c r="S36" s="66" t="n">
        <x:f>S19+'PPE and Intangibles'!S21+'PPE and Intangibles'!S42</x:f>
        <x:v>398785.1006277711</x:v>
      </x:c>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095221387d764bb8"/>
</x:worksheet>
</file>

<file path=xl/worksheets/sheet8.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Balance Sheet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Cash and cash equivalents</x:v>
      </x:c>
      <x:c r="D8" s="2"/>
      <x:c r="E8" s="51" t="n">
        <x:f>'Historical Inputs'!E28</x:f>
        <x:v>7663</x:v>
      </x:c>
      <x:c r="F8" s="51" t="n">
        <x:f>'Historical Inputs'!F28</x:f>
        <x:v>11946</x:v>
      </x:c>
      <x:c r="G8" s="51" t="n">
        <x:f>'Historical Inputs'!G28</x:f>
        <x:v>11356</x:v>
      </x:c>
      <x:c r="H8" s="51" t="n">
        <x:f>'Historical Inputs'!H28</x:f>
        <x:v>13576</x:v>
      </x:c>
      <x:c r="I8" s="51" t="n">
        <x:f>'Historical Inputs'!I28</x:f>
        <x:v>14224</x:v>
      </x:c>
      <x:c r="J8" s="51" t="n">
        <x:f>'Historical Inputs'!J28</x:f>
        <x:v>13931</x:v>
      </x:c>
      <x:c r="K8" s="51" t="n">
        <x:f>'Historical Inputs'!K28</x:f>
        <x:v>34704</x:v>
      </x:c>
      <x:c r="L8" s="51" t="n">
        <x:f>'Historical Inputs'!L28</x:f>
        <x:v>18315</x:v>
      </x:c>
      <x:c r="M8" s="51" t="n">
        <x:f>'Historical Inputs'!M28</x:f>
        <x:v>30242</x:v>
      </x:c>
      <x:c r="N8" s="51" t="n">
        <x:f>'Historical Inputs'!N28</x:f>
        <x:v>20935</x:v>
      </x:c>
      <x:c r="O8" s="51" t="n">
        <x:f>'Cash Flow'!O54</x:f>
        <x:v>37832.17978311873</x:v>
      </x:c>
      <x:c r="P8" s="51" t="n">
        <x:f>'Cash Flow'!P54</x:f>
        <x:v>94472.09354841156</x:v>
      </x:c>
      <x:c r="Q8" s="51" t="n">
        <x:f>'Cash Flow'!Q54</x:f>
        <x:v>178678.8120071388</x:v>
      </x:c>
      <x:c r="R8" s="51" t="n">
        <x:f>'Cash Flow'!R54</x:f>
        <x:v>300717.550255754</x:v>
      </x:c>
      <x:c r="S8" s="51" t="n">
        <x:f>'Cash Flow'!S54</x:f>
        <x:v>457382.5410788633</x:v>
      </x:c>
      <x:c r="T8" s="2"/>
      <x:c r="U8" s="2"/>
    </x:row>
    <x:row r="9" ht="21" customHeight="1">
      <x:c r="A9" s="2"/>
      <x:c r="B9" s="2"/>
      <x:c r="C9" s="2" t="str">
        <x:v>Short-term investments</x:v>
      </x:c>
      <x:c r="D9" s="2"/>
      <x:c r="E9" s="51" t="n">
        <x:f>'Historical Inputs'!E29</x:f>
        <x:v>125318</x:v>
      </x:c>
      <x:c r="F9" s="51" t="n">
        <x:f>'Historical Inputs'!F29</x:f>
        <x:v>121822</x:v>
      </x:c>
      <x:c r="G9" s="51" t="n">
        <x:f>'Historical Inputs'!G29</x:f>
        <x:v>122463</x:v>
      </x:c>
      <x:c r="H9" s="51" t="n">
        <x:f>'Historical Inputs'!H29</x:f>
        <x:v>122951</x:v>
      </x:c>
      <x:c r="I9" s="51" t="n">
        <x:f>'Historical Inputs'!I29</x:f>
        <x:v>116110</x:v>
      </x:c>
      <x:c r="J9" s="51" t="n">
        <x:f>'Historical Inputs'!J29</x:f>
        <x:v>90826</x:v>
      </x:c>
      <x:c r="K9" s="51" t="n">
        <x:f>'Historical Inputs'!K29</x:f>
        <x:v>76558</x:v>
      </x:c>
      <x:c r="L9" s="51" t="n">
        <x:f>'Historical Inputs'!L29</x:f>
        <x:v>57228</x:v>
      </x:c>
      <x:c r="M9" s="51" t="n">
        <x:f>'Historical Inputs'!M29</x:f>
        <x:v>64323</x:v>
      </x:c>
      <x:c r="N9" s="51" t="n">
        <x:f>'Historical Inputs'!N29</x:f>
        <x:v>55908</x:v>
      </x:c>
      <x:c r="O9" s="51" t="n">
        <x:f>'Debt and Leases'!O78</x:f>
        <x:v>55908</x:v>
      </x:c>
      <x:c r="P9" s="51" t="n">
        <x:f>'Debt and Leases'!P78</x:f>
        <x:v>55908</x:v>
      </x:c>
      <x:c r="Q9" s="51" t="n">
        <x:f>'Debt and Leases'!Q78</x:f>
        <x:v>55908</x:v>
      </x:c>
      <x:c r="R9" s="51" t="n">
        <x:f>'Debt and Leases'!R78</x:f>
        <x:v>55908</x:v>
      </x:c>
      <x:c r="S9" s="51" t="n">
        <x:f>'Debt and Leases'!S78</x:f>
        <x:v>55908</x:v>
      </x:c>
      <x:c r="T9" s="2"/>
      <x:c r="U9" s="2"/>
    </x:row>
    <x:row r="10" ht="21" customHeight="1">
      <x:c r="A10" s="2"/>
      <x:c r="B10" s="2"/>
      <x:c r="C10" s="64" t="str">
        <x:v>Cash and short-term investments</x:v>
      </x:c>
      <x:c r="D10" s="64"/>
      <x:c r="E10" s="68" t="n">
        <x:f>SUM(E8:E9)</x:f>
        <x:v>132981</x:v>
      </x:c>
      <x:c r="F10" s="68" t="n">
        <x:f>SUM(F8:F9)</x:f>
        <x:v>133768</x:v>
      </x:c>
      <x:c r="G10" s="68" t="n">
        <x:f>SUM(G8:G9)</x:f>
        <x:v>133819</x:v>
      </x:c>
      <x:c r="H10" s="68" t="n">
        <x:f>SUM(H8:H9)</x:f>
        <x:v>136527</x:v>
      </x:c>
      <x:c r="I10" s="68" t="n">
        <x:f>SUM(I8:I9)</x:f>
        <x:v>130334</x:v>
      </x:c>
      <x:c r="J10" s="68" t="n">
        <x:f>SUM(J8:J9)</x:f>
        <x:v>104757</x:v>
      </x:c>
      <x:c r="K10" s="68" t="n">
        <x:f>SUM(K8:K9)</x:f>
        <x:v>111262</x:v>
      </x:c>
      <x:c r="L10" s="68" t="n">
        <x:f>SUM(L8:L9)</x:f>
        <x:v>75543</x:v>
      </x:c>
      <x:c r="M10" s="68" t="n">
        <x:f>SUM(M8:M9)</x:f>
        <x:v>94565</x:v>
      </x:c>
      <x:c r="N10" s="68" t="n">
        <x:f>SUM(N8:N9)</x:f>
        <x:v>76843</x:v>
      </x:c>
      <x:c r="O10" s="68" t="n">
        <x:f>SUM(O8:O9)</x:f>
        <x:v>93740.17978311873</x:v>
      </x:c>
      <x:c r="P10" s="68" t="n">
        <x:f>SUM(P8:P9)</x:f>
        <x:v>150380.09354841156</x:v>
      </x:c>
      <x:c r="Q10" s="68" t="n">
        <x:f>SUM(Q8:Q9)</x:f>
        <x:v>234586.8120071388</x:v>
      </x:c>
      <x:c r="R10" s="68" t="n">
        <x:f>SUM(R8:R9)</x:f>
        <x:v>356625.550255754</x:v>
      </x:c>
      <x:c r="S10" s="68" t="n">
        <x:f>SUM(S8:S9)</x:f>
        <x:v>513290.5410788633</x:v>
      </x:c>
      <x:c r="T10" s="2"/>
      <x:c r="U10" s="2"/>
    </x:row>
    <x:row r="11" ht="21" customHeight="1">
      <x:c r="A11" s="2"/>
      <x:c r="B11" s="2"/>
      <x:c r="C11" s="2" t="str">
        <x:v>Accounts receivable, net</x:v>
      </x:c>
      <x:c r="D11" s="2"/>
      <x:c r="E11" s="51" t="n">
        <x:f>'Historical Inputs'!E31</x:f>
        <x:v>22431</x:v>
      </x:c>
      <x:c r="F11" s="51" t="n">
        <x:f>'Historical Inputs'!F31</x:f>
        <x:v>26481</x:v>
      </x:c>
      <x:c r="G11" s="51" t="n">
        <x:f>'Historical Inputs'!G31</x:f>
        <x:v>29524</x:v>
      </x:c>
      <x:c r="H11" s="51" t="n">
        <x:f>'Historical Inputs'!H31</x:f>
        <x:v>32011</x:v>
      </x:c>
      <x:c r="I11" s="51" t="n">
        <x:f>'Historical Inputs'!I31</x:f>
        <x:v>38043</x:v>
      </x:c>
      <x:c r="J11" s="51" t="n">
        <x:f>'Historical Inputs'!J31</x:f>
        <x:v>44261</x:v>
      </x:c>
      <x:c r="K11" s="51" t="n">
        <x:f>'Historical Inputs'!K31</x:f>
        <x:v>48688</x:v>
      </x:c>
      <x:c r="L11" s="51" t="n">
        <x:f>'Historical Inputs'!L31</x:f>
        <x:v>56924</x:v>
      </x:c>
      <x:c r="M11" s="51" t="n">
        <x:f>'Historical Inputs'!M31</x:f>
        <x:v>69905</x:v>
      </x:c>
      <x:c r="N11" s="51" t="n">
        <x:f>'Historical Inputs'!N31</x:f>
        <x:v>80876</x:v>
      </x:c>
      <x:c r="O11" s="51" t="n">
        <x:f>'Working Capital'!O8</x:f>
        <x:v>93844.32435247215</x:v>
      </x:c>
      <x:c r="P11" s="51" t="n">
        <x:f>'Working Capital'!P8</x:f>
        <x:v>108328.3087025407</x:v>
      </x:c>
      <x:c r="Q11" s="51" t="n">
        <x:f>'Working Capital'!Q8</x:f>
        <x:v>124034.85203292692</x:v>
      </x:c>
      <x:c r="R11" s="51" t="n">
        <x:f>'Working Capital'!R8</x:f>
        <x:v>140700.3322082996</x:v>
      </x:c>
      <x:c r="S11" s="51" t="n">
        <x:f>'Working Capital'!S8</x:f>
        <x:v>157957.06334632353</x:v>
      </x:c>
      <x:c r="T11" s="2"/>
      <x:c r="U11" s="2"/>
    </x:row>
    <x:row r="12" ht="21" customHeight="1">
      <x:c r="A12" s="2"/>
      <x:c r="B12" s="2"/>
      <x:c r="C12" s="2" t="str">
        <x:v>Inventories</x:v>
      </x:c>
      <x:c r="D12" s="2"/>
      <x:c r="E12" s="51" t="n">
        <x:f>'Historical Inputs'!E32</x:f>
        <x:v>2181</x:v>
      </x:c>
      <x:c r="F12" s="51" t="n">
        <x:f>'Historical Inputs'!F32</x:f>
        <x:v>2662</x:v>
      </x:c>
      <x:c r="G12" s="51" t="n">
        <x:f>'Historical Inputs'!G32</x:f>
        <x:v>2063</x:v>
      </x:c>
      <x:c r="H12" s="51" t="n">
        <x:f>'Historical Inputs'!H32</x:f>
        <x:v>1895</x:v>
      </x:c>
      <x:c r="I12" s="51" t="n">
        <x:f>'Historical Inputs'!I32</x:f>
        <x:v>2636</x:v>
      </x:c>
      <x:c r="J12" s="51" t="n">
        <x:f>'Historical Inputs'!J32</x:f>
        <x:v>3742</x:v>
      </x:c>
      <x:c r="K12" s="51" t="n">
        <x:f>'Historical Inputs'!K32</x:f>
        <x:v>2500</x:v>
      </x:c>
      <x:c r="L12" s="51" t="n">
        <x:f>'Historical Inputs'!L32</x:f>
        <x:v>1246</x:v>
      </x:c>
      <x:c r="M12" s="51" t="n">
        <x:f>'Historical Inputs'!M32</x:f>
        <x:v>938</x:v>
      </x:c>
      <x:c r="N12" s="51" t="n">
        <x:f>'Historical Inputs'!N32</x:f>
        <x:v>1397</x:v>
      </x:c>
      <x:c r="O12" s="51" t="n">
        <x:f>'Working Capital'!O10</x:f>
        <x:v>1667.0221308691657</x:v>
      </x:c>
      <x:c r="P12" s="51" t="n">
        <x:f>'Working Capital'!P10</x:f>
        <x:v>2082.7190934934065</x:v>
      </x:c>
      <x:c r="Q12" s="51" t="n">
        <x:f>'Working Capital'!Q10</x:f>
        <x:v>2524.9622667606704</x:v>
      </x:c>
      <x:c r="R12" s="51" t="n">
        <x:f>'Working Capital'!R10</x:f>
        <x:v>2976.275637490426</x:v>
      </x:c>
      <x:c r="S12" s="51" t="n">
        <x:f>'Working Capital'!S10</x:f>
        <x:v>3436.2881961675116</x:v>
      </x:c>
      <x:c r="T12" s="2"/>
      <x:c r="U12" s="2"/>
    </x:row>
    <x:row r="13" ht="21" customHeight="1">
      <x:c r="A13" s="2"/>
      <x:c r="B13" s="2"/>
      <x:c r="C13" s="2" t="str">
        <x:v>Other current assets</x:v>
      </x:c>
      <x:c r="D13" s="2"/>
      <x:c r="E13" s="51" t="n">
        <x:f>'Historical Inputs'!E33</x:f>
        <x:v>5103</x:v>
      </x:c>
      <x:c r="F13" s="51" t="n">
        <x:f>'Historical Inputs'!F33</x:f>
        <x:v>6751</x:v>
      </x:c>
      <x:c r="G13" s="51" t="n">
        <x:f>'Historical Inputs'!G33</x:f>
        <x:v>10146</x:v>
      </x:c>
      <x:c r="H13" s="51" t="n">
        <x:f>'Historical Inputs'!H33</x:f>
        <x:v>11482</x:v>
      </x:c>
      <x:c r="I13" s="51" t="n">
        <x:f>'Historical Inputs'!I33</x:f>
        <x:v>13393</x:v>
      </x:c>
      <x:c r="J13" s="51" t="n">
        <x:f>'Historical Inputs'!J33</x:f>
        <x:v>16924</x:v>
      </x:c>
      <x:c r="K13" s="51" t="n">
        <x:f>'Historical Inputs'!K33</x:f>
        <x:v>21807</x:v>
      </x:c>
      <x:c r="L13" s="51" t="n">
        <x:f>'Historical Inputs'!L33</x:f>
        <x:v>26021</x:v>
      </x:c>
      <x:c r="M13" s="51" t="n">
        <x:f>'Historical Inputs'!M33</x:f>
        <x:v>25723</x:v>
      </x:c>
      <x:c r="N13" s="51" t="n">
        <x:f>'Historical Inputs'!N33</x:f>
        <x:v>48594</x:v>
      </x:c>
      <x:c r="O13" s="51" t="n">
        <x:f>'Working Capital'!O18</x:f>
        <x:v>51981.58800000001</x:v>
      </x:c>
      <x:c r="P13" s="51" t="n">
        <x:f>'Working Capital'!P18</x:f>
        <x:v>55559.68030000001</x:v>
      </x:c>
      <x:c r="Q13" s="51" t="n">
        <x:f>'Working Capital'!Q18</x:f>
        <x:v>61070.67797184</x:v>
      </x:c>
      <x:c r="R13" s="51" t="n">
        <x:f>'Working Capital'!R18</x:f>
        <x:v>66389.70296580001</x:v>
      </x:c>
      <x:c r="S13" s="51" t="n">
        <x:f>'Working Capital'!S18</x:f>
        <x:v>71291.78660932627</x:v>
      </x:c>
      <x:c r="T13" s="2"/>
      <x:c r="U13" s="2"/>
    </x:row>
    <x:row r="14" ht="21" customHeight="1">
      <x:c r="A14" s="2"/>
      <x:c r="B14" s="2"/>
      <x:c r="C14" s="64" t="str">
        <x:v>Total current assets</x:v>
      </x:c>
      <x:c r="D14" s="64"/>
      <x:c r="E14" s="68" t="n">
        <x:f>SUM(E8:E9,E11:E13)</x:f>
        <x:v>162696</x:v>
      </x:c>
      <x:c r="F14" s="68" t="n">
        <x:f>SUM(F8:F9,F11:F13)</x:f>
        <x:v>169662</x:v>
      </x:c>
      <x:c r="G14" s="68" t="n">
        <x:f>SUM(G8:G9,G11:G13)</x:f>
        <x:v>175552</x:v>
      </x:c>
      <x:c r="H14" s="68" t="n">
        <x:f>SUM(H8:H9,H11:H13)</x:f>
        <x:v>181915</x:v>
      </x:c>
      <x:c r="I14" s="68" t="n">
        <x:f>SUM(I8:I9,I11:I13)</x:f>
        <x:v>184406</x:v>
      </x:c>
      <x:c r="J14" s="68" t="n">
        <x:f>SUM(J8:J9,J11:J13)</x:f>
        <x:v>169684</x:v>
      </x:c>
      <x:c r="K14" s="68" t="n">
        <x:f>SUM(K8:K9,K11:K13)</x:f>
        <x:v>184257</x:v>
      </x:c>
      <x:c r="L14" s="68" t="n">
        <x:f>SUM(L8:L9,L11:L13)</x:f>
        <x:v>159734</x:v>
      </x:c>
      <x:c r="M14" s="68" t="n">
        <x:f>SUM(M8:M9,M11:M13)</x:f>
        <x:v>191131</x:v>
      </x:c>
      <x:c r="N14" s="68" t="n">
        <x:f>SUM(N8:N9,N11:N13)</x:f>
        <x:v>207710</x:v>
      </x:c>
      <x:c r="O14" s="68" t="n">
        <x:f>SUM(O8:O9,O11:O13)</x:f>
        <x:v>241233.11426646006</x:v>
      </x:c>
      <x:c r="P14" s="68" t="n">
        <x:f>SUM(P8:P9,P11:P13)</x:f>
        <x:v>316350.8016444457</x:v>
      </x:c>
      <x:c r="Q14" s="68" t="n">
        <x:f>SUM(Q8:Q9,Q11:Q13)</x:f>
        <x:v>422217.3042786664</x:v>
      </x:c>
      <x:c r="R14" s="68" t="n">
        <x:f>SUM(R8:R9,R11:R13)</x:f>
        <x:v>566691.861067344</x:v>
      </x:c>
      <x:c r="S14" s="68" t="n">
        <x:f>SUM(S8:S9,S11:S13)</x:f>
        <x:v>745975.6792306807</x:v>
      </x:c>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t="str">
        <x:v>Property and equipment, net</x:v>
      </x:c>
      <x:c r="D16" s="2"/>
      <x:c r="E16" s="51" t="n">
        <x:f>'Historical Inputs'!E35</x:f>
        <x:v>23734</x:v>
      </x:c>
      <x:c r="F16" s="51" t="n">
        <x:f>'Historical Inputs'!F35</x:f>
        <x:v>29460</x:v>
      </x:c>
      <x:c r="G16" s="51" t="n">
        <x:f>'Historical Inputs'!G35</x:f>
        <x:v>36477</x:v>
      </x:c>
      <x:c r="H16" s="51" t="n">
        <x:f>'Historical Inputs'!H35</x:f>
        <x:v>44151</x:v>
      </x:c>
      <x:c r="I16" s="51" t="n">
        <x:f>'Historical Inputs'!I35</x:f>
        <x:v>59715</x:v>
      </x:c>
      <x:c r="J16" s="51" t="n">
        <x:f>'Historical Inputs'!J35</x:f>
        <x:v>74398</x:v>
      </x:c>
      <x:c r="K16" s="51" t="n">
        <x:f>'Historical Inputs'!K35</x:f>
        <x:v>95641</x:v>
      </x:c>
      <x:c r="L16" s="51" t="n">
        <x:f>'Historical Inputs'!L35</x:f>
        <x:v>135591</x:v>
      </x:c>
      <x:c r="M16" s="51" t="n">
        <x:f>'Historical Inputs'!M35</x:f>
        <x:v>204966</x:v>
      </x:c>
      <x:c r="N16" s="51" t="n">
        <x:f>'Historical Inputs'!N35</x:f>
        <x:v>313076</x:v>
      </x:c>
      <x:c r="O16" s="51" t="n">
        <x:f>'PPE and Intangibles'!O24</x:f>
        <x:v>412794.0326000001</x:v>
      </x:c>
      <x:c r="P16" s="51" t="n">
        <x:f>'PPE and Intangibles'!P24</x:f>
        <x:v>490520.0570755468</x:v>
      </x:c>
      <x:c r="Q16" s="51" t="n">
        <x:f>'PPE and Intangibles'!Q24</x:f>
        <x:v>547220.2457194201</x:v>
      </x:c>
      <x:c r="R16" s="51" t="n">
        <x:f>'PPE and Intangibles'!R24</x:f>
        <x:v>578278.6497470614</x:v>
      </x:c>
      <x:c r="S16" s="51" t="n">
        <x:f>'PPE and Intangibles'!S24</x:f>
        <x:v>586467.1006086343</x:v>
      </x:c>
      <x:c r="T16" s="2"/>
      <x:c r="U16" s="2"/>
    </x:row>
    <x:row r="17" ht="21" customHeight="1">
      <x:c r="A17" s="2"/>
      <x:c r="B17" s="2"/>
      <x:c r="C17" s="2" t="str">
        <x:v>Operating lease right-of-use assets</x:v>
      </x:c>
      <x:c r="D17" s="2"/>
      <x:c r="E17" s="51" t="n">
        <x:f>'Historical Inputs'!E36</x:f>
        <x:v>6555</x:v>
      </x:c>
      <x:c r="F17" s="51" t="n">
        <x:f>'Historical Inputs'!F36</x:f>
        <x:v>6686</x:v>
      </x:c>
      <x:c r="G17" s="51" t="n">
        <x:f>'Historical Inputs'!G36</x:f>
        <x:v>7379</x:v>
      </x:c>
      <x:c r="H17" s="51" t="n">
        <x:f>'Historical Inputs'!H36</x:f>
        <x:v>8753</x:v>
      </x:c>
      <x:c r="I17" s="51" t="n">
        <x:f>'Historical Inputs'!I36</x:f>
        <x:v>11088</x:v>
      </x:c>
      <x:c r="J17" s="51" t="n">
        <x:f>'Historical Inputs'!J36</x:f>
        <x:v>13148</x:v>
      </x:c>
      <x:c r="K17" s="51" t="n">
        <x:f>'Historical Inputs'!K36</x:f>
        <x:v>14346</x:v>
      </x:c>
      <x:c r="L17" s="51" t="n">
        <x:f>'Historical Inputs'!L36</x:f>
        <x:v>18961</x:v>
      </x:c>
      <x:c r="M17" s="51" t="n">
        <x:f>'Historical Inputs'!M36</x:f>
        <x:v>24823</x:v>
      </x:c>
      <x:c r="N17" s="51" t="n">
        <x:f>'Historical Inputs'!N36</x:f>
        <x:v>24177</x:v>
      </x:c>
      <x:c r="O17" s="51" t="n">
        <x:f>'Debt and Leases'!O62</x:f>
        <x:v>25441.921000000002</x:v>
      </x:c>
      <x:c r="P17" s="51" t="n">
        <x:f>'Debt and Leases'!P62</x:f>
        <x:v>26641.582333000002</x:v>
      </x:c>
      <x:c r="Q17" s="51" t="n">
        <x:f>'Debt and Leases'!Q62</x:f>
        <x:v>27855.833795106668</x:v>
      </x:c>
      <x:c r="R17" s="51" t="n">
        <x:f>'Debt and Leases'!R62</x:f>
        <x:v>29136.34409690556</x:v>
      </x:c>
      <x:c r="S17" s="51" t="n">
        <x:f>'Debt and Leases'!S62</x:f>
        <x:v>30505.42674025375</x:v>
      </x:c>
      <x:c r="T17" s="2"/>
      <x:c r="U17" s="2"/>
    </x:row>
    <x:row r="18" ht="21" customHeight="1">
      <x:c r="A18" s="2"/>
      <x:c r="B18" s="2"/>
      <x:c r="C18" s="2" t="str">
        <x:v>Equity and other investments</x:v>
      </x:c>
      <x:c r="D18" s="2"/>
      <x:c r="E18" s="51" t="n">
        <x:f>'Historical Inputs'!E37</x:f>
        <x:v>6023</x:v>
      </x:c>
      <x:c r="F18" s="51" t="n">
        <x:f>'Historical Inputs'!F37</x:f>
        <x:v>1862</x:v>
      </x:c>
      <x:c r="G18" s="51" t="n">
        <x:f>'Historical Inputs'!G37</x:f>
        <x:v>2649</x:v>
      </x:c>
      <x:c r="H18" s="51" t="n">
        <x:f>'Historical Inputs'!H37</x:f>
        <x:v>2965</x:v>
      </x:c>
      <x:c r="I18" s="51" t="n">
        <x:f>'Historical Inputs'!I37</x:f>
        <x:v>5984</x:v>
      </x:c>
      <x:c r="J18" s="51" t="n">
        <x:f>'Historical Inputs'!J37</x:f>
        <x:v>6891</x:v>
      </x:c>
      <x:c r="K18" s="51" t="n">
        <x:f>'Historical Inputs'!K37</x:f>
        <x:v>9879</x:v>
      </x:c>
      <x:c r="L18" s="51" t="n">
        <x:f>'Historical Inputs'!L37</x:f>
        <x:v>14600</x:v>
      </x:c>
      <x:c r="M18" s="51" t="n">
        <x:f>'Historical Inputs'!M37</x:f>
        <x:v>15405</x:v>
      </x:c>
      <x:c r="N18" s="51" t="n">
        <x:f>'Historical Inputs'!N37</x:f>
        <x:v>36348</x:v>
      </x:c>
      <x:c r="O18" s="51" t="n">
        <x:f>'Debt and Leases'!O84</x:f>
        <x:v>40198.488</x:v>
      </x:c>
      <x:c r="P18" s="51" t="n">
        <x:f>'Debt and Leases'!P84</x:f>
        <x:v>44643.262424</x:v>
      </x:c>
      <x:c r="Q18" s="51" t="n">
        <x:f>'Debt and Leases'!Q84</x:f>
        <x:v>49732.48558832</x:v>
      </x:c>
      <x:c r="R18" s="51" t="n">
        <x:f>'Debt and Leases'!R84</x:f>
        <x:v>55505.50323752</x:v>
      </x:c>
      <x:c r="S18" s="51" t="n">
        <x:f>'Debt and Leases'!S84</x:f>
        <x:v>61986.574747458755</x:v>
      </x:c>
      <x:c r="T18" s="2"/>
      <x:c r="U18" s="2"/>
    </x:row>
    <x:row r="19" ht="21" customHeight="1">
      <x:c r="A19" s="2"/>
      <x:c r="B19" s="2"/>
      <x:c r="C19" s="2" t="str">
        <x:v>Goodwill</x:v>
      </x:c>
      <x:c r="D19" s="2"/>
      <x:c r="E19" s="51" t="n">
        <x:f>'Historical Inputs'!E38</x:f>
        <x:v>35122</x:v>
      </x:c>
      <x:c r="F19" s="51" t="n">
        <x:f>'Historical Inputs'!F38</x:f>
        <x:v>35683</x:v>
      </x:c>
      <x:c r="G19" s="51" t="n">
        <x:f>'Historical Inputs'!G38</x:f>
        <x:v>42026</x:v>
      </x:c>
      <x:c r="H19" s="51" t="n">
        <x:f>'Historical Inputs'!H38</x:f>
        <x:v>43351</x:v>
      </x:c>
      <x:c r="I19" s="51" t="n">
        <x:f>'Historical Inputs'!I38</x:f>
        <x:v>49711</x:v>
      </x:c>
      <x:c r="J19" s="51" t="n">
        <x:f>'Historical Inputs'!J38</x:f>
        <x:v>67524</x:v>
      </x:c>
      <x:c r="K19" s="51" t="n">
        <x:f>'Historical Inputs'!K38</x:f>
        <x:v>67886</x:v>
      </x:c>
      <x:c r="L19" s="51" t="n">
        <x:f>'Historical Inputs'!L38</x:f>
        <x:v>119220</x:v>
      </x:c>
      <x:c r="M19" s="51" t="n">
        <x:f>'Historical Inputs'!M38</x:f>
        <x:v>119509</x:v>
      </x:c>
      <x:c r="N19" s="51" t="n">
        <x:f>'Historical Inputs'!N38</x:f>
        <x:v>119651</x:v>
      </x:c>
      <x:c r="O19" s="51" t="n">
        <x:f>'Balance Sheet'!N19</x:f>
        <x:v>119651</x:v>
      </x:c>
      <x:c r="P19" s="51" t="n">
        <x:f>'Balance Sheet'!O19</x:f>
        <x:v>119651</x:v>
      </x:c>
      <x:c r="Q19" s="51" t="n">
        <x:f>'Balance Sheet'!P19</x:f>
        <x:v>119651</x:v>
      </x:c>
      <x:c r="R19" s="51" t="n">
        <x:f>'Balance Sheet'!Q19</x:f>
        <x:v>119651</x:v>
      </x:c>
      <x:c r="S19" s="51" t="n">
        <x:f>'Balance Sheet'!R19</x:f>
        <x:v>119651</x:v>
      </x:c>
      <x:c r="T19" s="2"/>
      <x:c r="U19" s="2"/>
    </x:row>
    <x:row r="20" ht="21" customHeight="1">
      <x:c r="A20" s="2"/>
      <x:c r="B20" s="2"/>
      <x:c r="C20" s="2" t="str">
        <x:v>Intangible assets, net</x:v>
      </x:c>
      <x:c r="D20" s="2"/>
      <x:c r="E20" s="51" t="n">
        <x:f>'Historical Inputs'!E39</x:f>
        <x:v>10106</x:v>
      </x:c>
      <x:c r="F20" s="51" t="n">
        <x:f>'Historical Inputs'!F39</x:f>
        <x:v>8053</x:v>
      </x:c>
      <x:c r="G20" s="51" t="n">
        <x:f>'Historical Inputs'!G39</x:f>
        <x:v>7750</x:v>
      </x:c>
      <x:c r="H20" s="51" t="n">
        <x:f>'Historical Inputs'!H39</x:f>
        <x:v>7038</x:v>
      </x:c>
      <x:c r="I20" s="51" t="n">
        <x:f>'Historical Inputs'!I39</x:f>
        <x:v>7800</x:v>
      </x:c>
      <x:c r="J20" s="51" t="n">
        <x:f>'Historical Inputs'!J39</x:f>
        <x:v>11298</x:v>
      </x:c>
      <x:c r="K20" s="51" t="n">
        <x:f>'Historical Inputs'!K39</x:f>
        <x:v>9366</x:v>
      </x:c>
      <x:c r="L20" s="51" t="n">
        <x:f>'Historical Inputs'!L39</x:f>
        <x:v>27597</x:v>
      </x:c>
      <x:c r="M20" s="51" t="n">
        <x:f>'Historical Inputs'!M39</x:f>
        <x:v>22604</x:v>
      </x:c>
      <x:c r="N20" s="51" t="n">
        <x:f>'Historical Inputs'!N39</x:f>
        <x:v>18609</x:v>
      </x:c>
      <x:c r="O20" s="51" t="n">
        <x:f>'PPE and Intangibles'!O43</x:f>
        <x:v>15512</x:v>
      </x:c>
      <x:c r="P20" s="51" t="n">
        <x:f>'PPE and Intangibles'!P43</x:f>
        <x:v>13371</x:v>
      </x:c>
      <x:c r="Q20" s="51" t="n">
        <x:f>'PPE and Intangibles'!Q43</x:f>
        <x:v>11427</x:v>
      </x:c>
      <x:c r="R20" s="51" t="n">
        <x:f>'PPE and Intangibles'!R43</x:f>
        <x:v>9950</x:v>
      </x:c>
      <x:c r="S20" s="51" t="n">
        <x:f>'PPE and Intangibles'!S43</x:f>
        <x:v>8822</x:v>
      </x:c>
      <x:c r="T20" s="2"/>
      <x:c r="U20" s="2"/>
    </x:row>
    <x:row r="21" ht="21" customHeight="1">
      <x:c r="A21" s="2"/>
      <x:c r="B21" s="2"/>
      <x:c r="C21" s="2" t="str">
        <x:v>Other long-term assets</x:v>
      </x:c>
      <x:c r="D21" s="2"/>
      <x:c r="E21" s="51" t="n">
        <x:f>'Historical Inputs'!E40</x:f>
        <x:v>6076</x:v>
      </x:c>
      <x:c r="F21" s="51" t="n">
        <x:f>'Historical Inputs'!F40</x:f>
        <x:v>7442</x:v>
      </x:c>
      <x:c r="G21" s="51" t="n">
        <x:f>'Historical Inputs'!G40</x:f>
        <x:v>14723</x:v>
      </x:c>
      <x:c r="H21" s="51" t="n">
        <x:f>'Historical Inputs'!H40</x:f>
        <x:v>13138</x:v>
      </x:c>
      <x:c r="I21" s="51" t="n">
        <x:f>'Historical Inputs'!I40</x:f>
        <x:v>15075</x:v>
      </x:c>
      <x:c r="J21" s="51" t="n">
        <x:f>'Historical Inputs'!J40</x:f>
        <x:v>21897</x:v>
      </x:c>
      <x:c r="K21" s="51" t="n">
        <x:f>'Historical Inputs'!K40</x:f>
        <x:v>30601</x:v>
      </x:c>
      <x:c r="L21" s="51" t="n">
        <x:f>'Historical Inputs'!L40</x:f>
        <x:v>36460</x:v>
      </x:c>
      <x:c r="M21" s="51" t="n">
        <x:f>'Historical Inputs'!M40</x:f>
        <x:v>40565</x:v>
      </x:c>
      <x:c r="N21" s="51" t="n">
        <x:f>'Historical Inputs'!N40</x:f>
        <x:v>38805</x:v>
      </x:c>
      <x:c r="O21" s="51" t="n">
        <x:f>'Working Capital'!O24</x:f>
        <x:v>45027.31349841339</x:v>
      </x:c>
      <x:c r="P21" s="51" t="n">
        <x:f>'Working Capital'!P24</x:f>
        <x:v>51976.85369209768</x:v>
      </x:c>
      <x:c r="Q21" s="51" t="n">
        <x:f>'Working Capital'!Q24</x:f>
        <x:v>59512.98819350275</x:v>
      </x:c>
      <x:c r="R21" s="51" t="n">
        <x:f>'Working Capital'!R24</x:f>
        <x:v>67509.22883603374</x:v>
      </x:c>
      <x:c r="S21" s="51" t="n">
        <x:f>'Working Capital'!S24</x:f>
        <x:v>75789.15677276428</x:v>
      </x:c>
      <x:c r="T21" s="2"/>
      <x:c r="U21" s="2"/>
    </x:row>
    <x:row r="22" ht="21" customHeight="1">
      <x:c r="A22" s="2"/>
      <x:c r="B22" s="2"/>
      <x:c r="C22" s="64" t="str">
        <x:v>Total assets</x:v>
      </x:c>
      <x:c r="D22" s="64"/>
      <x:c r="E22" s="68" t="n">
        <x:f>E14+SUM(E16:E21)</x:f>
        <x:v>250312</x:v>
      </x:c>
      <x:c r="F22" s="68" t="n">
        <x:f>F14+SUM(F16:F21)</x:f>
        <x:v>258848</x:v>
      </x:c>
      <x:c r="G22" s="68" t="n">
        <x:f>G14+SUM(G16:G21)</x:f>
        <x:v>286556</x:v>
      </x:c>
      <x:c r="H22" s="68" t="n">
        <x:f>H14+SUM(H16:H21)</x:f>
        <x:v>301311</x:v>
      </x:c>
      <x:c r="I22" s="68" t="n">
        <x:f>I14+SUM(I16:I21)</x:f>
        <x:v>333779</x:v>
      </x:c>
      <x:c r="J22" s="68" t="n">
        <x:f>J14+SUM(J16:J21)</x:f>
        <x:v>364840</x:v>
      </x:c>
      <x:c r="K22" s="68" t="n">
        <x:f>K14+SUM(K16:K21)</x:f>
        <x:v>411976</x:v>
      </x:c>
      <x:c r="L22" s="68" t="n">
        <x:f>L14+SUM(L16:L21)</x:f>
        <x:v>512163</x:v>
      </x:c>
      <x:c r="M22" s="68" t="n">
        <x:f>M14+SUM(M16:M21)</x:f>
        <x:v>619003</x:v>
      </x:c>
      <x:c r="N22" s="68" t="n">
        <x:f>N14+SUM(N16:N21)</x:f>
        <x:v>758376</x:v>
      </x:c>
      <x:c r="O22" s="68" t="n">
        <x:f>O14+SUM(O16:O21)</x:f>
        <x:v>899857.8693648736</x:v>
      </x:c>
      <x:c r="P22" s="68" t="n">
        <x:f>P14+SUM(P16:P21)</x:f>
        <x:v>1063154.5571690903</x:v>
      </x:c>
      <x:c r="Q22" s="68" t="n">
        <x:f>Q14+SUM(Q16:Q21)</x:f>
        <x:v>1237616.8575750159</x:v>
      </x:c>
      <x:c r="R22" s="68" t="n">
        <x:f>R14+SUM(R16:R21)</x:f>
        <x:v>1426722.5869848647</x:v>
      </x:c>
      <x:c r="S22" s="68" t="n">
        <x:f>S14+SUM(S16:S21)</x:f>
        <x:v>1629196.9380997918</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Accounts payable</x:v>
      </x:c>
      <x:c r="D24" s="2"/>
      <x:c r="E24" s="51" t="n">
        <x:f>'Historical Inputs'!E42</x:f>
        <x:v>7390</x:v>
      </x:c>
      <x:c r="F24" s="51" t="n">
        <x:f>'Historical Inputs'!F42</x:f>
        <x:v>8617</x:v>
      </x:c>
      <x:c r="G24" s="51" t="n">
        <x:f>'Historical Inputs'!G42</x:f>
        <x:v>9382</x:v>
      </x:c>
      <x:c r="H24" s="51" t="n">
        <x:f>'Historical Inputs'!H42</x:f>
        <x:v>12530</x:v>
      </x:c>
      <x:c r="I24" s="51" t="n">
        <x:f>'Historical Inputs'!I42</x:f>
        <x:v>15163</x:v>
      </x:c>
      <x:c r="J24" s="51" t="n">
        <x:f>'Historical Inputs'!J42</x:f>
        <x:v>19000</x:v>
      </x:c>
      <x:c r="K24" s="51" t="n">
        <x:f>'Historical Inputs'!K42</x:f>
        <x:v>18095</x:v>
      </x:c>
      <x:c r="L24" s="51" t="n">
        <x:f>'Historical Inputs'!L42</x:f>
        <x:v>21996</x:v>
      </x:c>
      <x:c r="M24" s="51" t="n">
        <x:f>'Historical Inputs'!M42</x:f>
        <x:v>27724</x:v>
      </x:c>
      <x:c r="N24" s="51" t="n">
        <x:f>'Historical Inputs'!N42</x:f>
        <x:v>42416</x:v>
      </x:c>
      <x:c r="O24" s="51" t="n">
        <x:f>'Working Capital'!O15</x:f>
        <x:v>43396.82385049379</x:v>
      </x:c>
      <x:c r="P24" s="51" t="n">
        <x:f>'Working Capital'!P15</x:f>
        <x:v>45831.880185966715</x:v>
      </x:c>
      <x:c r="Q24" s="51" t="n">
        <x:f>'Working Capital'!Q15</x:f>
        <x:v>48762.2663039591</x:v>
      </x:c>
      <x:c r="R24" s="51" t="n">
        <x:f>'Working Capital'!R15</x:f>
        <x:v>51263.4626621842</x:v>
      </x:c>
      <x:c r="S24" s="51" t="n">
        <x:f>'Working Capital'!S15</x:f>
        <x:v>54212.19889011545</x:v>
      </x:c>
      <x:c r="T24" s="2"/>
      <x:c r="U24" s="2"/>
    </x:row>
    <x:row r="25" ht="21" customHeight="1">
      <x:c r="A25" s="2"/>
      <x:c r="B25" s="2"/>
      <x:c r="C25" s="2" t="str">
        <x:v>Short-term debt</x:v>
      </x:c>
      <x:c r="D25" s="2"/>
      <x:c r="E25" s="51" t="n">
        <x:f>'Historical Inputs'!E61</x:f>
        <x:v>9072</x:v>
      </x:c>
      <x:c r="F25" s="51" t="n">
        <x:f>'Historical Inputs'!F61</x:f>
        <x:v>0</x:v>
      </x:c>
      <x:c r="G25" s="51" t="n">
        <x:f>'Historical Inputs'!G61</x:f>
        <x:v>0</x:v>
      </x:c>
      <x:c r="H25" s="51" t="n">
        <x:f>'Historical Inputs'!H61</x:f>
        <x:v>0</x:v>
      </x:c>
      <x:c r="I25" s="51" t="n">
        <x:f>'Historical Inputs'!I61</x:f>
        <x:v>0</x:v>
      </x:c>
      <x:c r="J25" s="51" t="n">
        <x:f>'Historical Inputs'!J61</x:f>
        <x:v>0</x:v>
      </x:c>
      <x:c r="K25" s="51" t="n">
        <x:f>'Historical Inputs'!K61</x:f>
        <x:v>0</x:v>
      </x:c>
      <x:c r="L25" s="51" t="n">
        <x:f>'Historical Inputs'!L61</x:f>
        <x:v>6693</x:v>
      </x:c>
      <x:c r="M25" s="51" t="n">
        <x:f>'Historical Inputs'!M61</x:f>
        <x:v>0</x:v>
      </x:c>
      <x:c r="N25" s="51" t="n">
        <x:f>'Historical Inputs'!N61</x:f>
        <x:v>0</x:v>
      </x:c>
      <x:c r="O25" s="57" t="n">
        <x:f>0</x:f>
        <x:v>0</x:v>
      </x:c>
      <x:c r="P25" s="57" t="n">
        <x:f>0</x:f>
        <x:v>0</x:v>
      </x:c>
      <x:c r="Q25" s="57" t="n">
        <x:f>0</x:f>
        <x:v>0</x:v>
      </x:c>
      <x:c r="R25" s="57" t="n">
        <x:f>0</x:f>
        <x:v>0</x:v>
      </x:c>
      <x:c r="S25" s="57" t="n">
        <x:f>0</x:f>
        <x:v>0</x:v>
      </x:c>
      <x:c r="T25" s="2"/>
      <x:c r="U25" s="2"/>
    </x:row>
    <x:row r="26" ht="21" customHeight="1">
      <x:c r="A26" s="2"/>
      <x:c r="B26" s="2"/>
      <x:c r="C26" s="2" t="str">
        <x:v>Current portion of long-term debt</x:v>
      </x:c>
      <x:c r="D26" s="2"/>
      <x:c r="E26" s="51" t="n">
        <x:f>'Historical Inputs'!E43</x:f>
        <x:v>1049</x:v>
      </x:c>
      <x:c r="F26" s="51" t="n">
        <x:f>'Historical Inputs'!F43</x:f>
        <x:v>3998</x:v>
      </x:c>
      <x:c r="G26" s="51" t="n">
        <x:f>'Historical Inputs'!G43</x:f>
        <x:v>5516</x:v>
      </x:c>
      <x:c r="H26" s="51" t="n">
        <x:f>'Historical Inputs'!H43</x:f>
        <x:v>3749</x:v>
      </x:c>
      <x:c r="I26" s="51" t="n">
        <x:f>'Historical Inputs'!I43</x:f>
        <x:v>8072</x:v>
      </x:c>
      <x:c r="J26" s="51" t="n">
        <x:f>'Historical Inputs'!J43</x:f>
        <x:v>2749</x:v>
      </x:c>
      <x:c r="K26" s="51" t="n">
        <x:f>'Historical Inputs'!K43</x:f>
        <x:v>5247</x:v>
      </x:c>
      <x:c r="L26" s="51" t="n">
        <x:f>'Historical Inputs'!L43</x:f>
        <x:v>2249</x:v>
      </x:c>
      <x:c r="M26" s="51" t="n">
        <x:f>'Historical Inputs'!M43</x:f>
        <x:v>2999</x:v>
      </x:c>
      <x:c r="N26" s="51" t="n">
        <x:f>'Historical Inputs'!N43</x:f>
        <x:v>9227</x:v>
      </x:c>
      <x:c r="O26" s="51" t="n">
        <x:f>'Debt and Leases'!O19</x:f>
        <x:v>0</x:v>
      </x:c>
      <x:c r="P26" s="51" t="n">
        <x:f>'Debt and Leases'!P19</x:f>
        <x:v>1996.0245405405406</x:v>
      </x:c>
      <x:c r="Q26" s="51" t="n">
        <x:f>'Debt and Leases'!Q19</x:f>
        <x:v>0</x:v>
      </x:c>
      <x:c r="R26" s="51" t="n">
        <x:f>'Debt and Leases'!R19</x:f>
        <x:v>498.7567567567567</x:v>
      </x:c>
      <x:c r="S26" s="51" t="n">
        <x:f>'Debt and Leases'!S19</x:f>
        <x:v>0</x:v>
      </x:c>
      <x:c r="T26" s="2"/>
      <x:c r="U26" s="2"/>
    </x:row>
    <x:row r="27" ht="21" customHeight="1">
      <x:c r="A27" s="2"/>
      <x:c r="B27" s="2"/>
      <x:c r="C27" s="2" t="str">
        <x:v>Accrued compensation</x:v>
      </x:c>
      <x:c r="D27" s="2"/>
      <x:c r="E27" s="51" t="n">
        <x:f>'Historical Inputs'!E44</x:f>
        <x:v>5819</x:v>
      </x:c>
      <x:c r="F27" s="51" t="n">
        <x:f>'Historical Inputs'!F44</x:f>
        <x:v>6103</x:v>
      </x:c>
      <x:c r="G27" s="51" t="n">
        <x:f>'Historical Inputs'!G44</x:f>
        <x:v>6830</x:v>
      </x:c>
      <x:c r="H27" s="51" t="n">
        <x:f>'Historical Inputs'!H44</x:f>
        <x:v>7874</x:v>
      </x:c>
      <x:c r="I27" s="51" t="n">
        <x:f>'Historical Inputs'!I44</x:f>
        <x:v>10057</x:v>
      </x:c>
      <x:c r="J27" s="51" t="n">
        <x:f>'Historical Inputs'!J44</x:f>
        <x:v>10661</x:v>
      </x:c>
      <x:c r="K27" s="51" t="n">
        <x:f>'Historical Inputs'!K44</x:f>
        <x:v>11009</x:v>
      </x:c>
      <x:c r="L27" s="51" t="n">
        <x:f>'Historical Inputs'!L44</x:f>
        <x:v>12564</x:v>
      </x:c>
      <x:c r="M27" s="51" t="n">
        <x:f>'Historical Inputs'!M44</x:f>
        <x:v>13709</x:v>
      </x:c>
      <x:c r="N27" s="51" t="n">
        <x:f>'Historical Inputs'!N44</x:f>
        <x:v>14945</x:v>
      </x:c>
      <x:c r="O27" s="51" t="n">
        <x:f>'Working Capital'!O19</x:f>
        <x:v>17341.40446421307</x:v>
      </x:c>
      <x:c r="P27" s="51" t="n">
        <x:f>'Working Capital'!P19</x:f>
        <x:v>20017.88631435124</x:v>
      </x:c>
      <x:c r="Q27" s="51" t="n">
        <x:f>'Working Capital'!Q19</x:f>
        <x:v>22920.283689006537</x:v>
      </x:c>
      <x:c r="R27" s="51" t="n">
        <x:f>'Working Capital'!R19</x:f>
        <x:v>25999.8821016499</x:v>
      </x:c>
      <x:c r="S27" s="51" t="n">
        <x:f>'Working Capital'!S19</x:f>
        <x:v>29188.73722378462</x:v>
      </x:c>
      <x:c r="T27" s="2"/>
      <x:c r="U27" s="2"/>
    </x:row>
    <x:row r="28" ht="21" customHeight="1">
      <x:c r="A28" s="2"/>
      <x:c r="B28" s="2"/>
      <x:c r="C28" s="2" t="str">
        <x:v>Short-term income taxes</x:v>
      </x:c>
      <x:c r="D28" s="2"/>
      <x:c r="E28" s="51" t="n">
        <x:f>'Historical Inputs'!E45</x:f>
        <x:v>718</x:v>
      </x:c>
      <x:c r="F28" s="51" t="n">
        <x:f>'Historical Inputs'!F45</x:f>
        <x:v>2121</x:v>
      </x:c>
      <x:c r="G28" s="51" t="n">
        <x:f>'Historical Inputs'!G45</x:f>
        <x:v>5665</x:v>
      </x:c>
      <x:c r="H28" s="51" t="n">
        <x:f>'Historical Inputs'!H45</x:f>
        <x:v>2130</x:v>
      </x:c>
      <x:c r="I28" s="51" t="n">
        <x:f>'Historical Inputs'!I45</x:f>
        <x:v>2174</x:v>
      </x:c>
      <x:c r="J28" s="51" t="n">
        <x:f>'Historical Inputs'!J45</x:f>
        <x:v>4067</x:v>
      </x:c>
      <x:c r="K28" s="51" t="n">
        <x:f>'Historical Inputs'!K45</x:f>
        <x:v>4152</x:v>
      </x:c>
      <x:c r="L28" s="51" t="n">
        <x:f>'Historical Inputs'!L45</x:f>
        <x:v>5017</x:v>
      </x:c>
      <x:c r="M28" s="51" t="n">
        <x:f>'Historical Inputs'!M45</x:f>
        <x:v>7211</x:v>
      </x:c>
      <x:c r="N28" s="51" t="n">
        <x:f>'Historical Inputs'!N45</x:f>
        <x:v>2534</x:v>
      </x:c>
      <x:c r="O28" s="51" t="n">
        <x:f>'Working Capital'!O22</x:f>
        <x:v>2534</x:v>
      </x:c>
      <x:c r="P28" s="51" t="n">
        <x:f>'Working Capital'!P22</x:f>
        <x:v>2534</x:v>
      </x:c>
      <x:c r="Q28" s="51" t="n">
        <x:f>'Working Capital'!Q22</x:f>
        <x:v>2534</x:v>
      </x:c>
      <x:c r="R28" s="51" t="n">
        <x:f>'Working Capital'!R22</x:f>
        <x:v>2534</x:v>
      </x:c>
      <x:c r="S28" s="51" t="n">
        <x:f>'Working Capital'!S22</x:f>
        <x:v>2534</x:v>
      </x:c>
      <x:c r="T28" s="2"/>
      <x:c r="U28" s="2"/>
    </x:row>
    <x:row r="29" ht="21" customHeight="1">
      <x:c r="A29" s="2"/>
      <x:c r="B29" s="2"/>
      <x:c r="C29" s="2" t="str">
        <x:v>Short-term unearned revenue</x:v>
      </x:c>
      <x:c r="D29" s="2"/>
      <x:c r="E29" s="51" t="n">
        <x:f>'Historical Inputs'!E46</x:f>
        <x:v>24013</x:v>
      </x:c>
      <x:c r="F29" s="51" t="n">
        <x:f>'Historical Inputs'!F46</x:f>
        <x:v>28905</x:v>
      </x:c>
      <x:c r="G29" s="51" t="n">
        <x:f>'Historical Inputs'!G46</x:f>
        <x:v>32676</x:v>
      </x:c>
      <x:c r="H29" s="51" t="n">
        <x:f>'Historical Inputs'!H46</x:f>
        <x:v>36000</x:v>
      </x:c>
      <x:c r="I29" s="51" t="n">
        <x:f>'Historical Inputs'!I46</x:f>
        <x:v>41525</x:v>
      </x:c>
      <x:c r="J29" s="51" t="n">
        <x:f>'Historical Inputs'!J46</x:f>
        <x:v>45538</x:v>
      </x:c>
      <x:c r="K29" s="51" t="n">
        <x:f>'Historical Inputs'!K46</x:f>
        <x:v>50901</x:v>
      </x:c>
      <x:c r="L29" s="51" t="n">
        <x:f>'Historical Inputs'!L46</x:f>
        <x:v>57582</x:v>
      </x:c>
      <x:c r="M29" s="51" t="n">
        <x:f>'Historical Inputs'!M46</x:f>
        <x:v>64555</x:v>
      </x:c>
      <x:c r="N29" s="51" t="n">
        <x:f>'Historical Inputs'!N46</x:f>
        <x:v>72965</x:v>
      </x:c>
      <x:c r="O29" s="51" t="n">
        <x:f>'Working Capital'!O20</x:f>
        <x:v>84664.80941661469</x:v>
      </x:c>
      <x:c r="P29" s="51" t="n">
        <x:f>'Working Capital'!P20</x:f>
        <x:v>97732.0224106148</x:v>
      </x:c>
      <x:c r="Q29" s="51" t="n">
        <x:f>'Working Capital'!Q20</x:f>
        <x:v>111902.20805408912</x:v>
      </x:c>
      <x:c r="R29" s="51" t="n">
        <x:f>'Working Capital'!R20</x:f>
        <x:v>126937.53078266208</x:v>
      </x:c>
      <x:c r="S29" s="51" t="n">
        <x:f>'Working Capital'!S20</x:f>
        <x:v>142506.27042712911</x:v>
      </x:c>
      <x:c r="T29" s="2"/>
      <x:c r="U29" s="2"/>
    </x:row>
    <x:row r="30" ht="21" customHeight="1">
      <x:c r="A30" s="2"/>
      <x:c r="B30" s="2"/>
      <x:c r="C30" s="2" t="str">
        <x:v>Securities lending payable</x:v>
      </x:c>
      <x:c r="D30" s="2"/>
      <x:c r="E30" s="51" t="n">
        <x:f>'Historical Inputs'!E62</x:f>
        <x:v>0</x:v>
      </x:c>
      <x:c r="F30" s="51" t="n">
        <x:f>'Historical Inputs'!F62</x:f>
        <x:v>0</x:v>
      </x:c>
      <x:c r="G30" s="51" t="n">
        <x:f>'Historical Inputs'!G62</x:f>
        <x:v>0</x:v>
      </x:c>
      <x:c r="H30" s="51" t="n">
        <x:f>'Historical Inputs'!H62</x:f>
        <x:v>0</x:v>
      </x:c>
      <x:c r="I30" s="51" t="n">
        <x:f>'Historical Inputs'!I62</x:f>
        <x:v>0</x:v>
      </x:c>
      <x:c r="J30" s="51" t="n">
        <x:f>'Historical Inputs'!J62</x:f>
        <x:v>0</x:v>
      </x:c>
      <x:c r="K30" s="51" t="n">
        <x:f>'Historical Inputs'!K62</x:f>
        <x:v>0</x:v>
      </x:c>
      <x:c r="L30" s="51" t="n">
        <x:f>'Historical Inputs'!L62</x:f>
        <x:v>0</x:v>
      </x:c>
      <x:c r="M30" s="51" t="n">
        <x:f>'Historical Inputs'!M62</x:f>
        <x:v>0</x:v>
      </x:c>
      <x:c r="N30" s="51" t="n">
        <x:f>'Historical Inputs'!N62</x:f>
        <x:v>0</x:v>
      </x:c>
      <x:c r="O30" s="57" t="n">
        <x:f>0</x:f>
        <x:v>0</x:v>
      </x:c>
      <x:c r="P30" s="57" t="n">
        <x:f>0</x:f>
        <x:v>0</x:v>
      </x:c>
      <x:c r="Q30" s="57" t="n">
        <x:f>0</x:f>
        <x:v>0</x:v>
      </x:c>
      <x:c r="R30" s="57" t="n">
        <x:f>0</x:f>
        <x:v>0</x:v>
      </x:c>
      <x:c r="S30" s="57" t="n">
        <x:f>0</x:f>
        <x:v>0</x:v>
      </x:c>
      <x:c r="T30" s="2"/>
      <x:c r="U30" s="2"/>
    </x:row>
    <x:row r="31" ht="21" customHeight="1">
      <x:c r="A31" s="2"/>
      <x:c r="B31" s="2"/>
      <x:c r="C31" s="2" t="str">
        <x:v>Other current liabilities</x:v>
      </x:c>
      <x:c r="D31" s="2"/>
      <x:c r="E31" s="51" t="n">
        <x:f>'Historical Inputs'!E47</x:f>
        <x:v>7684</x:v>
      </x:c>
      <x:c r="F31" s="51" t="n">
        <x:f>'Historical Inputs'!F47</x:f>
        <x:v>8744</x:v>
      </x:c>
      <x:c r="G31" s="51" t="n">
        <x:f>'Historical Inputs'!G47</x:f>
        <x:v>9351</x:v>
      </x:c>
      <x:c r="H31" s="51" t="n">
        <x:f>'Historical Inputs'!H47</x:f>
        <x:v>10027</x:v>
      </x:c>
      <x:c r="I31" s="51" t="n">
        <x:f>'Historical Inputs'!I47</x:f>
        <x:v>11666</x:v>
      </x:c>
      <x:c r="J31" s="51" t="n">
        <x:f>'Historical Inputs'!J47</x:f>
        <x:v>13067</x:v>
      </x:c>
      <x:c r="K31" s="51" t="n">
        <x:f>'Historical Inputs'!K47</x:f>
        <x:v>14745</x:v>
      </x:c>
      <x:c r="L31" s="51" t="n">
        <x:f>'Historical Inputs'!L47</x:f>
        <x:v>19185</x:v>
      </x:c>
      <x:c r="M31" s="51" t="n">
        <x:f>'Historical Inputs'!M47</x:f>
        <x:v>25020</x:v>
      </x:c>
      <x:c r="N31" s="51" t="n">
        <x:f>'Historical Inputs'!N47</x:f>
        <x:v>26738</x:v>
      </x:c>
      <x:c r="O31" s="51" t="n">
        <x:f>'Working Capital'!O21+'Debt and Leases'!O43+'Debt and Leases'!O64</x:f>
        <x:v>31008.794140201702</x:v>
      </x:c>
      <x:c r="P31" s="51" t="n">
        <x:f>'Working Capital'!P21+'Debt and Leases'!P43+'Debt and Leases'!P64</x:f>
        <x:v>35596.94855456568</x:v>
      </x:c>
      <x:c r="Q31" s="51" t="n">
        <x:f>'Working Capital'!Q21+'Debt and Leases'!Q43+'Debt and Leases'!Q64</x:f>
        <x:v>41550.457576760986</x:v>
      </x:c>
      <x:c r="R31" s="51" t="n">
        <x:f>'Working Capital'!R21+'Debt and Leases'!R43+'Debt and Leases'!R64</x:f>
        <x:v>47966.252185862584</x:v>
      </x:c>
      <x:c r="S31" s="51" t="n">
        <x:f>'Working Capital'!S21+'Debt and Leases'!S43+'Debt and Leases'!S64</x:f>
        <x:v>54400.0506654716</x:v>
      </x:c>
      <x:c r="T31" s="2"/>
      <x:c r="U31" s="2"/>
    </x:row>
    <x:row r="32" ht="21" customHeight="1">
      <x:c r="A32" s="2"/>
      <x:c r="B32" s="2"/>
      <x:c r="C32" s="64" t="str">
        <x:v>Total current liabilities</x:v>
      </x:c>
      <x:c r="D32" s="64"/>
      <x:c r="E32" s="68" t="n">
        <x:f>SUM(E24:E31)</x:f>
        <x:v>55745</x:v>
      </x:c>
      <x:c r="F32" s="68" t="n">
        <x:f>SUM(F24:F31)</x:f>
        <x:v>58488</x:v>
      </x:c>
      <x:c r="G32" s="68" t="n">
        <x:f>SUM(G24:G31)</x:f>
        <x:v>69420</x:v>
      </x:c>
      <x:c r="H32" s="68" t="n">
        <x:f>SUM(H24:H31)</x:f>
        <x:v>72310</x:v>
      </x:c>
      <x:c r="I32" s="68" t="n">
        <x:f>SUM(I24:I31)</x:f>
        <x:v>88657</x:v>
      </x:c>
      <x:c r="J32" s="68" t="n">
        <x:f>SUM(J24:J31)</x:f>
        <x:v>95082</x:v>
      </x:c>
      <x:c r="K32" s="68" t="n">
        <x:f>SUM(K24:K31)</x:f>
        <x:v>104149</x:v>
      </x:c>
      <x:c r="L32" s="68" t="n">
        <x:f>SUM(L24:L31)</x:f>
        <x:v>125286</x:v>
      </x:c>
      <x:c r="M32" s="68" t="n">
        <x:f>SUM(M24:M31)</x:f>
        <x:v>141218</x:v>
      </x:c>
      <x:c r="N32" s="68" t="n">
        <x:f>SUM(N24:N31)</x:f>
        <x:v>168825</x:v>
      </x:c>
      <x:c r="O32" s="68" t="n">
        <x:f>SUM(O24:O31)</x:f>
        <x:v>178945.83187152326</x:v>
      </x:c>
      <x:c r="P32" s="68" t="n">
        <x:f>SUM(P24:P31)</x:f>
        <x:v>203708.76200603897</x:v>
      </x:c>
      <x:c r="Q32" s="68" t="n">
        <x:f>SUM(Q24:Q31)</x:f>
        <x:v>227669.21562381575</x:v>
      </x:c>
      <x:c r="R32" s="68" t="n">
        <x:f>SUM(R24:R31)</x:f>
        <x:v>255199.8844891155</x:v>
      </x:c>
      <x:c r="S32" s="68" t="n">
        <x:f>SUM(S24:S31)</x:f>
        <x:v>282841.2572065008</x:v>
      </x:c>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t="str">
        <x:v>Long-term debt</x:v>
      </x:c>
      <x:c r="D34" s="2"/>
      <x:c r="E34" s="51" t="n">
        <x:f>'Historical Inputs'!E49</x:f>
        <x:v>76073</x:v>
      </x:c>
      <x:c r="F34" s="51" t="n">
        <x:f>'Historical Inputs'!F49</x:f>
        <x:v>72242</x:v>
      </x:c>
      <x:c r="G34" s="51" t="n">
        <x:f>'Historical Inputs'!G49</x:f>
        <x:v>66662</x:v>
      </x:c>
      <x:c r="H34" s="51" t="n">
        <x:f>'Historical Inputs'!H49</x:f>
        <x:v>59578</x:v>
      </x:c>
      <x:c r="I34" s="51" t="n">
        <x:f>'Historical Inputs'!I49</x:f>
        <x:v>50074</x:v>
      </x:c>
      <x:c r="J34" s="51" t="n">
        <x:f>'Historical Inputs'!J49</x:f>
        <x:v>47032</x:v>
      </x:c>
      <x:c r="K34" s="51" t="n">
        <x:f>'Historical Inputs'!K49</x:f>
        <x:v>41990</x:v>
      </x:c>
      <x:c r="L34" s="51" t="n">
        <x:f>'Historical Inputs'!L49</x:f>
        <x:v>42688</x:v>
      </x:c>
      <x:c r="M34" s="51" t="n">
        <x:f>'Historical Inputs'!M49</x:f>
        <x:v>40152</x:v>
      </x:c>
      <x:c r="N34" s="51" t="n">
        <x:f>'Historical Inputs'!N49</x:f>
        <x:v>31067</x:v>
      </x:c>
      <x:c r="O34" s="51" t="n">
        <x:f>'Debt and Leases'!O20</x:f>
        <x:v>31219.260000000002</x:v>
      </x:c>
      <x:c r="P34" s="51" t="n">
        <x:f>'Debt and Leases'!P20</x:f>
        <x:v>29393.23765945946</x:v>
      </x:c>
      <x:c r="Q34" s="51" t="n">
        <x:f>'Debt and Leases'!Q20</x:f>
        <x:v>29553.164334</x:v>
      </x:c>
      <x:c r="R34" s="51" t="n">
        <x:f>'Debt and Leases'!R20</x:f>
        <x:v>29214.362647223243</x:v>
      </x:c>
      <x:c r="S34" s="51" t="n">
        <x:f>'Debt and Leases'!S20</x:f>
        <x:v>29368.2758218606</x:v>
      </x:c>
      <x:c r="T34" s="2"/>
      <x:c r="U34" s="2"/>
    </x:row>
    <x:row r="35" ht="21" customHeight="1">
      <x:c r="A35" s="2"/>
      <x:c r="B35" s="2"/>
      <x:c r="C35" s="2" t="str">
        <x:v>Long-term income taxes</x:v>
      </x:c>
      <x:c r="D35" s="2"/>
      <x:c r="E35" s="51" t="n">
        <x:f>'Historical Inputs'!E50</x:f>
        <x:v>13485</x:v>
      </x:c>
      <x:c r="F35" s="51" t="n">
        <x:f>'Historical Inputs'!F50</x:f>
        <x:v>30265</x:v>
      </x:c>
      <x:c r="G35" s="51" t="n">
        <x:f>'Historical Inputs'!G50</x:f>
        <x:v>29612</x:v>
      </x:c>
      <x:c r="H35" s="51" t="n">
        <x:f>'Historical Inputs'!H50</x:f>
        <x:v>29432</x:v>
      </x:c>
      <x:c r="I35" s="51" t="n">
        <x:f>'Historical Inputs'!I50</x:f>
        <x:v>27190</x:v>
      </x:c>
      <x:c r="J35" s="51" t="n">
        <x:f>'Historical Inputs'!J50</x:f>
        <x:v>26069</x:v>
      </x:c>
      <x:c r="K35" s="51" t="n">
        <x:f>'Historical Inputs'!K50</x:f>
        <x:v>25560</x:v>
      </x:c>
      <x:c r="L35" s="51" t="n">
        <x:f>'Historical Inputs'!L50</x:f>
        <x:v>27931</x:v>
      </x:c>
      <x:c r="M35" s="51" t="n">
        <x:f>'Historical Inputs'!M50</x:f>
        <x:v>25986</x:v>
      </x:c>
      <x:c r="N35" s="51" t="n">
        <x:f>'Historical Inputs'!N50</x:f>
        <x:v>28647</x:v>
      </x:c>
      <x:c r="O35" s="51" t="n">
        <x:f>'Working Capital'!O25</x:f>
        <x:v>33240.49606465786</x:v>
      </x:c>
      <x:c r="P35" s="51" t="n">
        <x:f>'Working Capital'!P25</x:f>
        <x:v>38370.852408646366</x:v>
      </x:c>
      <x:c r="Q35" s="51" t="n">
        <x:f>'Working Capital'!Q25</x:f>
        <x:v>43934.250039409184</x:v>
      </x:c>
      <x:c r="R35" s="51" t="n">
        <x:f>'Working Capital'!R25</x:f>
        <x:v>49837.31164710369</x:v>
      </x:c>
      <x:c r="S35" s="51" t="n">
        <x:f>'Working Capital'!S25</x:f>
        <x:v>55949.799615239746</x:v>
      </x:c>
      <x:c r="T35" s="2"/>
      <x:c r="U35" s="2"/>
    </x:row>
    <x:row r="36" ht="21" customHeight="1">
      <x:c r="A36" s="2"/>
      <x:c r="B36" s="2"/>
      <x:c r="C36" s="2" t="str">
        <x:v>Long-term unearned revenue</x:v>
      </x:c>
      <x:c r="D36" s="2"/>
      <x:c r="E36" s="51" t="n">
        <x:f>'Historical Inputs'!E51</x:f>
        <x:v>2643</x:v>
      </x:c>
      <x:c r="F36" s="51" t="n">
        <x:f>'Historical Inputs'!F51</x:f>
        <x:v>3815</x:v>
      </x:c>
      <x:c r="G36" s="51" t="n">
        <x:f>'Historical Inputs'!G51</x:f>
        <x:v>4530</x:v>
      </x:c>
      <x:c r="H36" s="51" t="n">
        <x:f>'Historical Inputs'!H51</x:f>
        <x:v>3180</x:v>
      </x:c>
      <x:c r="I36" s="51" t="n">
        <x:f>'Historical Inputs'!I51</x:f>
        <x:v>2616</x:v>
      </x:c>
      <x:c r="J36" s="51" t="n">
        <x:f>'Historical Inputs'!J51</x:f>
        <x:v>2870</x:v>
      </x:c>
      <x:c r="K36" s="51" t="n">
        <x:f>'Historical Inputs'!K51</x:f>
        <x:v>2912</x:v>
      </x:c>
      <x:c r="L36" s="51" t="n">
        <x:f>'Historical Inputs'!L51</x:f>
        <x:v>2602</x:v>
      </x:c>
      <x:c r="M36" s="51" t="n">
        <x:f>'Historical Inputs'!M51</x:f>
        <x:v>2710</x:v>
      </x:c>
      <x:c r="N36" s="51" t="n">
        <x:f>'Historical Inputs'!N51</x:f>
        <x:v>2747</x:v>
      </x:c>
      <x:c r="O36" s="51" t="n">
        <x:f>'Working Capital'!O26</x:f>
        <x:v>3187.476618480649</x:v>
      </x:c>
      <x:c r="P36" s="51" t="n">
        <x:f>'Working Capital'!P26</x:f>
        <x:v>3679.433503213306</x:v>
      </x:c>
      <x:c r="Q36" s="51" t="n">
        <x:f>'Working Capital'!Q26</x:f>
        <x:v>4212.915309046568</x:v>
      </x:c>
      <x:c r="R36" s="51" t="n">
        <x:f>'Working Capital'!R26</x:f>
        <x:v>4778.967958061711</x:v>
      </x:c>
      <x:c r="S36" s="51" t="n">
        <x:f>'Working Capital'!S26</x:f>
        <x:v>5365.102787135253</x:v>
      </x:c>
      <x:c r="T36" s="2"/>
      <x:c r="U36" s="2"/>
    </x:row>
    <x:row r="37" ht="21" customHeight="1">
      <x:c r="A37" s="2"/>
      <x:c r="B37" s="2"/>
      <x:c r="C37" s="2" t="str">
        <x:v>Deferred income tax liabilities</x:v>
      </x:c>
      <x:c r="D37" s="2"/>
      <x:c r="E37" s="51" t="n">
        <x:f>'Historical Inputs'!E52</x:f>
        <x:v>5734</x:v>
      </x:c>
      <x:c r="F37" s="51" t="n">
        <x:f>'Historical Inputs'!F52</x:f>
        <x:v>541</x:v>
      </x:c>
      <x:c r="G37" s="51" t="n">
        <x:f>'Historical Inputs'!G52</x:f>
        <x:v>233</x:v>
      </x:c>
      <x:c r="H37" s="51" t="n">
        <x:f>'Historical Inputs'!H52</x:f>
        <x:v>204</x:v>
      </x:c>
      <x:c r="I37" s="51" t="n">
        <x:f>'Historical Inputs'!I52</x:f>
        <x:v>198</x:v>
      </x:c>
      <x:c r="J37" s="51" t="n">
        <x:f>'Historical Inputs'!J52</x:f>
        <x:v>230</x:v>
      </x:c>
      <x:c r="K37" s="51" t="n">
        <x:f>'Historical Inputs'!K52</x:f>
        <x:v>433</x:v>
      </x:c>
      <x:c r="L37" s="51" t="n">
        <x:f>'Historical Inputs'!L52</x:f>
        <x:v>2618</x:v>
      </x:c>
      <x:c r="M37" s="51" t="n">
        <x:f>'Historical Inputs'!M52</x:f>
        <x:v>2835</x:v>
      </x:c>
      <x:c r="N37" s="51" t="n">
        <x:f>'Historical Inputs'!N52</x:f>
        <x:v>3054</x:v>
      </x:c>
      <x:c r="O37" s="51" t="n">
        <x:f>'Working Capital'!O27</x:f>
        <x:v>3543.703528518348</x:v>
      </x:c>
      <x:c r="P37" s="51" t="n">
        <x:f>'Working Capital'!P27</x:f>
        <x:v>4090.6406693896743</x:v>
      </x:c>
      <x:c r="Q37" s="51" t="n">
        <x:f>'Working Capital'!Q27</x:f>
        <x:v>4683.743485194109</x:v>
      </x:c>
      <x:c r="R37" s="51" t="n">
        <x:f>'Working Capital'!R27</x:f>
        <x:v>5313.05720564997</x:v>
      </x:c>
      <x:c r="S37" s="51" t="n">
        <x:f>'Working Capital'!S27</x:f>
        <x:v>5964.697456101588</x:v>
      </x:c>
      <x:c r="T37" s="2"/>
      <x:c r="U37" s="2"/>
    </x:row>
    <x:row r="38" ht="21" customHeight="1">
      <x:c r="A38" s="2"/>
      <x:c r="B38" s="2"/>
      <x:c r="C38" s="2" t="str">
        <x:v>Noncurrent operating lease liabilities</x:v>
      </x:c>
      <x:c r="D38" s="2"/>
      <x:c r="E38" s="51" t="n">
        <x:f>'Historical Inputs'!E53</x:f>
        <x:v>5372</x:v>
      </x:c>
      <x:c r="F38" s="51" t="n">
        <x:f>'Historical Inputs'!F53</x:f>
        <x:v>5568</x:v>
      </x:c>
      <x:c r="G38" s="51" t="n">
        <x:f>'Historical Inputs'!G53</x:f>
        <x:v>6188</x:v>
      </x:c>
      <x:c r="H38" s="51" t="n">
        <x:f>'Historical Inputs'!H53</x:f>
        <x:v>7671</x:v>
      </x:c>
      <x:c r="I38" s="51" t="n">
        <x:f>'Historical Inputs'!I53</x:f>
        <x:v>9629</x:v>
      </x:c>
      <x:c r="J38" s="51" t="n">
        <x:f>'Historical Inputs'!J53</x:f>
        <x:v>11489</x:v>
      </x:c>
      <x:c r="K38" s="51" t="n">
        <x:f>'Historical Inputs'!K53</x:f>
        <x:v>12728</x:v>
      </x:c>
      <x:c r="L38" s="51" t="n">
        <x:f>'Historical Inputs'!L53</x:f>
        <x:v>15497</x:v>
      </x:c>
      <x:c r="M38" s="51" t="n">
        <x:f>'Historical Inputs'!M53</x:f>
        <x:v>17437</x:v>
      </x:c>
      <x:c r="N38" s="51" t="n">
        <x:f>'Historical Inputs'!N53</x:f>
        <x:v>16532</x:v>
      </x:c>
      <x:c r="O38" s="51" t="n">
        <x:f>'Debt and Leases'!O65</x:f>
        <x:v>17348.448825</x:v>
      </x:c>
      <x:c r="P38" s="51" t="n">
        <x:f>'Debt and Leases'!P65</x:f>
        <x:v>19038.731228191667</x:v>
      </x:c>
      <x:c r="Q38" s="51" t="n">
        <x:f>'Debt and Leases'!Q65</x:f>
        <x:v>21176.48004678948</x:v>
      </x:c>
      <x:c r="R38" s="51" t="n">
        <x:f>'Debt and Leases'!R65</x:f>
        <x:v>23582.858934670643</x:v>
      </x:c>
      <x:c r="S38" s="51" t="n">
        <x:f>'Debt and Leases'!S65</x:f>
        <x:v>26304.358808389028</x:v>
      </x:c>
      <x:c r="T38" s="2"/>
      <x:c r="U38" s="2"/>
    </x:row>
    <x:row r="39" ht="21" customHeight="1">
      <x:c r="A39" s="2"/>
      <x:c r="B39" s="2"/>
      <x:c r="C39" s="2" t="str">
        <x:v>Other long-term liabilities</x:v>
      </x:c>
      <x:c r="D39" s="2"/>
      <x:c r="E39" s="51" t="n">
        <x:f>'Historical Inputs'!E54</x:f>
        <x:v>3549</x:v>
      </x:c>
      <x:c r="F39" s="51" t="n">
        <x:f>'Historical Inputs'!F54</x:f>
        <x:v>5211</x:v>
      </x:c>
      <x:c r="G39" s="51" t="n">
        <x:f>'Historical Inputs'!G54</x:f>
        <x:v>7581</x:v>
      </x:c>
      <x:c r="H39" s="51" t="n">
        <x:f>'Historical Inputs'!H54</x:f>
        <x:v>10632</x:v>
      </x:c>
      <x:c r="I39" s="51" t="n">
        <x:f>'Historical Inputs'!I54</x:f>
        <x:v>13427</x:v>
      </x:c>
      <x:c r="J39" s="51" t="n">
        <x:f>'Historical Inputs'!J54</x:f>
        <x:v>15526</x:v>
      </x:c>
      <x:c r="K39" s="51" t="n">
        <x:f>'Historical Inputs'!K54</x:f>
        <x:v>17981</x:v>
      </x:c>
      <x:c r="L39" s="51" t="n">
        <x:f>'Historical Inputs'!L54</x:f>
        <x:v>27064</x:v>
      </x:c>
      <x:c r="M39" s="51" t="n">
        <x:f>'Historical Inputs'!M54</x:f>
        <x:v>45186</x:v>
      </x:c>
      <x:c r="N39" s="51" t="n">
        <x:f>'Historical Inputs'!N54</x:f>
        <x:v>65117</x:v>
      </x:c>
      <x:c r="O39" s="51" t="n">
        <x:f>'Working Capital'!O28+'Debt and Leases'!O44</x:f>
        <x:v>86882.87419795968</x:v>
      </x:c>
      <x:c r="P39" s="51" t="n">
        <x:f>'Working Capital'!P28+'Debt and Leases'!P44</x:f>
        <x:v>108971.8341820043</x:v>
      </x:c>
      <x:c r="Q39" s="51" t="n">
        <x:f>'Working Capital'!Q28+'Debt and Leases'!Q44</x:f>
        <x:v>130791.52264013999</x:v>
      </x:c>
      <x:c r="R39" s="51" t="n">
        <x:f>'Working Capital'!R28+'Debt and Leases'!R44</x:f>
        <x:v>151912.97299976315</x:v>
      </x:c>
      <x:c r="S39" s="51" t="n">
        <x:f>'Working Capital'!S28+'Debt and Leases'!S44</x:f>
        <x:v>171887.7405226174</x:v>
      </x:c>
      <x:c r="T39" s="2"/>
      <x:c r="U39" s="2"/>
    </x:row>
    <x:row r="40" ht="21" customHeight="1">
      <x:c r="A40" s="2"/>
      <x:c r="B40" s="2"/>
      <x:c r="C40" s="64" t="str">
        <x:v>Total liabilities</x:v>
      </x:c>
      <x:c r="D40" s="64"/>
      <x:c r="E40" s="68" t="n">
        <x:f>E32+SUM(E34:E39)</x:f>
        <x:v>162601</x:v>
      </x:c>
      <x:c r="F40" s="68" t="n">
        <x:f>F32+SUM(F34:F39)</x:f>
        <x:v>176130</x:v>
      </x:c>
      <x:c r="G40" s="68" t="n">
        <x:f>G32+SUM(G34:G39)</x:f>
        <x:v>184226</x:v>
      </x:c>
      <x:c r="H40" s="68" t="n">
        <x:f>H32+SUM(H34:H39)</x:f>
        <x:v>183007</x:v>
      </x:c>
      <x:c r="I40" s="68" t="n">
        <x:f>I32+SUM(I34:I39)</x:f>
        <x:v>191791</x:v>
      </x:c>
      <x:c r="J40" s="68" t="n">
        <x:f>J32+SUM(J34:J39)</x:f>
        <x:v>198298</x:v>
      </x:c>
      <x:c r="K40" s="68" t="n">
        <x:f>K32+SUM(K34:K39)</x:f>
        <x:v>205753</x:v>
      </x:c>
      <x:c r="L40" s="68" t="n">
        <x:f>L32+SUM(L34:L39)</x:f>
        <x:v>243686</x:v>
      </x:c>
      <x:c r="M40" s="68" t="n">
        <x:f>M32+SUM(M34:M39)</x:f>
        <x:v>275524</x:v>
      </x:c>
      <x:c r="N40" s="68" t="n">
        <x:f>N32+SUM(N34:N39)</x:f>
        <x:v>315989</x:v>
      </x:c>
      <x:c r="O40" s="68" t="n">
        <x:f>O32+SUM(O34:O39)</x:f>
        <x:v>354368.0911061398</x:v>
      </x:c>
      <x:c r="P40" s="68" t="n">
        <x:f>P32+SUM(P34:P39)</x:f>
        <x:v>407253.49165694375</x:v>
      </x:c>
      <x:c r="Q40" s="68" t="n">
        <x:f>Q32+SUM(Q34:Q39)</x:f>
        <x:v>462021.2914783951</x:v>
      </x:c>
      <x:c r="R40" s="68" t="n">
        <x:f>R32+SUM(R34:R39)</x:f>
        <x:v>519839.4158815879</x:v>
      </x:c>
      <x:c r="S40" s="68" t="n">
        <x:f>S32+SUM(S34:S39)</x:f>
        <x:v>577681.2322178443</x:v>
      </x:c>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t="str">
        <x:v>Common stock and paid-in capital</x:v>
      </x:c>
      <x:c r="D42" s="2"/>
      <x:c r="E42" s="51" t="n">
        <x:f>'Historical Inputs'!E56</x:f>
        <x:v>69315</x:v>
      </x:c>
      <x:c r="F42" s="51" t="n">
        <x:f>'Historical Inputs'!F56</x:f>
        <x:v>71223</x:v>
      </x:c>
      <x:c r="G42" s="51" t="n">
        <x:f>'Historical Inputs'!G56</x:f>
        <x:v>78520</x:v>
      </x:c>
      <x:c r="H42" s="51" t="n">
        <x:f>'Historical Inputs'!H56</x:f>
        <x:v>80552</x:v>
      </x:c>
      <x:c r="I42" s="51" t="n">
        <x:f>'Historical Inputs'!I56</x:f>
        <x:v>83111</x:v>
      </x:c>
      <x:c r="J42" s="51" t="n">
        <x:f>'Historical Inputs'!J56</x:f>
        <x:v>86939</x:v>
      </x:c>
      <x:c r="K42" s="51" t="n">
        <x:f>'Historical Inputs'!K56</x:f>
        <x:v>93718</x:v>
      </x:c>
      <x:c r="L42" s="51" t="n">
        <x:f>'Historical Inputs'!L56</x:f>
        <x:v>100923</x:v>
      </x:c>
      <x:c r="M42" s="51" t="n">
        <x:f>'Historical Inputs'!M56</x:f>
        <x:v>109095</x:v>
      </x:c>
      <x:c r="N42" s="51" t="n">
        <x:f>'Historical Inputs'!N56</x:f>
        <x:v>117406</x:v>
      </x:c>
      <x:c r="O42" s="51" t="n">
        <x:f>'Tax and Equity'!O23</x:f>
        <x:v>127898.5798</x:v>
      </x:c>
      <x:c r="P42" s="51" t="n">
        <x:f>'Tax and Equity'!P23</x:f>
        <x:v>140010.5901054</x:v>
      </x:c>
      <x:c r="Q42" s="51" t="n">
        <x:f>'Tax and Equity'!Q23</x:f>
        <x:v>153878.72322817202</x:v>
      </x:c>
      <x:c r="R42" s="51" t="n">
        <x:f>'Tax and Equity'!R23</x:f>
        <x:v>169610.19632224203</x:v>
      </x:c>
      <x:c r="S42" s="51" t="n">
        <x:f>'Tax and Equity'!S23</x:f>
        <x:v>187271.11618682512</x:v>
      </x:c>
      <x:c r="T42" s="2"/>
      <x:c r="U42" s="2"/>
    </x:row>
    <x:row r="43" ht="21" customHeight="1">
      <x:c r="A43" s="2"/>
      <x:c r="B43" s="2"/>
      <x:c r="C43" s="2" t="str">
        <x:v>Retained earnings</x:v>
      </x:c>
      <x:c r="D43" s="2"/>
      <x:c r="E43" s="51" t="n">
        <x:f>'Historical Inputs'!E57</x:f>
        <x:v>17769</x:v>
      </x:c>
      <x:c r="F43" s="51" t="n">
        <x:f>'Historical Inputs'!F57</x:f>
        <x:v>13682</x:v>
      </x:c>
      <x:c r="G43" s="51" t="n">
        <x:f>'Historical Inputs'!G57</x:f>
        <x:v>24150</x:v>
      </x:c>
      <x:c r="H43" s="51" t="n">
        <x:f>'Historical Inputs'!H57</x:f>
        <x:v>34566</x:v>
      </x:c>
      <x:c r="I43" s="51" t="n">
        <x:f>'Historical Inputs'!I57</x:f>
        <x:v>57055</x:v>
      </x:c>
      <x:c r="J43" s="51" t="n">
        <x:f>'Historical Inputs'!J57</x:f>
        <x:v>84281</x:v>
      </x:c>
      <x:c r="K43" s="51" t="n">
        <x:f>'Historical Inputs'!K57</x:f>
        <x:v>118848</x:v>
      </x:c>
      <x:c r="L43" s="51" t="n">
        <x:f>'Historical Inputs'!L57</x:f>
        <x:v>173144</x:v>
      </x:c>
      <x:c r="M43" s="51" t="n">
        <x:f>'Historical Inputs'!M57</x:f>
        <x:v>237731</x:v>
      </x:c>
      <x:c r="N43" s="51" t="n">
        <x:f>'Historical Inputs'!N57</x:f>
        <x:v>328265</x:v>
      </x:c>
      <x:c r="O43" s="51" t="n">
        <x:f>'Tax and Equity'!O27</x:f>
        <x:v>420875.1984587336</x:v>
      </x:c>
      <x:c r="P43" s="51" t="n">
        <x:f>'Tax and Equity'!P27</x:f>
        <x:v>519174.4754067464</x:v>
      </x:c>
      <x:c r="Q43" s="51" t="n">
        <x:f>'Tax and Equity'!Q27</x:f>
        <x:v>625000.8428684488</x:v>
      </x:c>
      <x:c r="R43" s="51" t="n">
        <x:f>'Tax and Equity'!R27</x:f>
        <x:v>740556.9747810347</x:v>
      </x:c>
      <x:c r="S43" s="51" t="n">
        <x:f>'Tax and Equity'!S27</x:f>
        <x:v>867528.5896951222</x:v>
      </x:c>
      <x:c r="T43" s="2"/>
      <x:c r="U43" s="2"/>
    </x:row>
    <x:row r="44" ht="21" customHeight="1">
      <x:c r="A44" s="2"/>
      <x:c r="B44" s="2"/>
      <x:c r="C44" s="2" t="str">
        <x:v>Accumulated other comprehensive income</x:v>
      </x:c>
      <x:c r="D44" s="2"/>
      <x:c r="E44" s="51" t="n">
        <x:f>'Historical Inputs'!E58</x:f>
        <x:v>627</x:v>
      </x:c>
      <x:c r="F44" s="51" t="n">
        <x:f>'Historical Inputs'!F58</x:f>
        <x:v>-2187</x:v>
      </x:c>
      <x:c r="G44" s="51" t="n">
        <x:f>'Historical Inputs'!G58</x:f>
        <x:v>-340</x:v>
      </x:c>
      <x:c r="H44" s="51" t="n">
        <x:f>'Historical Inputs'!H58</x:f>
        <x:v>3186</x:v>
      </x:c>
      <x:c r="I44" s="51" t="n">
        <x:f>'Historical Inputs'!I58</x:f>
        <x:v>1822</x:v>
      </x:c>
      <x:c r="J44" s="51" t="n">
        <x:f>'Historical Inputs'!J58</x:f>
        <x:v>-4678</x:v>
      </x:c>
      <x:c r="K44" s="51" t="n">
        <x:f>'Historical Inputs'!K58</x:f>
        <x:v>-6343</x:v>
      </x:c>
      <x:c r="L44" s="51" t="n">
        <x:f>'Historical Inputs'!L58</x:f>
        <x:v>-5590</x:v>
      </x:c>
      <x:c r="M44" s="51" t="n">
        <x:f>'Historical Inputs'!M58</x:f>
        <x:v>-3347</x:v>
      </x:c>
      <x:c r="N44" s="51" t="n">
        <x:f>'Historical Inputs'!N58</x:f>
        <x:v>-3284</x:v>
      </x:c>
      <x:c r="O44" s="51" t="n">
        <x:f>'Tax and Equity'!O29</x:f>
        <x:v>-3284</x:v>
      </x:c>
      <x:c r="P44" s="51" t="n">
        <x:f>'Tax and Equity'!P29</x:f>
        <x:v>-3284</x:v>
      </x:c>
      <x:c r="Q44" s="51" t="n">
        <x:f>'Tax and Equity'!Q29</x:f>
        <x:v>-3284</x:v>
      </x:c>
      <x:c r="R44" s="51" t="n">
        <x:f>'Tax and Equity'!R29</x:f>
        <x:v>-3284</x:v>
      </x:c>
      <x:c r="S44" s="51" t="n">
        <x:f>'Tax and Equity'!S29</x:f>
        <x:v>-3284</x:v>
      </x:c>
      <x:c r="T44" s="2"/>
      <x:c r="U44" s="2"/>
    </x:row>
    <x:row r="45" ht="21" customHeight="1">
      <x:c r="A45" s="2"/>
      <x:c r="B45" s="2"/>
      <x:c r="C45" s="64" t="str">
        <x:v>Total stockholders equity</x:v>
      </x:c>
      <x:c r="D45" s="64"/>
      <x:c r="E45" s="68" t="n">
        <x:f>SUM(E42:E44)</x:f>
        <x:v>87711</x:v>
      </x:c>
      <x:c r="F45" s="68" t="n">
        <x:f>SUM(F42:F44)</x:f>
        <x:v>82718</x:v>
      </x:c>
      <x:c r="G45" s="68" t="n">
        <x:f>SUM(G42:G44)</x:f>
        <x:v>102330</x:v>
      </x:c>
      <x:c r="H45" s="68" t="n">
        <x:f>SUM(H42:H44)</x:f>
        <x:v>118304</x:v>
      </x:c>
      <x:c r="I45" s="68" t="n">
        <x:f>SUM(I42:I44)</x:f>
        <x:v>141988</x:v>
      </x:c>
      <x:c r="J45" s="68" t="n">
        <x:f>SUM(J42:J44)</x:f>
        <x:v>166542</x:v>
      </x:c>
      <x:c r="K45" s="68" t="n">
        <x:f>SUM(K42:K44)</x:f>
        <x:v>206223</x:v>
      </x:c>
      <x:c r="L45" s="68" t="n">
        <x:f>SUM(L42:L44)</x:f>
        <x:v>268477</x:v>
      </x:c>
      <x:c r="M45" s="68" t="n">
        <x:f>SUM(M42:M44)</x:f>
        <x:v>343479</x:v>
      </x:c>
      <x:c r="N45" s="68" t="n">
        <x:f>SUM(N42:N44)</x:f>
        <x:v>442387</x:v>
      </x:c>
      <x:c r="O45" s="68" t="n">
        <x:f>SUM(O42:O44)</x:f>
        <x:v>545489.7782587337</x:v>
      </x:c>
      <x:c r="P45" s="68" t="n">
        <x:f>SUM(P42:P44)</x:f>
        <x:v>655901.0655121463</x:v>
      </x:c>
      <x:c r="Q45" s="68" t="n">
        <x:f>SUM(Q42:Q44)</x:f>
        <x:v>775595.5660966209</x:v>
      </x:c>
      <x:c r="R45" s="68" t="n">
        <x:f>SUM(R42:R44)</x:f>
        <x:v>906883.1711032768</x:v>
      </x:c>
      <x:c r="S45" s="68" t="n">
        <x:f>SUM(S42:S44)</x:f>
        <x:v>1051515.7058819474</x:v>
      </x:c>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64" t="str">
        <x:v>Total liabilities and stockholders equity</x:v>
      </x:c>
      <x:c r="D47" s="64"/>
      <x:c r="E47" s="68" t="n">
        <x:f>E40+E45</x:f>
        <x:v>250312</x:v>
      </x:c>
      <x:c r="F47" s="68" t="n">
        <x:f>F40+F45</x:f>
        <x:v>258848</x:v>
      </x:c>
      <x:c r="G47" s="68" t="n">
        <x:f>G40+G45</x:f>
        <x:v>286556</x:v>
      </x:c>
      <x:c r="H47" s="68" t="n">
        <x:f>H40+H45</x:f>
        <x:v>301311</x:v>
      </x:c>
      <x:c r="I47" s="68" t="n">
        <x:f>I40+I45</x:f>
        <x:v>333779</x:v>
      </x:c>
      <x:c r="J47" s="68" t="n">
        <x:f>J40+J45</x:f>
        <x:v>364840</x:v>
      </x:c>
      <x:c r="K47" s="68" t="n">
        <x:f>K40+K45</x:f>
        <x:v>411976</x:v>
      </x:c>
      <x:c r="L47" s="68" t="n">
        <x:f>L40+L45</x:f>
        <x:v>512163</x:v>
      </x:c>
      <x:c r="M47" s="68" t="n">
        <x:f>M40+M45</x:f>
        <x:v>619003</x:v>
      </x:c>
      <x:c r="N47" s="68" t="n">
        <x:f>N40+N45</x:f>
        <x:v>758376</x:v>
      </x:c>
      <x:c r="O47" s="68" t="n">
        <x:f>O40+O45</x:f>
        <x:v>899857.8693648735</x:v>
      </x:c>
      <x:c r="P47" s="68" t="n">
        <x:f>P40+P45</x:f>
        <x:v>1063154.55716909</x:v>
      </x:c>
      <x:c r="Q47" s="68" t="n">
        <x:f>Q40+Q45</x:f>
        <x:v>1237616.857575016</x:v>
      </x:c>
      <x:c r="R47" s="68" t="n">
        <x:f>R40+R45</x:f>
        <x:v>1426722.5869848647</x:v>
      </x:c>
      <x:c r="S47" s="68" t="n">
        <x:f>S40+S45</x:f>
        <x:v>1629196.9380997918</x:v>
      </x:c>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fdb50f202b0e4d51"/>
</x:worksheet>
</file>

<file path=xl/worksheets/sheet9.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Cash Flow</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Net income</x:v>
      </x:c>
      <x:c r="D8" s="2"/>
      <x:c r="E8" s="51" t="n">
        <x:f>'Historical Inputs'!E66</x:f>
        <x:v>25489</x:v>
      </x:c>
      <x:c r="F8" s="51" t="n">
        <x:f>'Historical Inputs'!F66</x:f>
        <x:v>16571</x:v>
      </x:c>
      <x:c r="G8" s="51" t="n">
        <x:f>'Historical Inputs'!G66</x:f>
        <x:v>39240</x:v>
      </x:c>
      <x:c r="H8" s="51" t="n">
        <x:f>'Historical Inputs'!H66</x:f>
        <x:v>44281</x:v>
      </x:c>
      <x:c r="I8" s="51" t="n">
        <x:f>'Historical Inputs'!I66</x:f>
        <x:v>61271</x:v>
      </x:c>
      <x:c r="J8" s="51" t="n">
        <x:f>'Historical Inputs'!J66</x:f>
        <x:v>72738</x:v>
      </x:c>
      <x:c r="K8" s="51" t="n">
        <x:f>'Historical Inputs'!K66</x:f>
        <x:v>72361</x:v>
      </x:c>
      <x:c r="L8" s="51" t="n">
        <x:f>'Historical Inputs'!L66</x:f>
        <x:v>88136</x:v>
      </x:c>
      <x:c r="M8" s="51" t="n">
        <x:f>'Historical Inputs'!M66</x:f>
        <x:v>101832</x:v>
      </x:c>
      <x:c r="N8" s="51" t="n">
        <x:f>'Historical Inputs'!N66</x:f>
        <x:v>133749</x:v>
      </x:c>
      <x:c r="O8" s="51" t="n">
        <x:f>'Income Statement'!O28</x:f>
        <x:v>139226.65932341706</x:v>
      </x:c>
      <x:c r="P8" s="51" t="n">
        <x:f>'Income Statement'!P28</x:f>
        <x:v>149959.44033126585</x:v>
      </x:c>
      <x:c r="Q8" s="51" t="n">
        <x:f>'Income Statement'!Q28</x:f>
        <x:v>163295.41298470303</x:v>
      </x:c>
      <x:c r="R8" s="51" t="n">
        <x:f>'Income Statement'!R28</x:f>
        <x:v>179624.49119054497</x:v>
      </x:c>
      <x:c r="S8" s="51" t="n">
        <x:f>'Income Statement'!S28</x:f>
        <x:v>198208.54815629864</x:v>
      </x:c>
      <x:c r="T8" s="2"/>
      <x:c r="U8" s="2"/>
    </x:row>
    <x:row r="9" ht="21" customHeight="1">
      <x:c r="A9" s="2"/>
      <x:c r="B9" s="2"/>
      <x:c r="C9" s="2" t="str">
        <x:v>PPE depreciation</x:v>
      </x:c>
      <x:c r="D9" s="2"/>
      <x:c r="E9" s="51" t="n">
        <x:f>'Filing Notes'!E8</x:f>
        <x:v>6100</x:v>
      </x:c>
      <x:c r="F9" s="51" t="n">
        <x:f>'Filing Notes'!F8</x:f>
        <x:v>7700</x:v>
      </x:c>
      <x:c r="G9" s="51" t="n">
        <x:f>'Filing Notes'!G8</x:f>
        <x:v>9700</x:v>
      </x:c>
      <x:c r="H9" s="51" t="n">
        <x:f>'Filing Notes'!H8</x:f>
        <x:v>10700</x:v>
      </x:c>
      <x:c r="I9" s="51" t="n">
        <x:f>'Filing Notes'!I8</x:f>
        <x:v>9300</x:v>
      </x:c>
      <x:c r="J9" s="51" t="n">
        <x:f>'Filing Notes'!J8</x:f>
        <x:v>12600</x:v>
      </x:c>
      <x:c r="K9" s="51" t="n">
        <x:f>'Filing Notes'!K8</x:f>
        <x:v>11000</x:v>
      </x:c>
      <x:c r="L9" s="51" t="n">
        <x:f>'Filing Notes'!L8</x:f>
        <x:v>15200</x:v>
      </x:c>
      <x:c r="M9" s="51" t="n">
        <x:f>'Filing Notes'!M8</x:f>
        <x:v>22000</x:v>
      </x:c>
      <x:c r="N9" s="51" t="n">
        <x:f>'Filing Notes'!N8</x:f>
        <x:v>34300</x:v>
      </x:c>
      <x:c r="O9" s="51" t="n">
        <x:f>'PPE and Intangibles'!O21</x:f>
        <x:v>50319.3666</x:v>
      </x:c>
      <x:c r="P9" s="51" t="n">
        <x:f>'PPE and Intangibles'!P21</x:f>
        <x:v>75599.62026141334</x:v>
      </x:c>
      <x:c r="Q9" s="51" t="n">
        <x:f>'PPE and Intangibles'!Q21</x:f>
        <x:v>101565.57059252668</x:v>
      </x:c>
      <x:c r="R9" s="51" t="n">
        <x:f>'PPE and Intangibles'!R21</x:f>
        <x:v>128010.09185221468</x:v>
      </x:c>
      <x:c r="S9" s="51" t="n">
        <x:f>'PPE and Intangibles'!S21</x:f>
        <x:v>154852.54990618228</x:v>
      </x:c>
      <x:c r="T9" s="2"/>
      <x:c r="U9" s="2"/>
    </x:row>
    <x:row r="10" ht="21" customHeight="1">
      <x:c r="A10" s="2"/>
      <x:c r="B10" s="2"/>
      <x:c r="C10" s="2" t="str">
        <x:v>Intangible amortization</x:v>
      </x:c>
      <x:c r="D10" s="2"/>
      <x:c r="E10" s="51" t="n">
        <x:f>'Filing Notes'!E9</x:f>
        <x:v>1700</x:v>
      </x:c>
      <x:c r="F10" s="51" t="n">
        <x:f>'Filing Notes'!F9</x:f>
        <x:v>2200</x:v>
      </x:c>
      <x:c r="G10" s="51" t="n">
        <x:f>'Filing Notes'!G9</x:f>
        <x:v>1900</x:v>
      </x:c>
      <x:c r="H10" s="51" t="n">
        <x:f>'Filing Notes'!H9</x:f>
        <x:v>1600</x:v>
      </x:c>
      <x:c r="I10" s="51" t="n">
        <x:f>'Filing Notes'!I9</x:f>
        <x:v>1600</x:v>
      </x:c>
      <x:c r="J10" s="51" t="n">
        <x:f>'Filing Notes'!J9</x:f>
        <x:v>2000</x:v>
      </x:c>
      <x:c r="K10" s="51" t="n">
        <x:f>'Filing Notes'!K9</x:f>
        <x:v>2500</x:v>
      </x:c>
      <x:c r="L10" s="51" t="n">
        <x:f>'Filing Notes'!L9</x:f>
        <x:v>4800</x:v>
      </x:c>
      <x:c r="M10" s="51" t="n">
        <x:f>'Filing Notes'!M9</x:f>
        <x:v>6000</x:v>
      </x:c>
      <x:c r="N10" s="51" t="n">
        <x:f>'Filing Notes'!N9</x:f>
        <x:v>4700</x:v>
      </x:c>
      <x:c r="O10" s="51" t="n">
        <x:f>'PPE and Intangibles'!O42</x:f>
        <x:v>3097</x:v>
      </x:c>
      <x:c r="P10" s="51" t="n">
        <x:f>'PPE and Intangibles'!P42</x:f>
        <x:v>2141</x:v>
      </x:c>
      <x:c r="Q10" s="51" t="n">
        <x:f>'PPE and Intangibles'!Q42</x:f>
        <x:v>1944</x:v>
      </x:c>
      <x:c r="R10" s="51" t="n">
        <x:f>'PPE and Intangibles'!R42</x:f>
        <x:v>1477</x:v>
      </x:c>
      <x:c r="S10" s="51" t="n">
        <x:f>'PPE and Intangibles'!S42</x:f>
        <x:v>1128</x:v>
      </x:c>
      <x:c r="T10" s="2"/>
      <x:c r="U10" s="2"/>
    </x:row>
    <x:row r="11" ht="21" customHeight="1">
      <x:c r="A11" s="2"/>
      <x:c r="B11" s="2"/>
      <x:c r="C11" s="2" t="str">
        <x:v>Other depreciation adjustments and impairments</x:v>
      </x:c>
      <x:c r="D11" s="2"/>
      <x:c r="E11" s="51" t="n">
        <x:f>'Historical Inputs'!E67-E9-E10+'Historical Inputs'!E100</x:f>
        <x:v>978</x:v>
      </x:c>
      <x:c r="F11" s="51" t="n">
        <x:f>'Historical Inputs'!F67-F9-F10+'Historical Inputs'!F100</x:f>
        <x:v>361</x:v>
      </x:c>
      <x:c r="G11" s="51" t="n">
        <x:f>'Historical Inputs'!G67-G9-G10+'Historical Inputs'!G100</x:f>
        <x:v>82</x:v>
      </x:c>
      <x:c r="H11" s="51" t="n">
        <x:f>'Historical Inputs'!H67-H9-H10+'Historical Inputs'!H100</x:f>
        <x:v>496</x:v>
      </x:c>
      <x:c r="I11" s="51" t="n">
        <x:f>'Historical Inputs'!I67-I9-I10+'Historical Inputs'!I100</x:f>
        <x:v>786</x:v>
      </x:c>
      <x:c r="J11" s="51" t="n">
        <x:f>'Historical Inputs'!J67-J9-J10+'Historical Inputs'!J100</x:f>
        <x:v>-140</x:v>
      </x:c>
      <x:c r="K11" s="51" t="n">
        <x:f>'Historical Inputs'!K67-K9-K10+'Historical Inputs'!K100</x:f>
        <x:v>361</x:v>
      </x:c>
      <x:c r="L11" s="51" t="n">
        <x:f>'Historical Inputs'!L67-L9-L10+'Historical Inputs'!L100</x:f>
        <x:v>958</x:v>
      </x:c>
      <x:c r="M11" s="51" t="n">
        <x:f>'Historical Inputs'!M67-M9-M10+'Historical Inputs'!M100</x:f>
        <x:v>1433</x:v>
      </x:c>
      <x:c r="N11" s="51" t="n">
        <x:f>'Historical Inputs'!N67-N9-N10+'Historical Inputs'!N100</x:f>
        <x:v>-466</x:v>
      </x:c>
      <x:c r="O11" s="57" t="n">
        <x:f>0</x:f>
        <x:v>0</x:v>
      </x:c>
      <x:c r="P11" s="57" t="n">
        <x:f>0</x:f>
        <x:v>0</x:v>
      </x:c>
      <x:c r="Q11" s="57" t="n">
        <x:f>0</x:f>
        <x:v>0</x:v>
      </x:c>
      <x:c r="R11" s="57" t="n">
        <x:f>0</x:f>
        <x:v>0</x:v>
      </x:c>
      <x:c r="S11" s="57" t="n">
        <x:f>0</x:f>
        <x:v>0</x:v>
      </x:c>
      <x:c r="T11" s="2"/>
      <x:c r="U11" s="2"/>
    </x:row>
    <x:row r="12" ht="21" customHeight="1">
      <x:c r="A12" s="2"/>
      <x:c r="B12" s="2"/>
      <x:c r="C12" s="2" t="str">
        <x:v>Stock-based compensation</x:v>
      </x:c>
      <x:c r="D12" s="2"/>
      <x:c r="E12" s="51" t="n">
        <x:f>'Historical Inputs'!E68</x:f>
        <x:v>3266</x:v>
      </x:c>
      <x:c r="F12" s="51" t="n">
        <x:f>'Historical Inputs'!F68</x:f>
        <x:v>3940</x:v>
      </x:c>
      <x:c r="G12" s="51" t="n">
        <x:f>'Historical Inputs'!G68</x:f>
        <x:v>4652</x:v>
      </x:c>
      <x:c r="H12" s="51" t="n">
        <x:f>'Historical Inputs'!H68</x:f>
        <x:v>5289</x:v>
      </x:c>
      <x:c r="I12" s="51" t="n">
        <x:f>'Historical Inputs'!I68</x:f>
        <x:v>6118</x:v>
      </x:c>
      <x:c r="J12" s="51" t="n">
        <x:f>'Historical Inputs'!J68</x:f>
        <x:v>7502</x:v>
      </x:c>
      <x:c r="K12" s="51" t="n">
        <x:f>'Historical Inputs'!K68</x:f>
        <x:v>9611</x:v>
      </x:c>
      <x:c r="L12" s="51" t="n">
        <x:f>'Historical Inputs'!L68</x:f>
        <x:v>10734</x:v>
      </x:c>
      <x:c r="M12" s="51" t="n">
        <x:f>'Historical Inputs'!M68</x:f>
        <x:v>11974</x:v>
      </x:c>
      <x:c r="N12" s="51" t="n">
        <x:f>'Historical Inputs'!N68</x:f>
        <x:v>12405</x:v>
      </x:c>
      <x:c r="O12" s="51" t="n">
        <x:f>'Tax and Equity'!O16</x:f>
        <x:v>14439.330000000002</x:v>
      </x:c>
      <x:c r="P12" s="51" t="n">
        <x:f>'Tax and Equity'!P16</x:f>
        <x:v>16667.90409</x:v>
      </x:c>
      <x:c r="Q12" s="51" t="n">
        <x:f>'Tax and Equity'!Q16</x:f>
        <x:v>19084.5868662</x:v>
      </x:c>
      <x:c r="R12" s="51" t="n">
        <x:f>'Tax and Equity'!R16</x:f>
        <x:v>21648.816184500003</x:v>
      </x:c>
      <x:c r="S12" s="51" t="n">
        <x:f>'Tax and Equity'!S16</x:f>
        <x:v>24304.01816227032</x:v>
      </x:c>
      <x:c r="T12" s="2"/>
      <x:c r="U12" s="2"/>
    </x:row>
    <x:row r="13" ht="21" customHeight="1">
      <x:c r="A13" s="2"/>
      <x:c r="B13" s="2"/>
      <x:c r="C13" s="2" t="str">
        <x:v>Investment and derivative loss or gain adjustment</x:v>
      </x:c>
      <x:c r="D13" s="2"/>
      <x:c r="E13" s="51" t="n">
        <x:f>'Historical Inputs'!E69</x:f>
        <x:v>-2073</x:v>
      </x:c>
      <x:c r="F13" s="51" t="n">
        <x:f>'Historical Inputs'!F69</x:f>
        <x:v>-2212</x:v>
      </x:c>
      <x:c r="G13" s="51" t="n">
        <x:f>'Historical Inputs'!G69</x:f>
        <x:v>-792</x:v>
      </x:c>
      <x:c r="H13" s="51" t="n">
        <x:f>'Historical Inputs'!H69</x:f>
        <x:v>-219</x:v>
      </x:c>
      <x:c r="I13" s="51" t="n">
        <x:f>'Historical Inputs'!I69</x:f>
        <x:v>-1249</x:v>
      </x:c>
      <x:c r="J13" s="51" t="n">
        <x:f>'Historical Inputs'!J69</x:f>
        <x:v>-409</x:v>
      </x:c>
      <x:c r="K13" s="51" t="n">
        <x:f>'Historical Inputs'!K69</x:f>
        <x:v>196</x:v>
      </x:c>
      <x:c r="L13" s="51" t="n">
        <x:f>'Historical Inputs'!L69</x:f>
        <x:v>1634</x:v>
      </x:c>
      <x:c r="M13" s="51" t="n">
        <x:f>'Historical Inputs'!M69</x:f>
        <x:v>5329</x:v>
      </x:c>
      <x:c r="N13" s="51" t="n">
        <x:f>'Historical Inputs'!N69</x:f>
        <x:v>-11047</x:v>
      </x:c>
      <x:c r="O13" s="57" t="n">
        <x:f>0</x:f>
        <x:v>0</x:v>
      </x:c>
      <x:c r="P13" s="57" t="n">
        <x:f>0</x:f>
        <x:v>0</x:v>
      </x:c>
      <x:c r="Q13" s="57" t="n">
        <x:f>0</x:f>
        <x:v>0</x:v>
      </x:c>
      <x:c r="R13" s="57" t="n">
        <x:f>0</x:f>
        <x:v>0</x:v>
      </x:c>
      <x:c r="S13" s="57" t="n">
        <x:f>0</x:f>
        <x:v>0</x:v>
      </x:c>
      <x:c r="T13" s="2"/>
      <x:c r="U13" s="2"/>
    </x:row>
    <x:row r="14" ht="21" customHeight="1">
      <x:c r="A14" s="2"/>
      <x:c r="B14" s="2"/>
      <x:c r="C14" s="2" t="str">
        <x:v>Deferred income taxes</x:v>
      </x:c>
      <x:c r="D14" s="2"/>
      <x:c r="E14" s="51" t="n">
        <x:f>'Historical Inputs'!E70</x:f>
        <x:v>-829</x:v>
      </x:c>
      <x:c r="F14" s="51" t="n">
        <x:f>'Historical Inputs'!F70</x:f>
        <x:v>-5143</x:v>
      </x:c>
      <x:c r="G14" s="51" t="n">
        <x:f>'Historical Inputs'!G70</x:f>
        <x:v>-6463</x:v>
      </x:c>
      <x:c r="H14" s="51" t="n">
        <x:f>'Historical Inputs'!H70</x:f>
        <x:v>11</x:v>
      </x:c>
      <x:c r="I14" s="51" t="n">
        <x:f>'Historical Inputs'!I70</x:f>
        <x:v>-150</x:v>
      </x:c>
      <x:c r="J14" s="51" t="n">
        <x:f>'Historical Inputs'!J70</x:f>
        <x:v>-5702</x:v>
      </x:c>
      <x:c r="K14" s="51" t="n">
        <x:f>'Historical Inputs'!K70</x:f>
        <x:v>-6059</x:v>
      </x:c>
      <x:c r="L14" s="51" t="n">
        <x:f>'Historical Inputs'!L70</x:f>
        <x:v>-4738</x:v>
      </x:c>
      <x:c r="M14" s="51" t="n">
        <x:f>'Historical Inputs'!M70</x:f>
        <x:v>-7056</x:v>
      </x:c>
      <x:c r="N14" s="51" t="n">
        <x:f>'Historical Inputs'!N70</x:f>
        <x:v>14189</x:v>
      </x:c>
      <x:c r="O14" s="51" t="n">
        <x:f>'Tax and Equity'!O11</x:f>
        <x:v>489.70352851834787</x:v>
      </x:c>
      <x:c r="P14" s="51" t="n">
        <x:f>'Tax and Equity'!P11</x:f>
        <x:v>546.9371408713264</x:v>
      </x:c>
      <x:c r="Q14" s="51" t="n">
        <x:f>'Tax and Equity'!Q11</x:f>
        <x:v>593.1028158044346</x:v>
      </x:c>
      <x:c r="R14" s="51" t="n">
        <x:f>'Tax and Equity'!R11</x:f>
        <x:v>629.3137204558607</x:v>
      </x:c>
      <x:c r="S14" s="51" t="n">
        <x:f>'Tax and Equity'!S11</x:f>
        <x:v>651.6402504516182</x:v>
      </x:c>
      <x:c r="T14" s="2"/>
      <x:c r="U14" s="2"/>
    </x:row>
    <x:row r="15" ht="21" customHeight="1">
      <x:c r="A15" s="2"/>
      <x:c r="B15" s="2"/>
      <x:c r="C15" s="2" t="str">
        <x:v>Noncash debt accounting amortization</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'Debt and Leases'!O15</x:f>
        <x:v>175.26</x:v>
      </x:c>
      <x:c r="P15" s="51" t="n">
        <x:f>'Debt and Leases'!P15</x:f>
        <x:v>170.0022</x:v>
      </x:c>
      <x:c r="Q15" s="51" t="n">
        <x:f>'Debt and Leases'!Q15</x:f>
        <x:v>164.902134</x:v>
      </x:c>
      <x:c r="R15" s="51" t="n">
        <x:f>'Debt and Leases'!R15</x:f>
        <x:v>159.95506998</x:v>
      </x:c>
      <x:c r="S15" s="51" t="n">
        <x:f>'Debt and Leases'!S15</x:f>
        <x:v>155.15641788059997</x:v>
      </x:c>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t="str">
        <x:v>Change in accounts receivable</x:v>
      </x:c>
      <x:c r="D17" s="2"/>
      <x:c r="E17" s="51" t="n">
        <x:f>'Historical Inputs'!E71</x:f>
        <x:v>-1216</x:v>
      </x:c>
      <x:c r="F17" s="51" t="n">
        <x:f>'Historical Inputs'!F71</x:f>
        <x:v>-3862</x:v>
      </x:c>
      <x:c r="G17" s="51" t="n">
        <x:f>'Historical Inputs'!G71</x:f>
        <x:v>-2812</x:v>
      </x:c>
      <x:c r="H17" s="51" t="n">
        <x:f>'Historical Inputs'!H71</x:f>
        <x:v>-2577</x:v>
      </x:c>
      <x:c r="I17" s="51" t="n">
        <x:f>'Historical Inputs'!I71</x:f>
        <x:v>-6481</x:v>
      </x:c>
      <x:c r="J17" s="51" t="n">
        <x:f>'Historical Inputs'!J71</x:f>
        <x:v>-6834</x:v>
      </x:c>
      <x:c r="K17" s="51" t="n">
        <x:f>'Historical Inputs'!K71</x:f>
        <x:v>-4087</x:v>
      </x:c>
      <x:c r="L17" s="51" t="n">
        <x:f>'Historical Inputs'!L71</x:f>
        <x:v>-7191</x:v>
      </x:c>
      <x:c r="M17" s="51" t="n">
        <x:f>'Historical Inputs'!M71</x:f>
        <x:v>-10581</x:v>
      </x:c>
      <x:c r="N17" s="51" t="n">
        <x:f>'Historical Inputs'!N71</x:f>
        <x:v>-12737</x:v>
      </x:c>
      <x:c r="O17" s="51" t="n">
        <x:f>'Working Capital'!O31</x:f>
        <x:v>-12968.324352472147</x:v>
      </x:c>
      <x:c r="P17" s="51" t="n">
        <x:f>'Working Capital'!P31</x:f>
        <x:v>-14483.984350068553</x:v>
      </x:c>
      <x:c r="Q17" s="51" t="n">
        <x:f>'Working Capital'!Q31</x:f>
        <x:v>-15706.543330386223</x:v>
      </x:c>
      <x:c r="R17" s="51" t="n">
        <x:f>'Working Capital'!R31</x:f>
        <x:v>-16665.48017537268</x:v>
      </x:c>
      <x:c r="S17" s="51" t="n">
        <x:f>'Working Capital'!S31</x:f>
        <x:v>-17256.731138023926</x:v>
      </x:c>
      <x:c r="T17" s="2"/>
      <x:c r="U17" s="2"/>
    </x:row>
    <x:row r="18" ht="21" customHeight="1">
      <x:c r="A18" s="2"/>
      <x:c r="B18" s="2"/>
      <x:c r="C18" s="2" t="str">
        <x:v>Change in inventories</x:v>
      </x:c>
      <x:c r="D18" s="2"/>
      <x:c r="E18" s="51" t="n">
        <x:f>'Historical Inputs'!E72</x:f>
        <x:v>50</x:v>
      </x:c>
      <x:c r="F18" s="51" t="n">
        <x:f>'Historical Inputs'!F72</x:f>
        <x:v>-465</x:v>
      </x:c>
      <x:c r="G18" s="51" t="n">
        <x:f>'Historical Inputs'!G72</x:f>
        <x:v>597</x:v>
      </x:c>
      <x:c r="H18" s="51" t="n">
        <x:f>'Historical Inputs'!H72</x:f>
        <x:v>168</x:v>
      </x:c>
      <x:c r="I18" s="51" t="n">
        <x:f>'Historical Inputs'!I72</x:f>
        <x:v>-737</x:v>
      </x:c>
      <x:c r="J18" s="51" t="n">
        <x:f>'Historical Inputs'!J72</x:f>
        <x:v>-1123</x:v>
      </x:c>
      <x:c r="K18" s="51" t="n">
        <x:f>'Historical Inputs'!K72</x:f>
        <x:v>1242</x:v>
      </x:c>
      <x:c r="L18" s="51" t="n">
        <x:f>'Historical Inputs'!L72</x:f>
        <x:v>1284</x:v>
      </x:c>
      <x:c r="M18" s="51" t="n">
        <x:f>'Historical Inputs'!M72</x:f>
        <x:v>309</x:v>
      </x:c>
      <x:c r="N18" s="51" t="n">
        <x:f>'Historical Inputs'!N72</x:f>
        <x:v>-461</x:v>
      </x:c>
      <x:c r="O18" s="51" t="n">
        <x:f>'Working Capital'!O32</x:f>
        <x:v>-270.0221308691657</x:v>
      </x:c>
      <x:c r="P18" s="51" t="n">
        <x:f>'Working Capital'!P32</x:f>
        <x:v>-415.69696262424077</x:v>
      </x:c>
      <x:c r="Q18" s="51" t="n">
        <x:f>'Working Capital'!Q32</x:f>
        <x:v>-442.24317326726396</x:v>
      </x:c>
      <x:c r="R18" s="51" t="n">
        <x:f>'Working Capital'!R32</x:f>
        <x:v>-451.31337072975566</x:v>
      </x:c>
      <x:c r="S18" s="51" t="n">
        <x:f>'Working Capital'!S32</x:f>
        <x:v>-460.0125586770855</x:v>
      </x:c>
      <x:c r="T18" s="2"/>
      <x:c r="U18" s="2"/>
    </x:row>
    <x:row r="19" ht="21" customHeight="1">
      <x:c r="A19" s="2"/>
      <x:c r="B19" s="2"/>
      <x:c r="C19" s="2" t="str">
        <x:v>Change in other current assets</x:v>
      </x:c>
      <x:c r="D19" s="2"/>
      <x:c r="E19" s="51" t="n">
        <x:f>'Historical Inputs'!E73</x:f>
        <x:v>1028</x:v>
      </x:c>
      <x:c r="F19" s="51" t="n">
        <x:f>'Historical Inputs'!F73</x:f>
        <x:v>-952</x:v>
      </x:c>
      <x:c r="G19" s="51" t="n">
        <x:f>'Historical Inputs'!G73</x:f>
        <x:v>-1718</x:v>
      </x:c>
      <x:c r="H19" s="51" t="n">
        <x:f>'Historical Inputs'!H73</x:f>
        <x:v>-2330</x:v>
      </x:c>
      <x:c r="I19" s="51" t="n">
        <x:f>'Historical Inputs'!I73</x:f>
        <x:v>-932</x:v>
      </x:c>
      <x:c r="J19" s="51" t="n">
        <x:f>'Historical Inputs'!J73</x:f>
        <x:v>-709</x:v>
      </x:c>
      <x:c r="K19" s="51" t="n">
        <x:f>'Historical Inputs'!K73</x:f>
        <x:v>-1991</x:v>
      </x:c>
      <x:c r="L19" s="51" t="n">
        <x:f>'Historical Inputs'!L73</x:f>
        <x:v>-1648</x:v>
      </x:c>
      <x:c r="M19" s="51" t="n">
        <x:f>'Historical Inputs'!M73</x:f>
        <x:v>-3044</x:v>
      </x:c>
      <x:c r="N19" s="51" t="n">
        <x:f>'Historical Inputs'!N73</x:f>
        <x:v>-2627</x:v>
      </x:c>
      <x:c r="O19" s="51" t="n">
        <x:f>'Working Capital'!O33</x:f>
        <x:v>-3387.5880000000107</x:v>
      </x:c>
      <x:c r="P19" s="51" t="n">
        <x:f>'Working Capital'!P33</x:f>
        <x:v>-3578.0922999999966</x:v>
      </x:c>
      <x:c r="Q19" s="51" t="n">
        <x:f>'Working Capital'!Q33</x:f>
        <x:v>-5510.997671839992</x:v>
      </x:c>
      <x:c r="R19" s="51" t="n">
        <x:f>'Working Capital'!R33</x:f>
        <x:v>-5319.024993960011</x:v>
      </x:c>
      <x:c r="S19" s="51" t="n">
        <x:f>'Working Capital'!S33</x:f>
        <x:v>-4902.083643526261</x:v>
      </x:c>
      <x:c r="T19" s="2"/>
      <x:c r="U19" s="2"/>
    </x:row>
    <x:row r="20" ht="21" customHeight="1">
      <x:c r="A20" s="2"/>
      <x:c r="B20" s="2"/>
      <x:c r="C20" s="2" t="str">
        <x:v>Change in other long-term assets</x:v>
      </x:c>
      <x:c r="D20" s="2"/>
      <x:c r="E20" s="51" t="n">
        <x:f>'Historical Inputs'!E74</x:f>
        <x:v>-917</x:v>
      </x:c>
      <x:c r="F20" s="51" t="n">
        <x:f>'Historical Inputs'!F74</x:f>
        <x:v>-285</x:v>
      </x:c>
      <x:c r="G20" s="51" t="n">
        <x:f>'Historical Inputs'!G74</x:f>
        <x:v>-1834</x:v>
      </x:c>
      <x:c r="H20" s="51" t="n">
        <x:f>'Historical Inputs'!H74</x:f>
        <x:v>-1037</x:v>
      </x:c>
      <x:c r="I20" s="51" t="n">
        <x:f>'Historical Inputs'!I74</x:f>
        <x:v>-3459</x:v>
      </x:c>
      <x:c r="J20" s="51" t="n">
        <x:f>'Historical Inputs'!J74</x:f>
        <x:v>-2805</x:v>
      </x:c>
      <x:c r="K20" s="51" t="n">
        <x:f>'Historical Inputs'!K74</x:f>
        <x:v>-2833</x:v>
      </x:c>
      <x:c r="L20" s="51" t="n">
        <x:f>'Historical Inputs'!L74</x:f>
        <x:v>-6817</x:v>
      </x:c>
      <x:c r="M20" s="51" t="n">
        <x:f>'Historical Inputs'!M74</x:f>
        <x:v>-2950</x:v>
      </x:c>
      <x:c r="N20" s="51" t="n">
        <x:f>'Historical Inputs'!N74</x:f>
        <x:v>-3964</x:v>
      </x:c>
      <x:c r="O20" s="51" t="n">
        <x:f>'Working Capital'!O34</x:f>
        <x:v>-6222.313498413387</x:v>
      </x:c>
      <x:c r="P20" s="51" t="n">
        <x:f>'Working Capital'!P34</x:f>
        <x:v>-6949.54019368429</x:v>
      </x:c>
      <x:c r="Q20" s="51" t="n">
        <x:f>'Working Capital'!Q34</x:f>
        <x:v>-7536.134501405075</x:v>
      </x:c>
      <x:c r="R20" s="51" t="n">
        <x:f>'Working Capital'!R34</x:f>
        <x:v>-7996.240642530989</x:v>
      </x:c>
      <x:c r="S20" s="51" t="n">
        <x:f>'Working Capital'!S34</x:f>
        <x:v>-8279.927936730543</x:v>
      </x:c>
      <x:c r="T20" s="2"/>
      <x:c r="U20" s="2"/>
    </x:row>
    <x:row r="21" ht="21" customHeight="1">
      <x:c r="A21" s="2"/>
      <x:c r="B21" s="2"/>
      <x:c r="C21" s="2" t="str">
        <x:v>Change in operating accounts payable</x:v>
      </x:c>
      <x:c r="D21" s="2"/>
      <x:c r="E21" s="51" t="n">
        <x:f>'Historical Inputs'!E75</x:f>
        <x:v>81</x:v>
      </x:c>
      <x:c r="F21" s="51" t="n">
        <x:f>'Historical Inputs'!F75</x:f>
        <x:v>1148</x:v>
      </x:c>
      <x:c r="G21" s="51" t="n">
        <x:f>'Historical Inputs'!G75</x:f>
        <x:v>232</x:v>
      </x:c>
      <x:c r="H21" s="51" t="n">
        <x:f>'Historical Inputs'!H75</x:f>
        <x:v>3018</x:v>
      </x:c>
      <x:c r="I21" s="51" t="n">
        <x:f>'Historical Inputs'!I75</x:f>
        <x:v>2798</x:v>
      </x:c>
      <x:c r="J21" s="51" t="n">
        <x:f>'Historical Inputs'!J75</x:f>
        <x:v>2943</x:v>
      </x:c>
      <x:c r="K21" s="51" t="n">
        <x:f>'Historical Inputs'!K75</x:f>
        <x:v>-2721</x:v>
      </x:c>
      <x:c r="L21" s="51" t="n">
        <x:f>'Historical Inputs'!L75</x:f>
        <x:v>3545</x:v>
      </x:c>
      <x:c r="M21" s="51" t="n">
        <x:f>'Historical Inputs'!M75</x:f>
        <x:v>569</x:v>
      </x:c>
      <x:c r="N21" s="51" t="n">
        <x:f>'Historical Inputs'!N75</x:f>
        <x:v>5268</x:v>
      </x:c>
      <x:c r="O21" s="51" t="n">
        <x:f>'Working Capital'!O35</x:f>
        <x:v>3037.7006504937817</x:v>
      </x:c>
      <x:c r="P21" s="51" t="n">
        <x:f>'Working Capital'!P35</x:f>
        <x:v>4676.516438512932</x:v>
      </x:c>
      <x:c r="Q21" s="51" t="n">
        <x:f>'Working Capital'!Q35</x:f>
        <x:v>4975.156557672388</x:v>
      </x:c>
      <x:c r="R21" s="51" t="n">
        <x:f>'Working Capital'!R35</x:f>
        <x:v>5077.194655969099</x:v>
      </x:c>
      <x:c r="S21" s="51" t="n">
        <x:f>'Working Capital'!S35</x:f>
        <x:v>5175.0589636142395</x:v>
      </x:c>
      <x:c r="T21" s="2"/>
      <x:c r="U21" s="2"/>
    </x:row>
    <x:row r="22" ht="21" customHeight="1">
      <x:c r="A22" s="2"/>
      <x:c r="B22" s="2"/>
      <x:c r="C22" s="2" t="str">
        <x:v>Change in unearned revenue</x:v>
      </x:c>
      <x:c r="D22" s="2"/>
      <x:c r="E22" s="51" t="n">
        <x:f>'Historical Inputs'!E76</x:f>
        <x:v>3820</x:v>
      </x:c>
      <x:c r="F22" s="51" t="n">
        <x:f>'Historical Inputs'!F76</x:f>
        <x:v>5922</x:v>
      </x:c>
      <x:c r="G22" s="51" t="n">
        <x:f>'Historical Inputs'!G76</x:f>
        <x:v>4462</x:v>
      </x:c>
      <x:c r="H22" s="51" t="n">
        <x:f>'Historical Inputs'!H76</x:f>
        <x:v>2212</x:v>
      </x:c>
      <x:c r="I22" s="51" t="n">
        <x:f>'Historical Inputs'!I76</x:f>
        <x:v>4633</x:v>
      </x:c>
      <x:c r="J22" s="51" t="n">
        <x:f>'Historical Inputs'!J76</x:f>
        <x:v>5109</x:v>
      </x:c>
      <x:c r="K22" s="51" t="n">
        <x:f>'Historical Inputs'!K76</x:f>
        <x:v>5535</x:v>
      </x:c>
      <x:c r="L22" s="51" t="n">
        <x:f>'Historical Inputs'!L76</x:f>
        <x:v>5348</x:v>
      </x:c>
      <x:c r="M22" s="51" t="n">
        <x:f>'Historical Inputs'!M76</x:f>
        <x:v>5438</x:v>
      </x:c>
      <x:c r="N22" s="51" t="n">
        <x:f>'Historical Inputs'!N76</x:f>
        <x:v>9361</x:v>
      </x:c>
      <x:c r="O22" s="51" t="n">
        <x:f>'Working Capital'!O36</x:f>
        <x:v>12140.286035095342</x:v>
      </x:c>
      <x:c r="P22" s="51" t="n">
        <x:f>'Working Capital'!P36</x:f>
        <x:v>13559.169878732764</x:v>
      </x:c>
      <x:c r="Q22" s="51" t="n">
        <x:f>'Working Capital'!Q36</x:f>
        <x:v>14703.667449307588</x:v>
      </x:c>
      <x:c r="R22" s="51" t="n">
        <x:f>'Working Capital'!R36</x:f>
        <x:v>15601.375377588107</x:v>
      </x:c>
      <x:c r="S22" s="51" t="n">
        <x:f>'Working Capital'!S36</x:f>
        <x:v>16154.874473540574</x:v>
      </x:c>
      <x:c r="T22" s="2"/>
      <x:c r="U22" s="2"/>
    </x:row>
    <x:row r="23" ht="21" customHeight="1">
      <x:c r="A23" s="2"/>
      <x:c r="B23" s="2"/>
      <x:c r="C23" s="2" t="str">
        <x:v>Change in income taxes payable</x:v>
      </x:c>
      <x:c r="D23" s="2"/>
      <x:c r="E23" s="51" t="n">
        <x:f>'Historical Inputs'!E77</x:f>
        <x:v>1792</x:v>
      </x:c>
      <x:c r="F23" s="51" t="n">
        <x:f>'Historical Inputs'!F77</x:f>
        <x:v>18183</x:v>
      </x:c>
      <x:c r="G23" s="51" t="n">
        <x:f>'Historical Inputs'!G77</x:f>
        <x:v>2929</x:v>
      </x:c>
      <x:c r="H23" s="51" t="n">
        <x:f>'Historical Inputs'!H77</x:f>
        <x:v>-3631</x:v>
      </x:c>
      <x:c r="I23" s="51" t="n">
        <x:f>'Historical Inputs'!I77</x:f>
        <x:v>-2309</x:v>
      </x:c>
      <x:c r="J23" s="51" t="n">
        <x:f>'Historical Inputs'!J77</x:f>
        <x:v>696</x:v>
      </x:c>
      <x:c r="K23" s="51" t="n">
        <x:f>'Historical Inputs'!K77</x:f>
        <x:v>-358</x:v>
      </x:c>
      <x:c r="L23" s="51" t="n">
        <x:f>'Historical Inputs'!L77</x:f>
        <x:v>1687</x:v>
      </x:c>
      <x:c r="M23" s="51" t="n">
        <x:f>'Historical Inputs'!M77</x:f>
        <x:v>-38</x:v>
      </x:c>
      <x:c r="N23" s="51" t="n">
        <x:f>'Historical Inputs'!N77</x:f>
        <x:v>-1875</x:v>
      </x:c>
      <x:c r="O23" s="51" t="n">
        <x:f>'Working Capital'!O37</x:f>
        <x:v>4593.496064657862</x:v>
      </x:c>
      <x:c r="P23" s="51" t="n">
        <x:f>'Working Capital'!P37</x:f>
        <x:v>5130.356343988504</x:v>
      </x:c>
      <x:c r="Q23" s="51" t="n">
        <x:f>'Working Capital'!Q37</x:f>
        <x:v>5563.397630762818</x:v>
      </x:c>
      <x:c r="R23" s="51" t="n">
        <x:f>'Working Capital'!R37</x:f>
        <x:v>5903.061607694508</x:v>
      </x:c>
      <x:c r="S23" s="51" t="n">
        <x:f>'Working Capital'!S37</x:f>
        <x:v>6112.487968136054</x:v>
      </x:c>
      <x:c r="T23" s="2"/>
      <x:c r="U23" s="2"/>
    </x:row>
    <x:row r="24" ht="21" customHeight="1">
      <x:c r="A24" s="2"/>
      <x:c r="B24" s="2"/>
      <x:c r="C24" s="2" t="str">
        <x:v>Change in other current operating liabilities</x:v>
      </x:c>
      <x:c r="D24" s="2"/>
      <x:c r="E24" s="51" t="n">
        <x:f>'Historical Inputs'!E78</x:f>
        <x:v>356</x:v>
      </x:c>
      <x:c r="F24" s="51" t="n">
        <x:f>'Historical Inputs'!F78</x:f>
        <x:v>798</x:v>
      </x:c>
      <x:c r="G24" s="51" t="n">
        <x:f>'Historical Inputs'!G78</x:f>
        <x:v>1419</x:v>
      </x:c>
      <x:c r="H24" s="51" t="n">
        <x:f>'Historical Inputs'!H78</x:f>
        <x:v>1346</x:v>
      </x:c>
      <x:c r="I24" s="51" t="n">
        <x:f>'Historical Inputs'!I78</x:f>
        <x:v>4149</x:v>
      </x:c>
      <x:c r="J24" s="51" t="n">
        <x:f>'Historical Inputs'!J78</x:f>
        <x:v>2344</x:v>
      </x:c>
      <x:c r="K24" s="51" t="n">
        <x:f>'Historical Inputs'!K78</x:f>
        <x:v>2272</x:v>
      </x:c>
      <x:c r="L24" s="51" t="n">
        <x:f>'Historical Inputs'!L78</x:f>
        <x:v>4867</x:v>
      </x:c>
      <x:c r="M24" s="51" t="n">
        <x:f>'Historical Inputs'!M78</x:f>
        <x:v>5922</x:v>
      </x:c>
      <x:c r="N24" s="51" t="n">
        <x:f>'Historical Inputs'!N78</x:f>
        <x:v>6847</x:v>
      </x:c>
      <x:c r="O24" s="51" t="n">
        <x:f>'Working Capital'!O38</x:f>
        <x:v>5131.143717284591</x:v>
      </x:c>
      <x:c r="P24" s="51" t="n">
        <x:f>'Working Capital'!P38</x:f>
        <x:v>5730.841030740812</x:v>
      </x:c>
      <x:c r="Q24" s="51" t="n">
        <x:f>'Working Capital'!Q38</x:f>
        <x:v>6214.567814584781</x:v>
      </x:c>
      <x:c r="R24" s="51" t="n">
        <x:f>'Working Capital'!R38</x:f>
        <x:v>6593.98790261543</x:v>
      </x:c>
      <x:c r="S24" s="51" t="n">
        <x:f>'Working Capital'!S38</x:f>
        <x:v>6827.926658301181</x:v>
      </x:c>
      <x:c r="T24" s="2"/>
      <x:c r="U24" s="2"/>
    </x:row>
    <x:row r="25" ht="21" customHeight="1">
      <x:c r="A25" s="2"/>
      <x:c r="B25" s="2"/>
      <x:c r="C25" s="2" t="str">
        <x:v>Change in other long-term operating liabilities</x:v>
      </x:c>
      <x:c r="D25" s="2"/>
      <x:c r="E25" s="51" t="n">
        <x:f>'Historical Inputs'!E79</x:f>
        <x:v>-118</x:v>
      </x:c>
      <x:c r="F25" s="51" t="n">
        <x:f>'Historical Inputs'!F79</x:f>
        <x:v>-20</x:v>
      </x:c>
      <x:c r="G25" s="51" t="n">
        <x:f>'Historical Inputs'!G79</x:f>
        <x:v>591</x:v>
      </x:c>
      <x:c r="H25" s="51" t="n">
        <x:f>'Historical Inputs'!H79</x:f>
        <x:v>1348</x:v>
      </x:c>
      <x:c r="I25" s="51" t="n">
        <x:f>'Historical Inputs'!I79</x:f>
        <x:v>1402</x:v>
      </x:c>
      <x:c r="J25" s="51" t="n">
        <x:f>'Historical Inputs'!J79</x:f>
        <x:v>825</x:v>
      </x:c>
      <x:c r="K25" s="51" t="n">
        <x:f>'Historical Inputs'!K79</x:f>
        <x:v>553</x:v>
      </x:c>
      <x:c r="L25" s="51" t="n">
        <x:f>'Historical Inputs'!L79</x:f>
        <x:v>749</x:v>
      </x:c>
      <x:c r="M25" s="51" t="n">
        <x:f>'Historical Inputs'!M79</x:f>
        <x:v>-975</x:v>
      </x:c>
      <x:c r="N25" s="51" t="n">
        <x:f>'Historical Inputs'!N79</x:f>
        <x:v>-4707</x:v>
      </x:c>
      <x:c r="O25" s="51" t="n">
        <x:f>'Working Capital'!O39</x:f>
        <x:v>451.0596023975486</x:v>
      </x:c>
      <x:c r="P25" s="51" t="n">
        <x:f>'Working Capital'!P39</x:f>
        <x:v>503.7767443585594</x:v>
      </x:c>
      <x:c r="Q25" s="51" t="n">
        <x:f>'Working Capital'!Q39</x:f>
        <x:v>546.2993519508432</x:v>
      </x:c>
      <x:c r="R25" s="51" t="n">
        <x:f>'Working Capital'!R39</x:f>
        <x:v>579.6527490642884</x:v>
      </x:c>
      <x:c r="S25" s="51" t="n">
        <x:f>'Working Capital'!S39</x:f>
        <x:v>600.2174278062876</x:v>
      </x:c>
      <x:c r="T25" s="2"/>
      <x:c r="U25" s="2"/>
    </x:row>
    <x:row r="26" ht="21" customHeight="1">
      <x:c r="A26" s="2"/>
      <x:c r="B26" s="2"/>
      <x:c r="C26" s="2" t="str">
        <x:v>Operating lease cash reconciliation</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'Debt and Leases'!O66</x:f>
        <x:v>-1241.2749999999996</x:v>
      </x:c>
      <x:c r="P26" s="51" t="n">
        <x:f>'Debt and Leases'!P66</x:f>
        <x:v>311.706325000001</x:v>
      </x:c>
      <x:c r="Q26" s="51" t="n">
        <x:f>'Debt and Leases'!Q66</x:f>
        <x:v>1362.147959025</x:v>
      </x:c>
      <x:c r="R26" s="51" t="n">
        <x:f>'Debt and Leases'!R66</x:f>
        <x:v>1797.4559335089252</x:v>
      </x:c>
      <x:c r="S26" s="51" t="n">
        <x:f>'Debt and Leases'!S66</x:f>
        <x:v>2010.870303048754</x:v>
      </x:c>
      <x:c r="T26" s="2"/>
      <x:c r="U26" s="2"/>
    </x:row>
    <x:row r="27" ht="21" customHeight="1">
      <x:c r="A27" s="2"/>
      <x:c r="B27" s="2"/>
      <x:c r="C27" s="2" t="str">
        <x:v>Other operating adjustments</x:v>
      </x:c>
      <x:c r="D27" s="2"/>
      <x:c r="E27" s="51" t="n">
        <x:f>'Historical Inputs'!E103</x:f>
        <x:v>0</x:v>
      </x:c>
      <x:c r="F27" s="51" t="n">
        <x:f>'Historical Inputs'!F103</x:f>
        <x:v>0</x:v>
      </x:c>
      <x:c r="G27" s="51" t="n">
        <x:f>'Historical Inputs'!G103</x:f>
        <x:v>0</x:v>
      </x:c>
      <x:c r="H27" s="51" t="n">
        <x:f>'Historical Inputs'!H103</x:f>
        <x:v>0</x:v>
      </x:c>
      <x:c r="I27" s="51" t="n">
        <x:f>'Historical Inputs'!I103</x:f>
        <x:v>0</x:v>
      </x:c>
      <x:c r="J27" s="51" t="n">
        <x:f>'Historical Inputs'!J103</x:f>
        <x:v>0</x:v>
      </x:c>
      <x:c r="K27" s="51" t="n">
        <x:f>'Historical Inputs'!K103</x:f>
        <x:v>0</x:v>
      </x:c>
      <x:c r="L27" s="51" t="n">
        <x:f>'Historical Inputs'!L103</x:f>
        <x:v>0</x:v>
      </x:c>
      <x:c r="M27" s="51" t="n">
        <x:f>'Historical Inputs'!M103</x:f>
        <x:v>0</x:v>
      </x:c>
      <x:c r="N27" s="51" t="n">
        <x:f>'Historical Inputs'!N103</x:f>
        <x:v>0</x:v>
      </x:c>
      <x:c r="O27" s="57" t="n">
        <x:f>0</x:f>
        <x:v>0</x:v>
      </x:c>
      <x:c r="P27" s="57" t="n">
        <x:f>0</x:f>
        <x:v>0</x:v>
      </x:c>
      <x:c r="Q27" s="57" t="n">
        <x:f>0</x:f>
        <x:v>0</x:v>
      </x:c>
      <x:c r="R27" s="57" t="n">
        <x:f>0</x:f>
        <x:v>0</x:v>
      </x:c>
      <x:c r="S27" s="57" t="n">
        <x:f>0</x:f>
        <x:v>0</x:v>
      </x:c>
      <x:c r="T27" s="2"/>
      <x:c r="U27" s="2"/>
    </x:row>
    <x:row r="28" ht="21" customHeight="1">
      <x:c r="A28" s="2"/>
      <x:c r="B28" s="2"/>
      <x:c r="C28" s="64" t="str">
        <x:v>Net cash from operations</x:v>
      </x:c>
      <x:c r="D28" s="64"/>
      <x:c r="E28" s="68" t="n">
        <x:f>SUM(E8:E15,E17:E27)</x:f>
        <x:v>39507</x:v>
      </x:c>
      <x:c r="F28" s="68" t="n">
        <x:f>SUM(F8:F15,F17:F27)</x:f>
        <x:v>43884</x:v>
      </x:c>
      <x:c r="G28" s="68" t="n">
        <x:f>SUM(G8:G15,G17:G27)</x:f>
        <x:v>52185</x:v>
      </x:c>
      <x:c r="H28" s="68" t="n">
        <x:f>SUM(H8:H15,H17:H27)</x:f>
        <x:v>60675</x:v>
      </x:c>
      <x:c r="I28" s="68" t="n">
        <x:f>SUM(I8:I15,I17:I27)</x:f>
        <x:v>76740</x:v>
      </x:c>
      <x:c r="J28" s="68" t="n">
        <x:f>SUM(J8:J15,J17:J27)</x:f>
        <x:v>89035</x:v>
      </x:c>
      <x:c r="K28" s="68" t="n">
        <x:f>SUM(K8:K15,K17:K27)</x:f>
        <x:v>87582</x:v>
      </x:c>
      <x:c r="L28" s="68" t="n">
        <x:f>SUM(L8:L15,L17:L27)</x:f>
        <x:v>118548</x:v>
      </x:c>
      <x:c r="M28" s="68" t="n">
        <x:f>SUM(M8:M15,M17:M27)</x:f>
        <x:v>136162</x:v>
      </x:c>
      <x:c r="N28" s="68" t="n">
        <x:f>SUM(N8:N15,N17:N27)</x:f>
        <x:v>182935</x:v>
      </x:c>
      <x:c r="O28" s="68" t="n">
        <x:f>SUM(O8:O15,O17:O27)</x:f>
        <x:v>209011.48254010986</x:v>
      </x:c>
      <x:c r="P28" s="68" t="n">
        <x:f>SUM(P8:P15,P17:P27)</x:f>
        <x:v>249569.956978507</x:v>
      </x:c>
      <x:c r="Q28" s="68" t="n">
        <x:f>SUM(Q8:Q15,Q17:Q27)</x:f>
        <x:v>290816.893479639</x:v>
      </x:c>
      <x:c r="R28" s="68" t="n">
        <x:f>SUM(R8:R15,R17:R27)</x:f>
        <x:v>336670.33706154244</x:v>
      </x:c>
      <x:c r="S28" s="68" t="n">
        <x:f>SUM(S8:S15,S17:S27)</x:f>
        <x:v>385282.59341057274</x:v>
      </x:c>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t="str">
        <x:v>Cash capital expenditure</x:v>
      </x:c>
      <x:c r="D30" s="2"/>
      <x:c r="E30" s="51" t="n">
        <x:f>'Historical Inputs'!E89</x:f>
        <x:v>-8129</x:v>
      </x:c>
      <x:c r="F30" s="51" t="n">
        <x:f>'Historical Inputs'!F89</x:f>
        <x:v>-11632</x:v>
      </x:c>
      <x:c r="G30" s="51" t="n">
        <x:f>'Historical Inputs'!G89</x:f>
        <x:v>-13925</x:v>
      </x:c>
      <x:c r="H30" s="51" t="n">
        <x:f>'Historical Inputs'!H89</x:f>
        <x:v>-15441</x:v>
      </x:c>
      <x:c r="I30" s="51" t="n">
        <x:f>'Historical Inputs'!I89</x:f>
        <x:v>-20622</x:v>
      </x:c>
      <x:c r="J30" s="51" t="n">
        <x:f>'Historical Inputs'!J89</x:f>
        <x:v>-23886</x:v>
      </x:c>
      <x:c r="K30" s="51" t="n">
        <x:f>'Historical Inputs'!K89</x:f>
        <x:v>-28107</x:v>
      </x:c>
      <x:c r="L30" s="51" t="n">
        <x:f>'Historical Inputs'!L89</x:f>
        <x:v>-44477</x:v>
      </x:c>
      <x:c r="M30" s="51" t="n">
        <x:f>'Historical Inputs'!M89</x:f>
        <x:v>-64551</x:v>
      </x:c>
      <x:c r="N30" s="51" t="n">
        <x:f>'Historical Inputs'!N89</x:f>
        <x:v>-115948</x:v>
      </x:c>
      <x:c r="O30" s="51" t="n">
        <x:f>-'PPE and Intangibles'!O8</x:f>
        <x:v>-123215.61600000002</x:v>
      </x:c>
      <x:c r="P30" s="51" t="n">
        <x:f>-'PPE and Intangibles'!P8</x:f>
        <x:v>-124453.68387200002</x:v>
      </x:c>
      <x:c r="Q30" s="51" t="n">
        <x:f>-'PPE and Intangibles'!Q8</x:f>
        <x:v>-127230.579108</x:v>
      </x:c>
      <x:c r="R30" s="51" t="n">
        <x:f>-'PPE and Intangibles'!R8</x:f>
        <x:v>-127006.38828240002</x:v>
      </x:c>
      <x:c r="S30" s="51" t="n">
        <x:f>-'PPE and Intangibles'!S8</x:f>
        <x:v>-129621.43019877505</x:v>
      </x:c>
      <x:c r="T30" s="2"/>
      <x:c r="U30" s="2"/>
    </x:row>
    <x:row r="31" ht="21" customHeight="1">
      <x:c r="A31" s="2"/>
      <x:c r="B31" s="2"/>
      <x:c r="C31" s="2" t="str">
        <x:v>Acquisitions and purchases of other assets</x:v>
      </x:c>
      <x:c r="D31" s="2"/>
      <x:c r="E31" s="51" t="n">
        <x:f>'Historical Inputs'!E90</x:f>
        <x:v>-25944</x:v>
      </x:c>
      <x:c r="F31" s="51" t="n">
        <x:f>'Historical Inputs'!F90</x:f>
        <x:v>-888</x:v>
      </x:c>
      <x:c r="G31" s="51" t="n">
        <x:f>'Historical Inputs'!G90</x:f>
        <x:v>-2388</x:v>
      </x:c>
      <x:c r="H31" s="51" t="n">
        <x:f>'Historical Inputs'!H90</x:f>
        <x:v>-2521</x:v>
      </x:c>
      <x:c r="I31" s="51" t="n">
        <x:f>'Historical Inputs'!I90</x:f>
        <x:v>-8909</x:v>
      </x:c>
      <x:c r="J31" s="51" t="n">
        <x:f>'Historical Inputs'!J90</x:f>
        <x:v>-22038</x:v>
      </x:c>
      <x:c r="K31" s="51" t="n">
        <x:f>'Historical Inputs'!K90</x:f>
        <x:v>-1670</x:v>
      </x:c>
      <x:c r="L31" s="51" t="n">
        <x:f>'Historical Inputs'!L90</x:f>
        <x:v>-69132</x:v>
      </x:c>
      <x:c r="M31" s="51" t="n">
        <x:f>'Historical Inputs'!M90</x:f>
        <x:v>-5978</x:v>
      </x:c>
      <x:c r="N31" s="51" t="n">
        <x:f>'Historical Inputs'!N90</x:f>
        <x:v>-1743</x:v>
      </x:c>
      <x:c r="O31" s="57" t="n">
        <x:f>0</x:f>
        <x:v>0</x:v>
      </x:c>
      <x:c r="P31" s="57" t="n">
        <x:f>0</x:f>
        <x:v>0</x:v>
      </x:c>
      <x:c r="Q31" s="57" t="n">
        <x:f>0</x:f>
        <x:v>0</x:v>
      </x:c>
      <x:c r="R31" s="57" t="n">
        <x:f>0</x:f>
        <x:v>0</x:v>
      </x:c>
      <x:c r="S31" s="57" t="n">
        <x:f>0</x:f>
        <x:v>0</x:v>
      </x:c>
      <x:c r="T31" s="2"/>
      <x:c r="U31" s="2"/>
    </x:row>
    <x:row r="32" ht="21" customHeight="1">
      <x:c r="A32" s="2"/>
      <x:c r="B32" s="2"/>
      <x:c r="C32" s="2" t="str">
        <x:v>Purchases of investments</x:v>
      </x:c>
      <x:c r="D32" s="2"/>
      <x:c r="E32" s="51" t="n">
        <x:f>'Historical Inputs'!E91</x:f>
        <x:v>-176905</x:v>
      </x:c>
      <x:c r="F32" s="51" t="n">
        <x:f>'Historical Inputs'!F91</x:f>
        <x:v>-137380</x:v>
      </x:c>
      <x:c r="G32" s="51" t="n">
        <x:f>'Historical Inputs'!G91</x:f>
        <x:v>-57697</x:v>
      </x:c>
      <x:c r="H32" s="51" t="n">
        <x:f>'Historical Inputs'!H91</x:f>
        <x:v>-77190</x:v>
      </x:c>
      <x:c r="I32" s="51" t="n">
        <x:f>'Historical Inputs'!I91</x:f>
        <x:v>-62924</x:v>
      </x:c>
      <x:c r="J32" s="51" t="n">
        <x:f>'Historical Inputs'!J91</x:f>
        <x:v>-26456</x:v>
      </x:c>
      <x:c r="K32" s="51" t="n">
        <x:f>'Historical Inputs'!K91</x:f>
        <x:v>-37651</x:v>
      </x:c>
      <x:c r="L32" s="51" t="n">
        <x:f>'Historical Inputs'!L91</x:f>
        <x:v>-17732</x:v>
      </x:c>
      <x:c r="M32" s="51" t="n">
        <x:f>'Historical Inputs'!M91</x:f>
        <x:v>-29775</x:v>
      </x:c>
      <x:c r="N32" s="51" t="n">
        <x:f>'Historical Inputs'!N91</x:f>
        <x:v>-58351</x:v>
      </x:c>
      <x:c r="O32" s="51" t="n">
        <x:f>-MAX(0,'Debt and Leases'!O73-'Debt and Leases'!O72)</x:f>
        <x:v>0</x:v>
      </x:c>
      <x:c r="P32" s="51" t="n">
        <x:f>-MAX(0,'Debt and Leases'!P73-'Debt and Leases'!P72)</x:f>
        <x:v>0</x:v>
      </x:c>
      <x:c r="Q32" s="51" t="n">
        <x:f>-MAX(0,'Debt and Leases'!Q73-'Debt and Leases'!Q72)</x:f>
        <x:v>0</x:v>
      </x:c>
      <x:c r="R32" s="51" t="n">
        <x:f>-MAX(0,'Debt and Leases'!R73-'Debt and Leases'!R72)</x:f>
        <x:v>0</x:v>
      </x:c>
      <x:c r="S32" s="51" t="n">
        <x:f>-MAX(0,'Debt and Leases'!S73-'Debt and Leases'!S72)</x:f>
        <x:v>0</x:v>
      </x:c>
      <x:c r="T32" s="2"/>
      <x:c r="U32" s="2"/>
    </x:row>
    <x:row r="33" ht="21" customHeight="1">
      <x:c r="A33" s="2"/>
      <x:c r="B33" s="2"/>
      <x:c r="C33" s="2" t="str">
        <x:v>Maturities of investments</x:v>
      </x:c>
      <x:c r="D33" s="2"/>
      <x:c r="E33" s="51" t="n">
        <x:f>'Historical Inputs'!E92</x:f>
        <x:v>28044</x:v>
      </x:c>
      <x:c r="F33" s="51" t="n">
        <x:f>'Historical Inputs'!F92</x:f>
        <x:v>26360</x:v>
      </x:c>
      <x:c r="G33" s="51" t="n">
        <x:f>'Historical Inputs'!G92</x:f>
        <x:v>20043</x:v>
      </x:c>
      <x:c r="H33" s="51" t="n">
        <x:f>'Historical Inputs'!H92</x:f>
        <x:v>66449</x:v>
      </x:c>
      <x:c r="I33" s="51" t="n">
        <x:f>'Historical Inputs'!I92</x:f>
        <x:v>51792</x:v>
      </x:c>
      <x:c r="J33" s="51" t="n">
        <x:f>'Historical Inputs'!J92</x:f>
        <x:v>16451</x:v>
      </x:c>
      <x:c r="K33" s="51" t="n">
        <x:f>'Historical Inputs'!K92</x:f>
        <x:v>33510</x:v>
      </x:c>
      <x:c r="L33" s="51" t="n">
        <x:f>'Historical Inputs'!L92</x:f>
        <x:v>24775</x:v>
      </x:c>
      <x:c r="M33" s="51" t="n">
        <x:f>'Historical Inputs'!M92</x:f>
        <x:v>16079</x:v>
      </x:c>
      <x:c r="N33" s="51" t="n">
        <x:f>'Historical Inputs'!N92</x:f>
        <x:v>34605</x:v>
      </x:c>
      <x:c r="O33" s="51" t="n">
        <x:f>MAX(0,'Debt and Leases'!O72-'Debt and Leases'!O73)</x:f>
        <x:v>0</x:v>
      </x:c>
      <x:c r="P33" s="51" t="n">
        <x:f>MAX(0,'Debt and Leases'!P72-'Debt and Leases'!P73)</x:f>
        <x:v>0</x:v>
      </x:c>
      <x:c r="Q33" s="51" t="n">
        <x:f>MAX(0,'Debt and Leases'!Q72-'Debt and Leases'!Q73)</x:f>
        <x:v>0</x:v>
      </x:c>
      <x:c r="R33" s="51" t="n">
        <x:f>MAX(0,'Debt and Leases'!R72-'Debt and Leases'!R73)</x:f>
        <x:v>0</x:v>
      </x:c>
      <x:c r="S33" s="51" t="n">
        <x:f>MAX(0,'Debt and Leases'!S72-'Debt and Leases'!S73)</x:f>
        <x:v>0</x:v>
      </x:c>
      <x:c r="T33" s="2"/>
      <x:c r="U33" s="2"/>
    </x:row>
    <x:row r="34" ht="21" customHeight="1">
      <x:c r="A34" s="2"/>
      <x:c r="B34" s="2"/>
      <x:c r="C34" s="2" t="str">
        <x:v>Sales of investments</x:v>
      </x:c>
      <x:c r="D34" s="2"/>
      <x:c r="E34" s="51" t="n">
        <x:f>'Historical Inputs'!E93</x:f>
        <x:v>136350</x:v>
      </x:c>
      <x:c r="F34" s="51" t="n">
        <x:f>'Historical Inputs'!F93</x:f>
        <x:v>117577</x:v>
      </x:c>
      <x:c r="G34" s="51" t="n">
        <x:f>'Historical Inputs'!G93</x:f>
        <x:v>38194</x:v>
      </x:c>
      <x:c r="H34" s="51" t="n">
        <x:f>'Historical Inputs'!H93</x:f>
        <x:v>17721</x:v>
      </x:c>
      <x:c r="I34" s="51" t="n">
        <x:f>'Historical Inputs'!I93</x:f>
        <x:v>14008</x:v>
      </x:c>
      <x:c r="J34" s="51" t="n">
        <x:f>'Historical Inputs'!J93</x:f>
        <x:v>28443</x:v>
      </x:c>
      <x:c r="K34" s="51" t="n">
        <x:f>'Historical Inputs'!K93</x:f>
        <x:v>14354</x:v>
      </x:c>
      <x:c r="L34" s="51" t="n">
        <x:f>'Historical Inputs'!L93</x:f>
        <x:v>10894</x:v>
      </x:c>
      <x:c r="M34" s="51" t="n">
        <x:f>'Historical Inputs'!M93</x:f>
        <x:v>9309</x:v>
      </x:c>
      <x:c r="N34" s="51" t="n">
        <x:f>'Historical Inputs'!N93</x:f>
        <x:v>21798</x:v>
      </x:c>
      <x:c r="O34" s="51" t="n">
        <x:f>'Debt and Leases'!O77</x:f>
        <x:v>0</x:v>
      </x:c>
      <x:c r="P34" s="51" t="n">
        <x:f>'Debt and Leases'!P77</x:f>
        <x:v>0</x:v>
      </x:c>
      <x:c r="Q34" s="51" t="n">
        <x:f>'Debt and Leases'!Q77</x:f>
        <x:v>0</x:v>
      </x:c>
      <x:c r="R34" s="51" t="n">
        <x:f>'Debt and Leases'!R77</x:f>
        <x:v>0</x:v>
      </x:c>
      <x:c r="S34" s="51" t="n">
        <x:f>'Debt and Leases'!S77</x:f>
        <x:v>0</x:v>
      </x:c>
      <x:c r="T34" s="2"/>
      <x:c r="U34" s="2"/>
    </x:row>
    <x:row r="35" ht="21" customHeight="1">
      <x:c r="A35" s="2"/>
      <x:c r="B35" s="2"/>
      <x:c r="C35" s="2" t="str">
        <x:v>Cash purchases of equity investments</x:v>
      </x:c>
      <x:c r="D35" s="2"/>
      <x:c r="E35" s="17" t="str">
        <x:v>n.a.</x:v>
      </x:c>
      <x:c r="F35" s="17" t="str">
        <x:v>n.a.</x:v>
      </x:c>
      <x:c r="G35" s="17" t="str">
        <x:v>n.a.</x:v>
      </x:c>
      <x:c r="H35" s="17" t="str">
        <x:v>n.a.</x:v>
      </x:c>
      <x:c r="I35" s="17" t="str">
        <x:v>n.a.</x:v>
      </x:c>
      <x:c r="J35" s="17" t="str">
        <x:v>n.a.</x:v>
      </x:c>
      <x:c r="K35" s="17" t="str">
        <x:v>n.a.</x:v>
      </x:c>
      <x:c r="L35" s="17" t="str">
        <x:v>n.a.</x:v>
      </x:c>
      <x:c r="M35" s="17" t="str">
        <x:v>n.a.</x:v>
      </x:c>
      <x:c r="N35" s="17" t="str">
        <x:v>n.a.</x:v>
      </x:c>
      <x:c r="O35" s="51" t="n">
        <x:f>-'Debt and Leases'!O83</x:f>
        <x:v>-3850.4880000000007</x:v>
      </x:c>
      <x:c r="P35" s="51" t="n">
        <x:f>-'Debt and Leases'!P83</x:f>
        <x:v>-4444.774424000001</x:v>
      </x:c>
      <x:c r="Q35" s="51" t="n">
        <x:f>-'Debt and Leases'!Q83</x:f>
        <x:v>-5089.22316432</x:v>
      </x:c>
      <x:c r="R35" s="51" t="n">
        <x:f>-'Debt and Leases'!R83</x:f>
        <x:v>-5773.017649200001</x:v>
      </x:c>
      <x:c r="S35" s="51" t="n">
        <x:f>-'Debt and Leases'!S83</x:f>
        <x:v>-6481.071509938753</x:v>
      </x:c>
      <x:c r="T35" s="2"/>
      <x:c r="U35" s="2"/>
    </x:row>
    <x:row r="36" ht="21" customHeight="1">
      <x:c r="A36" s="2"/>
      <x:c r="B36" s="2"/>
      <x:c r="C36" s="2" t="str">
        <x:v>Other investing and securities lending</x:v>
      </x:c>
      <x:c r="D36" s="2"/>
      <x:c r="E36" s="51" t="n">
        <x:f>'Historical Inputs'!E94+'Historical Inputs'!E101</x:f>
        <x:v>-197</x:v>
      </x:c>
      <x:c r="F36" s="51" t="n">
        <x:f>'Historical Inputs'!F94+'Historical Inputs'!F101</x:f>
        <x:v>-98</x:v>
      </x:c>
      <x:c r="G36" s="51" t="n">
        <x:f>'Historical Inputs'!G94+'Historical Inputs'!G101</x:f>
        <x:v>0</x:v>
      </x:c>
      <x:c r="H36" s="51" t="n">
        <x:f>'Historical Inputs'!H94+'Historical Inputs'!H101</x:f>
        <x:v>-1241</x:v>
      </x:c>
      <x:c r="I36" s="51" t="n">
        <x:f>'Historical Inputs'!I94+'Historical Inputs'!I101</x:f>
        <x:v>-922</x:v>
      </x:c>
      <x:c r="J36" s="51" t="n">
        <x:f>'Historical Inputs'!J94+'Historical Inputs'!J101</x:f>
        <x:v>-2825</x:v>
      </x:c>
      <x:c r="K36" s="51" t="n">
        <x:f>'Historical Inputs'!K94+'Historical Inputs'!K101</x:f>
        <x:v>-3116</x:v>
      </x:c>
      <x:c r="L36" s="51" t="n">
        <x:f>'Historical Inputs'!L94+'Historical Inputs'!L101</x:f>
        <x:v>-1298</x:v>
      </x:c>
      <x:c r="M36" s="51" t="n">
        <x:f>'Historical Inputs'!M94+'Historical Inputs'!M101</x:f>
        <x:v>2317</x:v>
      </x:c>
      <x:c r="N36" s="51" t="n">
        <x:f>'Historical Inputs'!N94+'Historical Inputs'!N101</x:f>
        <x:v>-19861</x:v>
      </x:c>
      <x:c r="O36" s="57" t="n">
        <x:f>0</x:f>
        <x:v>0</x:v>
      </x:c>
      <x:c r="P36" s="57" t="n">
        <x:f>0</x:f>
        <x:v>0</x:v>
      </x:c>
      <x:c r="Q36" s="57" t="n">
        <x:f>0</x:f>
        <x:v>0</x:v>
      </x:c>
      <x:c r="R36" s="57" t="n">
        <x:f>0</x:f>
        <x:v>0</x:v>
      </x:c>
      <x:c r="S36" s="57" t="n">
        <x:f>0</x:f>
        <x:v>0</x:v>
      </x:c>
      <x:c r="T36" s="2"/>
      <x:c r="U36" s="2"/>
    </x:row>
    <x:row r="37" ht="21" customHeight="1">
      <x:c r="A37" s="2"/>
      <x:c r="B37" s="2"/>
      <x:c r="C37" s="64" t="str">
        <x:v>Net cash from investing</x:v>
      </x:c>
      <x:c r="D37" s="64"/>
      <x:c r="E37" s="68" t="n">
        <x:f>SUM(E30:E36)</x:f>
        <x:v>-46781</x:v>
      </x:c>
      <x:c r="F37" s="68" t="n">
        <x:f>SUM(F30:F36)</x:f>
        <x:v>-6061</x:v>
      </x:c>
      <x:c r="G37" s="68" t="n">
        <x:f>SUM(G30:G36)</x:f>
        <x:v>-15773</x:v>
      </x:c>
      <x:c r="H37" s="68" t="n">
        <x:f>SUM(H30:H36)</x:f>
        <x:v>-12223</x:v>
      </x:c>
      <x:c r="I37" s="68" t="n">
        <x:f>SUM(I30:I36)</x:f>
        <x:v>-27577</x:v>
      </x:c>
      <x:c r="J37" s="68" t="n">
        <x:f>SUM(J30:J36)</x:f>
        <x:v>-30311</x:v>
      </x:c>
      <x:c r="K37" s="68" t="n">
        <x:f>SUM(K30:K36)</x:f>
        <x:v>-22680</x:v>
      </x:c>
      <x:c r="L37" s="68" t="n">
        <x:f>SUM(L30:L36)</x:f>
        <x:v>-96970</x:v>
      </x:c>
      <x:c r="M37" s="68" t="n">
        <x:f>SUM(M30:M36)</x:f>
        <x:v>-72599</x:v>
      </x:c>
      <x:c r="N37" s="68" t="n">
        <x:f>SUM(N30:N36)</x:f>
        <x:v>-139500</x:v>
      </x:c>
      <x:c r="O37" s="68" t="n">
        <x:f>SUM(O30:O36)</x:f>
        <x:v>-127066.10400000002</x:v>
      </x:c>
      <x:c r="P37" s="68" t="n">
        <x:f>SUM(P30:P36)</x:f>
        <x:v>-128898.45829600003</x:v>
      </x:c>
      <x:c r="Q37" s="68" t="n">
        <x:f>SUM(Q30:Q36)</x:f>
        <x:v>-132319.80227232</x:v>
      </x:c>
      <x:c r="R37" s="68" t="n">
        <x:f>SUM(R30:R36)</x:f>
        <x:v>-132779.40593160002</x:v>
      </x:c>
      <x:c r="S37" s="68" t="n">
        <x:f>SUM(S30:S36)</x:f>
        <x:v>-136102.5017087138</x:v>
      </x:c>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t="str">
        <x:v>New debt and liquidity borrowing</x:v>
      </x:c>
      <x:c r="D39" s="2"/>
      <x:c r="E39" s="51" t="n">
        <x:f>'Historical Inputs'!E82</x:f>
        <x:v>44344</x:v>
      </x:c>
      <x:c r="F39" s="51" t="n">
        <x:f>'Historical Inputs'!F82</x:f>
        <x:v>7183</x:v>
      </x:c>
      <x:c r="G39" s="51" t="n">
        <x:f>'Historical Inputs'!G82</x:f>
        <x:v>0</x:v>
      </x:c>
      <x:c r="H39" s="51" t="n">
        <x:f>'Historical Inputs'!H82</x:f>
        <x:v>0</x:v>
      </x:c>
      <x:c r="I39" s="51" t="n">
        <x:f>'Historical Inputs'!I82</x:f>
        <x:v>0</x:v>
      </x:c>
      <x:c r="J39" s="51" t="n">
        <x:f>'Historical Inputs'!J82</x:f>
        <x:v>0</x:v>
      </x:c>
      <x:c r="K39" s="51" t="n">
        <x:f>'Historical Inputs'!K82</x:f>
        <x:v>0</x:v>
      </x:c>
      <x:c r="L39" s="51" t="n">
        <x:f>'Historical Inputs'!L82</x:f>
        <x:v>24395</x:v>
      </x:c>
      <x:c r="M39" s="51" t="n">
        <x:f>'Historical Inputs'!M82</x:f>
        <x:v>0</x:v>
      </x:c>
      <x:c r="N39" s="51" t="n">
        <x:f>'Historical Inputs'!N82</x:f>
        <x:v>0</x:v>
      </x:c>
      <x:c r="O39" s="51" t="n">
        <x:f>'Debt and Leases'!O10</x:f>
        <x:v>0</x:v>
      </x:c>
      <x:c r="P39" s="51" t="n">
        <x:f>'Debt and Leases'!P10</x:f>
        <x:v>0</x:v>
      </x:c>
      <x:c r="Q39" s="51" t="n">
        <x:f>'Debt and Leases'!Q10</x:f>
        <x:v>0</x:v>
      </x:c>
      <x:c r="R39" s="51" t="n">
        <x:f>'Debt and Leases'!R10</x:f>
        <x:v>0</x:v>
      </x:c>
      <x:c r="S39" s="51" t="n">
        <x:f>'Debt and Leases'!S10</x:f>
        <x:v>0</x:v>
      </x:c>
      <x:c r="T39" s="2"/>
      <x:c r="U39" s="2"/>
    </x:row>
    <x:row r="40" ht="21" customHeight="1">
      <x:c r="A40" s="2"/>
      <x:c r="B40" s="2"/>
      <x:c r="C40" s="2" t="str">
        <x:v>Net proceeds or repayments of short-term debt</x:v>
      </x:c>
      <x:c r="D40" s="2"/>
      <x:c r="E40" s="51" t="n">
        <x:f>'Historical Inputs'!E81</x:f>
        <x:v>-4963</x:v>
      </x:c>
      <x:c r="F40" s="51" t="n">
        <x:f>'Historical Inputs'!F81</x:f>
        <x:v>-7324</x:v>
      </x:c>
      <x:c r="G40" s="51" t="n">
        <x:f>'Historical Inputs'!G81</x:f>
        <x:v>0</x:v>
      </x:c>
      <x:c r="H40" s="51" t="n">
        <x:f>'Historical Inputs'!H81</x:f>
        <x:v>0</x:v>
      </x:c>
      <x:c r="I40" s="51" t="n">
        <x:f>'Historical Inputs'!I81</x:f>
        <x:v>0</x:v>
      </x:c>
      <x:c r="J40" s="51" t="n">
        <x:f>'Historical Inputs'!J81</x:f>
        <x:v>0</x:v>
      </x:c>
      <x:c r="K40" s="51" t="n">
        <x:f>'Historical Inputs'!K81</x:f>
        <x:v>0</x:v>
      </x:c>
      <x:c r="L40" s="51" t="n">
        <x:f>'Historical Inputs'!L81</x:f>
        <x:v>5250</x:v>
      </x:c>
      <x:c r="M40" s="51" t="n">
        <x:f>'Historical Inputs'!M81</x:f>
        <x:v>-5746</x:v>
      </x:c>
      <x:c r="N40" s="51" t="n">
        <x:f>'Historical Inputs'!N81</x:f>
        <x:v>0</x:v>
      </x:c>
      <x:c r="O40" s="57" t="n">
        <x:f>0</x:f>
        <x:v>0</x:v>
      </x:c>
      <x:c r="P40" s="57" t="n">
        <x:f>0</x:f>
        <x:v>0</x:v>
      </x:c>
      <x:c r="Q40" s="57" t="n">
        <x:f>0</x:f>
        <x:v>0</x:v>
      </x:c>
      <x:c r="R40" s="57" t="n">
        <x:f>0</x:f>
        <x:v>0</x:v>
      </x:c>
      <x:c r="S40" s="57" t="n">
        <x:f>0</x:f>
        <x:v>0</x:v>
      </x:c>
      <x:c r="T40" s="2"/>
      <x:c r="U40" s="2"/>
    </x:row>
    <x:row r="41" ht="21" customHeight="1">
      <x:c r="A41" s="2"/>
      <x:c r="B41" s="2"/>
      <x:c r="C41" s="2" t="str">
        <x:v>Repayments of debt</x:v>
      </x:c>
      <x:c r="D41" s="2"/>
      <x:c r="E41" s="51" t="n">
        <x:f>'Historical Inputs'!E83</x:f>
        <x:v>-7922</x:v>
      </x:c>
      <x:c r="F41" s="51" t="n">
        <x:f>'Historical Inputs'!F83</x:f>
        <x:v>-10060</x:v>
      </x:c>
      <x:c r="G41" s="51" t="n">
        <x:f>'Historical Inputs'!G83</x:f>
        <x:v>-4000</x:v>
      </x:c>
      <x:c r="H41" s="51" t="n">
        <x:f>'Historical Inputs'!H83</x:f>
        <x:v>-5518</x:v>
      </x:c>
      <x:c r="I41" s="51" t="n">
        <x:f>'Historical Inputs'!I83</x:f>
        <x:v>-3750</x:v>
      </x:c>
      <x:c r="J41" s="51" t="n">
        <x:f>'Historical Inputs'!J83</x:f>
        <x:v>-9023</x:v>
      </x:c>
      <x:c r="K41" s="51" t="n">
        <x:f>'Historical Inputs'!K83</x:f>
        <x:v>-2750</x:v>
      </x:c>
      <x:c r="L41" s="51" t="n">
        <x:f>'Historical Inputs'!L83</x:f>
        <x:v>-29070</x:v>
      </x:c>
      <x:c r="M41" s="51" t="n">
        <x:f>'Historical Inputs'!M83</x:f>
        <x:v>-3216</x:v>
      </x:c>
      <x:c r="N41" s="51" t="n">
        <x:f>'Historical Inputs'!N83</x:f>
        <x:v>-3000</x:v>
      </x:c>
      <x:c r="O41" s="51" t="n">
        <x:f>-'Debt and Leases'!O9</x:f>
        <x:v>-9250</x:v>
      </x:c>
      <x:c r="P41" s="51" t="n">
        <x:f>-'Debt and Leases'!P9</x:f>
        <x:v>0</x:v>
      </x:c>
      <x:c r="Q41" s="51" t="n">
        <x:f>-'Debt and Leases'!Q9</x:f>
        <x:v>-2001</x:v>
      </x:c>
      <x:c r="R41" s="51" t="n">
        <x:f>-'Debt and Leases'!R9</x:f>
        <x:v>0</x:v>
      </x:c>
      <x:c r="S41" s="51" t="n">
        <x:f>-'Debt and Leases'!S9</x:f>
        <x:v>-500</x:v>
      </x:c>
      <x:c r="T41" s="2"/>
      <x:c r="U41" s="2"/>
    </x:row>
    <x:row r="42" ht="21" customHeight="1">
      <x:c r="A42" s="2"/>
      <x:c r="B42" s="2"/>
      <x:c r="C42" s="2" t="str">
        <x:v>Liquidity borrowing requirement</x:v>
      </x:c>
      <x:c r="D42" s="2"/>
      <x:c r="E42" s="17" t="str">
        <x:v>n.a.</x:v>
      </x:c>
      <x:c r="F42" s="17" t="str">
        <x:v>n.a.</x:v>
      </x:c>
      <x:c r="G42" s="17" t="str">
        <x:v>n.a.</x:v>
      </x:c>
      <x:c r="H42" s="17" t="str">
        <x:v>n.a.</x:v>
      </x:c>
      <x:c r="I42" s="17" t="str">
        <x:v>n.a.</x:v>
      </x:c>
      <x:c r="J42" s="17" t="str">
        <x:v>n.a.</x:v>
      </x:c>
      <x:c r="K42" s="17" t="str">
        <x:v>n.a.</x:v>
      </x:c>
      <x:c r="L42" s="17" t="str">
        <x:v>n.a.</x:v>
      </x:c>
      <x:c r="M42" s="17" t="str">
        <x:v>n.a.</x:v>
      </x:c>
      <x:c r="N42" s="17" t="str">
        <x:v>n.a.</x:v>
      </x:c>
      <x:c r="O42" s="51" t="n">
        <x:f>'Debt and Leases'!O11</x:f>
        <x:v>0</x:v>
      </x:c>
      <x:c r="P42" s="51" t="n">
        <x:f>'Debt and Leases'!P11</x:f>
        <x:v>0</x:v>
      </x:c>
      <x:c r="Q42" s="51" t="n">
        <x:f>'Debt and Leases'!Q11</x:f>
        <x:v>0</x:v>
      </x:c>
      <x:c r="R42" s="51" t="n">
        <x:f>'Debt and Leases'!R11</x:f>
        <x:v>0</x:v>
      </x:c>
      <x:c r="S42" s="51" t="n">
        <x:f>'Debt and Leases'!S11</x:f>
        <x:v>0</x:v>
      </x:c>
      <x:c r="T42" s="2"/>
      <x:c r="U42" s="2"/>
    </x:row>
    <x:row r="43" ht="21" customHeight="1">
      <x:c r="A43" s="2"/>
      <x:c r="B43" s="2"/>
      <x:c r="C43" s="2" t="str">
        <x:v>Cash proceeds from share issuance</x:v>
      </x:c>
      <x:c r="D43" s="2"/>
      <x:c r="E43" s="51" t="n">
        <x:f>'Historical Inputs'!E84</x:f>
        <x:v>772</x:v>
      </x:c>
      <x:c r="F43" s="51" t="n">
        <x:f>'Historical Inputs'!F84</x:f>
        <x:v>1002</x:v>
      </x:c>
      <x:c r="G43" s="51" t="n">
        <x:f>'Historical Inputs'!G84</x:f>
        <x:v>1142</x:v>
      </x:c>
      <x:c r="H43" s="51" t="n">
        <x:f>'Historical Inputs'!H84</x:f>
        <x:v>1343</x:v>
      </x:c>
      <x:c r="I43" s="51" t="n">
        <x:f>'Historical Inputs'!I84</x:f>
        <x:v>1693</x:v>
      </x:c>
      <x:c r="J43" s="51" t="n">
        <x:f>'Historical Inputs'!J84</x:f>
        <x:v>1841</x:v>
      </x:c>
      <x:c r="K43" s="51" t="n">
        <x:f>'Historical Inputs'!K84</x:f>
        <x:v>1866</x:v>
      </x:c>
      <x:c r="L43" s="51" t="n">
        <x:f>'Historical Inputs'!L84</x:f>
        <x:v>2002</x:v>
      </x:c>
      <x:c r="M43" s="51" t="n">
        <x:f>'Historical Inputs'!M84</x:f>
        <x:v>2056</x:v>
      </x:c>
      <x:c r="N43" s="51" t="n">
        <x:f>'Historical Inputs'!N84</x:f>
        <x:v>2009</x:v>
      </x:c>
      <x:c r="O43" s="51" t="n">
        <x:f>'Tax and Equity'!O17</x:f>
        <x:v>2310.2928</x:v>
      </x:c>
      <x:c r="P43" s="51" t="n">
        <x:f>'Tax and Equity'!P17</x:f>
        <x:v>2666.8646544000003</x:v>
      </x:c>
      <x:c r="Q43" s="51" t="n">
        <x:f>'Tax and Equity'!Q17</x:f>
        <x:v>3053.5338985920002</x:v>
      </x:c>
      <x:c r="R43" s="51" t="n">
        <x:f>'Tax and Equity'!R17</x:f>
        <x:v>3463.8105895200006</x:v>
      </x:c>
      <x:c r="S43" s="51" t="n">
        <x:f>'Tax and Equity'!S17</x:f>
        <x:v>3888.6429059632515</x:v>
      </x:c>
      <x:c r="T43" s="2"/>
      <x:c r="U43" s="2"/>
    </x:row>
    <x:row r="44" ht="21" customHeight="1">
      <x:c r="A44" s="2"/>
      <x:c r="B44" s="2"/>
      <x:c r="C44" s="2" t="str">
        <x:v>Cash share repurchases</x:v>
      </x:c>
      <x:c r="D44" s="2"/>
      <x:c r="E44" s="51" t="n">
        <x:f>'Historical Inputs'!E85</x:f>
        <x:v>-11788</x:v>
      </x:c>
      <x:c r="F44" s="51" t="n">
        <x:f>'Historical Inputs'!F85</x:f>
        <x:v>-10721</x:v>
      </x:c>
      <x:c r="G44" s="51" t="n">
        <x:f>'Historical Inputs'!G85</x:f>
        <x:v>-19543</x:v>
      </x:c>
      <x:c r="H44" s="51" t="n">
        <x:f>'Historical Inputs'!H85</x:f>
        <x:v>-22968</x:v>
      </x:c>
      <x:c r="I44" s="51" t="n">
        <x:f>'Historical Inputs'!I85</x:f>
        <x:v>-27385</x:v>
      </x:c>
      <x:c r="J44" s="51" t="n">
        <x:f>'Historical Inputs'!J85</x:f>
        <x:v>-32696</x:v>
      </x:c>
      <x:c r="K44" s="51" t="n">
        <x:f>'Historical Inputs'!K85</x:f>
        <x:v>-22245</x:v>
      </x:c>
      <x:c r="L44" s="51" t="n">
        <x:f>'Historical Inputs'!L85</x:f>
        <x:v>-17254</x:v>
      </x:c>
      <x:c r="M44" s="51" t="n">
        <x:f>'Historical Inputs'!M85</x:f>
        <x:v>-18420</x:v>
      </x:c>
      <x:c r="N44" s="51" t="n">
        <x:f>'Historical Inputs'!N85</x:f>
        <x:v>-22271</x:v>
      </x:c>
      <x:c r="O44" s="51" t="n">
        <x:f>-'Tax and Equity'!O18</x:f>
        <x:v>-25028.172000000002</x:v>
      </x:c>
      <x:c r="P44" s="51" t="n">
        <x:f>-'Tax and Equity'!P18</x:f>
        <x:v>-28891.033756000004</x:v>
      </x:c>
      <x:c r="Q44" s="51" t="n">
        <x:f>-'Tax and Equity'!Q18</x:f>
        <x:v>-33079.95056808</x:v>
      </x:c>
      <x:c r="R44" s="51" t="n">
        <x:f>-'Tax and Equity'!R18</x:f>
        <x:v>-37524.61471980001</x:v>
      </x:c>
      <x:c r="S44" s="51" t="n">
        <x:f>-'Tax and Equity'!S18</x:f>
        <x:v>-42126.96481460189</x:v>
      </x:c>
      <x:c r="T44" s="2"/>
      <x:c r="U44" s="2"/>
    </x:row>
    <x:row r="45" ht="21" customHeight="1">
      <x:c r="A45" s="2"/>
      <x:c r="B45" s="2"/>
      <x:c r="C45" s="2" t="str">
        <x:v>Cash dividends</x:v>
      </x:c>
      <x:c r="D45" s="2"/>
      <x:c r="E45" s="51" t="n">
        <x:f>'Historical Inputs'!E86</x:f>
        <x:v>-11845</x:v>
      </x:c>
      <x:c r="F45" s="51" t="n">
        <x:f>'Historical Inputs'!F86</x:f>
        <x:v>-12699</x:v>
      </x:c>
      <x:c r="G45" s="51" t="n">
        <x:f>'Historical Inputs'!G86</x:f>
        <x:v>-13811</x:v>
      </x:c>
      <x:c r="H45" s="51" t="n">
        <x:f>'Historical Inputs'!H86</x:f>
        <x:v>-15137</x:v>
      </x:c>
      <x:c r="I45" s="51" t="n">
        <x:f>'Historical Inputs'!I86</x:f>
        <x:v>-16521</x:v>
      </x:c>
      <x:c r="J45" s="51" t="n">
        <x:f>'Historical Inputs'!J86</x:f>
        <x:v>-18135</x:v>
      </x:c>
      <x:c r="K45" s="51" t="n">
        <x:f>'Historical Inputs'!K86</x:f>
        <x:v>-19800</x:v>
      </x:c>
      <x:c r="L45" s="51" t="n">
        <x:f>'Historical Inputs'!L86</x:f>
        <x:v>-21771</x:v>
      </x:c>
      <x:c r="M45" s="51" t="n">
        <x:f>'Historical Inputs'!M86</x:f>
        <x:v>-24082</x:v>
      </x:c>
      <x:c r="N45" s="51" t="n">
        <x:f>'Historical Inputs'!N86</x:f>
        <x:v>-26445</x:v>
      </x:c>
      <x:c r="O45" s="51" t="n">
        <x:f>-'Tax and Equity'!O19</x:f>
        <x:v>-27845.331864683412</x:v>
      </x:c>
      <x:c r="P45" s="51" t="n">
        <x:f>-'Tax and Equity'!P19</x:f>
        <x:v>-29991.888066253174</x:v>
      </x:c>
      <x:c r="Q45" s="51" t="n">
        <x:f>-'Tax and Equity'!Q19</x:f>
        <x:v>-32659.082596940607</x:v>
      </x:c>
      <x:c r="R45" s="51" t="n">
        <x:f>-'Tax and Equity'!R19</x:f>
        <x:v>-35924.898238108995</x:v>
      </x:c>
      <x:c r="S45" s="51" t="n">
        <x:f>-'Tax and Equity'!S19</x:f>
        <x:v>-39641.70963125973</x:v>
      </x:c>
      <x:c r="T45" s="2"/>
      <x:c r="U45" s="2"/>
    </x:row>
    <x:row r="46" ht="21" customHeight="1">
      <x:c r="A46" s="2"/>
      <x:c r="B46" s="2"/>
      <x:c r="C46" s="2" t="str">
        <x:v>Finance lease principal payments</x:v>
      </x:c>
      <x:c r="D46" s="2"/>
      <x:c r="E46" s="51" t="n">
        <x:f>-'Filing Notes'!E13</x:f>
        <x:v>-46</x:v>
      </x:c>
      <x:c r="F46" s="51" t="n">
        <x:f>-'Filing Notes'!F13</x:f>
        <x:v>-144</x:v>
      </x:c>
      <x:c r="G46" s="51" t="n">
        <x:f>-'Filing Notes'!G13</x:f>
        <x:v>-221</x:v>
      </x:c>
      <x:c r="H46" s="51" t="n">
        <x:f>-'Filing Notes'!H13</x:f>
        <x:v>-409</x:v>
      </x:c>
      <x:c r="I46" s="51" t="n">
        <x:f>-'Filing Notes'!I13</x:f>
        <x:v>-648</x:v>
      </x:c>
      <x:c r="J46" s="51" t="n">
        <x:f>-'Filing Notes'!J13</x:f>
        <x:v>-896</x:v>
      </x:c>
      <x:c r="K46" s="51" t="n">
        <x:f>-'Filing Notes'!K13</x:f>
        <x:v>-1056</x:v>
      </x:c>
      <x:c r="L46" s="51" t="n">
        <x:f>-'Filing Notes'!L13</x:f>
        <x:v>-1286</x:v>
      </x:c>
      <x:c r="M46" s="51" t="n">
        <x:f>-'Filing Notes'!M13</x:f>
        <x:v>-2283</x:v>
      </x:c>
      <x:c r="N46" s="51" t="n">
        <x:f>-'Filing Notes'!N13</x:f>
        <x:v>-3101</x:v>
      </x:c>
      <x:c r="O46" s="51" t="n">
        <x:f>-'Debt and Leases'!O41</x:f>
        <x:v>-5234.987692307693</x:v>
      </x:c>
      <x:c r="P46" s="51" t="n">
        <x:f>-'Debt and Leases'!P41</x:f>
        <x:v>-7815.527749360948</x:v>
      </x:c>
      <x:c r="Q46" s="51" t="n">
        <x:f>-'Debt and Leases'!Q41</x:f>
        <x:v>-9603.873482163182</x:v>
      </x:c>
      <x:c r="R46" s="51" t="n">
        <x:f>-'Debt and Leases'!R41</x:f>
        <x:v>-11866.490512938226</x:v>
      </x:c>
      <x:c r="S46" s="51" t="n">
        <x:f>-'Debt and Leases'!S41</x:f>
        <x:v>-14135.06933885123</x:v>
      </x:c>
      <x:c r="T46" s="2"/>
      <x:c r="U46" s="2"/>
    </x:row>
    <x:row r="47" ht="21" customHeight="1">
      <x:c r="A47" s="2"/>
      <x:c r="B47" s="2"/>
      <x:c r="C47" s="2" t="str">
        <x:v>Other financing excluding finance lease principal</x:v>
      </x:c>
      <x:c r="D47" s="2"/>
      <x:c r="E47" s="51" t="n">
        <x:f>'Historical Inputs'!E87-E46</x:f>
        <x:v>-144</x:v>
      </x:c>
      <x:c r="F47" s="51" t="n">
        <x:f>'Historical Inputs'!F87-F46</x:f>
        <x:v>-827</x:v>
      </x:c>
      <x:c r="G47" s="51" t="n">
        <x:f>'Historical Inputs'!G87-G46</x:f>
        <x:v>-454</x:v>
      </x:c>
      <x:c r="H47" s="51" t="n">
        <x:f>'Historical Inputs'!H87-H46</x:f>
        <x:v>-3342</x:v>
      </x:c>
      <x:c r="I47" s="51" t="n">
        <x:f>'Historical Inputs'!I87-I46</x:f>
        <x:v>-1875</x:v>
      </x:c>
      <x:c r="J47" s="51" t="n">
        <x:f>'Historical Inputs'!J87-J46</x:f>
        <x:v>33</x:v>
      </x:c>
      <x:c r="K47" s="51" t="n">
        <x:f>'Historical Inputs'!K87-K46</x:f>
        <x:v>50</x:v>
      </x:c>
      <x:c r="L47" s="51" t="n">
        <x:f>'Historical Inputs'!L87-L46</x:f>
        <x:v>-23</x:v>
      </x:c>
      <x:c r="M47" s="51" t="n">
        <x:f>'Historical Inputs'!M87-M46</x:f>
        <x:v>-8</x:v>
      </x:c>
      <x:c r="N47" s="51" t="n">
        <x:f>'Historical Inputs'!N87-N46</x:f>
        <x:v>262</x:v>
      </x:c>
      <x:c r="O47" s="57" t="n">
        <x:f>0</x:f>
        <x:v>0</x:v>
      </x:c>
      <x:c r="P47" s="57" t="n">
        <x:f>0</x:f>
        <x:v>0</x:v>
      </x:c>
      <x:c r="Q47" s="57" t="n">
        <x:f>0</x:f>
        <x:v>0</x:v>
      </x:c>
      <x:c r="R47" s="57" t="n">
        <x:f>0</x:f>
        <x:v>0</x:v>
      </x:c>
      <x:c r="S47" s="57" t="n">
        <x:f>0</x:f>
        <x:v>0</x:v>
      </x:c>
      <x:c r="T47" s="2"/>
      <x:c r="U47" s="2"/>
    </x:row>
    <x:row r="48" ht="21" customHeight="1">
      <x:c r="A48" s="2"/>
      <x:c r="B48" s="2"/>
      <x:c r="C48" s="64" t="str">
        <x:v>Net cash from financing</x:v>
      </x:c>
      <x:c r="D48" s="64"/>
      <x:c r="E48" s="68" t="n">
        <x:f>SUM(E39:E47)</x:f>
        <x:v>8408</x:v>
      </x:c>
      <x:c r="F48" s="68" t="n">
        <x:f>SUM(F39:F47)</x:f>
        <x:v>-33590</x:v>
      </x:c>
      <x:c r="G48" s="68" t="n">
        <x:f>SUM(G39:G47)</x:f>
        <x:v>-36887</x:v>
      </x:c>
      <x:c r="H48" s="68" t="n">
        <x:f>SUM(H39:H47)</x:f>
        <x:v>-46031</x:v>
      </x:c>
      <x:c r="I48" s="68" t="n">
        <x:f>SUM(I39:I47)</x:f>
        <x:v>-48486</x:v>
      </x:c>
      <x:c r="J48" s="68" t="n">
        <x:f>SUM(J39:J47)</x:f>
        <x:v>-58876</x:v>
      </x:c>
      <x:c r="K48" s="68" t="n">
        <x:f>SUM(K39:K47)</x:f>
        <x:v>-43935</x:v>
      </x:c>
      <x:c r="L48" s="68" t="n">
        <x:f>SUM(L39:L47)</x:f>
        <x:v>-37757</x:v>
      </x:c>
      <x:c r="M48" s="68" t="n">
        <x:f>SUM(M39:M47)</x:f>
        <x:v>-51699</x:v>
      </x:c>
      <x:c r="N48" s="68" t="n">
        <x:f>SUM(N39:N47)</x:f>
        <x:v>-52546</x:v>
      </x:c>
      <x:c r="O48" s="68" t="n">
        <x:f>SUM(O39:O47)</x:f>
        <x:v>-65048.198756991114</x:v>
      </x:c>
      <x:c r="P48" s="68" t="n">
        <x:f>SUM(P39:P47)</x:f>
        <x:v>-64031.584917214124</x:v>
      </x:c>
      <x:c r="Q48" s="68" t="n">
        <x:f>SUM(Q39:Q47)</x:f>
        <x:v>-74290.37274859179</x:v>
      </x:c>
      <x:c r="R48" s="68" t="n">
        <x:f>SUM(R39:R47)</x:f>
        <x:v>-81852.19288132722</x:v>
      </x:c>
      <x:c r="S48" s="68" t="n">
        <x:f>SUM(S39:S47)</x:f>
        <x:v>-92515.1008787496</x:v>
      </x:c>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t="str">
        <x:v>Effect of exchange rates on cash</x:v>
      </x:c>
      <x:c r="D50" s="2"/>
      <x:c r="E50" s="51" t="n">
        <x:f>'Historical Inputs'!E96</x:f>
        <x:v>19</x:v>
      </x:c>
      <x:c r="F50" s="51" t="n">
        <x:f>'Historical Inputs'!F96</x:f>
        <x:v>50</x:v>
      </x:c>
      <x:c r="G50" s="51" t="n">
        <x:f>'Historical Inputs'!G96</x:f>
        <x:v>-115</x:v>
      </x:c>
      <x:c r="H50" s="51" t="n">
        <x:f>'Historical Inputs'!H96</x:f>
        <x:v>-201</x:v>
      </x:c>
      <x:c r="I50" s="51" t="n">
        <x:f>'Historical Inputs'!I96</x:f>
        <x:v>-29</x:v>
      </x:c>
      <x:c r="J50" s="51" t="n">
        <x:f>'Historical Inputs'!J96</x:f>
        <x:v>-141</x:v>
      </x:c>
      <x:c r="K50" s="51" t="n">
        <x:f>'Historical Inputs'!K96</x:f>
        <x:v>-194</x:v>
      </x:c>
      <x:c r="L50" s="51" t="n">
        <x:f>'Historical Inputs'!L96</x:f>
        <x:v>-210</x:v>
      </x:c>
      <x:c r="M50" s="51" t="n">
        <x:f>'Historical Inputs'!M96</x:f>
        <x:v>63</x:v>
      </x:c>
      <x:c r="N50" s="51" t="n">
        <x:f>'Historical Inputs'!N96</x:f>
        <x:v>-196</x:v>
      </x:c>
      <x:c r="O50" s="57" t="n">
        <x:f>0</x:f>
        <x:v>0</x:v>
      </x:c>
      <x:c r="P50" s="57" t="n">
        <x:f>0</x:f>
        <x:v>0</x:v>
      </x:c>
      <x:c r="Q50" s="57" t="n">
        <x:f>0</x:f>
        <x:v>0</x:v>
      </x:c>
      <x:c r="R50" s="57" t="n">
        <x:f>0</x:f>
        <x:v>0</x:v>
      </x:c>
      <x:c r="S50" s="57" t="n">
        <x:f>0</x:f>
        <x:v>0</x:v>
      </x:c>
      <x:c r="T50" s="2"/>
      <x:c r="U50" s="2"/>
    </x:row>
    <x:row r="51" ht="21" customHeight="1">
      <x:c r="A51" s="2"/>
      <x:c r="B51" s="2"/>
      <x:c r="C51" s="64" t="str">
        <x:v>Net change in cash</x:v>
      </x:c>
      <x:c r="D51" s="64"/>
      <x:c r="E51" s="68" t="n">
        <x:f>SUM(E28,E37,E48,E50)</x:f>
        <x:v>1153</x:v>
      </x:c>
      <x:c r="F51" s="68" t="n">
        <x:f>SUM(F28,F37,F48,F50)</x:f>
        <x:v>4283</x:v>
      </x:c>
      <x:c r="G51" s="68" t="n">
        <x:f>SUM(G28,G37,G48,G50)</x:f>
        <x:v>-590</x:v>
      </x:c>
      <x:c r="H51" s="68" t="n">
        <x:f>SUM(H28,H37,H48,H50)</x:f>
        <x:v>2220</x:v>
      </x:c>
      <x:c r="I51" s="68" t="n">
        <x:f>SUM(I28,I37,I48,I50)</x:f>
        <x:v>648</x:v>
      </x:c>
      <x:c r="J51" s="68" t="n">
        <x:f>SUM(J28,J37,J48,J50)</x:f>
        <x:v>-293</x:v>
      </x:c>
      <x:c r="K51" s="68" t="n">
        <x:f>SUM(K28,K37,K48,K50)</x:f>
        <x:v>20773</x:v>
      </x:c>
      <x:c r="L51" s="68" t="n">
        <x:f>SUM(L28,L37,L48,L50)</x:f>
        <x:v>-16389</x:v>
      </x:c>
      <x:c r="M51" s="68" t="n">
        <x:f>SUM(M28,M37,M48,M50)</x:f>
        <x:v>11927</x:v>
      </x:c>
      <x:c r="N51" s="68" t="n">
        <x:f>SUM(N28,N37,N48,N50)</x:f>
        <x:v>-9307</x:v>
      </x:c>
      <x:c r="O51" s="68" t="n">
        <x:f>SUM(O28,O37,O48,O50)</x:f>
        <x:v>16897.17978311873</x:v>
      </x:c>
      <x:c r="P51" s="68" t="n">
        <x:f>SUM(P28,P37,P48,P50)</x:f>
        <x:v>56639.91376529284</x:v>
      </x:c>
      <x:c r="Q51" s="68" t="n">
        <x:f>SUM(Q28,Q37,Q48,Q50)</x:f>
        <x:v>84206.71845872723</x:v>
      </x:c>
      <x:c r="R51" s="68" t="n">
        <x:f>SUM(R28,R37,R48,R50)</x:f>
        <x:v>122038.73824861519</x:v>
      </x:c>
      <x:c r="S51" s="68" t="n">
        <x:f>SUM(S28,S37,S48,S50)</x:f>
        <x:v>156664.99082310934</x:v>
      </x:c>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t="str">
        <x:v>Opening cash and cash equivalents</x:v>
      </x:c>
      <x:c r="D53" s="2"/>
      <x:c r="E53" s="51" t="n">
        <x:f>'Historical Inputs'!E98</x:f>
        <x:v>6510</x:v>
      </x:c>
      <x:c r="F53" s="51" t="n">
        <x:f>'Historical Inputs'!F98</x:f>
        <x:v>7663</x:v>
      </x:c>
      <x:c r="G53" s="51" t="n">
        <x:f>'Historical Inputs'!G98</x:f>
        <x:v>11946</x:v>
      </x:c>
      <x:c r="H53" s="51" t="n">
        <x:f>'Historical Inputs'!H98</x:f>
        <x:v>11356</x:v>
      </x:c>
      <x:c r="I53" s="51" t="n">
        <x:f>'Historical Inputs'!I98</x:f>
        <x:v>13576</x:v>
      </x:c>
      <x:c r="J53" s="51" t="n">
        <x:f>'Historical Inputs'!J98</x:f>
        <x:v>14224</x:v>
      </x:c>
      <x:c r="K53" s="51" t="n">
        <x:f>'Historical Inputs'!K98</x:f>
        <x:v>13931</x:v>
      </x:c>
      <x:c r="L53" s="51" t="n">
        <x:f>'Historical Inputs'!L98</x:f>
        <x:v>34704</x:v>
      </x:c>
      <x:c r="M53" s="51" t="n">
        <x:f>'Historical Inputs'!M98</x:f>
        <x:v>18315</x:v>
      </x:c>
      <x:c r="N53" s="51" t="n">
        <x:f>'Historical Inputs'!N98</x:f>
        <x:v>30242</x:v>
      </x:c>
      <x:c r="O53" s="51" t="n">
        <x:f>'Balance Sheet'!N8</x:f>
        <x:v>20935</x:v>
      </x:c>
      <x:c r="P53" s="51" t="n">
        <x:f>'Balance Sheet'!O8</x:f>
        <x:v>37832.17978311873</x:v>
      </x:c>
      <x:c r="Q53" s="51" t="n">
        <x:f>'Balance Sheet'!P8</x:f>
        <x:v>94472.09354841156</x:v>
      </x:c>
      <x:c r="R53" s="51" t="n">
        <x:f>'Balance Sheet'!Q8</x:f>
        <x:v>178678.8120071388</x:v>
      </x:c>
      <x:c r="S53" s="51" t="n">
        <x:f>'Balance Sheet'!R8</x:f>
        <x:v>300717.550255754</x:v>
      </x:c>
      <x:c r="T53" s="2"/>
      <x:c r="U53" s="2"/>
    </x:row>
    <x:row r="54" ht="21" customHeight="1">
      <x:c r="A54" s="2"/>
      <x:c r="B54" s="2"/>
      <x:c r="C54" s="64" t="str">
        <x:v>Closing cash and cash equivalents</x:v>
      </x:c>
      <x:c r="D54" s="64"/>
      <x:c r="E54" s="68" t="n">
        <x:f>E53+E51</x:f>
        <x:v>7663</x:v>
      </x:c>
      <x:c r="F54" s="68" t="n">
        <x:f>F53+F51</x:f>
        <x:v>11946</x:v>
      </x:c>
      <x:c r="G54" s="68" t="n">
        <x:f>G53+G51</x:f>
        <x:v>11356</x:v>
      </x:c>
      <x:c r="H54" s="68" t="n">
        <x:f>H53+H51</x:f>
        <x:v>13576</x:v>
      </x:c>
      <x:c r="I54" s="68" t="n">
        <x:f>I53+I51</x:f>
        <x:v>14224</x:v>
      </x:c>
      <x:c r="J54" s="68" t="n">
        <x:f>J53+J51</x:f>
        <x:v>13931</x:v>
      </x:c>
      <x:c r="K54" s="68" t="n">
        <x:f>K53+K51</x:f>
        <x:v>34704</x:v>
      </x:c>
      <x:c r="L54" s="68" t="n">
        <x:f>L53+L51</x:f>
        <x:v>18315</x:v>
      </x:c>
      <x:c r="M54" s="68" t="n">
        <x:f>M53+M51</x:f>
        <x:v>30242</x:v>
      </x:c>
      <x:c r="N54" s="68" t="n">
        <x:f>N53+N51</x:f>
        <x:v>20935</x:v>
      </x:c>
      <x:c r="O54" s="68" t="n">
        <x:f>O53+O51</x:f>
        <x:v>37832.17978311873</x:v>
      </x:c>
      <x:c r="P54" s="68" t="n">
        <x:f>P53+P51</x:f>
        <x:v>94472.09354841156</x:v>
      </x:c>
      <x:c r="Q54" s="68" t="n">
        <x:f>Q53+Q51</x:f>
        <x:v>178678.8120071388</x:v>
      </x:c>
      <x:c r="R54" s="68" t="n">
        <x:f>R53+R51</x:f>
        <x:v>300717.550255754</x:v>
      </x:c>
      <x:c r="S54" s="68" t="n">
        <x:f>S53+S51</x:f>
        <x:v>457382.5410788633</x:v>
      </x:c>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64" t="str">
        <x:v>Free cash flow</x:v>
      </x:c>
      <x:c r="D56" s="64"/>
      <x:c r="E56" s="68" t="n">
        <x:f>E28+E30</x:f>
        <x:v>31378</x:v>
      </x:c>
      <x:c r="F56" s="68" t="n">
        <x:f>F28+F30</x:f>
        <x:v>32252</x:v>
      </x:c>
      <x:c r="G56" s="68" t="n">
        <x:f>G28+G30</x:f>
        <x:v>38260</x:v>
      </x:c>
      <x:c r="H56" s="68" t="n">
        <x:f>H28+H30</x:f>
        <x:v>45234</x:v>
      </x:c>
      <x:c r="I56" s="68" t="n">
        <x:f>I28+I30</x:f>
        <x:v>56118</x:v>
      </x:c>
      <x:c r="J56" s="68" t="n">
        <x:f>J28+J30</x:f>
        <x:v>65149</x:v>
      </x:c>
      <x:c r="K56" s="68" t="n">
        <x:f>K28+K30</x:f>
        <x:v>59475</x:v>
      </x:c>
      <x:c r="L56" s="68" t="n">
        <x:f>L28+L30</x:f>
        <x:v>74071</x:v>
      </x:c>
      <x:c r="M56" s="68" t="n">
        <x:f>M28+M30</x:f>
        <x:v>71611</x:v>
      </x:c>
      <x:c r="N56" s="68" t="n">
        <x:f>N28+N30</x:f>
        <x:v>66987</x:v>
      </x:c>
      <x:c r="O56" s="68" t="n">
        <x:f>O28+O30</x:f>
        <x:v>85795.86654010984</x:v>
      </x:c>
      <x:c r="P56" s="68" t="n">
        <x:f>P28+P30</x:f>
        <x:v>125116.27310650697</x:v>
      </x:c>
      <x:c r="Q56" s="68" t="n">
        <x:f>Q28+Q30</x:f>
        <x:v>163586.31437163902</x:v>
      </x:c>
      <x:c r="R56" s="68" t="n">
        <x:f>R28+R30</x:f>
        <x:v>209663.9487791424</x:v>
      </x:c>
      <x:c r="S56" s="68" t="n">
        <x:f>S28+S30</x:f>
        <x:v>255661.16321179768</x:v>
      </x:c>
      <x:c r="T56" s="2"/>
      <x:c r="U56" s="2"/>
    </x:row>
    <x:row r="57" ht="21" customHeight="1">
      <x:c r="A57" s="2"/>
      <x:c r="B57" s="2"/>
      <x:c r="C57" s="64" t="str">
        <x:v>FCF after finance lease principal</x:v>
      </x:c>
      <x:c r="D57" s="64"/>
      <x:c r="E57" s="68" t="n">
        <x:f>SUM(E56,E46)</x:f>
        <x:v>31332</x:v>
      </x:c>
      <x:c r="F57" s="68" t="n">
        <x:f>SUM(F56,F46)</x:f>
        <x:v>32108</x:v>
      </x:c>
      <x:c r="G57" s="68" t="n">
        <x:f>SUM(G56,G46)</x:f>
        <x:v>38039</x:v>
      </x:c>
      <x:c r="H57" s="68" t="n">
        <x:f>SUM(H56,H46)</x:f>
        <x:v>44825</x:v>
      </x:c>
      <x:c r="I57" s="68" t="n">
        <x:f>SUM(I56,I46)</x:f>
        <x:v>55470</x:v>
      </x:c>
      <x:c r="J57" s="68" t="n">
        <x:f>SUM(J56,J46)</x:f>
        <x:v>64253</x:v>
      </x:c>
      <x:c r="K57" s="68" t="n">
        <x:f>SUM(K56,K46)</x:f>
        <x:v>58419</x:v>
      </x:c>
      <x:c r="L57" s="68" t="n">
        <x:f>SUM(L56,L46)</x:f>
        <x:v>72785</x:v>
      </x:c>
      <x:c r="M57" s="68" t="n">
        <x:f>SUM(M56,M46)</x:f>
        <x:v>69328</x:v>
      </x:c>
      <x:c r="N57" s="68" t="n">
        <x:f>SUM(N56,N46)</x:f>
        <x:v>63886</x:v>
      </x:c>
      <x:c r="O57" s="68" t="n">
        <x:f>SUM(O56,O46)</x:f>
        <x:v>80560.87884780215</x:v>
      </x:c>
      <x:c r="P57" s="68" t="n">
        <x:f>SUM(P56,P46)</x:f>
        <x:v>117300.74535714602</x:v>
      </x:c>
      <x:c r="Q57" s="68" t="n">
        <x:f>SUM(Q56,Q46)</x:f>
        <x:v>153982.44088947584</x:v>
      </x:c>
      <x:c r="R57" s="68" t="n">
        <x:f>SUM(R56,R46)</x:f>
        <x:v>197797.45826620416</x:v>
      </x:c>
      <x:c r="S57" s="68" t="n">
        <x:f>SUM(S56,S46)</x:f>
        <x:v>241526.09387294645</x:v>
      </x:c>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t="str">
        <x:v>Cash before reserve liquidation and funding</x:v>
      </x:c>
      <x:c r="D59" s="2"/>
      <x:c r="E59" s="17" t="str">
        <x:v>n.a.</x:v>
      </x:c>
      <x:c r="F59" s="17" t="str">
        <x:v>n.a.</x:v>
      </x:c>
      <x:c r="G59" s="17" t="str">
        <x:v>n.a.</x:v>
      </x:c>
      <x:c r="H59" s="17" t="str">
        <x:v>n.a.</x:v>
      </x:c>
      <x:c r="I59" s="17" t="str">
        <x:v>n.a.</x:v>
      </x:c>
      <x:c r="J59" s="17" t="str">
        <x:v>n.a.</x:v>
      </x:c>
      <x:c r="K59" s="17" t="str">
        <x:v>n.a.</x:v>
      </x:c>
      <x:c r="L59" s="17" t="str">
        <x:v>n.a.</x:v>
      </x:c>
      <x:c r="M59" s="17" t="str">
        <x:v>n.a.</x:v>
      </x:c>
      <x:c r="N59" s="17" t="str">
        <x:v>n.a.</x:v>
      </x:c>
      <x:c r="O59" s="57" t="n">
        <x:f>O53+O28+SUM(O30:O33,O35:O36,O39:O41,O43:O47)</x:f>
        <x:v>37832.17978311874</x:v>
      </x:c>
      <x:c r="P59" s="57" t="n">
        <x:f>P53+P28+SUM(P30:P33,P35:P36,P39:P41,P43:P47)</x:f>
        <x:v>94472.09354841156</x:v>
      </x:c>
      <x:c r="Q59" s="57" t="n">
        <x:f>Q53+Q28+SUM(Q30:Q33,Q35:Q36,Q39:Q41,Q43:Q47)</x:f>
        <x:v>178678.8120071388</x:v>
      </x:c>
      <x:c r="R59" s="57" t="n">
        <x:f>R53+R28+SUM(R30:R33,R35:R36,R39:R41,R43:R47)</x:f>
        <x:v>300717.550255754</x:v>
      </x:c>
      <x:c r="S59" s="57" t="n">
        <x:f>S53+S28+SUM(S30:S33,S35:S36,S39:S41,S43:S47)</x:f>
        <x:v>457382.5410788634</x:v>
      </x:c>
      <x:c r="T59" s="2"/>
      <x:c r="U59" s="2"/>
    </x:row>
    <x:row r="60" ht="21" customHeight="1">
      <x:c r="A60" s="2"/>
      <x:c r="B60" s="2"/>
      <x:c r="C60" s="2" t="str">
        <x:v>Short-term investment liquidation</x:v>
      </x:c>
      <x:c r="D60" s="2"/>
      <x:c r="E60" s="17" t="str">
        <x:v>n.a.</x:v>
      </x:c>
      <x:c r="F60" s="17" t="str">
        <x:v>n.a.</x:v>
      </x:c>
      <x:c r="G60" s="17" t="str">
        <x:v>n.a.</x:v>
      </x:c>
      <x:c r="H60" s="17" t="str">
        <x:v>n.a.</x:v>
      </x:c>
      <x:c r="I60" s="17" t="str">
        <x:v>n.a.</x:v>
      </x:c>
      <x:c r="J60" s="17" t="str">
        <x:v>n.a.</x:v>
      </x:c>
      <x:c r="K60" s="17" t="str">
        <x:v>n.a.</x:v>
      </x:c>
      <x:c r="L60" s="17" t="str">
        <x:v>n.a.</x:v>
      </x:c>
      <x:c r="M60" s="17" t="str">
        <x:v>n.a.</x:v>
      </x:c>
      <x:c r="N60" s="17" t="str">
        <x:v>n.a.</x:v>
      </x:c>
      <x:c r="O60" s="51" t="n">
        <x:f>'Debt and Leases'!O77</x:f>
        <x:v>0</x:v>
      </x:c>
      <x:c r="P60" s="51" t="n">
        <x:f>'Debt and Leases'!P77</x:f>
        <x:v>0</x:v>
      </x:c>
      <x:c r="Q60" s="51" t="n">
        <x:f>'Debt and Leases'!Q77</x:f>
        <x:v>0</x:v>
      </x:c>
      <x:c r="R60" s="51" t="n">
        <x:f>'Debt and Leases'!R77</x:f>
        <x:v>0</x:v>
      </x:c>
      <x:c r="S60" s="51" t="n">
        <x:f>'Debt and Leases'!S77</x:f>
        <x:v>0</x:v>
      </x:c>
      <x:c r="T60" s="2"/>
      <x:c r="U60" s="2"/>
    </x:row>
    <x:row r="61" ht="21" customHeight="1">
      <x:c r="A61" s="2"/>
      <x:c r="B61" s="2"/>
      <x:c r="C61" s="2" t="str">
        <x:v>Liquidity borrowing requirement</x:v>
      </x:c>
      <x:c r="D61" s="2"/>
      <x:c r="E61" s="17" t="str">
        <x:v>n.a.</x:v>
      </x:c>
      <x:c r="F61" s="17" t="str">
        <x:v>n.a.</x:v>
      </x:c>
      <x:c r="G61" s="17" t="str">
        <x:v>n.a.</x:v>
      </x:c>
      <x:c r="H61" s="17" t="str">
        <x:v>n.a.</x:v>
      </x:c>
      <x:c r="I61" s="17" t="str">
        <x:v>n.a.</x:v>
      </x:c>
      <x:c r="J61" s="17" t="str">
        <x:v>n.a.</x:v>
      </x:c>
      <x:c r="K61" s="17" t="str">
        <x:v>n.a.</x:v>
      </x:c>
      <x:c r="L61" s="17" t="str">
        <x:v>n.a.</x:v>
      </x:c>
      <x:c r="M61" s="17" t="str">
        <x:v>n.a.</x:v>
      </x:c>
      <x:c r="N61" s="17" t="str">
        <x:v>n.a.</x:v>
      </x:c>
      <x:c r="O61" s="51" t="n">
        <x:f>'Debt and Leases'!O11</x:f>
        <x:v>0</x:v>
      </x:c>
      <x:c r="P61" s="51" t="n">
        <x:f>'Debt and Leases'!P11</x:f>
        <x:v>0</x:v>
      </x:c>
      <x:c r="Q61" s="51" t="n">
        <x:f>'Debt and Leases'!Q11</x:f>
        <x:v>0</x:v>
      </x:c>
      <x:c r="R61" s="51" t="n">
        <x:f>'Debt and Leases'!R11</x:f>
        <x:v>0</x:v>
      </x:c>
      <x:c r="S61" s="51" t="n">
        <x:f>'Debt and Leases'!S11</x:f>
        <x:v>0</x:v>
      </x:c>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891dddf195c04095"/>
</x:worksheet>
</file>

<file path=xl/worksheets/sheet10.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Segments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5" customHeight="1">
      <x:c r="A7" s="2"/>
      <x:c r="B7" s="2"/>
      <x:c r="C7" s="10" t="str">
        <x:v>Productivity and Business Processes</x:v>
      </x:c>
      <x:c r="D7" s="10"/>
      <x:c r="E7" s="50" t="str">
        <x:v>FY:17 A</x:v>
      </x:c>
      <x:c r="F7" s="50" t="str">
        <x:v>FY:18 A</x:v>
      </x:c>
      <x:c r="G7" s="50" t="str">
        <x:v>FY:19 A</x:v>
      </x:c>
      <x:c r="H7" s="50" t="str">
        <x:v>FY:20 A</x:v>
      </x:c>
      <x:c r="I7" s="50" t="str">
        <x:v>FY:21 A</x:v>
      </x:c>
      <x:c r="J7" s="50" t="str">
        <x:v>FY:22 A</x:v>
      </x:c>
      <x:c r="K7" s="50" t="str">
        <x:v>FY:23 A</x:v>
      </x:c>
      <x:c r="L7" s="50" t="str">
        <x:v>FY:24 A</x:v>
      </x:c>
      <x:c r="M7" s="50" t="str">
        <x:v>FY:25 A</x:v>
      </x:c>
      <x:c r="N7" s="50" t="str">
        <x:v>FY:26 A</x:v>
      </x:c>
      <x:c r="O7" s="50" t="str">
        <x:v>FY:27 E</x:v>
      </x:c>
      <x:c r="P7" s="50" t="str">
        <x:v>FY:28 E</x:v>
      </x:c>
      <x:c r="Q7" s="50" t="str">
        <x:v>FY:29 E</x:v>
      </x:c>
      <x:c r="R7" s="50" t="str">
        <x:v>FY:30 E</x:v>
      </x:c>
      <x:c r="S7" s="50" t="str">
        <x:v>FY:31 E</x:v>
      </x:c>
      <x:c r="T7" s="2"/>
      <x:c r="U7" s="2"/>
    </x:row>
    <x:row r="8" ht="21" customHeight="1">
      <x:c r="A8" s="2"/>
      <x:c r="B8" s="2"/>
      <x:c r="C8" s="2" t="str">
        <x:v>Revenue</x:v>
      </x:c>
      <x:c r="D8" s="2"/>
      <x:c r="E8" s="12" t="n">
        <x:v>29870</x:v>
      </x:c>
      <x:c r="F8" s="12" t="n">
        <x:v>35865</x:v>
      </x:c>
      <x:c r="G8" s="12" t="n">
        <x:v>41160</x:v>
      </x:c>
      <x:c r="H8" s="12" t="n">
        <x:v>46398</x:v>
      </x:c>
      <x:c r="I8" s="12" t="n">
        <x:v>53915</x:v>
      </x:c>
      <x:c r="J8" s="12" t="n">
        <x:v>63364</x:v>
      </x:c>
      <x:c r="K8" s="12" t="n">
        <x:v>94151</x:v>
      </x:c>
      <x:c r="L8" s="12" t="n">
        <x:v>106820</x:v>
      </x:c>
      <x:c r="M8" s="12" t="n">
        <x:v>120810</x:v>
      </x:c>
      <x:c r="N8" s="12" t="n">
        <x:v>139996</x:v>
      </x:c>
      <x:c r="O8" s="51" t="n">
        <x:f>N8*(1+'Assumptions'!O9)</x:f>
        <x:v>159595.44000000003</x:v>
      </x:c>
      <x:c r="P8" s="51" t="n">
        <x:f>O8*(1+'Assumptions'!P9)</x:f>
        <x:v>180342.84720000002</x:v>
      </x:c>
      <x:c r="Q8" s="51" t="n">
        <x:f>P8*(1+'Assumptions'!Q9)</x:f>
        <x:v>201983.98886400004</x:v>
      </x:c>
      <x:c r="R8" s="51" t="n">
        <x:f>Q8*(1+'Assumptions'!R9)</x:f>
        <x:v>224202.22763904007</x:v>
      </x:c>
      <x:c r="S8" s="51" t="n">
        <x:f>R8*(1+'Assumptions'!S9)</x:f>
        <x:v>246622.4504029441</x:v>
      </x:c>
      <x:c r="T8" s="2"/>
      <x:c r="U8" s="2"/>
    </x:row>
    <x:row r="9" ht="21" customHeight="1">
      <x:c r="A9" s="2"/>
      <x:c r="B9" s="2"/>
      <x:c r="C9" s="18" t="str">
        <x:v>Revenue growth</x:v>
      </x:c>
      <x:c r="D9" s="18"/>
      <x:c r="E9" s="54" t="str">
        <x:f>"n.a."</x:f>
        <x:v>n.a.</x:v>
      </x:c>
      <x:c r="F9" s="54" t="n">
        <x:f>F8/E8-1</x:f>
        <x:v>0.20070304653498483</x:v>
      </x:c>
      <x:c r="G9" s="54" t="n">
        <x:f>G8/F8-1</x:f>
        <x:v>0.14763697197825176</x:v>
      </x:c>
      <x:c r="H9" s="54" t="n">
        <x:f>H8/G8-1</x:f>
        <x:v>0.12725947521865888</x:v>
      </x:c>
      <x:c r="I9" s="54" t="n">
        <x:f>I8/H8-1</x:f>
        <x:v>0.1620112935902409</x:v>
      </x:c>
      <x:c r="J9" s="54" t="n">
        <x:f>J8/I8-1</x:f>
        <x:v>0.17525734953167027</x:v>
      </x:c>
      <x:c r="K9" s="54" t="str">
        <x:f>"n.a."</x:f>
        <x:v>n.a.</x:v>
      </x:c>
      <x:c r="L9" s="54" t="n">
        <x:f>L8/K8-1</x:f>
        <x:v>0.1345604401440239</x:v>
      </x:c>
      <x:c r="M9" s="54" t="n">
        <x:f>M8/L8-1</x:f>
        <x:v>0.13096798352368477</x:v>
      </x:c>
      <x:c r="N9" s="54" t="n">
        <x:f>N8/M8-1</x:f>
        <x:v>0.15881135667577184</x:v>
      </x:c>
      <x:c r="O9" s="54" t="n">
        <x:f>O8/N8-1</x:f>
        <x:v>0.14000000000000012</x:v>
      </x:c>
      <x:c r="P9" s="54" t="n">
        <x:f>P8/O8-1</x:f>
        <x:v>0.1299999999999999</x:v>
      </x:c>
      <x:c r="Q9" s="54" t="n">
        <x:f>Q8/P8-1</x:f>
        <x:v>0.1200000000000001</x:v>
      </x:c>
      <x:c r="R9" s="54" t="n">
        <x:f>R8/Q8-1</x:f>
        <x:v>0.1100000000000001</x:v>
      </x:c>
      <x:c r="S9" s="54" t="n">
        <x:f>S8/R8-1</x:f>
        <x:v>0.10000000000000009</x:v>
      </x:c>
      <x:c r="T9" s="2"/>
      <x:c r="U9" s="2"/>
    </x:row>
    <x:row r="10" ht="21" customHeight="1">
      <x:c r="A10" s="2"/>
      <x:c r="B10" s="2"/>
      <x:c r="C10" s="2" t="str">
        <x:v>Cost before allocated D&amp;A and operating leases</x:v>
      </x:c>
      <x:c r="D10" s="2"/>
      <x:c r="E10" s="17" t="str">
        <x:v>n.a.</x:v>
      </x:c>
      <x:c r="F10" s="17" t="str">
        <x:v>n.a.</x:v>
      </x:c>
      <x:c r="G10" s="17" t="str">
        <x:v>n.a.</x:v>
      </x:c>
      <x:c r="H10" s="17" t="str">
        <x:v>n.a.</x:v>
      </x:c>
      <x:c r="I10" s="17" t="str">
        <x:v>n.a.</x:v>
      </x:c>
      <x:c r="J10" s="17" t="str">
        <x:v>n.a.</x:v>
      </x:c>
      <x:c r="K10" s="17" t="str">
        <x:v>n.a.</x:v>
      </x:c>
      <x:c r="L10" s="17" t="str">
        <x:v>n.a.</x:v>
      </x:c>
      <x:c r="M10" s="17" t="str">
        <x:v>n.a.</x:v>
      </x:c>
      <x:c r="N10" s="17" t="str">
        <x:v>n.a.</x:v>
      </x:c>
      <x:c r="O10" s="51" t="n">
        <x:f>O8*'Assumptions'!O21</x:f>
        <x:v>23903.976000000006</x:v>
      </x:c>
      <x:c r="P10" s="51" t="n">
        <x:f>P8*'Assumptions'!P21</x:f>
        <x:v>26650.807185600002</x:v>
      </x:c>
      <x:c r="Q10" s="51" t="n">
        <x:f>Q8*'Assumptions'!Q21</x:f>
        <x:v>29444.936070144005</x:v>
      </x:c>
      <x:c r="R10" s="51" t="n">
        <x:f>R8*'Assumptions'!R21</x:f>
        <x:v>32235.474582581766</x:v>
      </x:c>
      <x:c r="S10" s="51" t="n">
        <x:f>S8*'Assumptions'!S21</x:f>
        <x:v>34965.77714003406</x:v>
      </x:c>
      <x:c r="T10" s="2"/>
      <x:c r="U10" s="2"/>
    </x:row>
    <x:row r="11" ht="21" customHeight="1">
      <x:c r="A11" s="2"/>
      <x:c r="B11" s="2"/>
      <x:c r="C11" s="2" t="str">
        <x:v>Allocated PPE depreciation</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'PPE and Intangibles'!O21*'Assumptions'!E205</x:f>
        <x:v>2515.96833</x:v>
      </x:c>
      <x:c r="P11" s="51" t="n">
        <x:f>'PPE and Intangibles'!P21*'Assumptions'!E205</x:f>
        <x:v>3779.981013070667</x:v>
      </x:c>
      <x:c r="Q11" s="51" t="n">
        <x:f>'PPE and Intangibles'!Q21*'Assumptions'!E205</x:f>
        <x:v>5078.278529626335</x:v>
      </x:c>
      <x:c r="R11" s="51" t="n">
        <x:f>'PPE and Intangibles'!R21*'Assumptions'!E205</x:f>
        <x:v>6400.504592610734</x:v>
      </x:c>
      <x:c r="S11" s="51" t="n">
        <x:f>'PPE and Intangibles'!S21*'Assumptions'!E205</x:f>
        <x:v>7742.627495309114</x:v>
      </x:c>
      <x:c r="T11" s="2"/>
      <x:c r="U11" s="2"/>
    </x:row>
    <x:row r="12" ht="21" customHeight="1">
      <x:c r="A12" s="2"/>
      <x:c r="B12" s="2"/>
      <x:c r="C12" s="2" t="str">
        <x:v>Allocated intangible amortization</x:v>
      </x:c>
      <x:c r="D12" s="2"/>
      <x:c r="E12" s="17" t="str">
        <x:v>n.a.</x:v>
      </x:c>
      <x:c r="F12" s="17" t="str">
        <x:v>n.a.</x:v>
      </x:c>
      <x:c r="G12" s="17" t="str">
        <x:v>n.a.</x:v>
      </x:c>
      <x:c r="H12" s="17" t="str">
        <x:v>n.a.</x:v>
      </x:c>
      <x:c r="I12" s="17" t="str">
        <x:v>n.a.</x:v>
      </x:c>
      <x:c r="J12" s="17" t="str">
        <x:v>n.a.</x:v>
      </x:c>
      <x:c r="K12" s="17" t="str">
        <x:v>n.a.</x:v>
      </x:c>
      <x:c r="L12" s="17" t="str">
        <x:v>n.a.</x:v>
      </x:c>
      <x:c r="M12" s="17" t="str">
        <x:v>n.a.</x:v>
      </x:c>
      <x:c r="N12" s="17" t="str">
        <x:v>n.a.</x:v>
      </x:c>
      <x:c r="O12" s="51" t="n">
        <x:f>'PPE and Intangibles'!O42*'Assumptions'!E206</x:f>
        <x:v>619.4000000000001</x:v>
      </x:c>
      <x:c r="P12" s="51" t="n">
        <x:f>'PPE and Intangibles'!P42*'Assumptions'!E206</x:f>
        <x:v>428.20000000000005</x:v>
      </x:c>
      <x:c r="Q12" s="51" t="n">
        <x:f>'PPE and Intangibles'!Q42*'Assumptions'!E206</x:f>
        <x:v>388.8</x:v>
      </x:c>
      <x:c r="R12" s="51" t="n">
        <x:f>'PPE and Intangibles'!R42*'Assumptions'!E206</x:f>
        <x:v>295.40000000000003</x:v>
      </x:c>
      <x:c r="S12" s="51" t="n">
        <x:f>'PPE and Intangibles'!S42*'Assumptions'!E206</x:f>
        <x:v>225.60000000000002</x:v>
      </x:c>
      <x:c r="T12" s="2"/>
      <x:c r="U12" s="2"/>
    </x:row>
    <x:row r="13" ht="21" customHeight="1">
      <x:c r="A13" s="2"/>
      <x:c r="B13" s="2"/>
      <x:c r="C13" s="2" t="str">
        <x:v>Allocated operating lease expense</x:v>
      </x:c>
      <x:c r="D13" s="2"/>
      <x:c r="E13" s="17" t="str">
        <x:v>n.a.</x:v>
      </x:c>
      <x:c r="F13" s="17" t="str">
        <x:v>n.a.</x:v>
      </x:c>
      <x:c r="G13" s="17" t="str">
        <x:v>n.a.</x:v>
      </x:c>
      <x:c r="H13" s="17" t="str">
        <x:v>n.a.</x:v>
      </x:c>
      <x:c r="I13" s="17" t="str">
        <x:v>n.a.</x:v>
      </x:c>
      <x:c r="J13" s="17" t="str">
        <x:v>n.a.</x:v>
      </x:c>
      <x:c r="K13" s="17" t="str">
        <x:v>n.a.</x:v>
      </x:c>
      <x:c r="L13" s="17" t="str">
        <x:v>n.a.</x:v>
      </x:c>
      <x:c r="M13" s="17" t="str">
        <x:v>n.a.</x:v>
      </x:c>
      <x:c r="N13" s="17" t="str">
        <x:v>n.a.</x:v>
      </x:c>
      <x:c r="O13" s="51" t="n">
        <x:f>'Debt and Leases'!O61*'Assumptions'!E207</x:f>
        <x:v>1085.7774084</x:v>
      </x:c>
      <x:c r="P13" s="51" t="n">
        <x:f>'Debt and Leases'!P61*'Assumptions'!E207</x:f>
        <x:v>1280.5885390532</x:v>
      </x:c>
      <x:c r="Q13" s="51" t="n">
        <x:f>'Debt and Leases'!Q61*'Assumptions'!E207</x:f>
        <x:v>1485.7659465058427</x:v>
      </x:c>
      <x:c r="R13" s="51" t="n">
        <x:f>'Debt and Leases'!R61*'Assumptions'!E207</x:f>
        <x:v>1700.5129391388568</x:v>
      </x:c>
      <x:c r="S13" s="51" t="n">
        <x:f>'Debt and Leases'!S61*'Assumptions'!E207</x:f>
        <x:v>1921.9212781189997</x:v>
      </x:c>
      <x:c r="T13" s="2"/>
      <x:c r="U13" s="2"/>
    </x:row>
    <x:row r="14" ht="21" customHeight="1">
      <x:c r="A14" s="2"/>
      <x:c r="B14" s="2"/>
      <x:c r="C14" s="2" t="str">
        <x:v>Total cost of revenue</x:v>
      </x:c>
      <x:c r="D14" s="2"/>
      <x:c r="E14" s="17" t="str">
        <x:v>n.a.</x:v>
      </x:c>
      <x:c r="F14" s="17" t="str">
        <x:v>n.a.</x:v>
      </x:c>
      <x:c r="G14" s="17" t="str">
        <x:v>n.a.</x:v>
      </x:c>
      <x:c r="H14" s="17" t="str">
        <x:v>n.a.</x:v>
      </x:c>
      <x:c r="I14" s="17" t="str">
        <x:v>n.a.</x:v>
      </x:c>
      <x:c r="J14" s="17" t="str">
        <x:v>n.a.</x:v>
      </x:c>
      <x:c r="K14" s="12" t="n">
        <x:v>17202</x:v>
      </x:c>
      <x:c r="L14" s="12" t="n">
        <x:v>19611</x:v>
      </x:c>
      <x:c r="M14" s="12" t="n">
        <x:v>22422</x:v>
      </x:c>
      <x:c r="N14" s="12" t="n">
        <x:v>25017</x:v>
      </x:c>
      <x:c r="O14" s="57" t="n">
        <x:f>SUM(O10:O13)</x:f>
        <x:v>28125.12173840001</x:v>
      </x:c>
      <x:c r="P14" s="57" t="n">
        <x:f>SUM(P10:P13)</x:f>
        <x:v>32139.57673772387</x:v>
      </x:c>
      <x:c r="Q14" s="57" t="n">
        <x:f>SUM(Q10:Q13)</x:f>
        <x:v>36397.78054627619</x:v>
      </x:c>
      <x:c r="R14" s="57" t="n">
        <x:f>SUM(R10:R13)</x:f>
        <x:v>40631.89211433136</x:v>
      </x:c>
      <x:c r="S14" s="57" t="n">
        <x:f>SUM(S10:S13)</x:f>
        <x:v>44855.92591346217</x:v>
      </x:c>
      <x:c r="T14" s="2"/>
      <x:c r="U14" s="2"/>
    </x:row>
    <x:row r="15" ht="21" customHeight="1">
      <x:c r="A15" s="2"/>
      <x:c r="B15" s="2"/>
      <x:c r="C15" s="2" t="str">
        <x:v>Gross profit</x:v>
      </x:c>
      <x:c r="D15" s="2"/>
      <x:c r="E15" s="17" t="str">
        <x:v>n.a.</x:v>
      </x:c>
      <x:c r="F15" s="17" t="str">
        <x:v>n.a.</x:v>
      </x:c>
      <x:c r="G15" s="17" t="str">
        <x:v>n.a.</x:v>
      </x:c>
      <x:c r="H15" s="17" t="str">
        <x:v>n.a.</x:v>
      </x:c>
      <x:c r="I15" s="17" t="str">
        <x:v>n.a.</x:v>
      </x:c>
      <x:c r="J15" s="17" t="str">
        <x:v>n.a.</x:v>
      </x:c>
      <x:c r="K15" s="57" t="n">
        <x:f>K8-K14</x:f>
        <x:v>76949</x:v>
      </x:c>
      <x:c r="L15" s="57" t="n">
        <x:f>L8-L14</x:f>
        <x:v>87209</x:v>
      </x:c>
      <x:c r="M15" s="57" t="n">
        <x:f>M8-M14</x:f>
        <x:v>98388</x:v>
      </x:c>
      <x:c r="N15" s="57" t="n">
        <x:f>N8-N14</x:f>
        <x:v>114979</x:v>
      </x:c>
      <x:c r="O15" s="57" t="n">
        <x:f>O8-O14</x:f>
        <x:v>131470.3182616</x:v>
      </x:c>
      <x:c r="P15" s="57" t="n">
        <x:f>P8-P14</x:f>
        <x:v>148203.27046227615</x:v>
      </x:c>
      <x:c r="Q15" s="57" t="n">
        <x:f>Q8-Q14</x:f>
        <x:v>165586.20831772385</x:v>
      </x:c>
      <x:c r="R15" s="57" t="n">
        <x:f>R8-R14</x:f>
        <x:v>183570.3355247087</x:v>
      </x:c>
      <x:c r="S15" s="57" t="n">
        <x:f>S8-S14</x:f>
        <x:v>201766.52448948193</x:v>
      </x:c>
      <x:c r="T15" s="2"/>
      <x:c r="U15" s="2"/>
    </x:row>
    <x:row r="16" ht="21" customHeight="1">
      <x:c r="A16" s="2"/>
      <x:c r="B16" s="2"/>
      <x:c r="C16" s="18" t="str">
        <x:v>Gross margin</x:v>
      </x:c>
      <x:c r="D16" s="18"/>
      <x:c r="E16" s="55" t="str">
        <x:v>n.a.</x:v>
      </x:c>
      <x:c r="F16" s="55" t="str">
        <x:v>n.a.</x:v>
      </x:c>
      <x:c r="G16" s="55" t="str">
        <x:v>n.a.</x:v>
      </x:c>
      <x:c r="H16" s="55" t="str">
        <x:v>n.a.</x:v>
      </x:c>
      <x:c r="I16" s="55" t="str">
        <x:v>n.a.</x:v>
      </x:c>
      <x:c r="J16" s="55" t="str">
        <x:v>n.a.</x:v>
      </x:c>
      <x:c r="K16" s="54" t="n">
        <x:f>K15/K8</x:f>
        <x:v>0.8172934966171364</x:v>
      </x:c>
      <x:c r="L16" s="54" t="n">
        <x:f>L15/L8</x:f>
        <x:v>0.8164107844972851</x:v>
      </x:c>
      <x:c r="M16" s="54" t="n">
        <x:f>M15/M8</x:f>
        <x:v>0.8144027812267196</x:v>
      </x:c>
      <x:c r="N16" s="54" t="n">
        <x:f>N15/N8</x:f>
        <x:v>0.8213020372010629</x:v>
      </x:c>
      <x:c r="O16" s="54" t="n">
        <x:f>O15/O8</x:f>
        <x:v>0.8237723976424388</x:v>
      </x:c>
      <x:c r="P16" s="54" t="n">
        <x:f>P15/P8</x:f>
        <x:v>0.8217862408367042</x:v>
      </x:c>
      <x:c r="Q16" s="54" t="n">
        <x:f>Q15/Q8</x:f>
        <x:v>0.819798684286884</x:v>
      </x:c>
      <x:c r="R16" s="54" t="n">
        <x:f>R15/R8</x:f>
        <x:v>0.8187712381709797</x:v>
      </x:c>
      <x:c r="S16" s="54" t="n">
        <x:f>S15/S8</x:f>
        <x:v>0.8181190486098313</x:v>
      </x:c>
      <x:c r="T16" s="2"/>
      <x:c r="U16" s="2"/>
    </x:row>
    <x:row r="17" ht="21" customHeight="1">
      <x:c r="A17" s="2"/>
      <x:c r="B17" s="2"/>
      <x:c r="C17" s="2" t="str">
        <x:v>Allocated operating expenses</x:v>
      </x:c>
      <x:c r="D17" s="2"/>
      <x:c r="E17" s="17" t="str">
        <x:v>n.a.</x:v>
      </x:c>
      <x:c r="F17" s="17" t="str">
        <x:v>n.a.</x:v>
      </x:c>
      <x:c r="G17" s="17" t="str">
        <x:v>n.a.</x:v>
      </x:c>
      <x:c r="H17" s="17" t="str">
        <x:v>n.a.</x:v>
      </x:c>
      <x:c r="I17" s="17" t="str">
        <x:v>n.a.</x:v>
      </x:c>
      <x:c r="J17" s="17" t="str">
        <x:v>n.a.</x:v>
      </x:c>
      <x:c r="K17" s="17" t="str">
        <x:v>n.a.</x:v>
      </x:c>
      <x:c r="L17" s="17" t="str">
        <x:v>n.a.</x:v>
      </x:c>
      <x:c r="M17" s="17" t="str">
        <x:v>n.a.</x:v>
      </x:c>
      <x:c r="N17" s="17" t="str">
        <x:v>n.a.</x:v>
      </x:c>
      <x:c r="O17" s="51" t="n">
        <x:f>'Expense Plan'!O24*'Assumptions'!E208</x:f>
        <x:v>36484.083218340005</x:v>
      </x:c>
      <x:c r="P17" s="51" t="n">
        <x:f>'Expense Plan'!P24*'Assumptions'!E208</x:f>
        <x:v>42827.30447429389</x:v>
      </x:c>
      <x:c r="Q17" s="51" t="n">
        <x:f>'Expense Plan'!Q24*'Assumptions'!E208</x:f>
        <x:v>49564.658831277986</x:v>
      </x:c>
      <x:c r="R17" s="51" t="n">
        <x:f>'Expense Plan'!R24*'Assumptions'!E208</x:f>
        <x:v>56534.149560459125</x:v>
      </x:c>
      <x:c r="S17" s="51" t="n">
        <x:f>'Expense Plan'!S24*'Assumptions'!E208</x:f>
        <x:v>63613.47850006439</x:v>
      </x:c>
      <x:c r="T17" s="2"/>
      <x:c r="U17" s="2"/>
    </x:row>
    <x:row r="18" ht="21" customHeight="1">
      <x:c r="A18" s="2"/>
      <x:c r="B18" s="2"/>
      <x:c r="C18" s="2" t="str">
        <x:v>Operating income</x:v>
      </x:c>
      <x:c r="D18" s="2"/>
      <x:c r="E18" s="12" t="n">
        <x:v>11389</x:v>
      </x:c>
      <x:c r="F18" s="12" t="n">
        <x:v>12924</x:v>
      </x:c>
      <x:c r="G18" s="12" t="n">
        <x:v>16219</x:v>
      </x:c>
      <x:c r="H18" s="12" t="n">
        <x:v>18724</x:v>
      </x:c>
      <x:c r="I18" s="12" t="n">
        <x:v>24351</x:v>
      </x:c>
      <x:c r="J18" s="12" t="n">
        <x:v>29690</x:v>
      </x:c>
      <x:c r="K18" s="12" t="n">
        <x:v>50074</x:v>
      </x:c>
      <x:c r="L18" s="12" t="n">
        <x:v>59661</x:v>
      </x:c>
      <x:c r="M18" s="12" t="n">
        <x:v>69773</x:v>
      </x:c>
      <x:c r="N18" s="12" t="n">
        <x:v>83879</x:v>
      </x:c>
      <x:c r="O18" s="57" t="n">
        <x:f>O15-O17</x:f>
        <x:v>94986.23504326</x:v>
      </x:c>
      <x:c r="P18" s="57" t="n">
        <x:f>P15-P17</x:f>
        <x:v>105375.96598798226</x:v>
      </x:c>
      <x:c r="Q18" s="57" t="n">
        <x:f>Q15-Q17</x:f>
        <x:v>116021.54948644587</x:v>
      </x:c>
      <x:c r="R18" s="57" t="n">
        <x:f>R15-R17</x:f>
        <x:v>127036.18596424957</x:v>
      </x:c>
      <x:c r="S18" s="57" t="n">
        <x:f>S15-S17</x:f>
        <x:v>138153.04598941753</x:v>
      </x:c>
      <x:c r="T18" s="2"/>
      <x:c r="U18" s="2"/>
    </x:row>
    <x:row r="19" ht="21" customHeight="1">
      <x:c r="A19" s="2"/>
      <x:c r="B19" s="2"/>
      <x:c r="C19" s="18" t="str">
        <x:v>Operating margin</x:v>
      </x:c>
      <x:c r="D19" s="18"/>
      <x:c r="E19" s="54" t="n">
        <x:f>E18/E8</x:f>
        <x:v>0.3812855708068296</x:v>
      </x:c>
      <x:c r="F19" s="54" t="n">
        <x:f>F18/F8</x:f>
        <x:v>0.3603513174404015</x:v>
      </x:c>
      <x:c r="G19" s="54" t="n">
        <x:f>G18/G8</x:f>
        <x:v>0.39404761904761904</x:v>
      </x:c>
      <x:c r="H19" s="54" t="n">
        <x:f>H18/H8</x:f>
        <x:v>0.40355187723608776</x:v>
      </x:c>
      <x:c r="I19" s="54" t="n">
        <x:f>I18/I8</x:f>
        <x:v>0.4516553834739868</x:v>
      </x:c>
      <x:c r="J19" s="54" t="n">
        <x:f>J18/J8</x:f>
        <x:v>0.46856259074553375</x:v>
      </x:c>
      <x:c r="K19" s="54" t="n">
        <x:f>K18/K8</x:f>
        <x:v>0.5318477764442225</x:v>
      </x:c>
      <x:c r="L19" s="54" t="n">
        <x:f>L18/L8</x:f>
        <x:v>0.558519003931848</x:v>
      </x:c>
      <x:c r="M19" s="54" t="n">
        <x:f>M18/M8</x:f>
        <x:v>0.5775432497309826</x:v>
      </x:c>
      <x:c r="N19" s="54" t="n">
        <x:f>N18/N8</x:f>
        <x:v>0.599152832938084</x:v>
      </x:c>
      <x:c r="O19" s="54" t="n">
        <x:f>O18/O8</x:f>
        <x:v>0.5951688534663646</x:v>
      </x:c>
      <x:c r="P19" s="54" t="n">
        <x:f>P18/P8</x:f>
        <x:v>0.5843090958363346</x:v>
      </x:c>
      <x:c r="Q19" s="54" t="n">
        <x:f>Q18/Q8</x:f>
        <x:v>0.5744096358279446</x:v>
      </x:c>
      <x:c r="R19" s="54" t="n">
        <x:f>R18/R8</x:f>
        <x:v>0.5666142897062317</x:v>
      </x:c>
      <x:c r="S19" s="54" t="n">
        <x:f>S18/S8</x:f>
        <x:v>0.5601803313676277</x:v>
      </x:c>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5" customHeight="1">
      <x:c r="A21" s="2"/>
      <x:c r="B21" s="2"/>
      <x:c r="C21" s="10" t="str">
        <x:v>Intelligent Cloud</x:v>
      </x:c>
      <x:c r="D21" s="10"/>
      <x:c r="E21" s="10"/>
      <x:c r="F21" s="10"/>
      <x:c r="G21" s="10"/>
      <x:c r="H21" s="10"/>
      <x:c r="I21" s="10"/>
      <x:c r="J21" s="10"/>
      <x:c r="K21" s="10"/>
      <x:c r="L21" s="10"/>
      <x:c r="M21" s="10"/>
      <x:c r="N21" s="10"/>
      <x:c r="O21" s="10"/>
      <x:c r="P21" s="10"/>
      <x:c r="Q21" s="10"/>
      <x:c r="R21" s="10"/>
      <x:c r="S21" s="10"/>
      <x:c r="T21" s="2"/>
      <x:c r="U21" s="2"/>
    </x:row>
    <x:row r="22" ht="21" customHeight="1">
      <x:c r="A22" s="2"/>
      <x:c r="B22" s="2"/>
      <x:c r="C22" s="2" t="str">
        <x:v>Revenue</x:v>
      </x:c>
      <x:c r="D22" s="2"/>
      <x:c r="E22" s="12" t="n">
        <x:v>27407</x:v>
      </x:c>
      <x:c r="F22" s="12" t="n">
        <x:v>32219</x:v>
      </x:c>
      <x:c r="G22" s="12" t="n">
        <x:v>38985</x:v>
      </x:c>
      <x:c r="H22" s="12" t="n">
        <x:v>48366</x:v>
      </x:c>
      <x:c r="I22" s="12" t="n">
        <x:v>59728</x:v>
      </x:c>
      <x:c r="J22" s="12" t="n">
        <x:v>74965</x:v>
      </x:c>
      <x:c r="K22" s="12" t="n">
        <x:v>72944</x:v>
      </x:c>
      <x:c r="L22" s="12" t="n">
        <x:v>87464</x:v>
      </x:c>
      <x:c r="M22" s="12" t="n">
        <x:v>106265</x:v>
      </x:c>
      <x:c r="N22" s="12" t="n">
        <x:v>137791</x:v>
      </x:c>
      <x:c r="O22" s="51" t="n">
        <x:f>N22*(1+'Assumptions'!O13)</x:f>
        <x:v>170860.84</x:v>
      </x:c>
      <x:c r="P22" s="51" t="n">
        <x:f>O22*(1+'Assumptions'!P13)</x:f>
        <x:v>208450.2248</x:v>
      </x:c>
      <x:c r="Q22" s="51" t="n">
        <x:f>P22*(1+'Assumptions'!Q13)</x:f>
        <x:v>250140.26976</x:v>
      </x:c>
      <x:c r="R22" s="51" t="n">
        <x:f>Q22*(1+'Assumptions'!R13)</x:f>
        <x:v>295165.5183168</x:v>
      </x:c>
      <x:c r="S22" s="51" t="n">
        <x:f>R22*(1+'Assumptions'!S13)</x:f>
        <x:v>342392.00124748796</x:v>
      </x:c>
      <x:c r="T22" s="2"/>
      <x:c r="U22" s="2"/>
    </x:row>
    <x:row r="23" ht="21" customHeight="1">
      <x:c r="A23" s="2"/>
      <x:c r="B23" s="2"/>
      <x:c r="C23" s="18" t="str">
        <x:v>Revenue growth</x:v>
      </x:c>
      <x:c r="D23" s="18"/>
      <x:c r="E23" s="54" t="str">
        <x:f>"n.a."</x:f>
        <x:v>n.a.</x:v>
      </x:c>
      <x:c r="F23" s="54" t="n">
        <x:f>F22/E22-1</x:f>
        <x:v>0.17557558288028607</x:v>
      </x:c>
      <x:c r="G23" s="54" t="n">
        <x:f>G22/F22-1</x:f>
        <x:v>0.2100003103758652</x:v>
      </x:c>
      <x:c r="H23" s="54" t="n">
        <x:f>H22/G22-1</x:f>
        <x:v>0.24063101192766445</x:v>
      </x:c>
      <x:c r="I23" s="54" t="n">
        <x:f>I22/H22-1</x:f>
        <x:v>0.2349170905181326</x:v>
      </x:c>
      <x:c r="J23" s="54" t="n">
        <x:f>J22/I22-1</x:f>
        <x:v>0.2551064827216716</x:v>
      </x:c>
      <x:c r="K23" s="54" t="str">
        <x:f>"n.a."</x:f>
        <x:v>n.a.</x:v>
      </x:c>
      <x:c r="L23" s="54" t="n">
        <x:f>L22/K22-1</x:f>
        <x:v>0.19905681070410175</x:v>
      </x:c>
      <x:c r="M23" s="54" t="n">
        <x:f>M22/L22-1</x:f>
        <x:v>0.21495701088447827</x:v>
      </x:c>
      <x:c r="N23" s="54" t="n">
        <x:f>N22/M22-1</x:f>
        <x:v>0.29667341081259124</x:v>
      </x:c>
      <x:c r="O23" s="54" t="n">
        <x:f>O22/N22-1</x:f>
        <x:v>0.24</x:v>
      </x:c>
      <x:c r="P23" s="54" t="n">
        <x:f>P22/O22-1</x:f>
        <x:v>0.21999999999999997</x:v>
      </x:c>
      <x:c r="Q23" s="54" t="n">
        <x:f>Q22/P22-1</x:f>
        <x:v>0.19999999999999996</x:v>
      </x:c>
      <x:c r="R23" s="54" t="n">
        <x:f>R22/Q22-1</x:f>
        <x:v>0.18000000000000016</x:v>
      </x:c>
      <x:c r="S23" s="54" t="n">
        <x:f>S22/R22-1</x:f>
        <x:v>0.15999999999999992</x:v>
      </x:c>
      <x:c r="T23" s="2"/>
      <x:c r="U23" s="2"/>
    </x:row>
    <x:row r="24" ht="21" customHeight="1">
      <x:c r="A24" s="2"/>
      <x:c r="B24" s="2"/>
      <x:c r="C24" s="2" t="str">
        <x:v>Cost before allocated D&amp;A and operating leases</x:v>
      </x:c>
      <x:c r="D24" s="2"/>
      <x:c r="E24" s="17" t="str">
        <x:v>n.a.</x:v>
      </x:c>
      <x:c r="F24" s="17" t="str">
        <x:v>n.a.</x:v>
      </x:c>
      <x:c r="G24" s="17" t="str">
        <x:v>n.a.</x:v>
      </x:c>
      <x:c r="H24" s="17" t="str">
        <x:v>n.a.</x:v>
      </x:c>
      <x:c r="I24" s="17" t="str">
        <x:v>n.a.</x:v>
      </x:c>
      <x:c r="J24" s="17" t="str">
        <x:v>n.a.</x:v>
      </x:c>
      <x:c r="K24" s="17" t="str">
        <x:v>n.a.</x:v>
      </x:c>
      <x:c r="L24" s="17" t="str">
        <x:v>n.a.</x:v>
      </x:c>
      <x:c r="M24" s="17" t="str">
        <x:v>n.a.</x:v>
      </x:c>
      <x:c r="N24" s="17" t="str">
        <x:v>n.a.</x:v>
      </x:c>
      <x:c r="O24" s="51" t="n">
        <x:f>O22*'Assumptions'!O25</x:f>
        <x:v>34391.648</x:v>
      </x:c>
      <x:c r="P24" s="51" t="n">
        <x:f>P22*'Assumptions'!P25</x:f>
        <x:v>41540.9101104</x:v>
      </x:c>
      <x:c r="Q24" s="51" t="n">
        <x:f>Q22*'Assumptions'!Q25</x:f>
        <x:v>49348.811592959995</x:v>
      </x:c>
      <x:c r="R24" s="51" t="n">
        <x:f>R22*'Assumptions'!R25</x:f>
        <x:v>57641.2666430592</x:v>
      </x:c>
      <x:c r="S24" s="51" t="n">
        <x:f>S22*'Assumptions'!S25</x:f>
        <x:v>66179.08530345368</x:v>
      </x:c>
      <x:c r="T24" s="2"/>
      <x:c r="U24" s="2"/>
    </x:row>
    <x:row r="25" ht="21" customHeight="1">
      <x:c r="A25" s="2"/>
      <x:c r="B25" s="2"/>
      <x:c r="C25" s="2" t="str">
        <x:v>Allocated PPE depreciation</x:v>
      </x:c>
      <x:c r="D25" s="2"/>
      <x:c r="E25" s="17" t="str">
        <x:v>n.a.</x:v>
      </x:c>
      <x:c r="F25" s="17" t="str">
        <x:v>n.a.</x:v>
      </x:c>
      <x:c r="G25" s="17" t="str">
        <x:v>n.a.</x:v>
      </x:c>
      <x:c r="H25" s="17" t="str">
        <x:v>n.a.</x:v>
      </x:c>
      <x:c r="I25" s="17" t="str">
        <x:v>n.a.</x:v>
      </x:c>
      <x:c r="J25" s="17" t="str">
        <x:v>n.a.</x:v>
      </x:c>
      <x:c r="K25" s="17" t="str">
        <x:v>n.a.</x:v>
      </x:c>
      <x:c r="L25" s="17" t="str">
        <x:v>n.a.</x:v>
      </x:c>
      <x:c r="M25" s="17" t="str">
        <x:v>n.a.</x:v>
      </x:c>
      <x:c r="N25" s="17" t="str">
        <x:v>n.a.</x:v>
      </x:c>
      <x:c r="O25" s="51" t="n">
        <x:f>'PPE and Intangibles'!O21*'Assumptions'!F205</x:f>
        <x:v>37739.52495</x:v>
      </x:c>
      <x:c r="P25" s="51" t="n">
        <x:f>'PPE and Intangibles'!P21*'Assumptions'!F205</x:f>
        <x:v>56699.71519606</x:v>
      </x:c>
      <x:c r="Q25" s="51" t="n">
        <x:f>'PPE and Intangibles'!Q21*'Assumptions'!F205</x:f>
        <x:v>76174.177944395</x:v>
      </x:c>
      <x:c r="R25" s="51" t="n">
        <x:f>'PPE and Intangibles'!R21*'Assumptions'!F205</x:f>
        <x:v>96007.56888916102</x:v>
      </x:c>
      <x:c r="S25" s="51" t="n">
        <x:f>'PPE and Intangibles'!S21*'Assumptions'!F205</x:f>
        <x:v>116139.41242963671</x:v>
      </x:c>
      <x:c r="T25" s="2"/>
      <x:c r="U25" s="2"/>
    </x:row>
    <x:row r="26" ht="21" customHeight="1">
      <x:c r="A26" s="2"/>
      <x:c r="B26" s="2"/>
      <x:c r="C26" s="2" t="str">
        <x:v>Allocated intangible amortization</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'PPE and Intangibles'!O42*'Assumptions'!F206</x:f>
        <x:v>154.85000000000002</x:v>
      </x:c>
      <x:c r="P26" s="51" t="n">
        <x:f>'PPE and Intangibles'!P42*'Assumptions'!F206</x:f>
        <x:v>107.05000000000001</x:v>
      </x:c>
      <x:c r="Q26" s="51" t="n">
        <x:f>'PPE and Intangibles'!Q42*'Assumptions'!F206</x:f>
        <x:v>97.2</x:v>
      </x:c>
      <x:c r="R26" s="51" t="n">
        <x:f>'PPE and Intangibles'!R42*'Assumptions'!F206</x:f>
        <x:v>73.85000000000001</x:v>
      </x:c>
      <x:c r="S26" s="51" t="n">
        <x:f>'PPE and Intangibles'!S42*'Assumptions'!F206</x:f>
        <x:v>56.400000000000006</x:v>
      </x:c>
      <x:c r="T26" s="2"/>
      <x:c r="U26" s="2"/>
    </x:row>
    <x:row r="27" ht="21" customHeight="1">
      <x:c r="A27" s="2"/>
      <x:c r="B27" s="2"/>
      <x:c r="C27" s="2" t="str">
        <x:v>Allocated operating lease expense</x:v>
      </x:c>
      <x:c r="D27" s="2"/>
      <x:c r="E27" s="17" t="str">
        <x:v>n.a.</x:v>
      </x:c>
      <x:c r="F27" s="17" t="str">
        <x:v>n.a.</x:v>
      </x:c>
      <x:c r="G27" s="17" t="str">
        <x:v>n.a.</x:v>
      </x:c>
      <x:c r="H27" s="17" t="str">
        <x:v>n.a.</x:v>
      </x:c>
      <x:c r="I27" s="17" t="str">
        <x:v>n.a.</x:v>
      </x:c>
      <x:c r="J27" s="17" t="str">
        <x:v>n.a.</x:v>
      </x:c>
      <x:c r="K27" s="17" t="str">
        <x:v>n.a.</x:v>
      </x:c>
      <x:c r="L27" s="17" t="str">
        <x:v>n.a.</x:v>
      </x:c>
      <x:c r="M27" s="17" t="str">
        <x:v>n.a.</x:v>
      </x:c>
      <x:c r="N27" s="17" t="str">
        <x:v>n.a.</x:v>
      </x:c>
      <x:c r="O27" s="51" t="n">
        <x:f>'Debt and Leases'!O61*'Assumptions'!F207</x:f>
        <x:v>3257.3322252000003</x:v>
      </x:c>
      <x:c r="P27" s="51" t="n">
        <x:f>'Debt and Leases'!P61*'Assumptions'!F207</x:f>
        <x:v>3841.7656171595995</x:v>
      </x:c>
      <x:c r="Q27" s="51" t="n">
        <x:f>'Debt and Leases'!Q61*'Assumptions'!F207</x:f>
        <x:v>4457.297839517528</x:v>
      </x:c>
      <x:c r="R27" s="51" t="n">
        <x:f>'Debt and Leases'!R61*'Assumptions'!F207</x:f>
        <x:v>5101.53881741657</x:v>
      </x:c>
      <x:c r="S27" s="51" t="n">
        <x:f>'Debt and Leases'!S61*'Assumptions'!F207</x:f>
        <x:v>5765.763834356999</x:v>
      </x:c>
      <x:c r="T27" s="2"/>
      <x:c r="U27" s="2"/>
    </x:row>
    <x:row r="28" ht="21" customHeight="1">
      <x:c r="A28" s="2"/>
      <x:c r="B28" s="2"/>
      <x:c r="C28" s="2" t="str">
        <x:v>Total cost of revenue</x:v>
      </x:c>
      <x:c r="D28" s="2"/>
      <x:c r="E28" s="17" t="str">
        <x:v>n.a.</x:v>
      </x:c>
      <x:c r="F28" s="17" t="str">
        <x:v>n.a.</x:v>
      </x:c>
      <x:c r="G28" s="17" t="str">
        <x:v>n.a.</x:v>
      </x:c>
      <x:c r="H28" s="17" t="str">
        <x:v>n.a.</x:v>
      </x:c>
      <x:c r="I28" s="17" t="str">
        <x:v>n.a.</x:v>
      </x:c>
      <x:c r="J28" s="17" t="str">
        <x:v>n.a.</x:v>
      </x:c>
      <x:c r="K28" s="12" t="n">
        <x:v>24109</x:v>
      </x:c>
      <x:c r="L28" s="12" t="n">
        <x:v>29611</x:v>
      </x:c>
      <x:c r="M28" s="12" t="n">
        <x:v>40171</x:v>
      </x:c>
      <x:c r="N28" s="12" t="n">
        <x:v>57876</x:v>
      </x:c>
      <x:c r="O28" s="57" t="n">
        <x:f>SUM(O24:O27)</x:f>
        <x:v>75543.35517520002</x:v>
      </x:c>
      <x:c r="P28" s="57" t="n">
        <x:f>SUM(P24:P27)</x:f>
        <x:v>102189.44092361961</x:v>
      </x:c>
      <x:c r="Q28" s="57" t="n">
        <x:f>SUM(Q24:Q27)</x:f>
        <x:v>130077.48737687252</x:v>
      </x:c>
      <x:c r="R28" s="57" t="n">
        <x:f>SUM(R24:R27)</x:f>
        <x:v>158824.2243496368</x:v>
      </x:c>
      <x:c r="S28" s="57" t="n">
        <x:f>SUM(S24:S27)</x:f>
        <x:v>188140.6615674474</x:v>
      </x:c>
      <x:c r="T28" s="2"/>
      <x:c r="U28" s="2"/>
    </x:row>
    <x:row r="29" ht="21" customHeight="1">
      <x:c r="A29" s="2"/>
      <x:c r="B29" s="2"/>
      <x:c r="C29" s="2" t="str">
        <x:v>Gross profit</x:v>
      </x:c>
      <x:c r="D29" s="2"/>
      <x:c r="E29" s="17" t="str">
        <x:v>n.a.</x:v>
      </x:c>
      <x:c r="F29" s="17" t="str">
        <x:v>n.a.</x:v>
      </x:c>
      <x:c r="G29" s="17" t="str">
        <x:v>n.a.</x:v>
      </x:c>
      <x:c r="H29" s="17" t="str">
        <x:v>n.a.</x:v>
      </x:c>
      <x:c r="I29" s="17" t="str">
        <x:v>n.a.</x:v>
      </x:c>
      <x:c r="J29" s="17" t="str">
        <x:v>n.a.</x:v>
      </x:c>
      <x:c r="K29" s="57" t="n">
        <x:f>K22-K28</x:f>
        <x:v>48835</x:v>
      </x:c>
      <x:c r="L29" s="57" t="n">
        <x:f>L22-L28</x:f>
        <x:v>57853</x:v>
      </x:c>
      <x:c r="M29" s="57" t="n">
        <x:f>M22-M28</x:f>
        <x:v>66094</x:v>
      </x:c>
      <x:c r="N29" s="57" t="n">
        <x:f>N22-N28</x:f>
        <x:v>79915</x:v>
      </x:c>
      <x:c r="O29" s="57" t="n">
        <x:f>O22-O28</x:f>
        <x:v>95317.48482479998</x:v>
      </x:c>
      <x:c r="P29" s="57" t="n">
        <x:f>P22-P28</x:f>
        <x:v>106260.78387638039</x:v>
      </x:c>
      <x:c r="Q29" s="57" t="n">
        <x:f>Q22-Q28</x:f>
        <x:v>120062.78238312747</x:v>
      </x:c>
      <x:c r="R29" s="57" t="n">
        <x:f>R22-R28</x:f>
        <x:v>136341.29396716322</x:v>
      </x:c>
      <x:c r="S29" s="57" t="n">
        <x:f>S22-S28</x:f>
        <x:v>154251.33968004058</x:v>
      </x:c>
      <x:c r="T29" s="2"/>
      <x:c r="U29" s="2"/>
    </x:row>
    <x:row r="30" ht="21" customHeight="1">
      <x:c r="A30" s="2"/>
      <x:c r="B30" s="2"/>
      <x:c r="C30" s="18" t="str">
        <x:v>Gross margin</x:v>
      </x:c>
      <x:c r="D30" s="18"/>
      <x:c r="E30" s="55" t="str">
        <x:v>n.a.</x:v>
      </x:c>
      <x:c r="F30" s="55" t="str">
        <x:v>n.a.</x:v>
      </x:c>
      <x:c r="G30" s="55" t="str">
        <x:v>n.a.</x:v>
      </x:c>
      <x:c r="H30" s="55" t="str">
        <x:v>n.a.</x:v>
      </x:c>
      <x:c r="I30" s="55" t="str">
        <x:v>n.a.</x:v>
      </x:c>
      <x:c r="J30" s="55" t="str">
        <x:v>n.a.</x:v>
      </x:c>
      <x:c r="K30" s="54" t="n">
        <x:f>K29/K22</x:f>
        <x:v>0.6694861811800834</x:v>
      </x:c>
      <x:c r="L30" s="54" t="n">
        <x:f>L29/L22</x:f>
        <x:v>0.6614492819903046</x:v>
      </x:c>
      <x:c r="M30" s="54" t="n">
        <x:f>M29/M22</x:f>
        <x:v>0.6219733684656283</x:v>
      </x:c>
      <x:c r="N30" s="54" t="n">
        <x:f>N29/N22</x:f>
        <x:v>0.5799725671487979</x:v>
      </x:c>
      <x:c r="O30" s="54" t="n">
        <x:f>O29/O22</x:f>
        <x:v>0.5578661841109992</x:v>
      </x:c>
      <x:c r="P30" s="54" t="n">
        <x:f>P29/P22</x:f>
        <x:v>0.5097657437325076</x:v>
      </x:c>
      <x:c r="Q30" s="54" t="n">
        <x:f>Q29/Q22</x:f>
        <x:v>0.479981821792721</x:v>
      </x:c>
      <x:c r="R30" s="54" t="n">
        <x:f>R29/R22</x:f>
        <x:v>0.4619147071943161</x:v>
      </x:c>
      <x:c r="S30" s="54" t="n">
        <x:f>S29/S22</x:f>
        <x:v>0.45051093225902944</x:v>
      </x:c>
      <x:c r="T30" s="2"/>
      <x:c r="U30" s="2"/>
    </x:row>
    <x:row r="31" ht="21" customHeight="1">
      <x:c r="A31" s="2"/>
      <x:c r="B31" s="2"/>
      <x:c r="C31" s="2" t="str">
        <x:v>Allocated operating expenses</x:v>
      </x:c>
      <x:c r="D31" s="2"/>
      <x:c r="E31" s="17" t="str">
        <x:v>n.a.</x:v>
      </x:c>
      <x:c r="F31" s="17" t="str">
        <x:v>n.a.</x:v>
      </x:c>
      <x:c r="G31" s="17" t="str">
        <x:v>n.a.</x:v>
      </x:c>
      <x:c r="H31" s="17" t="str">
        <x:v>n.a.</x:v>
      </x:c>
      <x:c r="I31" s="17" t="str">
        <x:v>n.a.</x:v>
      </x:c>
      <x:c r="J31" s="17" t="str">
        <x:v>n.a.</x:v>
      </x:c>
      <x:c r="K31" s="17" t="str">
        <x:v>n.a.</x:v>
      </x:c>
      <x:c r="L31" s="17" t="str">
        <x:v>n.a.</x:v>
      </x:c>
      <x:c r="M31" s="17" t="str">
        <x:v>n.a.</x:v>
      </x:c>
      <x:c r="N31" s="17" t="str">
        <x:v>n.a.</x:v>
      </x:c>
      <x:c r="O31" s="51" t="n">
        <x:f>'Expense Plan'!O24*'Assumptions'!F208</x:f>
        <x:v>26914.929944642277</x:v>
      </x:c>
      <x:c r="P31" s="51" t="n">
        <x:f>'Expense Plan'!P24*'Assumptions'!F208</x:f>
        <x:v>31594.43236507153</x:v>
      </x:c>
      <x:c r="Q31" s="51" t="n">
        <x:f>'Expense Plan'!Q24*'Assumptions'!F208</x:f>
        <x:v>36564.693490868514</x:v>
      </x:c>
      <x:c r="R31" s="51" t="n">
        <x:f>'Expense Plan'!R24*'Assumptions'!F208</x:f>
        <x:v>41706.20557445703</x:v>
      </x:c>
      <x:c r="S31" s="51" t="n">
        <x:f>'Expense Plan'!S24*'Assumptions'!F208</x:f>
        <x:v>46928.747177716315</x:v>
      </x:c>
      <x:c r="T31" s="2"/>
      <x:c r="U31" s="2"/>
    </x:row>
    <x:row r="32" ht="21" customHeight="1">
      <x:c r="A32" s="2"/>
      <x:c r="B32" s="2"/>
      <x:c r="C32" s="2" t="str">
        <x:v>Operating income</x:v>
      </x:c>
      <x:c r="D32" s="2"/>
      <x:c r="E32" s="12" t="n">
        <x:v>9127</x:v>
      </x:c>
      <x:c r="F32" s="12" t="n">
        <x:v>11524</x:v>
      </x:c>
      <x:c r="G32" s="12" t="n">
        <x:v>13920</x:v>
      </x:c>
      <x:c r="H32" s="12" t="n">
        <x:v>18324</x:v>
      </x:c>
      <x:c r="I32" s="12" t="n">
        <x:v>26471</x:v>
      </x:c>
      <x:c r="J32" s="12" t="n">
        <x:v>33203</x:v>
      </x:c>
      <x:c r="K32" s="12" t="n">
        <x:v>28411</x:v>
      </x:c>
      <x:c r="L32" s="12" t="n">
        <x:v>37813</x:v>
      </x:c>
      <x:c r="M32" s="12" t="n">
        <x:v>44589</x:v>
      </x:c>
      <x:c r="N32" s="12" t="n">
        <x:v>56972</x:v>
      </x:c>
      <x:c r="O32" s="57" t="n">
        <x:f>O29-O31</x:f>
        <x:v>68402.5548801577</x:v>
      </x:c>
      <x:c r="P32" s="57" t="n">
        <x:f>P29-P31</x:f>
        <x:v>74666.35151130887</x:v>
      </x:c>
      <x:c r="Q32" s="57" t="n">
        <x:f>Q29-Q31</x:f>
        <x:v>83498.08889225897</x:v>
      </x:c>
      <x:c r="R32" s="57" t="n">
        <x:f>R29-R31</x:f>
        <x:v>94635.08839270618</x:v>
      </x:c>
      <x:c r="S32" s="57" t="n">
        <x:f>S29-S31</x:f>
        <x:v>107322.59250232426</x:v>
      </x:c>
      <x:c r="T32" s="2"/>
      <x:c r="U32" s="2"/>
    </x:row>
    <x:row r="33" ht="21" customHeight="1">
      <x:c r="A33" s="2"/>
      <x:c r="B33" s="2"/>
      <x:c r="C33" s="18" t="str">
        <x:v>Operating margin</x:v>
      </x:c>
      <x:c r="D33" s="18"/>
      <x:c r="E33" s="54" t="n">
        <x:f>E32/E22</x:f>
        <x:v>0.3330171124165359</x:v>
      </x:c>
      <x:c r="F33" s="54" t="n">
        <x:f>F32/F22</x:f>
        <x:v>0.3576771470250473</x:v>
      </x:c>
      <x:c r="G33" s="54" t="n">
        <x:f>G32/G22</x:f>
        <x:v>0.35706040784917276</x:v>
      </x:c>
      <x:c r="H33" s="54" t="n">
        <x:f>H32/H22</x:f>
        <x:v>0.3788611834759955</x:v>
      </x:c>
      <x:c r="I33" s="54" t="n">
        <x:f>I32/I22</x:f>
        <x:v>0.44319247254219124</x:v>
      </x:c>
      <x:c r="J33" s="54" t="n">
        <x:f>J32/J22</x:f>
        <x:v>0.4429133595677983</x:v>
      </x:c>
      <x:c r="K33" s="54" t="n">
        <x:f>K32/K22</x:f>
        <x:v>0.389490568107041</x:v>
      </x:c>
      <x:c r="L33" s="54" t="n">
        <x:f>L32/L22</x:f>
        <x:v>0.43232644287935607</x:v>
      </x:c>
      <x:c r="M33" s="54" t="n">
        <x:f>M32/M22</x:f>
        <x:v>0.4196019385498518</x:v>
      </x:c>
      <x:c r="N33" s="54" t="n">
        <x:f>N32/N22</x:f>
        <x:v>0.41346677214041555</x:v>
      </x:c>
      <x:c r="O33" s="54" t="n">
        <x:f>O32/O22</x:f>
        <x:v>0.4003407385809276</x:v>
      </x:c>
      <x:c r="P33" s="54" t="n">
        <x:f>P32/P22</x:f>
        <x:v>0.3581975101391633</x:v>
      </x:c>
      <x:c r="Q33" s="54" t="n">
        <x:f>Q32/Q22</x:f>
        <x:v>0.33380506454387443</x:v>
      </x:c>
      <x:c r="R33" s="54" t="n">
        <x:f>R32/R22</x:f>
        <x:v>0.32061701831693873</x:v>
      </x:c>
      <x:c r="S33" s="54" t="n">
        <x:f>S32/S22</x:f>
        <x:v>0.31344947344359625</x:v>
      </x:c>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5" customHeight="1">
      <x:c r="A35" s="2"/>
      <x:c r="B35" s="2"/>
      <x:c r="C35" s="10" t="str">
        <x:v>More Personal Computing</x:v>
      </x:c>
      <x:c r="D35" s="10"/>
      <x:c r="E35" s="10"/>
      <x:c r="F35" s="10"/>
      <x:c r="G35" s="10"/>
      <x:c r="H35" s="10"/>
      <x:c r="I35" s="10"/>
      <x:c r="J35" s="10"/>
      <x:c r="K35" s="10"/>
      <x:c r="L35" s="10"/>
      <x:c r="M35" s="10"/>
      <x:c r="N35" s="10"/>
      <x:c r="O35" s="10"/>
      <x:c r="P35" s="10"/>
      <x:c r="Q35" s="10"/>
      <x:c r="R35" s="10"/>
      <x:c r="S35" s="10"/>
      <x:c r="T35" s="2"/>
      <x:c r="U35" s="2"/>
    </x:row>
    <x:row r="36" ht="21" customHeight="1">
      <x:c r="A36" s="2"/>
      <x:c r="B36" s="2"/>
      <x:c r="C36" s="2" t="str">
        <x:v>Revenue</x:v>
      </x:c>
      <x:c r="D36" s="2"/>
      <x:c r="E36" s="12" t="n">
        <x:v>39294</x:v>
      </x:c>
      <x:c r="F36" s="12" t="n">
        <x:v>42276</x:v>
      </x:c>
      <x:c r="G36" s="12" t="n">
        <x:v>45698</x:v>
      </x:c>
      <x:c r="H36" s="12" t="n">
        <x:v>48251</x:v>
      </x:c>
      <x:c r="I36" s="12" t="n">
        <x:v>54445</x:v>
      </x:c>
      <x:c r="J36" s="12" t="n">
        <x:v>59941</x:v>
      </x:c>
      <x:c r="K36" s="12" t="n">
        <x:v>44820</x:v>
      </x:c>
      <x:c r="L36" s="12" t="n">
        <x:v>50838</x:v>
      </x:c>
      <x:c r="M36" s="12" t="n">
        <x:v>54649</x:v>
      </x:c>
      <x:c r="N36" s="12" t="n">
        <x:v>54052</x:v>
      </x:c>
      <x:c r="O36" s="51" t="n">
        <x:f>N36*(1+'Assumptions'!O17)</x:f>
        <x:v>54592.520000000004</x:v>
      </x:c>
      <x:c r="P36" s="51" t="n">
        <x:f>O36*(1+'Assumptions'!P17)</x:f>
        <x:v>55684.37040000001</x:v>
      </x:c>
      <x:c r="Q36" s="51" t="n">
        <x:f>P36*(1+'Assumptions'!Q17)</x:f>
        <x:v>56798.057808000005</x:v>
      </x:c>
      <x:c r="R36" s="51" t="n">
        <x:f>Q36*(1+'Assumptions'!R17)</x:f>
        <x:v>57934.01896416001</x:v>
      </x:c>
      <x:c r="S36" s="51" t="n">
        <x:f>R36*(1+'Assumptions'!S17)</x:f>
        <x:v>59092.69934344321</x:v>
      </x:c>
      <x:c r="T36" s="2"/>
      <x:c r="U36" s="2"/>
    </x:row>
    <x:row r="37" ht="21" customHeight="1">
      <x:c r="A37" s="2"/>
      <x:c r="B37" s="2"/>
      <x:c r="C37" s="18" t="str">
        <x:v>Revenue growth</x:v>
      </x:c>
      <x:c r="D37" s="18"/>
      <x:c r="E37" s="54" t="str">
        <x:f>"n.a."</x:f>
        <x:v>n.a.</x:v>
      </x:c>
      <x:c r="F37" s="54" t="n">
        <x:f>F36/E36-1</x:f>
        <x:v>0.07588944877080461</x:v>
      </x:c>
      <x:c r="G37" s="54" t="n">
        <x:f>G36/F36-1</x:f>
        <x:v>0.0809442709811714</x:v>
      </x:c>
      <x:c r="H37" s="54" t="n">
        <x:f>H36/G36-1</x:f>
        <x:v>0.055866777539498536</x:v>
      </x:c>
      <x:c r="I37" s="54" t="n">
        <x:f>I36/H36-1</x:f>
        <x:v>0.12837039646846704</x:v>
      </x:c>
      <x:c r="J37" s="54" t="n">
        <x:f>J36/I36-1</x:f>
        <x:v>0.10094590871521714</x:v>
      </x:c>
      <x:c r="K37" s="54" t="str">
        <x:f>"n.a."</x:f>
        <x:v>n.a.</x:v>
      </x:c>
      <x:c r="L37" s="54" t="n">
        <x:f>L36/K36-1</x:f>
        <x:v>0.1342704149933065</x:v>
      </x:c>
      <x:c r="M37" s="54" t="n">
        <x:f>M36/L36-1</x:f>
        <x:v>0.07496360989810769</x:v>
      </x:c>
      <x:c r="N37" s="54" t="n">
        <x:f>N36/M36-1</x:f>
        <x:v>-0.01092426210909625</x:v>
      </x:c>
      <x:c r="O37" s="54" t="n">
        <x:f>O36/N36-1</x:f>
        <x:v>0.010000000000000009</x:v>
      </x:c>
      <x:c r="P37" s="54" t="n">
        <x:f>P36/O36-1</x:f>
        <x:v>0.020000000000000018</x:v>
      </x:c>
      <x:c r="Q37" s="54" t="n">
        <x:f>Q36/P36-1</x:f>
        <x:v>0.020000000000000018</x:v>
      </x:c>
      <x:c r="R37" s="54" t="n">
        <x:f>R36/Q36-1</x:f>
        <x:v>0.020000000000000018</x:v>
      </x:c>
      <x:c r="S37" s="54" t="n">
        <x:f>S36/R36-1</x:f>
        <x:v>0.020000000000000018</x:v>
      </x:c>
      <x:c r="T37" s="2"/>
      <x:c r="U37" s="2"/>
    </x:row>
    <x:row r="38" ht="21" customHeight="1">
      <x:c r="A38" s="2"/>
      <x:c r="B38" s="2"/>
      <x:c r="C38" s="2" t="str">
        <x:v>Cost before allocated D&amp;A and operating leases</x:v>
      </x:c>
      <x:c r="D38" s="2"/>
      <x:c r="E38" s="17" t="str">
        <x:v>n.a.</x:v>
      </x:c>
      <x:c r="F38" s="17" t="str">
        <x:v>n.a.</x:v>
      </x:c>
      <x:c r="G38" s="17" t="str">
        <x:v>n.a.</x:v>
      </x:c>
      <x:c r="H38" s="17" t="str">
        <x:v>n.a.</x:v>
      </x:c>
      <x:c r="I38" s="17" t="str">
        <x:v>n.a.</x:v>
      </x:c>
      <x:c r="J38" s="17" t="str">
        <x:v>n.a.</x:v>
      </x:c>
      <x:c r="K38" s="17" t="str">
        <x:v>n.a.</x:v>
      </x:c>
      <x:c r="L38" s="17" t="str">
        <x:v>n.a.</x:v>
      </x:c>
      <x:c r="M38" s="17" t="str">
        <x:v>n.a.</x:v>
      </x:c>
      <x:c r="N38" s="17" t="str">
        <x:v>n.a.</x:v>
      </x:c>
      <x:c r="O38" s="51" t="n">
        <x:f>O36*'Assumptions'!O29</x:f>
        <x:v>18194.342</x:v>
      </x:c>
      <x:c r="P38" s="51" t="n">
        <x:f>P36*'Assumptions'!P29</x:f>
        <x:v>18446.860099200003</x:v>
      </x:c>
      <x:c r="Q38" s="51" t="n">
        <x:f>Q36*'Assumptions'!Q29</x:f>
        <x:v>18702.201185568003</x:v>
      </x:c>
      <x:c r="R38" s="51" t="n">
        <x:f>R36*'Assumptions'!R29</x:f>
        <x:v>18960.377171351043</x:v>
      </x:c>
      <x:c r="S38" s="51" t="n">
        <x:f>S36*'Assumptions'!S29</x:f>
        <x:v>19221.399316091178</x:v>
      </x:c>
      <x:c r="T38" s="2"/>
      <x:c r="U38" s="2"/>
    </x:row>
    <x:row r="39" ht="21" customHeight="1">
      <x:c r="A39" s="2"/>
      <x:c r="B39" s="2"/>
      <x:c r="C39" s="2" t="str">
        <x:v>Allocated PPE depreciation</x:v>
      </x:c>
      <x:c r="D39" s="2"/>
      <x:c r="E39" s="17" t="str">
        <x:v>n.a.</x:v>
      </x:c>
      <x:c r="F39" s="17" t="str">
        <x:v>n.a.</x:v>
      </x:c>
      <x:c r="G39" s="17" t="str">
        <x:v>n.a.</x:v>
      </x:c>
      <x:c r="H39" s="17" t="str">
        <x:v>n.a.</x:v>
      </x:c>
      <x:c r="I39" s="17" t="str">
        <x:v>n.a.</x:v>
      </x:c>
      <x:c r="J39" s="17" t="str">
        <x:v>n.a.</x:v>
      </x:c>
      <x:c r="K39" s="17" t="str">
        <x:v>n.a.</x:v>
      </x:c>
      <x:c r="L39" s="17" t="str">
        <x:v>n.a.</x:v>
      </x:c>
      <x:c r="M39" s="17" t="str">
        <x:v>n.a.</x:v>
      </x:c>
      <x:c r="N39" s="17" t="str">
        <x:v>n.a.</x:v>
      </x:c>
      <x:c r="O39" s="51" t="n">
        <x:f>'PPE and Intangibles'!O21*'Assumptions'!G205</x:f>
        <x:v>2515.96833</x:v>
      </x:c>
      <x:c r="P39" s="51" t="n">
        <x:f>'PPE and Intangibles'!P21*'Assumptions'!G205</x:f>
        <x:v>3779.981013070667</x:v>
      </x:c>
      <x:c r="Q39" s="51" t="n">
        <x:f>'PPE and Intangibles'!Q21*'Assumptions'!G205</x:f>
        <x:v>5078.278529626335</x:v>
      </x:c>
      <x:c r="R39" s="51" t="n">
        <x:f>'PPE and Intangibles'!R21*'Assumptions'!G205</x:f>
        <x:v>6400.504592610734</x:v>
      </x:c>
      <x:c r="S39" s="51" t="n">
        <x:f>'PPE and Intangibles'!S21*'Assumptions'!G205</x:f>
        <x:v>7742.627495309114</x:v>
      </x:c>
      <x:c r="T39" s="2"/>
      <x:c r="U39" s="2"/>
    </x:row>
    <x:row r="40" ht="21" customHeight="1">
      <x:c r="A40" s="2"/>
      <x:c r="B40" s="2"/>
      <x:c r="C40" s="2" t="str">
        <x:v>Allocated intangible amortization</x:v>
      </x:c>
      <x:c r="D40" s="2"/>
      <x:c r="E40" s="17" t="str">
        <x:v>n.a.</x:v>
      </x:c>
      <x:c r="F40" s="17" t="str">
        <x:v>n.a.</x:v>
      </x:c>
      <x:c r="G40" s="17" t="str">
        <x:v>n.a.</x:v>
      </x:c>
      <x:c r="H40" s="17" t="str">
        <x:v>n.a.</x:v>
      </x:c>
      <x:c r="I40" s="17" t="str">
        <x:v>n.a.</x:v>
      </x:c>
      <x:c r="J40" s="17" t="str">
        <x:v>n.a.</x:v>
      </x:c>
      <x:c r="K40" s="17" t="str">
        <x:v>n.a.</x:v>
      </x:c>
      <x:c r="L40" s="17" t="str">
        <x:v>n.a.</x:v>
      </x:c>
      <x:c r="M40" s="17" t="str">
        <x:v>n.a.</x:v>
      </x:c>
      <x:c r="N40" s="17" t="str">
        <x:v>n.a.</x:v>
      </x:c>
      <x:c r="O40" s="51" t="n">
        <x:f>'PPE and Intangibles'!O42*'Assumptions'!G206</x:f>
        <x:v>2013.0500000000002</x:v>
      </x:c>
      <x:c r="P40" s="51" t="n">
        <x:f>'PPE and Intangibles'!P42*'Assumptions'!G206</x:f>
        <x:v>1391.65</x:v>
      </x:c>
      <x:c r="Q40" s="51" t="n">
        <x:f>'PPE and Intangibles'!Q42*'Assumptions'!G206</x:f>
        <x:v>1263.6000000000001</x:v>
      </x:c>
      <x:c r="R40" s="51" t="n">
        <x:f>'PPE and Intangibles'!R42*'Assumptions'!G206</x:f>
        <x:v>960.0500000000001</x:v>
      </x:c>
      <x:c r="S40" s="51" t="n">
        <x:f>'PPE and Intangibles'!S42*'Assumptions'!G206</x:f>
        <x:v>733.2</x:v>
      </x:c>
      <x:c r="T40" s="2"/>
      <x:c r="U40" s="2"/>
    </x:row>
    <x:row r="41" ht="21" customHeight="1">
      <x:c r="A41" s="2"/>
      <x:c r="B41" s="2"/>
      <x:c r="C41" s="2" t="str">
        <x:v>Allocated operating lease expense</x:v>
      </x:c>
      <x:c r="D41" s="2"/>
      <x:c r="E41" s="17" t="str">
        <x:v>n.a.</x:v>
      </x:c>
      <x:c r="F41" s="17" t="str">
        <x:v>n.a.</x:v>
      </x:c>
      <x:c r="G41" s="17" t="str">
        <x:v>n.a.</x:v>
      </x:c>
      <x:c r="H41" s="17" t="str">
        <x:v>n.a.</x:v>
      </x:c>
      <x:c r="I41" s="17" t="str">
        <x:v>n.a.</x:v>
      </x:c>
      <x:c r="J41" s="17" t="str">
        <x:v>n.a.</x:v>
      </x:c>
      <x:c r="K41" s="17" t="str">
        <x:v>n.a.</x:v>
      </x:c>
      <x:c r="L41" s="17" t="str">
        <x:v>n.a.</x:v>
      </x:c>
      <x:c r="M41" s="17" t="str">
        <x:v>n.a.</x:v>
      </x:c>
      <x:c r="N41" s="17" t="str">
        <x:v>n.a.</x:v>
      </x:c>
      <x:c r="O41" s="51" t="n">
        <x:f>'Debt and Leases'!O61*'Assumptions'!G207</x:f>
        <x:v>542.8887042</x:v>
      </x:c>
      <x:c r="P41" s="51" t="n">
        <x:f>'Debt and Leases'!P61*'Assumptions'!G207</x:f>
        <x:v>640.2942695266</x:v>
      </x:c>
      <x:c r="Q41" s="51" t="n">
        <x:f>'Debt and Leases'!Q61*'Assumptions'!G207</x:f>
        <x:v>742.8829732529214</x:v>
      </x:c>
      <x:c r="R41" s="51" t="n">
        <x:f>'Debt and Leases'!R61*'Assumptions'!G207</x:f>
        <x:v>850.2564695694284</x:v>
      </x:c>
      <x:c r="S41" s="51" t="n">
        <x:f>'Debt and Leases'!S61*'Assumptions'!G207</x:f>
        <x:v>960.9606390594998</x:v>
      </x:c>
      <x:c r="T41" s="2"/>
      <x:c r="U41" s="2"/>
    </x:row>
    <x:row r="42" ht="21" customHeight="1">
      <x:c r="A42" s="2"/>
      <x:c r="B42" s="2"/>
      <x:c r="C42" s="2" t="str">
        <x:v>Total cost of revenue</x:v>
      </x:c>
      <x:c r="D42" s="2"/>
      <x:c r="E42" s="17" t="str">
        <x:v>n.a.</x:v>
      </x:c>
      <x:c r="F42" s="17" t="str">
        <x:v>n.a.</x:v>
      </x:c>
      <x:c r="G42" s="17" t="str">
        <x:v>n.a.</x:v>
      </x:c>
      <x:c r="H42" s="17" t="str">
        <x:v>n.a.</x:v>
      </x:c>
      <x:c r="I42" s="17" t="str">
        <x:v>n.a.</x:v>
      </x:c>
      <x:c r="J42" s="17" t="str">
        <x:v>n.a.</x:v>
      </x:c>
      <x:c r="K42" s="12" t="n">
        <x:v>24552</x:v>
      </x:c>
      <x:c r="L42" s="12" t="n">
        <x:v>24892</x:v>
      </x:c>
      <x:c r="M42" s="12" t="n">
        <x:v>25238</x:v>
      </x:c>
      <x:c r="N42" s="12" t="n">
        <x:v>23481</x:v>
      </x:c>
      <x:c r="O42" s="57" t="n">
        <x:f>SUM(O38:O41)</x:f>
        <x:v>23266.2490342</x:v>
      </x:c>
      <x:c r="P42" s="57" t="n">
        <x:f>SUM(P38:P41)</x:f>
        <x:v>24258.785381797272</x:v>
      </x:c>
      <x:c r="Q42" s="57" t="n">
        <x:f>SUM(Q38:Q41)</x:f>
        <x:v>25786.96268844726</x:v>
      </x:c>
      <x:c r="R42" s="57" t="n">
        <x:f>SUM(R38:R41)</x:f>
        <x:v>27171.188233531204</x:v>
      </x:c>
      <x:c r="S42" s="57" t="n">
        <x:f>SUM(S38:S41)</x:f>
        <x:v>28658.18745045979</x:v>
      </x:c>
      <x:c r="T42" s="2"/>
      <x:c r="U42" s="2"/>
    </x:row>
    <x:row r="43" ht="21" customHeight="1">
      <x:c r="A43" s="2"/>
      <x:c r="B43" s="2"/>
      <x:c r="C43" s="2" t="str">
        <x:v>Gross profit</x:v>
      </x:c>
      <x:c r="D43" s="2"/>
      <x:c r="E43" s="17" t="str">
        <x:v>n.a.</x:v>
      </x:c>
      <x:c r="F43" s="17" t="str">
        <x:v>n.a.</x:v>
      </x:c>
      <x:c r="G43" s="17" t="str">
        <x:v>n.a.</x:v>
      </x:c>
      <x:c r="H43" s="17" t="str">
        <x:v>n.a.</x:v>
      </x:c>
      <x:c r="I43" s="17" t="str">
        <x:v>n.a.</x:v>
      </x:c>
      <x:c r="J43" s="17" t="str">
        <x:v>n.a.</x:v>
      </x:c>
      <x:c r="K43" s="57" t="n">
        <x:f>K36-K42</x:f>
        <x:v>20268</x:v>
      </x:c>
      <x:c r="L43" s="57" t="n">
        <x:f>L36-L42</x:f>
        <x:v>25946</x:v>
      </x:c>
      <x:c r="M43" s="57" t="n">
        <x:f>M36-M42</x:f>
        <x:v>29411</x:v>
      </x:c>
      <x:c r="N43" s="57" t="n">
        <x:f>N36-N42</x:f>
        <x:v>30571</x:v>
      </x:c>
      <x:c r="O43" s="57" t="n">
        <x:f>O36-O42</x:f>
        <x:v>31326.270965800006</x:v>
      </x:c>
      <x:c r="P43" s="57" t="n">
        <x:f>P36-P42</x:f>
        <x:v>31425.585018202735</x:v>
      </x:c>
      <x:c r="Q43" s="57" t="n">
        <x:f>Q36-Q42</x:f>
        <x:v>31011.095119552745</x:v>
      </x:c>
      <x:c r="R43" s="57" t="n">
        <x:f>R36-R42</x:f>
        <x:v>30762.830730628804</x:v>
      </x:c>
      <x:c r="S43" s="57" t="n">
        <x:f>S36-S42</x:f>
        <x:v>30434.511892983417</x:v>
      </x:c>
      <x:c r="T43" s="2"/>
      <x:c r="U43" s="2"/>
    </x:row>
    <x:row r="44" ht="21" customHeight="1">
      <x:c r="A44" s="2"/>
      <x:c r="B44" s="2"/>
      <x:c r="C44" s="18" t="str">
        <x:v>Gross margin</x:v>
      </x:c>
      <x:c r="D44" s="18"/>
      <x:c r="E44" s="55" t="str">
        <x:v>n.a.</x:v>
      </x:c>
      <x:c r="F44" s="55" t="str">
        <x:v>n.a.</x:v>
      </x:c>
      <x:c r="G44" s="55" t="str">
        <x:v>n.a.</x:v>
      </x:c>
      <x:c r="H44" s="55" t="str">
        <x:v>n.a.</x:v>
      </x:c>
      <x:c r="I44" s="55" t="str">
        <x:v>n.a.</x:v>
      </x:c>
      <x:c r="J44" s="55" t="str">
        <x:v>n.a.</x:v>
      </x:c>
      <x:c r="K44" s="54" t="n">
        <x:f>K43/K36</x:f>
        <x:v>0.45220883534136547</x:v>
      </x:c>
      <x:c r="L44" s="54" t="n">
        <x:f>L43/L36</x:f>
        <x:v>0.5103662614579645</x:v>
      </x:c>
      <x:c r="M44" s="54" t="n">
        <x:f>M43/M36</x:f>
        <x:v>0.5381800215923439</x:v>
      </x:c>
      <x:c r="N44" s="54" t="n">
        <x:f>N43/N36</x:f>
        <x:v>0.5655849922297047</x:v>
      </x:c>
      <x:c r="O44" s="54" t="n">
        <x:f>O43/O36</x:f>
        <x:v>0.5738198376957137</x:v>
      </x:c>
      <x:c r="P44" s="54" t="n">
        <x:f>P43/P36</x:f>
        <x:v>0.5643519858887142</x:v>
      </x:c>
      <x:c r="Q44" s="54" t="n">
        <x:f>Q43/Q36</x:f>
        <x:v>0.5459886537737357</x:v>
      </x:c>
      <x:c r="R44" s="54" t="n">
        <x:f>R43/R36</x:f>
        <x:v>0.5309976984275812</x:v>
      </x:c>
      <x:c r="S44" s="54" t="n">
        <x:f>S43/S36</x:f>
        <x:v>0.5150299822335052</x:v>
      </x:c>
      <x:c r="T44" s="2"/>
      <x:c r="U44" s="2"/>
    </x:row>
    <x:row r="45" ht="21" customHeight="1">
      <x:c r="A45" s="2"/>
      <x:c r="B45" s="2"/>
      <x:c r="C45" s="2" t="str">
        <x:v>Allocated operating expenses</x:v>
      </x:c>
      <x:c r="D45" s="2"/>
      <x:c r="E45" s="17" t="str">
        <x:v>n.a.</x:v>
      </x:c>
      <x:c r="F45" s="17" t="str">
        <x:v>n.a.</x:v>
      </x:c>
      <x:c r="G45" s="17" t="str">
        <x:v>n.a.</x:v>
      </x:c>
      <x:c r="H45" s="17" t="str">
        <x:v>n.a.</x:v>
      </x:c>
      <x:c r="I45" s="17" t="str">
        <x:v>n.a.</x:v>
      </x:c>
      <x:c r="J45" s="17" t="str">
        <x:v>n.a.</x:v>
      </x:c>
      <x:c r="K45" s="17" t="str">
        <x:v>n.a.</x:v>
      </x:c>
      <x:c r="L45" s="17" t="str">
        <x:v>n.a.</x:v>
      </x:c>
      <x:c r="M45" s="17" t="str">
        <x:v>n.a.</x:v>
      </x:c>
      <x:c r="N45" s="17" t="str">
        <x:v>n.a.</x:v>
      </x:c>
      <x:c r="O45" s="51" t="n">
        <x:f>'Expense Plan'!O24*'Assumptions'!G208</x:f>
        <x:v>18986.9738549464</x:v>
      </x:c>
      <x:c r="P45" s="51" t="n">
        <x:f>'Expense Plan'!P24*'Assumptions'!G208</x:f>
        <x:v>22288.100415319823</x:v>
      </x:c>
      <x:c r="Q45" s="51" t="n">
        <x:f>'Expense Plan'!Q24*'Assumptions'!G208</x:f>
        <x:v>25794.34093839981</x:v>
      </x:c>
      <x:c r="R45" s="51" t="n">
        <x:f>'Expense Plan'!R24*'Assumptions'!G208</x:f>
        <x:v>29421.389409518677</x:v>
      </x:c>
      <x:c r="S45" s="51" t="n">
        <x:f>'Expense Plan'!S24*'Assumptions'!G208</x:f>
        <x:v>33105.5996631364</x:v>
      </x:c>
      <x:c r="T45" s="2"/>
      <x:c r="U45" s="2"/>
    </x:row>
    <x:row r="46" ht="21" customHeight="1">
      <x:c r="A46" s="2"/>
      <x:c r="B46" s="2"/>
      <x:c r="C46" s="2" t="str">
        <x:v>Operating income</x:v>
      </x:c>
      <x:c r="D46" s="2"/>
      <x:c r="E46" s="12" t="n">
        <x:v>8815</x:v>
      </x:c>
      <x:c r="F46" s="12" t="n">
        <x:v>10610</x:v>
      </x:c>
      <x:c r="G46" s="12" t="n">
        <x:v>12820</x:v>
      </x:c>
      <x:c r="H46" s="12" t="n">
        <x:v>15911</x:v>
      </x:c>
      <x:c r="I46" s="12" t="n">
        <x:v>19094</x:v>
      </x:c>
      <x:c r="J46" s="12" t="n">
        <x:v>20490</x:v>
      </x:c>
      <x:c r="K46" s="12" t="n">
        <x:v>10038</x:v>
      </x:c>
      <x:c r="L46" s="12" t="n">
        <x:v>11959</x:v>
      </x:c>
      <x:c r="M46" s="12" t="n">
        <x:v>14166</x:v>
      </x:c>
      <x:c r="N46" s="12" t="n">
        <x:v>14386</x:v>
      </x:c>
      <x:c r="O46" s="57" t="n">
        <x:f>O43-O45</x:f>
        <x:v>12339.297110853608</x:v>
      </x:c>
      <x:c r="P46" s="57" t="n">
        <x:f>P43-P45</x:f>
        <x:v>9137.484602882912</x:v>
      </x:c>
      <x:c r="Q46" s="57" t="n">
        <x:f>Q43-Q45</x:f>
        <x:v>5216.754181152934</x:v>
      </x:c>
      <x:c r="R46" s="57" t="n">
        <x:f>R43-R45</x:f>
        <x:v>1341.4413211101273</x:v>
      </x:c>
      <x:c r="S46" s="57" t="n">
        <x:f>S43-S45</x:f>
        <x:v>-2671.087770152986</x:v>
      </x:c>
      <x:c r="T46" s="2"/>
      <x:c r="U46" s="2"/>
    </x:row>
    <x:row r="47" ht="21" customHeight="1">
      <x:c r="A47" s="2"/>
      <x:c r="B47" s="2"/>
      <x:c r="C47" s="18" t="str">
        <x:v>Operating margin</x:v>
      </x:c>
      <x:c r="D47" s="18"/>
      <x:c r="E47" s="54" t="n">
        <x:f>E46/E36</x:f>
        <x:v>0.22433450399552093</x:v>
      </x:c>
      <x:c r="F47" s="54" t="n">
        <x:f>F46/F36</x:f>
        <x:v>0.2509698173904816</x:v>
      </x:c>
      <x:c r="G47" s="54" t="n">
        <x:f>G46/G36</x:f>
        <x:v>0.2805374414635214</x:v>
      </x:c>
      <x:c r="H47" s="54" t="n">
        <x:f>H46/H36</x:f>
        <x:v>0.3297548237342231</x:v>
      </x:c>
      <x:c r="I47" s="54" t="n">
        <x:f>I46/I36</x:f>
        <x:v>0.35070254385159333</x:v>
      </x:c>
      <x:c r="J47" s="54" t="n">
        <x:f>J46/J36</x:f>
        <x:v>0.34183613886988873</x:v>
      </x:c>
      <x:c r="K47" s="54" t="n">
        <x:f>K46/K36</x:f>
        <x:v>0.22396251673360107</x:v>
      </x:c>
      <x:c r="L47" s="54" t="n">
        <x:f>L46/L36</x:f>
        <x:v>0.2352374208269405</x:v>
      </x:c>
      <x:c r="M47" s="54" t="n">
        <x:f>M46/M36</x:f>
        <x:v>0.2592179179856905</x:v>
      </x:c>
      <x:c r="N47" s="54" t="n">
        <x:f>N46/N36</x:f>
        <x:v>0.2661511137423222</x:v>
      </x:c>
      <x:c r="O47" s="54" t="n">
        <x:f>O46/O36</x:f>
        <x:v>0.22602541723396552</x:v>
      </x:c>
      <x:c r="P47" s="54" t="n">
        <x:f>P46/P36</x:f>
        <x:v>0.16409424291314087</x:v>
      </x:c>
      <x:c r="Q47" s="54" t="n">
        <x:f>Q46/Q36</x:f>
        <x:v>0.09184740433885319</x:v>
      </x:c>
      <x:c r="R47" s="54" t="n">
        <x:f>R46/R36</x:f>
        <x:v>0.023154639451821724</x:v>
      </x:c>
      <x:c r="S47" s="54" t="n">
        <x:f>S46/S36</x:f>
        <x:v>-0.045201654346991076</x:v>
      </x:c>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64" t="str">
        <x:v>Total segment revenue</x:v>
      </x:c>
      <x:c r="D51" s="64"/>
      <x:c r="E51" s="68" t="n">
        <x:f>SUM(E8,E22,E36)</x:f>
        <x:v>96571</x:v>
      </x:c>
      <x:c r="F51" s="68" t="n">
        <x:f>SUM(F8,F22,F36)</x:f>
        <x:v>110360</x:v>
      </x:c>
      <x:c r="G51" s="68" t="n">
        <x:f>SUM(G8,G22,G36)</x:f>
        <x:v>125843</x:v>
      </x:c>
      <x:c r="H51" s="68" t="n">
        <x:f>SUM(H8,H22,H36)</x:f>
        <x:v>143015</x:v>
      </x:c>
      <x:c r="I51" s="68" t="n">
        <x:f>SUM(I8,I22,I36)</x:f>
        <x:v>168088</x:v>
      </x:c>
      <x:c r="J51" s="68" t="n">
        <x:f>SUM(J8,J22,J36)</x:f>
        <x:v>198270</x:v>
      </x:c>
      <x:c r="K51" s="68" t="n">
        <x:f>SUM(K8,K22,K36)</x:f>
        <x:v>211915</x:v>
      </x:c>
      <x:c r="L51" s="68" t="n">
        <x:f>SUM(L8,L22,L36)</x:f>
        <x:v>245122</x:v>
      </x:c>
      <x:c r="M51" s="68" t="n">
        <x:f>SUM(M8,M22,M36)</x:f>
        <x:v>281724</x:v>
      </x:c>
      <x:c r="N51" s="68" t="n">
        <x:f>SUM(N8,N22,N36)</x:f>
        <x:v>331839</x:v>
      </x:c>
      <x:c r="O51" s="68" t="n">
        <x:f>SUM(O8,O22,O36)</x:f>
        <x:v>385048.80000000005</x:v>
      </x:c>
      <x:c r="P51" s="68" t="n">
        <x:f>SUM(P8,P22,P36)</x:f>
        <x:v>444477.44240000006</x:v>
      </x:c>
      <x:c r="Q51" s="68" t="n">
        <x:f>SUM(Q8,Q22,Q36)</x:f>
        <x:v>508922.316432</x:v>
      </x:c>
      <x:c r="R51" s="68" t="n">
        <x:f>SUM(R8,R22,R36)</x:f>
        <x:v>577301.7649200001</x:v>
      </x:c>
      <x:c r="S51" s="68" t="n">
        <x:f>SUM(S8,S22,S36)</x:f>
        <x:v>648107.1509938752</x:v>
      </x:c>
      <x:c r="T51" s="2"/>
      <x:c r="U51" s="2"/>
    </x:row>
    <x:row r="52" ht="21" customHeight="1">
      <x:c r="A52" s="2"/>
      <x:c r="B52" s="2"/>
      <x:c r="C52" s="64" t="str">
        <x:v>Total segment cost of revenue</x:v>
      </x:c>
      <x:c r="D52" s="64"/>
      <x:c r="E52" s="68" t="str">
        <x:f>"n.a."</x:f>
        <x:v>n.a.</x:v>
      </x:c>
      <x:c r="F52" s="68" t="str">
        <x:f>"n.a."</x:f>
        <x:v>n.a.</x:v>
      </x:c>
      <x:c r="G52" s="68" t="str">
        <x:f>"n.a."</x:f>
        <x:v>n.a.</x:v>
      </x:c>
      <x:c r="H52" s="68" t="str">
        <x:f>"n.a."</x:f>
        <x:v>n.a.</x:v>
      </x:c>
      <x:c r="I52" s="68" t="str">
        <x:f>"n.a."</x:f>
        <x:v>n.a.</x:v>
      </x:c>
      <x:c r="J52" s="68" t="str">
        <x:f>"n.a."</x:f>
        <x:v>n.a.</x:v>
      </x:c>
      <x:c r="K52" s="68" t="n">
        <x:f>SUM(K14,K28,K42)</x:f>
        <x:v>65863</x:v>
      </x:c>
      <x:c r="L52" s="68" t="n">
        <x:f>SUM(L14,L28,L42)</x:f>
        <x:v>74114</x:v>
      </x:c>
      <x:c r="M52" s="68" t="n">
        <x:f>SUM(M14,M28,M42)</x:f>
        <x:v>87831</x:v>
      </x:c>
      <x:c r="N52" s="68" t="n">
        <x:f>SUM(N14,N28,N42)</x:f>
        <x:v>106374</x:v>
      </x:c>
      <x:c r="O52" s="68" t="n">
        <x:f>SUM(O14,O28,O42)</x:f>
        <x:v>126934.72594780002</x:v>
      </x:c>
      <x:c r="P52" s="68" t="n">
        <x:f>SUM(P14,P28,P42)</x:f>
        <x:v>158587.80304314074</x:v>
      </x:c>
      <x:c r="Q52" s="68" t="n">
        <x:f>SUM(Q14,Q28,Q42)</x:f>
        <x:v>192262.23061159597</x:v>
      </x:c>
      <x:c r="R52" s="68" t="n">
        <x:f>SUM(R14,R28,R42)</x:f>
        <x:v>226627.30469749935</x:v>
      </x:c>
      <x:c r="S52" s="68" t="n">
        <x:f>SUM(S14,S28,S42)</x:f>
        <x:v>261654.77493136932</x:v>
      </x:c>
      <x:c r="T52" s="2"/>
      <x:c r="U52" s="2"/>
    </x:row>
    <x:row r="53" ht="21" customHeight="1">
      <x:c r="A53" s="2"/>
      <x:c r="B53" s="2"/>
      <x:c r="C53" s="64" t="str">
        <x:v>Total segment operating income</x:v>
      </x:c>
      <x:c r="D53" s="64"/>
      <x:c r="E53" s="68" t="n">
        <x:f>SUM(E18,E32,E46)</x:f>
        <x:v>29331</x:v>
      </x:c>
      <x:c r="F53" s="68" t="n">
        <x:f>SUM(F18,F32,F46)</x:f>
        <x:v>35058</x:v>
      </x:c>
      <x:c r="G53" s="68" t="n">
        <x:f>SUM(G18,G32,G46)</x:f>
        <x:v>42959</x:v>
      </x:c>
      <x:c r="H53" s="68" t="n">
        <x:f>SUM(H18,H32,H46)</x:f>
        <x:v>52959</x:v>
      </x:c>
      <x:c r="I53" s="68" t="n">
        <x:f>SUM(I18,I32,I46)</x:f>
        <x:v>69916</x:v>
      </x:c>
      <x:c r="J53" s="68" t="n">
        <x:f>SUM(J18,J32,J46)</x:f>
        <x:v>83383</x:v>
      </x:c>
      <x:c r="K53" s="68" t="n">
        <x:f>SUM(K18,K32,K46)</x:f>
        <x:v>88523</x:v>
      </x:c>
      <x:c r="L53" s="68" t="n">
        <x:f>SUM(L18,L32,L46)</x:f>
        <x:v>109433</x:v>
      </x:c>
      <x:c r="M53" s="68" t="n">
        <x:f>SUM(M18,M32,M46)</x:f>
        <x:v>128528</x:v>
      </x:c>
      <x:c r="N53" s="68" t="n">
        <x:f>SUM(N18,N32,N46)</x:f>
        <x:v>155237</x:v>
      </x:c>
      <x:c r="O53" s="68" t="n">
        <x:f>SUM(O18,O32,O46)</x:f>
        <x:v>175728.0870342713</x:v>
      </x:c>
      <x:c r="P53" s="68" t="n">
        <x:f>SUM(P18,P32,P46)</x:f>
        <x:v>189179.80210217403</x:v>
      </x:c>
      <x:c r="Q53" s="68" t="n">
        <x:f>SUM(Q18,Q32,Q46)</x:f>
        <x:v>204736.39255985778</x:v>
      </x:c>
      <x:c r="R53" s="68" t="n">
        <x:f>SUM(R18,R32,R46)</x:f>
        <x:v>223012.71567806587</x:v>
      </x:c>
      <x:c r="S53" s="68" t="n">
        <x:f>SUM(S18,S32,S46)</x:f>
        <x:v>242804.5507215888</x:v>
      </x:c>
      <x:c r="T53" s="2"/>
      <x:c r="U53" s="2"/>
    </x:row>
    <x:row r="54" ht="21" customHeight="1">
      <x:c r="A54" s="2"/>
      <x:c r="B54" s="2"/>
      <x:c r="C54" s="2" t="str">
        <x:v>Unallocated corporate operating expenses</x:v>
      </x:c>
      <x:c r="D54" s="2"/>
      <x:c r="E54" s="51" t="n">
        <x:f>'Income Statement'!E17</x:f>
        <x:v>306</x:v>
      </x:c>
      <x:c r="F54" s="51" t="n">
        <x:f>'Income Statement'!F17</x:f>
        <x:v>0</x:v>
      </x:c>
      <x:c r="G54" s="51" t="n">
        <x:f>'Income Statement'!G17</x:f>
        <x:v>0</x:v>
      </x:c>
      <x:c r="H54" s="51" t="n">
        <x:f>'Income Statement'!H17</x:f>
        <x:v>0</x:v>
      </x:c>
      <x:c r="I54" s="51" t="n">
        <x:f>'Income Statement'!I17</x:f>
        <x:v>0</x:v>
      </x:c>
      <x:c r="J54" s="51" t="n">
        <x:f>'Income Statement'!J17</x:f>
        <x:v>0</x:v>
      </x:c>
      <x:c r="K54" s="51" t="n">
        <x:f>'Income Statement'!K17</x:f>
        <x:v>0</x:v>
      </x:c>
      <x:c r="L54" s="51" t="n">
        <x:f>'Income Statement'!L17</x:f>
        <x:v>0</x:v>
      </x:c>
      <x:c r="M54" s="51" t="n">
        <x:f>'Income Statement'!M17</x:f>
        <x:v>0</x:v>
      </x:c>
      <x:c r="N54" s="51" t="n">
        <x:f>'Income Statement'!N17</x:f>
        <x:v>0</x:v>
      </x:c>
      <x:c r="O54" s="51" t="n">
        <x:f>'Income Statement'!O17</x:f>
        <x:v>0</x:v>
      </x:c>
      <x:c r="P54" s="51" t="n">
        <x:f>'Income Statement'!P17</x:f>
        <x:v>0</x:v>
      </x:c>
      <x:c r="Q54" s="51" t="n">
        <x:f>'Income Statement'!Q17</x:f>
        <x:v>0</x:v>
      </x:c>
      <x:c r="R54" s="51" t="n">
        <x:f>'Income Statement'!R17</x:f>
        <x:v>0</x:v>
      </x:c>
      <x:c r="S54" s="51" t="n">
        <x:f>'Income Statement'!S17</x:f>
        <x:v>0</x:v>
      </x:c>
      <x:c r="T54" s="2"/>
      <x:c r="U54" s="2"/>
    </x:row>
    <x:row r="55" ht="21" customHeight="1">
      <x:c r="A55" s="2"/>
      <x:c r="B55" s="2"/>
      <x:c r="C55" s="64" t="str">
        <x:v>Consolidated operating income</x:v>
      </x:c>
      <x:c r="D55" s="64"/>
      <x:c r="E55" s="68" t="n">
        <x:f>E53-E54</x:f>
        <x:v>29025</x:v>
      </x:c>
      <x:c r="F55" s="68" t="n">
        <x:f>F53-F54</x:f>
        <x:v>35058</x:v>
      </x:c>
      <x:c r="G55" s="68" t="n">
        <x:f>G53-G54</x:f>
        <x:v>42959</x:v>
      </x:c>
      <x:c r="H55" s="68" t="n">
        <x:f>H53-H54</x:f>
        <x:v>52959</x:v>
      </x:c>
      <x:c r="I55" s="68" t="n">
        <x:f>I53-I54</x:f>
        <x:v>69916</x:v>
      </x:c>
      <x:c r="J55" s="68" t="n">
        <x:f>J53-J54</x:f>
        <x:v>83383</x:v>
      </x:c>
      <x:c r="K55" s="68" t="n">
        <x:f>K53-K54</x:f>
        <x:v>88523</x:v>
      </x:c>
      <x:c r="L55" s="68" t="n">
        <x:f>L53-L54</x:f>
        <x:v>109433</x:v>
      </x:c>
      <x:c r="M55" s="68" t="n">
        <x:f>M53-M54</x:f>
        <x:v>128528</x:v>
      </x:c>
      <x:c r="N55" s="68" t="n">
        <x:f>N53-N54</x:f>
        <x:v>155237</x:v>
      </x:c>
      <x:c r="O55" s="68" t="n">
        <x:f>O53-O54</x:f>
        <x:v>175728.0870342713</x:v>
      </x:c>
      <x:c r="P55" s="68" t="n">
        <x:f>P53-P54</x:f>
        <x:v>189179.80210217403</x:v>
      </x:c>
      <x:c r="Q55" s="68" t="n">
        <x:f>Q53-Q54</x:f>
        <x:v>204736.39255985778</x:v>
      </x:c>
      <x:c r="R55" s="68" t="n">
        <x:f>R53-R54</x:f>
        <x:v>223012.71567806587</x:v>
      </x:c>
      <x:c r="S55" s="68" t="n">
        <x:f>S53-S54</x:f>
        <x:v>242804.5507215888</x:v>
      </x:c>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ed64706909964959"/>
</x:worksheet>
</file>

<file path=xl/worksheets/sheet11.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Expense Plan</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Revenue</x:v>
      </x:c>
      <x:c r="D8" s="2"/>
      <x:c r="E8" s="51" t="n">
        <x:f>'Income Statement'!E8</x:f>
        <x:v>96571</x:v>
      </x:c>
      <x:c r="F8" s="51" t="n">
        <x:f>'Income Statement'!F8</x:f>
        <x:v>110360</x:v>
      </x:c>
      <x:c r="G8" s="51" t="n">
        <x:f>'Income Statement'!G8</x:f>
        <x:v>125843</x:v>
      </x:c>
      <x:c r="H8" s="51" t="n">
        <x:f>'Income Statement'!H8</x:f>
        <x:v>143015</x:v>
      </x:c>
      <x:c r="I8" s="51" t="n">
        <x:f>'Income Statement'!I8</x:f>
        <x:v>168088</x:v>
      </x:c>
      <x:c r="J8" s="51" t="n">
        <x:f>'Income Statement'!J8</x:f>
        <x:v>198270</x:v>
      </x:c>
      <x:c r="K8" s="51" t="n">
        <x:f>'Income Statement'!K8</x:f>
        <x:v>211915</x:v>
      </x:c>
      <x:c r="L8" s="51" t="n">
        <x:f>'Income Statement'!L8</x:f>
        <x:v>245122</x:v>
      </x:c>
      <x:c r="M8" s="51" t="n">
        <x:f>'Income Statement'!M8</x:f>
        <x:v>281724</x:v>
      </x:c>
      <x:c r="N8" s="51" t="n">
        <x:f>'Income Statement'!N8</x:f>
        <x:v>331839</x:v>
      </x:c>
      <x:c r="O8" s="51" t="n">
        <x:f>'Income Statement'!O8</x:f>
        <x:v>385048.80000000005</x:v>
      </x:c>
      <x:c r="P8" s="51" t="n">
        <x:f>'Income Statement'!P8</x:f>
        <x:v>444477.44240000006</x:v>
      </x:c>
      <x:c r="Q8" s="51" t="n">
        <x:f>'Income Statement'!Q8</x:f>
        <x:v>508922.316432</x:v>
      </x:c>
      <x:c r="R8" s="51" t="n">
        <x:f>'Income Statement'!R8</x:f>
        <x:v>577301.7649200001</x:v>
      </x:c>
      <x:c r="S8" s="51" t="n">
        <x:f>'Income Statement'!S8</x:f>
        <x:v>648107.1509938752</x:v>
      </x:c>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t="str">
        <x:v>PPE depreciation</x:v>
      </x:c>
      <x:c r="D10" s="2"/>
      <x:c r="E10" s="51" t="n">
        <x:f>'Filing Notes'!E8</x:f>
        <x:v>6100</x:v>
      </x:c>
      <x:c r="F10" s="51" t="n">
        <x:f>'Filing Notes'!F8</x:f>
        <x:v>7700</x:v>
      </x:c>
      <x:c r="G10" s="51" t="n">
        <x:f>'Filing Notes'!G8</x:f>
        <x:v>9700</x:v>
      </x:c>
      <x:c r="H10" s="51" t="n">
        <x:f>'Filing Notes'!H8</x:f>
        <x:v>10700</x:v>
      </x:c>
      <x:c r="I10" s="51" t="n">
        <x:f>'Filing Notes'!I8</x:f>
        <x:v>9300</x:v>
      </x:c>
      <x:c r="J10" s="51" t="n">
        <x:f>'Filing Notes'!J8</x:f>
        <x:v>12600</x:v>
      </x:c>
      <x:c r="K10" s="51" t="n">
        <x:f>'Filing Notes'!K8</x:f>
        <x:v>11000</x:v>
      </x:c>
      <x:c r="L10" s="51" t="n">
        <x:f>'Filing Notes'!L8</x:f>
        <x:v>15200</x:v>
      </x:c>
      <x:c r="M10" s="51" t="n">
        <x:f>'Filing Notes'!M8</x:f>
        <x:v>22000</x:v>
      </x:c>
      <x:c r="N10" s="51" t="n">
        <x:f>'Filing Notes'!N8</x:f>
        <x:v>34300</x:v>
      </x:c>
      <x:c r="O10" s="51" t="n">
        <x:f>'PPE and Intangibles'!O21</x:f>
        <x:v>50319.3666</x:v>
      </x:c>
      <x:c r="P10" s="51" t="n">
        <x:f>'PPE and Intangibles'!P21</x:f>
        <x:v>75599.62026141334</x:v>
      </x:c>
      <x:c r="Q10" s="51" t="n">
        <x:f>'PPE and Intangibles'!Q21</x:f>
        <x:v>101565.57059252668</x:v>
      </x:c>
      <x:c r="R10" s="51" t="n">
        <x:f>'PPE and Intangibles'!R21</x:f>
        <x:v>128010.09185221468</x:v>
      </x:c>
      <x:c r="S10" s="51" t="n">
        <x:f>'PPE and Intangibles'!S21</x:f>
        <x:v>154852.54990618228</x:v>
      </x:c>
      <x:c r="T10" s="2"/>
      <x:c r="U10" s="2"/>
    </x:row>
    <x:row r="11" ht="21" customHeight="1">
      <x:c r="A11" s="2"/>
      <x:c r="B11" s="2"/>
      <x:c r="C11" s="2" t="str">
        <x:v>Intangible amortization</x:v>
      </x:c>
      <x:c r="D11" s="2"/>
      <x:c r="E11" s="51" t="n">
        <x:f>'Filing Notes'!E9</x:f>
        <x:v>1700</x:v>
      </x:c>
      <x:c r="F11" s="51" t="n">
        <x:f>'Filing Notes'!F9</x:f>
        <x:v>2200</x:v>
      </x:c>
      <x:c r="G11" s="51" t="n">
        <x:f>'Filing Notes'!G9</x:f>
        <x:v>1900</x:v>
      </x:c>
      <x:c r="H11" s="51" t="n">
        <x:f>'Filing Notes'!H9</x:f>
        <x:v>1600</x:v>
      </x:c>
      <x:c r="I11" s="51" t="n">
        <x:f>'Filing Notes'!I9</x:f>
        <x:v>1600</x:v>
      </x:c>
      <x:c r="J11" s="51" t="n">
        <x:f>'Filing Notes'!J9</x:f>
        <x:v>2000</x:v>
      </x:c>
      <x:c r="K11" s="51" t="n">
        <x:f>'Filing Notes'!K9</x:f>
        <x:v>2500</x:v>
      </x:c>
      <x:c r="L11" s="51" t="n">
        <x:f>'Filing Notes'!L9</x:f>
        <x:v>4800</x:v>
      </x:c>
      <x:c r="M11" s="51" t="n">
        <x:f>'Filing Notes'!M9</x:f>
        <x:v>6000</x:v>
      </x:c>
      <x:c r="N11" s="51" t="n">
        <x:f>'Filing Notes'!N9</x:f>
        <x:v>4700</x:v>
      </x:c>
      <x:c r="O11" s="51" t="n">
        <x:f>'PPE and Intangibles'!O42</x:f>
        <x:v>3097</x:v>
      </x:c>
      <x:c r="P11" s="51" t="n">
        <x:f>'PPE and Intangibles'!P42</x:f>
        <x:v>2141</x:v>
      </x:c>
      <x:c r="Q11" s="51" t="n">
        <x:f>'PPE and Intangibles'!Q42</x:f>
        <x:v>1944</x:v>
      </x:c>
      <x:c r="R11" s="51" t="n">
        <x:f>'PPE and Intangibles'!R42</x:f>
        <x:v>1477</x:v>
      </x:c>
      <x:c r="S11" s="51" t="n">
        <x:f>'PPE and Intangibles'!S42</x:f>
        <x:v>1128</x:v>
      </x:c>
      <x:c r="T11" s="2"/>
      <x:c r="U11" s="2"/>
    </x:row>
    <x:row r="12" ht="21" customHeight="1">
      <x:c r="A12" s="2"/>
      <x:c r="B12" s="2"/>
      <x:c r="C12" s="2" t="str">
        <x:v>Operating lease expense</x:v>
      </x:c>
      <x:c r="D12" s="2"/>
      <x:c r="E12" s="51" t="n">
        <x:f>'Filing Notes'!E17</x:f>
        <x:v>1412</x:v>
      </x:c>
      <x:c r="F12" s="51" t="n">
        <x:f>'Filing Notes'!F17</x:f>
        <x:v>1585</x:v>
      </x:c>
      <x:c r="G12" s="51" t="n">
        <x:f>'Filing Notes'!G17</x:f>
        <x:v>1707</x:v>
      </x:c>
      <x:c r="H12" s="51" t="n">
        <x:f>'Filing Notes'!H17</x:f>
        <x:v>2043</x:v>
      </x:c>
      <x:c r="I12" s="51" t="n">
        <x:f>'Filing Notes'!I17</x:f>
        <x:v>2127</x:v>
      </x:c>
      <x:c r="J12" s="51" t="n">
        <x:f>'Filing Notes'!J17</x:f>
        <x:v>2461</x:v>
      </x:c>
      <x:c r="K12" s="51" t="n">
        <x:f>'Filing Notes'!K17</x:f>
        <x:v>2875</x:v>
      </x:c>
      <x:c r="L12" s="51" t="n">
        <x:f>'Filing Notes'!L17</x:f>
        <x:v>3555</x:v>
      </x:c>
      <x:c r="M12" s="51" t="n">
        <x:f>'Filing Notes'!M17</x:f>
        <x:v>5524</x:v>
      </x:c>
      <x:c r="N12" s="51" t="n">
        <x:f>'Filing Notes'!N17</x:f>
        <x:v>6968</x:v>
      </x:c>
      <x:c r="O12" s="51" t="n">
        <x:f>'Debt and Leases'!O61</x:f>
        <x:v>5428.887042</x:v>
      </x:c>
      <x:c r="P12" s="51" t="n">
        <x:f>'Debt and Leases'!P61</x:f>
        <x:v>6402.942695266</x:v>
      </x:c>
      <x:c r="Q12" s="51" t="n">
        <x:f>'Debt and Leases'!Q61</x:f>
        <x:v>7428.829732529213</x:v>
      </x:c>
      <x:c r="R12" s="51" t="n">
        <x:f>'Debt and Leases'!R61</x:f>
        <x:v>8502.564695694284</x:v>
      </x:c>
      <x:c r="S12" s="51" t="n">
        <x:f>'Debt and Leases'!S61</x:f>
        <x:v>9609.606390594998</x:v>
      </x:c>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R&amp;D before allocated D&amp;A and leases</x:v>
      </x:c>
      <x:c r="D14" s="2"/>
      <x:c r="E14" s="17" t="str">
        <x:v>n.a.</x:v>
      </x:c>
      <x:c r="F14" s="17" t="str">
        <x:v>n.a.</x:v>
      </x:c>
      <x:c r="G14" s="17" t="str">
        <x:v>n.a.</x:v>
      </x:c>
      <x:c r="H14" s="17" t="str">
        <x:v>n.a.</x:v>
      </x:c>
      <x:c r="I14" s="17" t="str">
        <x:v>n.a.</x:v>
      </x:c>
      <x:c r="J14" s="17" t="str">
        <x:v>n.a.</x:v>
      </x:c>
      <x:c r="K14" s="17" t="str">
        <x:v>n.a.</x:v>
      </x:c>
      <x:c r="L14" s="17" t="str">
        <x:v>n.a.</x:v>
      </x:c>
      <x:c r="M14" s="17" t="str">
        <x:v>n.a.</x:v>
      </x:c>
      <x:c r="N14" s="17" t="str">
        <x:v>n.a.</x:v>
      </x:c>
      <x:c r="O14" s="51" t="n">
        <x:f>O8*'Assumptions'!O33</x:f>
        <x:v>33940.418123728676</x:v>
      </x:c>
      <x:c r="P14" s="51" t="n">
        <x:f>P8*'Assumptions'!P33</x:f>
        <x:v>38956.56209994664</x:v>
      </x:c>
      <x:c r="Q14" s="51" t="n">
        <x:f>Q8*'Assumptions'!Q33</x:f>
        <x:v>44350.420738782384</x:v>
      </x:c>
      <x:c r="R14" s="51" t="n">
        <x:f>R8*'Assumptions'!R33</x:f>
        <x:v>50020.74868749319</x:v>
      </x:c>
      <x:c r="S14" s="51" t="n">
        <x:f>S8*'Assumptions'!S33</x:f>
        <x:v>55831.681418530476</x:v>
      </x:c>
      <x:c r="T14" s="2"/>
      <x:c r="U14" s="2"/>
    </x:row>
    <x:row r="15" ht="21" customHeight="1">
      <x:c r="A15" s="2"/>
      <x:c r="B15" s="2"/>
      <x:c r="C15" s="2" t="str">
        <x:v>PPE depreciation allocated to R&amp;D</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O10*'Assumptions'!H205</x:f>
        <x:v>7547.90499</x:v>
      </x:c>
      <x:c r="P15" s="51" t="n">
        <x:f>P10*'Assumptions'!H205</x:f>
        <x:v>11339.943039212</x:v>
      </x:c>
      <x:c r="Q15" s="51" t="n">
        <x:f>Q10*'Assumptions'!H205</x:f>
        <x:v>15234.835588879001</x:v>
      </x:c>
      <x:c r="R15" s="51" t="n">
        <x:f>R10*'Assumptions'!H205</x:f>
        <x:v>19201.513777832202</x:v>
      </x:c>
      <x:c r="S15" s="51" t="n">
        <x:f>S10*'Assumptions'!H205</x:f>
        <x:v>23227.88248592734</x:v>
      </x:c>
      <x:c r="T15" s="2"/>
      <x:c r="U15" s="2"/>
    </x:row>
    <x:row r="16" ht="21" customHeight="1">
      <x:c r="A16" s="2"/>
      <x:c r="B16" s="2"/>
      <x:c r="C16" s="2" t="str">
        <x:v>Intangible amortization allocated to R&amp;D</x:v>
      </x:c>
      <x:c r="D16" s="2"/>
      <x:c r="E16" s="17" t="str">
        <x:v>n.a.</x:v>
      </x:c>
      <x:c r="F16" s="17" t="str">
        <x:v>n.a.</x:v>
      </x:c>
      <x:c r="G16" s="17" t="str">
        <x:v>n.a.</x:v>
      </x:c>
      <x:c r="H16" s="17" t="str">
        <x:v>n.a.</x:v>
      </x:c>
      <x:c r="I16" s="17" t="str">
        <x:v>n.a.</x:v>
      </x:c>
      <x:c r="J16" s="17" t="str">
        <x:v>n.a.</x:v>
      </x:c>
      <x:c r="K16" s="17" t="str">
        <x:v>n.a.</x:v>
      </x:c>
      <x:c r="L16" s="17" t="str">
        <x:v>n.a.</x:v>
      </x:c>
      <x:c r="M16" s="17" t="str">
        <x:v>n.a.</x:v>
      </x:c>
      <x:c r="N16" s="17" t="str">
        <x:v>n.a.</x:v>
      </x:c>
      <x:c r="O16" s="51" t="n">
        <x:f>O11*'Assumptions'!H206</x:f>
        <x:v>309.70000000000005</x:v>
      </x:c>
      <x:c r="P16" s="51" t="n">
        <x:f>P11*'Assumptions'!H206</x:f>
        <x:v>214.10000000000002</x:v>
      </x:c>
      <x:c r="Q16" s="51" t="n">
        <x:f>Q11*'Assumptions'!H206</x:f>
        <x:v>194.4</x:v>
      </x:c>
      <x:c r="R16" s="51" t="n">
        <x:f>R11*'Assumptions'!H206</x:f>
        <x:v>147.70000000000002</x:v>
      </x:c>
      <x:c r="S16" s="51" t="n">
        <x:f>S11*'Assumptions'!H206</x:f>
        <x:v>112.80000000000001</x:v>
      </x:c>
      <x:c r="T16" s="2"/>
      <x:c r="U16" s="2"/>
    </x:row>
    <x:row r="17" ht="21" customHeight="1">
      <x:c r="A17" s="2"/>
      <x:c r="B17" s="2"/>
      <x:c r="C17" s="2" t="str">
        <x:v>Operating leases allocated to R&amp;D</x:v>
      </x:c>
      <x:c r="D17" s="2"/>
      <x:c r="E17" s="17" t="str">
        <x:v>n.a.</x:v>
      </x:c>
      <x:c r="F17" s="17" t="str">
        <x:v>n.a.</x:v>
      </x:c>
      <x:c r="G17" s="17" t="str">
        <x:v>n.a.</x:v>
      </x:c>
      <x:c r="H17" s="17" t="str">
        <x:v>n.a.</x:v>
      </x:c>
      <x:c r="I17" s="17" t="str">
        <x:v>n.a.</x:v>
      </x:c>
      <x:c r="J17" s="17" t="str">
        <x:v>n.a.</x:v>
      </x:c>
      <x:c r="K17" s="17" t="str">
        <x:v>n.a.</x:v>
      </x:c>
      <x:c r="L17" s="17" t="str">
        <x:v>n.a.</x:v>
      </x:c>
      <x:c r="M17" s="17" t="str">
        <x:v>n.a.</x:v>
      </x:c>
      <x:c r="N17" s="17" t="str">
        <x:v>n.a.</x:v>
      </x:c>
      <x:c r="O17" s="51" t="n">
        <x:f>O12*'Assumptions'!H207</x:f>
        <x:v>542.8887042</x:v>
      </x:c>
      <x:c r="P17" s="51" t="n">
        <x:f>P12*'Assumptions'!H207</x:f>
        <x:v>640.2942695266</x:v>
      </x:c>
      <x:c r="Q17" s="51" t="n">
        <x:f>Q12*'Assumptions'!H207</x:f>
        <x:v>742.8829732529214</x:v>
      </x:c>
      <x:c r="R17" s="51" t="n">
        <x:f>R12*'Assumptions'!H207</x:f>
        <x:v>850.2564695694284</x:v>
      </x:c>
      <x:c r="S17" s="51" t="n">
        <x:f>S12*'Assumptions'!H207</x:f>
        <x:v>960.9606390594998</x:v>
      </x:c>
      <x:c r="T17" s="2"/>
      <x:c r="U17" s="2"/>
    </x:row>
    <x:row r="18" ht="21" customHeight="1">
      <x:c r="A18" s="2"/>
      <x:c r="B18" s="2"/>
      <x:c r="C18" s="2" t="str">
        <x:v>Total research and development</x:v>
      </x:c>
      <x:c r="D18" s="2"/>
      <x:c r="E18" s="51" t="n">
        <x:f>'Historical Inputs'!E12</x:f>
        <x:v>13037</x:v>
      </x:c>
      <x:c r="F18" s="51" t="n">
        <x:f>'Historical Inputs'!F12</x:f>
        <x:v>14726</x:v>
      </x:c>
      <x:c r="G18" s="51" t="n">
        <x:f>'Historical Inputs'!G12</x:f>
        <x:v>16876</x:v>
      </x:c>
      <x:c r="H18" s="51" t="n">
        <x:f>'Historical Inputs'!H12</x:f>
        <x:v>19269</x:v>
      </x:c>
      <x:c r="I18" s="51" t="n">
        <x:f>'Historical Inputs'!I12</x:f>
        <x:v>20716</x:v>
      </x:c>
      <x:c r="J18" s="51" t="n">
        <x:f>'Historical Inputs'!J12</x:f>
        <x:v>24512</x:v>
      </x:c>
      <x:c r="K18" s="51" t="n">
        <x:f>'Historical Inputs'!K12</x:f>
        <x:v>27195</x:v>
      </x:c>
      <x:c r="L18" s="51" t="n">
        <x:f>'Historical Inputs'!L12</x:f>
        <x:v>29510</x:v>
      </x:c>
      <x:c r="M18" s="51" t="n">
        <x:f>'Historical Inputs'!M12</x:f>
        <x:v>32488</x:v>
      </x:c>
      <x:c r="N18" s="51" t="n">
        <x:f>'Historical Inputs'!N12</x:f>
        <x:v>35562</x:v>
      </x:c>
      <x:c r="O18" s="57" t="n">
        <x:f>SUM(O14:O17)</x:f>
        <x:v>42340.911817928674</x:v>
      </x:c>
      <x:c r="P18" s="57" t="n">
        <x:f>SUM(P14:P17)</x:f>
        <x:v>51150.89940868524</x:v>
      </x:c>
      <x:c r="Q18" s="57" t="n">
        <x:f>SUM(Q14:Q17)</x:f>
        <x:v>60522.53930091431</x:v>
      </x:c>
      <x:c r="R18" s="57" t="n">
        <x:f>SUM(R14:R17)</x:f>
        <x:v>70220.21893489482</x:v>
      </x:c>
      <x:c r="S18" s="57" t="n">
        <x:f>SUM(S14:S17)</x:f>
        <x:v>80133.32454351732</x:v>
      </x:c>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t="str">
        <x:v>Sales and marketing</x:v>
      </x:c>
      <x:c r="D20" s="2"/>
      <x:c r="E20" s="51" t="n">
        <x:f>'Historical Inputs'!E13</x:f>
        <x:v>15461</x:v>
      </x:c>
      <x:c r="F20" s="51" t="n">
        <x:f>'Historical Inputs'!F13</x:f>
        <x:v>17469</x:v>
      </x:c>
      <x:c r="G20" s="51" t="n">
        <x:f>'Historical Inputs'!G13</x:f>
        <x:v>18213</x:v>
      </x:c>
      <x:c r="H20" s="51" t="n">
        <x:f>'Historical Inputs'!H13</x:f>
        <x:v>19598</x:v>
      </x:c>
      <x:c r="I20" s="51" t="n">
        <x:f>'Historical Inputs'!I13</x:f>
        <x:v>20117</x:v>
      </x:c>
      <x:c r="J20" s="51" t="n">
        <x:f>'Historical Inputs'!J13</x:f>
        <x:v>21825</x:v>
      </x:c>
      <x:c r="K20" s="51" t="n">
        <x:f>'Historical Inputs'!K13</x:f>
        <x:v>22759</x:v>
      </x:c>
      <x:c r="L20" s="51" t="n">
        <x:f>'Historical Inputs'!L13</x:f>
        <x:v>24456</x:v>
      </x:c>
      <x:c r="M20" s="51" t="n">
        <x:f>'Historical Inputs'!M13</x:f>
        <x:v>25654</x:v>
      </x:c>
      <x:c r="N20" s="51" t="n">
        <x:f>'Historical Inputs'!N13</x:f>
        <x:v>26710</x:v>
      </x:c>
      <x:c r="O20" s="51" t="n">
        <x:f>O8*'Assumptions'!O37</x:f>
        <x:v>30803.904000000006</x:v>
      </x:c>
      <x:c r="P20" s="51" t="n">
        <x:f>P8*'Assumptions'!P37</x:f>
        <x:v>35113.7179496</x:v>
      </x:c>
      <x:c r="Q20" s="51" t="n">
        <x:f>Q8*'Assumptions'!Q37</x:f>
        <x:v>39695.940681696</x:v>
      </x:c>
      <x:c r="R20" s="51" t="n">
        <x:f>R8*'Assumptions'!R37</x:f>
        <x:v>44452.23589884001</x:v>
      </x:c>
      <x:c r="S20" s="51" t="n">
        <x:f>S8*'Assumptions'!S37</x:f>
        <x:v>49256.14347553452</x:v>
      </x:c>
      <x:c r="T20" s="2"/>
      <x:c r="U20" s="2"/>
    </x:row>
    <x:row r="21" ht="21" customHeight="1">
      <x:c r="A21" s="2"/>
      <x:c r="B21" s="2"/>
      <x:c r="C21" s="2" t="str">
        <x:v>General and administrative</x:v>
      </x:c>
      <x:c r="D21" s="2"/>
      <x:c r="E21" s="51" t="n">
        <x:f>'Historical Inputs'!E14</x:f>
        <x:v>4481</x:v>
      </x:c>
      <x:c r="F21" s="51" t="n">
        <x:f>'Historical Inputs'!F14</x:f>
        <x:v>4754</x:v>
      </x:c>
      <x:c r="G21" s="51" t="n">
        <x:f>'Historical Inputs'!G14</x:f>
        <x:v>4885</x:v>
      </x:c>
      <x:c r="H21" s="51" t="n">
        <x:f>'Historical Inputs'!H14</x:f>
        <x:v>5111</x:v>
      </x:c>
      <x:c r="I21" s="51" t="n">
        <x:f>'Historical Inputs'!I14</x:f>
        <x:v>5107</x:v>
      </x:c>
      <x:c r="J21" s="51" t="n">
        <x:f>'Historical Inputs'!J14</x:f>
        <x:v>5900</x:v>
      </x:c>
      <x:c r="K21" s="51" t="n">
        <x:f>'Historical Inputs'!K14</x:f>
        <x:v>7575</x:v>
      </x:c>
      <x:c r="L21" s="51" t="n">
        <x:f>'Historical Inputs'!L14</x:f>
        <x:v>7609</x:v>
      </x:c>
      <x:c r="M21" s="51" t="n">
        <x:f>'Historical Inputs'!M14</x:f>
        <x:v>7223</x:v>
      </x:c>
      <x:c r="N21" s="51" t="n">
        <x:f>'Historical Inputs'!N14</x:f>
        <x:v>7956</x:v>
      </x:c>
      <x:c r="O21" s="51" t="n">
        <x:f>O8*'Assumptions'!O41</x:f>
        <x:v>9241.1712</x:v>
      </x:c>
      <x:c r="P21" s="51" t="n">
        <x:f>P8*'Assumptions'!P41</x:f>
        <x:v>10445.219896400002</x:v>
      </x:c>
      <x:c r="Q21" s="51" t="n">
        <x:f>Q8*'Assumptions'!Q41</x:f>
        <x:v>11705.213277936</x:v>
      </x:c>
      <x:c r="R21" s="51" t="n">
        <x:f>R8*'Assumptions'!R41</x:f>
        <x:v>12989.289710700003</x:v>
      </x:c>
      <x:c r="S21" s="51" t="n">
        <x:f>S8*'Assumptions'!S41</x:f>
        <x:v>14258.357321865255</x:v>
      </x:c>
      <x:c r="T21" s="2"/>
      <x:c r="U21" s="2"/>
    </x:row>
    <x:row r="22" ht="21" customHeight="1">
      <x:c r="A22" s="2"/>
      <x:c r="B22" s="2"/>
      <x:c r="C22" s="2" t="str">
        <x:v>Other operating expenses</x:v>
      </x:c>
      <x:c r="D22" s="2"/>
      <x:c r="E22" s="51" t="n">
        <x:f>'Historical Inputs'!E24</x:f>
        <x:v>306</x:v>
      </x:c>
      <x:c r="F22" s="51" t="n">
        <x:f>'Historical Inputs'!F24</x:f>
        <x:v>0</x:v>
      </x:c>
      <x:c r="G22" s="51" t="n">
        <x:f>'Historical Inputs'!G24</x:f>
        <x:v>0</x:v>
      </x:c>
      <x:c r="H22" s="51" t="n">
        <x:f>'Historical Inputs'!H24</x:f>
        <x:v>0</x:v>
      </x:c>
      <x:c r="I22" s="51" t="n">
        <x:f>'Historical Inputs'!I24</x:f>
        <x:v>0</x:v>
      </x:c>
      <x:c r="J22" s="51" t="n">
        <x:f>'Historical Inputs'!J24</x:f>
        <x:v>0</x:v>
      </x:c>
      <x:c r="K22" s="51" t="n">
        <x:f>'Historical Inputs'!K24</x:f>
        <x:v>0</x:v>
      </x:c>
      <x:c r="L22" s="51" t="n">
        <x:f>'Historical Inputs'!L24</x:f>
        <x:v>0</x:v>
      </x:c>
      <x:c r="M22" s="51" t="n">
        <x:f>'Historical Inputs'!M24</x:f>
        <x:v>0</x:v>
      </x:c>
      <x:c r="N22" s="51" t="n">
        <x:f>'Historical Inputs'!N24</x:f>
        <x:v>0</x:v>
      </x:c>
      <x:c r="O22" s="57" t="n">
        <x:f>0</x:f>
        <x:v>0</x:v>
      </x:c>
      <x:c r="P22" s="57" t="n">
        <x:f>0</x:f>
        <x:v>0</x:v>
      </x:c>
      <x:c r="Q22" s="57" t="n">
        <x:f>0</x:f>
        <x:v>0</x:v>
      </x:c>
      <x:c r="R22" s="57" t="n">
        <x:f>0</x:f>
        <x:v>0</x:v>
      </x:c>
      <x:c r="S22" s="57" t="n">
        <x:f>0</x:f>
        <x:v>0</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Total operating expenses</x:v>
      </x:c>
      <x:c r="D24" s="2"/>
      <x:c r="E24" s="57" t="n">
        <x:f>SUM(E18,E20:E22)</x:f>
        <x:v>33285</x:v>
      </x:c>
      <x:c r="F24" s="57" t="n">
        <x:f>SUM(F18,F20:F22)</x:f>
        <x:v>36949</x:v>
      </x:c>
      <x:c r="G24" s="57" t="n">
        <x:f>SUM(G18,G20:G22)</x:f>
        <x:v>39974</x:v>
      </x:c>
      <x:c r="H24" s="57" t="n">
        <x:f>SUM(H18,H20:H22)</x:f>
        <x:v>43978</x:v>
      </x:c>
      <x:c r="I24" s="57" t="n">
        <x:f>SUM(I18,I20:I22)</x:f>
        <x:v>45940</x:v>
      </x:c>
      <x:c r="J24" s="57" t="n">
        <x:f>SUM(J18,J20:J22)</x:f>
        <x:v>52237</x:v>
      </x:c>
      <x:c r="K24" s="57" t="n">
        <x:f>SUM(K18,K20:K22)</x:f>
        <x:v>57529</x:v>
      </x:c>
      <x:c r="L24" s="57" t="n">
        <x:f>SUM(L18,L20:L22)</x:f>
        <x:v>61575</x:v>
      </x:c>
      <x:c r="M24" s="57" t="n">
        <x:f>SUM(M18,M20:M22)</x:f>
        <x:v>65365</x:v>
      </x:c>
      <x:c r="N24" s="57" t="n">
        <x:f>SUM(N18,N20:N22)</x:f>
        <x:v>70228</x:v>
      </x:c>
      <x:c r="O24" s="57" t="n">
        <x:f>SUM(O18,O20:O22)</x:f>
        <x:v>82385.98701792868</x:v>
      </x:c>
      <x:c r="P24" s="57" t="n">
        <x:f>SUM(P18,P20:P22)</x:f>
        <x:v>96709.83725468523</x:v>
      </x:c>
      <x:c r="Q24" s="57" t="n">
        <x:f>SUM(Q18,Q20:Q22)</x:f>
        <x:v>111923.69326054631</x:v>
      </x:c>
      <x:c r="R24" s="57" t="n">
        <x:f>SUM(R18,R20:R22)</x:f>
        <x:v>127661.74454443483</x:v>
      </x:c>
      <x:c r="S24" s="57" t="n">
        <x:f>SUM(S18,S20:S22)</x:f>
        <x:v>143647.8253409171</x:v>
      </x:c>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56b0da1c1c8d4cc0"/>
</x:worksheet>
</file>

<file path=xl/worksheets/sheet12.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Working Capital</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Receivables</x:v>
      </x:c>
      <x:c r="D8" s="2"/>
      <x:c r="E8" s="51" t="n">
        <x:f>'Historical Inputs'!E31</x:f>
        <x:v>22431</x:v>
      </x:c>
      <x:c r="F8" s="51" t="n">
        <x:f>'Historical Inputs'!F31</x:f>
        <x:v>26481</x:v>
      </x:c>
      <x:c r="G8" s="51" t="n">
        <x:f>'Historical Inputs'!G31</x:f>
        <x:v>29524</x:v>
      </x:c>
      <x:c r="H8" s="51" t="n">
        <x:f>'Historical Inputs'!H31</x:f>
        <x:v>32011</x:v>
      </x:c>
      <x:c r="I8" s="51" t="n">
        <x:f>'Historical Inputs'!I31</x:f>
        <x:v>38043</x:v>
      </x:c>
      <x:c r="J8" s="51" t="n">
        <x:f>'Historical Inputs'!J31</x:f>
        <x:v>44261</x:v>
      </x:c>
      <x:c r="K8" s="51" t="n">
        <x:f>'Historical Inputs'!K31</x:f>
        <x:v>48688</x:v>
      </x:c>
      <x:c r="L8" s="51" t="n">
        <x:f>'Historical Inputs'!L31</x:f>
        <x:v>56924</x:v>
      </x:c>
      <x:c r="M8" s="51" t="n">
        <x:f>'Historical Inputs'!M31</x:f>
        <x:v>69905</x:v>
      </x:c>
      <x:c r="N8" s="51" t="n">
        <x:f>'Historical Inputs'!N31</x:f>
        <x:v>80876</x:v>
      </x:c>
      <x:c r="O8" s="51" t="n">
        <x:f>'Income Statement'!O8*'Assumptions'!O69/365</x:f>
        <x:v>93844.32435247215</x:v>
      </x:c>
      <x:c r="P8" s="51" t="n">
        <x:f>'Income Statement'!P8*'Assumptions'!P69/365</x:f>
        <x:v>108328.3087025407</x:v>
      </x:c>
      <x:c r="Q8" s="51" t="n">
        <x:f>'Income Statement'!Q8*'Assumptions'!Q69/365</x:f>
        <x:v>124034.85203292692</x:v>
      </x:c>
      <x:c r="R8" s="51" t="n">
        <x:f>'Income Statement'!R8*'Assumptions'!R69/365</x:f>
        <x:v>140700.3322082996</x:v>
      </x:c>
      <x:c r="S8" s="51" t="n">
        <x:f>'Income Statement'!S8*'Assumptions'!S69/365</x:f>
        <x:v>157957.06334632353</x:v>
      </x:c>
      <x:c r="T8" s="2"/>
      <x:c r="U8" s="2"/>
    </x:row>
    <x:row r="9" ht="21" customHeight="1">
      <x:c r="A9" s="2"/>
      <x:c r="B9" s="2"/>
      <x:c r="C9" s="2" t="str">
        <x:v>Receivable days</x:v>
      </x:c>
      <x:c r="D9" s="2"/>
      <x:c r="E9" s="58" t="n">
        <x:f>E8/'Income Statement'!E8*365</x:f>
        <x:v>84.78026529703534</x:v>
      </x:c>
      <x:c r="F9" s="58" t="n">
        <x:f>F8/'Income Statement'!F8*365</x:f>
        <x:v>87.58214026821312</x:v>
      </x:c>
      <x:c r="G9" s="58" t="n">
        <x:f>G8/'Income Statement'!G8*365</x:f>
        <x:v>85.63257392147358</x:v>
      </x:c>
      <x:c r="H9" s="58" t="n">
        <x:f>H8/'Income Statement'!H8*365</x:f>
        <x:v>81.69782889906654</x:v>
      </x:c>
      <x:c r="I9" s="58" t="n">
        <x:f>I8/'Income Statement'!I8*365</x:f>
        <x:v>82.6096746942078</x:v>
      </x:c>
      <x:c r="J9" s="58" t="n">
        <x:f>J8/'Income Statement'!J8*365</x:f>
        <x:v>81.48113683361073</x:v>
      </x:c>
      <x:c r="K9" s="58" t="n">
        <x:f>K8/'Income Statement'!K8*365</x:f>
        <x:v>83.85966071302173</x:v>
      </x:c>
      <x:c r="L9" s="58" t="n">
        <x:f>L8/'Income Statement'!L8*365</x:f>
        <x:v>84.76293437553545</x:v>
      </x:c>
      <x:c r="M9" s="58" t="n">
        <x:f>M8/'Income Statement'!M8*365</x:f>
        <x:v>90.56851741420681</x:v>
      </x:c>
      <x:c r="N9" s="58" t="n">
        <x:f>N8/'Income Statement'!N8*365</x:f>
        <x:v>88.95801879827266</x:v>
      </x:c>
      <x:c r="O9" s="58" t="n">
        <x:f>O8/'Income Statement'!O8*365</x:f>
        <x:v>88.95801879827266</x:v>
      </x:c>
      <x:c r="P9" s="58" t="n">
        <x:f>P8/'Income Statement'!P8*365</x:f>
        <x:v>88.95801879827265</x:v>
      </x:c>
      <x:c r="Q9" s="58" t="n">
        <x:f>Q8/'Income Statement'!Q8*365</x:f>
        <x:v>88.95801879827266</x:v>
      </x:c>
      <x:c r="R9" s="58" t="n">
        <x:f>R8/'Income Statement'!R8*365</x:f>
        <x:v>88.95801879827266</x:v>
      </x:c>
      <x:c r="S9" s="58" t="n">
        <x:f>S8/'Income Statement'!S8*365</x:f>
        <x:v>88.95801879827266</x:v>
      </x:c>
      <x:c r="T9" s="2"/>
      <x:c r="U9" s="2"/>
    </x:row>
    <x:row r="10" ht="21" customHeight="1">
      <x:c r="A10" s="2"/>
      <x:c r="B10" s="2"/>
      <x:c r="C10" s="2" t="str">
        <x:v>Inventories</x:v>
      </x:c>
      <x:c r="D10" s="2"/>
      <x:c r="E10" s="51" t="n">
        <x:f>'Historical Inputs'!E32</x:f>
        <x:v>2181</x:v>
      </x:c>
      <x:c r="F10" s="51" t="n">
        <x:f>'Historical Inputs'!F32</x:f>
        <x:v>2662</x:v>
      </x:c>
      <x:c r="G10" s="51" t="n">
        <x:f>'Historical Inputs'!G32</x:f>
        <x:v>2063</x:v>
      </x:c>
      <x:c r="H10" s="51" t="n">
        <x:f>'Historical Inputs'!H32</x:f>
        <x:v>1895</x:v>
      </x:c>
      <x:c r="I10" s="51" t="n">
        <x:f>'Historical Inputs'!I32</x:f>
        <x:v>2636</x:v>
      </x:c>
      <x:c r="J10" s="51" t="n">
        <x:f>'Historical Inputs'!J32</x:f>
        <x:v>3742</x:v>
      </x:c>
      <x:c r="K10" s="51" t="n">
        <x:f>'Historical Inputs'!K32</x:f>
        <x:v>2500</x:v>
      </x:c>
      <x:c r="L10" s="51" t="n">
        <x:f>'Historical Inputs'!L32</x:f>
        <x:v>1246</x:v>
      </x:c>
      <x:c r="M10" s="51" t="n">
        <x:f>'Historical Inputs'!M32</x:f>
        <x:v>938</x:v>
      </x:c>
      <x:c r="N10" s="51" t="n">
        <x:f>'Historical Inputs'!N32</x:f>
        <x:v>1397</x:v>
      </x:c>
      <x:c r="O10" s="51" t="n">
        <x:f>'Income Statement'!O10*'Assumptions'!O73/365</x:f>
        <x:v>1667.0221308691657</x:v>
      </x:c>
      <x:c r="P10" s="51" t="n">
        <x:f>'Income Statement'!P10*'Assumptions'!P73/365</x:f>
        <x:v>2082.7190934934065</x:v>
      </x:c>
      <x:c r="Q10" s="51" t="n">
        <x:f>'Income Statement'!Q10*'Assumptions'!Q73/365</x:f>
        <x:v>2524.9622667606704</x:v>
      </x:c>
      <x:c r="R10" s="51" t="n">
        <x:f>'Income Statement'!R10*'Assumptions'!R73/365</x:f>
        <x:v>2976.275637490426</x:v>
      </x:c>
      <x:c r="S10" s="51" t="n">
        <x:f>'Income Statement'!S10*'Assumptions'!S73/365</x:f>
        <x:v>3436.2881961675116</x:v>
      </x:c>
      <x:c r="T10" s="2"/>
      <x:c r="U10" s="2"/>
    </x:row>
    <x:row r="11" ht="21" customHeight="1">
      <x:c r="A11" s="2"/>
      <x:c r="B11" s="2"/>
      <x:c r="C11" s="2" t="str">
        <x:v>Inventory days</x:v>
      </x:c>
      <x:c r="D11" s="2"/>
      <x:c r="E11" s="59" t="n">
        <x:f>E10/E12*365</x:f>
        <x:v>23.23531128688596</x:v>
      </x:c>
      <x:c r="F11" s="59" t="n">
        <x:f>F10/F12*365</x:f>
        <x:v>25.333872187312593</x:v>
      </x:c>
      <x:c r="G11" s="59" t="n">
        <x:f>G10/G12*365</x:f>
        <x:v>17.548240503379166</x:v>
      </x:c>
      <x:c r="H11" s="59" t="n">
        <x:f>H10/H12*365</x:f>
        <x:v>15.010959677069318</x:v>
      </x:c>
      <x:c r="I11" s="59" t="n">
        <x:f>I10/I12*365</x:f>
        <x:v>18.42050850053607</x:v>
      </x:c>
      <x:c r="J11" s="59" t="n">
        <x:f>J10/J12*365</x:f>
        <x:v>21.80095770151636</x:v>
      </x:c>
      <x:c r="K11" s="59" t="n">
        <x:f>K10/K12*365</x:f>
        <x:v>13.854516192703034</x:v>
      </x:c>
      <x:c r="L11" s="59" t="n">
        <x:f>L10/L12*365</x:f>
        <x:v>6.136357503305718</x:v>
      </x:c>
      <x:c r="M11" s="59" t="n">
        <x:f>M10/M12*365</x:f>
        <x:v>3.8980542177591055</x:v>
      </x:c>
      <x:c r="N11" s="59" t="n">
        <x:f>N10/N12*365</x:f>
        <x:v>4.793511572376708</x:v>
      </x:c>
      <x:c r="O11" s="59" t="n">
        <x:f>O10/O12*365</x:f>
        <x:v>4.793511572376709</x:v>
      </x:c>
      <x:c r="P11" s="59" t="n">
        <x:f>P10/P12*365</x:f>
        <x:v>4.793511572376709</x:v>
      </x:c>
      <x:c r="Q11" s="59" t="n">
        <x:f>Q10/Q12*365</x:f>
        <x:v>4.793511572376708</x:v>
      </x:c>
      <x:c r="R11" s="59" t="n">
        <x:f>R10/R12*365</x:f>
        <x:v>4.793511572376708</x:v>
      </x:c>
      <x:c r="S11" s="59" t="n">
        <x:f>S10/S12*365</x:f>
        <x:v>4.793511572376707</x:v>
      </x:c>
      <x:c r="T11" s="2"/>
      <x:c r="U11" s="2"/>
    </x:row>
    <x:row r="12" ht="21" customHeight="1">
      <x:c r="A12" s="2"/>
      <x:c r="B12" s="2"/>
      <x:c r="C12" s="2" t="str">
        <x:v>Cost of revenue</x:v>
      </x:c>
      <x:c r="D12" s="2"/>
      <x:c r="E12" s="51" t="n">
        <x:f>'Income Statement'!E10</x:f>
        <x:v>34261</x:v>
      </x:c>
      <x:c r="F12" s="51" t="n">
        <x:f>'Income Statement'!F10</x:f>
        <x:v>38353</x:v>
      </x:c>
      <x:c r="G12" s="51" t="n">
        <x:f>'Income Statement'!G10</x:f>
        <x:v>42910</x:v>
      </x:c>
      <x:c r="H12" s="51" t="n">
        <x:f>'Income Statement'!H10</x:f>
        <x:v>46078</x:v>
      </x:c>
      <x:c r="I12" s="51" t="n">
        <x:f>'Income Statement'!I10</x:f>
        <x:v>52232</x:v>
      </x:c>
      <x:c r="J12" s="51" t="n">
        <x:f>'Income Statement'!J10</x:f>
        <x:v>62650</x:v>
      </x:c>
      <x:c r="K12" s="51" t="n">
        <x:f>'Income Statement'!K10</x:f>
        <x:v>65863</x:v>
      </x:c>
      <x:c r="L12" s="51" t="n">
        <x:f>'Income Statement'!L10</x:f>
        <x:v>74114</x:v>
      </x:c>
      <x:c r="M12" s="51" t="n">
        <x:f>'Income Statement'!M10</x:f>
        <x:v>87831</x:v>
      </x:c>
      <x:c r="N12" s="51" t="n">
        <x:f>'Income Statement'!N10</x:f>
        <x:v>106374</x:v>
      </x:c>
      <x:c r="O12" s="51" t="n">
        <x:f>'Income Statement'!O10</x:f>
        <x:v>126934.72594780002</x:v>
      </x:c>
      <x:c r="P12" s="51" t="n">
        <x:f>'Income Statement'!P10</x:f>
        <x:v>158587.80304314074</x:v>
      </x:c>
      <x:c r="Q12" s="51" t="n">
        <x:f>'Income Statement'!Q10</x:f>
        <x:v>192262.23061159597</x:v>
      </x:c>
      <x:c r="R12" s="51" t="n">
        <x:f>'Income Statement'!R10</x:f>
        <x:v>226627.30469749935</x:v>
      </x:c>
      <x:c r="S12" s="51" t="n">
        <x:f>'Income Statement'!S10</x:f>
        <x:v>261654.77493136932</x:v>
      </x:c>
      <x:c r="T12" s="2"/>
      <x:c r="U12" s="2"/>
    </x:row>
    <x:row r="13" ht="21" customHeight="1">
      <x:c r="A13" s="2"/>
      <x:c r="B13" s="2"/>
      <x:c r="C13" s="2" t="str">
        <x:v>Operating accounts payable</x:v>
      </x:c>
      <x:c r="D13" s="2"/>
      <x:c r="E13" s="17" t="str">
        <x:v>n.a.</x:v>
      </x:c>
      <x:c r="F13" s="17" t="str">
        <x:v>n.a.</x:v>
      </x:c>
      <x:c r="G13" s="17" t="str">
        <x:v>n.a.</x:v>
      </x:c>
      <x:c r="H13" s="17" t="str">
        <x:v>n.a.</x:v>
      </x:c>
      <x:c r="I13" s="17" t="str">
        <x:v>n.a.</x:v>
      </x:c>
      <x:c r="J13" s="17" t="str">
        <x:v>n.a.</x:v>
      </x:c>
      <x:c r="K13" s="17" t="str">
        <x:v>n.a.</x:v>
      </x:c>
      <x:c r="L13" s="17" t="str">
        <x:v>n.a.</x:v>
      </x:c>
      <x:c r="M13" s="17" t="str">
        <x:v>n.a.</x:v>
      </x:c>
      <x:c r="N13" s="57" t="n">
        <x:f>N15-N14</x:f>
        <x:v>15716</x:v>
      </x:c>
      <x:c r="O13" s="51" t="n">
        <x:f>O12*'Assumptions'!O77/365</x:f>
        <x:v>18753.70065049378</x:v>
      </x:c>
      <x:c r="P13" s="51" t="n">
        <x:f>P12*'Assumptions'!P77/365</x:f>
        <x:v>23430.217089006714</x:v>
      </x:c>
      <x:c r="Q13" s="51" t="n">
        <x:f>Q12*'Assumptions'!Q77/365</x:f>
        <x:v>28405.3736466791</x:v>
      </x:c>
      <x:c r="R13" s="51" t="n">
        <x:f>R12*'Assumptions'!R77/365</x:f>
        <x:v>33482.5683026482</x:v>
      </x:c>
      <x:c r="S13" s="51" t="n">
        <x:f>S12*'Assumptions'!S77/365</x:f>
        <x:v>38657.62726626244</x:v>
      </x:c>
      <x:c r="T13" s="2"/>
      <x:c r="U13" s="2"/>
    </x:row>
    <x:row r="14" ht="21" customHeight="1">
      <x:c r="A14" s="2"/>
      <x:c r="B14" s="2"/>
      <x:c r="C14" s="2" t="str">
        <x:v>Capital expenditure payables</x:v>
      </x:c>
      <x:c r="D14" s="2"/>
      <x:c r="E14" s="17" t="str">
        <x:v>n.a.</x:v>
      </x:c>
      <x:c r="F14" s="17" t="str">
        <x:v>n.a.</x:v>
      </x:c>
      <x:c r="G14" s="17" t="str">
        <x:v>n.a.</x:v>
      </x:c>
      <x:c r="H14" s="17" t="str">
        <x:v>n.a.</x:v>
      </x:c>
      <x:c r="I14" s="17" t="str">
        <x:v>n.a.</x:v>
      </x:c>
      <x:c r="J14" s="17" t="str">
        <x:v>n.a.</x:v>
      </x:c>
      <x:c r="K14" s="17" t="str">
        <x:v>n.a.</x:v>
      </x:c>
      <x:c r="L14" s="17" t="str">
        <x:v>n.a.</x:v>
      </x:c>
      <x:c r="M14" s="17" t="str">
        <x:v>n.a.</x:v>
      </x:c>
      <x:c r="N14" s="51" t="n">
        <x:f>'Filing Notes'!N23</x:f>
        <x:v>26700</x:v>
      </x:c>
      <x:c r="O14" s="51" t="n">
        <x:f>'PPE and Intangibles'!O8*'Assumptions'!O49</x:f>
        <x:v>24643.123200000005</x:v>
      </x:c>
      <x:c r="P14" s="51" t="n">
        <x:f>'PPE and Intangibles'!P8*'Assumptions'!P49</x:f>
        <x:v>22401.663096960005</x:v>
      </x:c>
      <x:c r="Q14" s="51" t="n">
        <x:f>'PPE and Intangibles'!Q8*'Assumptions'!Q49</x:f>
        <x:v>20356.89265728</x:v>
      </x:c>
      <x:c r="R14" s="51" t="n">
        <x:f>'PPE and Intangibles'!R8*'Assumptions'!R49</x:f>
        <x:v>17780.894359536003</x:v>
      </x:c>
      <x:c r="S14" s="51" t="n">
        <x:f>'PPE and Intangibles'!S8*'Assumptions'!S49</x:f>
        <x:v>15554.571623853006</x:v>
      </x:c>
      <x:c r="T14" s="2"/>
      <x:c r="U14" s="2"/>
    </x:row>
    <x:row r="15" ht="21" customHeight="1">
      <x:c r="A15" s="2"/>
      <x:c r="B15" s="2"/>
      <x:c r="C15" s="2" t="str">
        <x:v>Total accounts payable</x:v>
      </x:c>
      <x:c r="D15" s="2"/>
      <x:c r="E15" s="51" t="n">
        <x:f>'Historical Inputs'!E42</x:f>
        <x:v>7390</x:v>
      </x:c>
      <x:c r="F15" s="51" t="n">
        <x:f>'Historical Inputs'!F42</x:f>
        <x:v>8617</x:v>
      </x:c>
      <x:c r="G15" s="51" t="n">
        <x:f>'Historical Inputs'!G42</x:f>
        <x:v>9382</x:v>
      </x:c>
      <x:c r="H15" s="51" t="n">
        <x:f>'Historical Inputs'!H42</x:f>
        <x:v>12530</x:v>
      </x:c>
      <x:c r="I15" s="51" t="n">
        <x:f>'Historical Inputs'!I42</x:f>
        <x:v>15163</x:v>
      </x:c>
      <x:c r="J15" s="51" t="n">
        <x:f>'Historical Inputs'!J42</x:f>
        <x:v>19000</x:v>
      </x:c>
      <x:c r="K15" s="51" t="n">
        <x:f>'Historical Inputs'!K42</x:f>
        <x:v>18095</x:v>
      </x:c>
      <x:c r="L15" s="51" t="n">
        <x:f>'Historical Inputs'!L42</x:f>
        <x:v>21996</x:v>
      </x:c>
      <x:c r="M15" s="51" t="n">
        <x:f>'Historical Inputs'!M42</x:f>
        <x:v>27724</x:v>
      </x:c>
      <x:c r="N15" s="51" t="n">
        <x:f>'Historical Inputs'!N42</x:f>
        <x:v>42416</x:v>
      </x:c>
      <x:c r="O15" s="57" t="n">
        <x:f>SUM(O13:O14)</x:f>
        <x:v>43396.82385049379</x:v>
      </x:c>
      <x:c r="P15" s="57" t="n">
        <x:f>SUM(P13:P14)</x:f>
        <x:v>45831.880185966715</x:v>
      </x:c>
      <x:c r="Q15" s="57" t="n">
        <x:f>SUM(Q13:Q14)</x:f>
        <x:v>48762.2663039591</x:v>
      </x:c>
      <x:c r="R15" s="57" t="n">
        <x:f>SUM(R13:R14)</x:f>
        <x:v>51263.4626621842</x:v>
      </x:c>
      <x:c r="S15" s="57" t="n">
        <x:f>SUM(S13:S14)</x:f>
        <x:v>54212.19889011545</x:v>
      </x:c>
      <x:c r="T15" s="2"/>
      <x:c r="U15" s="2"/>
    </x:row>
    <x:row r="16" ht="21" customHeight="1">
      <x:c r="A16" s="2"/>
      <x:c r="B16" s="2"/>
      <x:c r="C16" s="2" t="str">
        <x:v>Operating payable days</x:v>
      </x:c>
      <x:c r="D16" s="2"/>
      <x:c r="E16" s="59" t="str">
        <x:f>"n.a."</x:f>
        <x:v>n.a.</x:v>
      </x:c>
      <x:c r="F16" s="59" t="str">
        <x:f>"n.a."</x:f>
        <x:v>n.a.</x:v>
      </x:c>
      <x:c r="G16" s="59" t="str">
        <x:f>"n.a."</x:f>
        <x:v>n.a.</x:v>
      </x:c>
      <x:c r="H16" s="59" t="str">
        <x:f>"n.a."</x:f>
        <x:v>n.a.</x:v>
      </x:c>
      <x:c r="I16" s="59" t="str">
        <x:f>"n.a."</x:f>
        <x:v>n.a.</x:v>
      </x:c>
      <x:c r="J16" s="59" t="str">
        <x:f>"n.a."</x:f>
        <x:v>n.a.</x:v>
      </x:c>
      <x:c r="K16" s="59" t="str">
        <x:f>"n.a."</x:f>
        <x:v>n.a.</x:v>
      </x:c>
      <x:c r="L16" s="59" t="str">
        <x:f>"n.a."</x:f>
        <x:v>n.a.</x:v>
      </x:c>
      <x:c r="M16" s="59" t="str">
        <x:f>"n.a."</x:f>
        <x:v>n.a.</x:v>
      </x:c>
      <x:c r="N16" s="59" t="n">
        <x:f>N13/N12*365</x:f>
        <x:v>53.92614736683777</x:v>
      </x:c>
      <x:c r="O16" s="59" t="n">
        <x:f>O13/O12*365</x:f>
        <x:v>53.926147366837775</x:v>
      </x:c>
      <x:c r="P16" s="59" t="n">
        <x:f>P13/P12*365</x:f>
        <x:v>53.92614736683777</x:v>
      </x:c>
      <x:c r="Q16" s="59" t="n">
        <x:f>Q13/Q12*365</x:f>
        <x:v>53.926147366837775</x:v>
      </x:c>
      <x:c r="R16" s="59" t="n">
        <x:f>R13/R12*365</x:f>
        <x:v>53.92614736683775</x:v>
      </x:c>
      <x:c r="S16" s="59" t="n">
        <x:f>S13/S12*365</x:f>
        <x:v>53.92614736683777</x:v>
      </x:c>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t="str">
        <x:v>Other current assets</x:v>
      </x:c>
      <x:c r="D18" s="2"/>
      <x:c r="E18" s="51" t="n">
        <x:f>'Historical Inputs'!E33</x:f>
        <x:v>5103</x:v>
      </x:c>
      <x:c r="F18" s="51" t="n">
        <x:f>'Historical Inputs'!F33</x:f>
        <x:v>6751</x:v>
      </x:c>
      <x:c r="G18" s="51" t="n">
        <x:f>'Historical Inputs'!G33</x:f>
        <x:v>10146</x:v>
      </x:c>
      <x:c r="H18" s="51" t="n">
        <x:f>'Historical Inputs'!H33</x:f>
        <x:v>11482</x:v>
      </x:c>
      <x:c r="I18" s="51" t="n">
        <x:f>'Historical Inputs'!I33</x:f>
        <x:v>13393</x:v>
      </x:c>
      <x:c r="J18" s="51" t="n">
        <x:f>'Historical Inputs'!J33</x:f>
        <x:v>16924</x:v>
      </x:c>
      <x:c r="K18" s="51" t="n">
        <x:f>'Historical Inputs'!K33</x:f>
        <x:v>21807</x:v>
      </x:c>
      <x:c r="L18" s="51" t="n">
        <x:f>'Historical Inputs'!L33</x:f>
        <x:v>26021</x:v>
      </x:c>
      <x:c r="M18" s="51" t="n">
        <x:f>'Historical Inputs'!M33</x:f>
        <x:v>25723</x:v>
      </x:c>
      <x:c r="N18" s="51" t="n">
        <x:f>'Historical Inputs'!N33</x:f>
        <x:v>48594</x:v>
      </x:c>
      <x:c r="O18" s="51" t="n">
        <x:f>'Income Statement'!O8*'Assumptions'!O81</x:f>
        <x:v>51981.58800000001</x:v>
      </x:c>
      <x:c r="P18" s="51" t="n">
        <x:f>'Income Statement'!P8*'Assumptions'!P81</x:f>
        <x:v>55559.68030000001</x:v>
      </x:c>
      <x:c r="Q18" s="51" t="n">
        <x:f>'Income Statement'!Q8*'Assumptions'!Q81</x:f>
        <x:v>61070.67797184</x:v>
      </x:c>
      <x:c r="R18" s="51" t="n">
        <x:f>'Income Statement'!R8*'Assumptions'!R81</x:f>
        <x:v>66389.70296580001</x:v>
      </x:c>
      <x:c r="S18" s="51" t="n">
        <x:f>'Income Statement'!S8*'Assumptions'!S81</x:f>
        <x:v>71291.78660932627</x:v>
      </x:c>
      <x:c r="T18" s="2"/>
      <x:c r="U18" s="2"/>
    </x:row>
    <x:row r="19" ht="21" customHeight="1">
      <x:c r="A19" s="2"/>
      <x:c r="B19" s="2"/>
      <x:c r="C19" s="2" t="str">
        <x:v>Accrued compensation</x:v>
      </x:c>
      <x:c r="D19" s="2"/>
      <x:c r="E19" s="51" t="n">
        <x:f>'Historical Inputs'!E44</x:f>
        <x:v>5819</x:v>
      </x:c>
      <x:c r="F19" s="51" t="n">
        <x:f>'Historical Inputs'!F44</x:f>
        <x:v>6103</x:v>
      </x:c>
      <x:c r="G19" s="51" t="n">
        <x:f>'Historical Inputs'!G44</x:f>
        <x:v>6830</x:v>
      </x:c>
      <x:c r="H19" s="51" t="n">
        <x:f>'Historical Inputs'!H44</x:f>
        <x:v>7874</x:v>
      </x:c>
      <x:c r="I19" s="51" t="n">
        <x:f>'Historical Inputs'!I44</x:f>
        <x:v>10057</x:v>
      </x:c>
      <x:c r="J19" s="51" t="n">
        <x:f>'Historical Inputs'!J44</x:f>
        <x:v>10661</x:v>
      </x:c>
      <x:c r="K19" s="51" t="n">
        <x:f>'Historical Inputs'!K44</x:f>
        <x:v>11009</x:v>
      </x:c>
      <x:c r="L19" s="51" t="n">
        <x:f>'Historical Inputs'!L44</x:f>
        <x:v>12564</x:v>
      </x:c>
      <x:c r="M19" s="51" t="n">
        <x:f>'Historical Inputs'!M44</x:f>
        <x:v>13709</x:v>
      </x:c>
      <x:c r="N19" s="51" t="n">
        <x:f>'Historical Inputs'!N44</x:f>
        <x:v>14945</x:v>
      </x:c>
      <x:c r="O19" s="51" t="n">
        <x:f>'Income Statement'!O8*'Assumptions'!O85</x:f>
        <x:v>17341.40446421307</x:v>
      </x:c>
      <x:c r="P19" s="51" t="n">
        <x:f>'Income Statement'!P8*'Assumptions'!P85</x:f>
        <x:v>20017.88631435124</x:v>
      </x:c>
      <x:c r="Q19" s="51" t="n">
        <x:f>'Income Statement'!Q8*'Assumptions'!Q85</x:f>
        <x:v>22920.283689006537</x:v>
      </x:c>
      <x:c r="R19" s="51" t="n">
        <x:f>'Income Statement'!R8*'Assumptions'!R85</x:f>
        <x:v>25999.8821016499</x:v>
      </x:c>
      <x:c r="S19" s="51" t="n">
        <x:f>'Income Statement'!S8*'Assumptions'!S85</x:f>
        <x:v>29188.73722378462</x:v>
      </x:c>
      <x:c r="T19" s="2"/>
      <x:c r="U19" s="2"/>
    </x:row>
    <x:row r="20" ht="21" customHeight="1">
      <x:c r="A20" s="2"/>
      <x:c r="B20" s="2"/>
      <x:c r="C20" s="2" t="str">
        <x:v>Current unearned revenue</x:v>
      </x:c>
      <x:c r="D20" s="2"/>
      <x:c r="E20" s="51" t="n">
        <x:f>'Historical Inputs'!E46</x:f>
        <x:v>24013</x:v>
      </x:c>
      <x:c r="F20" s="51" t="n">
        <x:f>'Historical Inputs'!F46</x:f>
        <x:v>28905</x:v>
      </x:c>
      <x:c r="G20" s="51" t="n">
        <x:f>'Historical Inputs'!G46</x:f>
        <x:v>32676</x:v>
      </x:c>
      <x:c r="H20" s="51" t="n">
        <x:f>'Historical Inputs'!H46</x:f>
        <x:v>36000</x:v>
      </x:c>
      <x:c r="I20" s="51" t="n">
        <x:f>'Historical Inputs'!I46</x:f>
        <x:v>41525</x:v>
      </x:c>
      <x:c r="J20" s="51" t="n">
        <x:f>'Historical Inputs'!J46</x:f>
        <x:v>45538</x:v>
      </x:c>
      <x:c r="K20" s="51" t="n">
        <x:f>'Historical Inputs'!K46</x:f>
        <x:v>50901</x:v>
      </x:c>
      <x:c r="L20" s="51" t="n">
        <x:f>'Historical Inputs'!L46</x:f>
        <x:v>57582</x:v>
      </x:c>
      <x:c r="M20" s="51" t="n">
        <x:f>'Historical Inputs'!M46</x:f>
        <x:v>64555</x:v>
      </x:c>
      <x:c r="N20" s="51" t="n">
        <x:f>'Historical Inputs'!N46</x:f>
        <x:v>72965</x:v>
      </x:c>
      <x:c r="O20" s="51" t="n">
        <x:f>'Income Statement'!O8*'Assumptions'!O89</x:f>
        <x:v>84664.80941661469</x:v>
      </x:c>
      <x:c r="P20" s="51" t="n">
        <x:f>'Income Statement'!P8*'Assumptions'!P89</x:f>
        <x:v>97732.0224106148</x:v>
      </x:c>
      <x:c r="Q20" s="51" t="n">
        <x:f>'Income Statement'!Q8*'Assumptions'!Q89</x:f>
        <x:v>111902.20805408912</x:v>
      </x:c>
      <x:c r="R20" s="51" t="n">
        <x:f>'Income Statement'!R8*'Assumptions'!R89</x:f>
        <x:v>126937.53078266208</x:v>
      </x:c>
      <x:c r="S20" s="51" t="n">
        <x:f>'Income Statement'!S8*'Assumptions'!S89</x:f>
        <x:v>142506.27042712911</x:v>
      </x:c>
      <x:c r="T20" s="2"/>
      <x:c r="U20" s="2"/>
    </x:row>
    <x:row r="21" ht="21" customHeight="1">
      <x:c r="A21" s="2"/>
      <x:c r="B21" s="2"/>
      <x:c r="C21" s="2" t="str">
        <x:v>Other current liabilities excluding leases</x:v>
      </x:c>
      <x:c r="D21" s="2"/>
      <x:c r="E21" s="17" t="str">
        <x:v>n.a.</x:v>
      </x:c>
      <x:c r="F21" s="17" t="str">
        <x:v>n.a.</x:v>
      </x:c>
      <x:c r="G21" s="17" t="str">
        <x:v>n.a.</x:v>
      </x:c>
      <x:c r="H21" s="17" t="str">
        <x:v>n.a.</x:v>
      </x:c>
      <x:c r="I21" s="17" t="str">
        <x:v>n.a.</x:v>
      </x:c>
      <x:c r="J21" s="17" t="str">
        <x:v>n.a.</x:v>
      </x:c>
      <x:c r="K21" s="17" t="str">
        <x:v>n.a.</x:v>
      </x:c>
      <x:c r="L21" s="17" t="str">
        <x:v>n.a.</x:v>
      </x:c>
      <x:c r="M21" s="17" t="str">
        <x:v>n.a.</x:v>
      </x:c>
      <x:c r="N21" s="51" t="n">
        <x:f>'Historical Inputs'!N47-'Filing Notes'!N28-'Filing Notes'!N29</x:f>
        <x:v>17055</x:v>
      </x:c>
      <x:c r="O21" s="51" t="n">
        <x:f>'Income Statement'!O8*'Assumptions'!O93</x:f>
        <x:v>19789.739253071522</x:v>
      </x:c>
      <x:c r="P21" s="51" t="n">
        <x:f>'Income Statement'!P8*'Assumptions'!P93</x:f>
        <x:v>22844.098433674164</x:v>
      </x:c>
      <x:c r="Q21" s="51" t="n">
        <x:f>'Income Statement'!Q8*'Assumptions'!Q93</x:f>
        <x:v>26156.268873603647</x:v>
      </x:c>
      <x:c r="R21" s="51" t="n">
        <x:f>'Income Statement'!R8*'Assumptions'!R93</x:f>
        <x:v>29670.658363575716</x:v>
      </x:c>
      <x:c r="S21" s="51" t="n">
        <x:f>'Income Statement'!S8*'Assumptions'!S93</x:f>
        <x:v>33309.729899742175</x:v>
      </x:c>
      <x:c r="T21" s="2"/>
      <x:c r="U21" s="2"/>
    </x:row>
    <x:row r="22" ht="21" customHeight="1">
      <x:c r="A22" s="2"/>
      <x:c r="B22" s="2"/>
      <x:c r="C22" s="2" t="str">
        <x:v>Current income tax liabilities</x:v>
      </x:c>
      <x:c r="D22" s="2"/>
      <x:c r="E22" s="51" t="n">
        <x:f>'Historical Inputs'!E45</x:f>
        <x:v>718</x:v>
      </x:c>
      <x:c r="F22" s="51" t="n">
        <x:f>'Historical Inputs'!F45</x:f>
        <x:v>2121</x:v>
      </x:c>
      <x:c r="G22" s="51" t="n">
        <x:f>'Historical Inputs'!G45</x:f>
        <x:v>5665</x:v>
      </x:c>
      <x:c r="H22" s="51" t="n">
        <x:f>'Historical Inputs'!H45</x:f>
        <x:v>2130</x:v>
      </x:c>
      <x:c r="I22" s="51" t="n">
        <x:f>'Historical Inputs'!I45</x:f>
        <x:v>2174</x:v>
      </x:c>
      <x:c r="J22" s="51" t="n">
        <x:f>'Historical Inputs'!J45</x:f>
        <x:v>4067</x:v>
      </x:c>
      <x:c r="K22" s="51" t="n">
        <x:f>'Historical Inputs'!K45</x:f>
        <x:v>4152</x:v>
      </x:c>
      <x:c r="L22" s="51" t="n">
        <x:f>'Historical Inputs'!L45</x:f>
        <x:v>5017</x:v>
      </x:c>
      <x:c r="M22" s="51" t="n">
        <x:f>'Historical Inputs'!M45</x:f>
        <x:v>7211</x:v>
      </x:c>
      <x:c r="N22" s="51" t="n">
        <x:f>'Historical Inputs'!N45</x:f>
        <x:v>2534</x:v>
      </x:c>
      <x:c r="O22" s="51" t="n">
        <x:f>'Balance Sheet'!N28</x:f>
        <x:v>2534</x:v>
      </x:c>
      <x:c r="P22" s="51" t="n">
        <x:f>'Balance Sheet'!O28</x:f>
        <x:v>2534</x:v>
      </x:c>
      <x:c r="Q22" s="51" t="n">
        <x:f>'Balance Sheet'!P28</x:f>
        <x:v>2534</x:v>
      </x:c>
      <x:c r="R22" s="51" t="n">
        <x:f>'Balance Sheet'!Q28</x:f>
        <x:v>2534</x:v>
      </x:c>
      <x:c r="S22" s="51" t="n">
        <x:f>'Balance Sheet'!R28</x:f>
        <x:v>2534</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t="str">
        <x:v>Other long-term assets</x:v>
      </x:c>
      <x:c r="D24" s="2"/>
      <x:c r="E24" s="51" t="n">
        <x:f>'Historical Inputs'!E40</x:f>
        <x:v>6076</x:v>
      </x:c>
      <x:c r="F24" s="51" t="n">
        <x:f>'Historical Inputs'!F40</x:f>
        <x:v>7442</x:v>
      </x:c>
      <x:c r="G24" s="51" t="n">
        <x:f>'Historical Inputs'!G40</x:f>
        <x:v>14723</x:v>
      </x:c>
      <x:c r="H24" s="51" t="n">
        <x:f>'Historical Inputs'!H40</x:f>
        <x:v>13138</x:v>
      </x:c>
      <x:c r="I24" s="51" t="n">
        <x:f>'Historical Inputs'!I40</x:f>
        <x:v>15075</x:v>
      </x:c>
      <x:c r="J24" s="51" t="n">
        <x:f>'Historical Inputs'!J40</x:f>
        <x:v>21897</x:v>
      </x:c>
      <x:c r="K24" s="51" t="n">
        <x:f>'Historical Inputs'!K40</x:f>
        <x:v>30601</x:v>
      </x:c>
      <x:c r="L24" s="51" t="n">
        <x:f>'Historical Inputs'!L40</x:f>
        <x:v>36460</x:v>
      </x:c>
      <x:c r="M24" s="51" t="n">
        <x:f>'Historical Inputs'!M40</x:f>
        <x:v>40565</x:v>
      </x:c>
      <x:c r="N24" s="51" t="n">
        <x:f>'Historical Inputs'!N40</x:f>
        <x:v>38805</x:v>
      </x:c>
      <x:c r="O24" s="51" t="n">
        <x:f>'Income Statement'!O8*'Assumptions'!O97</x:f>
        <x:v>45027.31349841339</x:v>
      </x:c>
      <x:c r="P24" s="51" t="n">
        <x:f>'Income Statement'!P8*'Assumptions'!P97</x:f>
        <x:v>51976.85369209768</x:v>
      </x:c>
      <x:c r="Q24" s="51" t="n">
        <x:f>'Income Statement'!Q8*'Assumptions'!Q97</x:f>
        <x:v>59512.98819350275</x:v>
      </x:c>
      <x:c r="R24" s="51" t="n">
        <x:f>'Income Statement'!R8*'Assumptions'!R97</x:f>
        <x:v>67509.22883603374</x:v>
      </x:c>
      <x:c r="S24" s="51" t="n">
        <x:f>'Income Statement'!S8*'Assumptions'!S97</x:f>
        <x:v>75789.15677276428</x:v>
      </x:c>
      <x:c r="T24" s="2"/>
      <x:c r="U24" s="2"/>
    </x:row>
    <x:row r="25" ht="21" customHeight="1">
      <x:c r="A25" s="2"/>
      <x:c r="B25" s="2"/>
      <x:c r="C25" s="2" t="str">
        <x:v>Long-term income taxes</x:v>
      </x:c>
      <x:c r="D25" s="2"/>
      <x:c r="E25" s="51" t="n">
        <x:f>'Historical Inputs'!E50</x:f>
        <x:v>13485</x:v>
      </x:c>
      <x:c r="F25" s="51" t="n">
        <x:f>'Historical Inputs'!F50</x:f>
        <x:v>30265</x:v>
      </x:c>
      <x:c r="G25" s="51" t="n">
        <x:f>'Historical Inputs'!G50</x:f>
        <x:v>29612</x:v>
      </x:c>
      <x:c r="H25" s="51" t="n">
        <x:f>'Historical Inputs'!H50</x:f>
        <x:v>29432</x:v>
      </x:c>
      <x:c r="I25" s="51" t="n">
        <x:f>'Historical Inputs'!I50</x:f>
        <x:v>27190</x:v>
      </x:c>
      <x:c r="J25" s="51" t="n">
        <x:f>'Historical Inputs'!J50</x:f>
        <x:v>26069</x:v>
      </x:c>
      <x:c r="K25" s="51" t="n">
        <x:f>'Historical Inputs'!K50</x:f>
        <x:v>25560</x:v>
      </x:c>
      <x:c r="L25" s="51" t="n">
        <x:f>'Historical Inputs'!L50</x:f>
        <x:v>27931</x:v>
      </x:c>
      <x:c r="M25" s="51" t="n">
        <x:f>'Historical Inputs'!M50</x:f>
        <x:v>25986</x:v>
      </x:c>
      <x:c r="N25" s="51" t="n">
        <x:f>'Historical Inputs'!N50</x:f>
        <x:v>28647</x:v>
      </x:c>
      <x:c r="O25" s="51" t="n">
        <x:f>'Income Statement'!O8*'Assumptions'!O101</x:f>
        <x:v>33240.49606465786</x:v>
      </x:c>
      <x:c r="P25" s="51" t="n">
        <x:f>'Income Statement'!P8*'Assumptions'!P101</x:f>
        <x:v>38370.852408646366</x:v>
      </x:c>
      <x:c r="Q25" s="51" t="n">
        <x:f>'Income Statement'!Q8*'Assumptions'!Q101</x:f>
        <x:v>43934.250039409184</x:v>
      </x:c>
      <x:c r="R25" s="51" t="n">
        <x:f>'Income Statement'!R8*'Assumptions'!R101</x:f>
        <x:v>49837.31164710369</x:v>
      </x:c>
      <x:c r="S25" s="51" t="n">
        <x:f>'Income Statement'!S8*'Assumptions'!S101</x:f>
        <x:v>55949.799615239746</x:v>
      </x:c>
      <x:c r="T25" s="2"/>
      <x:c r="U25" s="2"/>
    </x:row>
    <x:row r="26" ht="21" customHeight="1">
      <x:c r="A26" s="2"/>
      <x:c r="B26" s="2"/>
      <x:c r="C26" s="2" t="str">
        <x:v>Long-term unearned revenue</x:v>
      </x:c>
      <x:c r="D26" s="2"/>
      <x:c r="E26" s="51" t="n">
        <x:f>'Historical Inputs'!E51</x:f>
        <x:v>2643</x:v>
      </x:c>
      <x:c r="F26" s="51" t="n">
        <x:f>'Historical Inputs'!F51</x:f>
        <x:v>3815</x:v>
      </x:c>
      <x:c r="G26" s="51" t="n">
        <x:f>'Historical Inputs'!G51</x:f>
        <x:v>4530</x:v>
      </x:c>
      <x:c r="H26" s="51" t="n">
        <x:f>'Historical Inputs'!H51</x:f>
        <x:v>3180</x:v>
      </x:c>
      <x:c r="I26" s="51" t="n">
        <x:f>'Historical Inputs'!I51</x:f>
        <x:v>2616</x:v>
      </x:c>
      <x:c r="J26" s="51" t="n">
        <x:f>'Historical Inputs'!J51</x:f>
        <x:v>2870</x:v>
      </x:c>
      <x:c r="K26" s="51" t="n">
        <x:f>'Historical Inputs'!K51</x:f>
        <x:v>2912</x:v>
      </x:c>
      <x:c r="L26" s="51" t="n">
        <x:f>'Historical Inputs'!L51</x:f>
        <x:v>2602</x:v>
      </x:c>
      <x:c r="M26" s="51" t="n">
        <x:f>'Historical Inputs'!M51</x:f>
        <x:v>2710</x:v>
      </x:c>
      <x:c r="N26" s="51" t="n">
        <x:f>'Historical Inputs'!N51</x:f>
        <x:v>2747</x:v>
      </x:c>
      <x:c r="O26" s="51" t="n">
        <x:f>'Income Statement'!O8*'Assumptions'!O105</x:f>
        <x:v>3187.476618480649</x:v>
      </x:c>
      <x:c r="P26" s="51" t="n">
        <x:f>'Income Statement'!P8*'Assumptions'!P105</x:f>
        <x:v>3679.433503213306</x:v>
      </x:c>
      <x:c r="Q26" s="51" t="n">
        <x:f>'Income Statement'!Q8*'Assumptions'!Q105</x:f>
        <x:v>4212.915309046568</x:v>
      </x:c>
      <x:c r="R26" s="51" t="n">
        <x:f>'Income Statement'!R8*'Assumptions'!R105</x:f>
        <x:v>4778.967958061711</x:v>
      </x:c>
      <x:c r="S26" s="51" t="n">
        <x:f>'Income Statement'!S8*'Assumptions'!S105</x:f>
        <x:v>5365.102787135253</x:v>
      </x:c>
      <x:c r="T26" s="2"/>
      <x:c r="U26" s="2"/>
    </x:row>
    <x:row r="27" ht="21" customHeight="1">
      <x:c r="A27" s="2"/>
      <x:c r="B27" s="2"/>
      <x:c r="C27" s="2" t="str">
        <x:v>Deferred tax liabilities</x:v>
      </x:c>
      <x:c r="D27" s="2"/>
      <x:c r="E27" s="51" t="n">
        <x:f>'Historical Inputs'!E52</x:f>
        <x:v>5734</x:v>
      </x:c>
      <x:c r="F27" s="51" t="n">
        <x:f>'Historical Inputs'!F52</x:f>
        <x:v>541</x:v>
      </x:c>
      <x:c r="G27" s="51" t="n">
        <x:f>'Historical Inputs'!G52</x:f>
        <x:v>233</x:v>
      </x:c>
      <x:c r="H27" s="51" t="n">
        <x:f>'Historical Inputs'!H52</x:f>
        <x:v>204</x:v>
      </x:c>
      <x:c r="I27" s="51" t="n">
        <x:f>'Historical Inputs'!I52</x:f>
        <x:v>198</x:v>
      </x:c>
      <x:c r="J27" s="51" t="n">
        <x:f>'Historical Inputs'!J52</x:f>
        <x:v>230</x:v>
      </x:c>
      <x:c r="K27" s="51" t="n">
        <x:f>'Historical Inputs'!K52</x:f>
        <x:v>433</x:v>
      </x:c>
      <x:c r="L27" s="51" t="n">
        <x:f>'Historical Inputs'!L52</x:f>
        <x:v>2618</x:v>
      </x:c>
      <x:c r="M27" s="51" t="n">
        <x:f>'Historical Inputs'!M52</x:f>
        <x:v>2835</x:v>
      </x:c>
      <x:c r="N27" s="51" t="n">
        <x:f>'Historical Inputs'!N52</x:f>
        <x:v>3054</x:v>
      </x:c>
      <x:c r="O27" s="51" t="n">
        <x:f>'Income Statement'!O8*'Assumptions'!O113</x:f>
        <x:v>3543.703528518348</x:v>
      </x:c>
      <x:c r="P27" s="51" t="n">
        <x:f>'Income Statement'!P8*'Assumptions'!P113</x:f>
        <x:v>4090.6406693896743</x:v>
      </x:c>
      <x:c r="Q27" s="51" t="n">
        <x:f>'Income Statement'!Q8*'Assumptions'!Q113</x:f>
        <x:v>4683.743485194109</x:v>
      </x:c>
      <x:c r="R27" s="51" t="n">
        <x:f>'Income Statement'!R8*'Assumptions'!R113</x:f>
        <x:v>5313.05720564997</x:v>
      </x:c>
      <x:c r="S27" s="51" t="n">
        <x:f>'Income Statement'!S8*'Assumptions'!S113</x:f>
        <x:v>5964.697456101588</x:v>
      </x:c>
      <x:c r="T27" s="2"/>
      <x:c r="U27" s="2"/>
    </x:row>
    <x:row r="28" ht="32" customHeight="1">
      <x:c r="A28" s="2"/>
      <x:c r="B28" s="2"/>
      <x:c r="C28" s="23" t="str">
        <x:v>Other long-term liabilities excluding finance leases</x:v>
      </x:c>
      <x:c r="D28" s="2"/>
      <x:c r="E28" s="17" t="str">
        <x:v>n.a.</x:v>
      </x:c>
      <x:c r="F28" s="17" t="str">
        <x:v>n.a.</x:v>
      </x:c>
      <x:c r="G28" s="17" t="str">
        <x:v>n.a.</x:v>
      </x:c>
      <x:c r="H28" s="17" t="str">
        <x:v>n.a.</x:v>
      </x:c>
      <x:c r="I28" s="17" t="str">
        <x:v>n.a.</x:v>
      </x:c>
      <x:c r="J28" s="17" t="str">
        <x:v>n.a.</x:v>
      </x:c>
      <x:c r="K28" s="17" t="str">
        <x:v>n.a.</x:v>
      </x:c>
      <x:c r="L28" s="17" t="str">
        <x:v>n.a.</x:v>
      </x:c>
      <x:c r="M28" s="17" t="str">
        <x:v>n.a.</x:v>
      </x:c>
      <x:c r="N28" s="51" t="n">
        <x:f>'Historical Inputs'!N54-'Filing Notes'!N30</x:f>
        <x:v>2813</x:v>
      </x:c>
      <x:c r="O28" s="51" t="n">
        <x:f>'Income Statement'!O8*'Assumptions'!O109</x:f>
        <x:v>3264.0596023975486</x:v>
      </x:c>
      <x:c r="P28" s="51" t="n">
        <x:f>'Income Statement'!P8*'Assumptions'!P109</x:f>
        <x:v>3767.836346756108</x:v>
      </x:c>
      <x:c r="Q28" s="51" t="n">
        <x:f>'Income Statement'!Q8*'Assumptions'!Q109</x:f>
        <x:v>4314.135698706951</x:v>
      </x:c>
      <x:c r="R28" s="51" t="n">
        <x:f>'Income Statement'!R8*'Assumptions'!R109</x:f>
        <x:v>4893.78844777124</x:v>
      </x:c>
      <x:c r="S28" s="51" t="n">
        <x:f>'Income Statement'!S8*'Assumptions'!S109</x:f>
        <x:v>5494.005875577527</x:v>
      </x:c>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t="str">
        <x:v>Receivables cash effect</x:v>
      </x:c>
      <x:c r="D31" s="2"/>
      <x:c r="E31" s="51" t="n">
        <x:f>'Historical Inputs'!E71</x:f>
        <x:v>-1216</x:v>
      </x:c>
      <x:c r="F31" s="51" t="n">
        <x:f>'Historical Inputs'!F71</x:f>
        <x:v>-3862</x:v>
      </x:c>
      <x:c r="G31" s="51" t="n">
        <x:f>'Historical Inputs'!G71</x:f>
        <x:v>-2812</x:v>
      </x:c>
      <x:c r="H31" s="51" t="n">
        <x:f>'Historical Inputs'!H71</x:f>
        <x:v>-2577</x:v>
      </x:c>
      <x:c r="I31" s="51" t="n">
        <x:f>'Historical Inputs'!I71</x:f>
        <x:v>-6481</x:v>
      </x:c>
      <x:c r="J31" s="51" t="n">
        <x:f>'Historical Inputs'!J71</x:f>
        <x:v>-6834</x:v>
      </x:c>
      <x:c r="K31" s="51" t="n">
        <x:f>'Historical Inputs'!K71</x:f>
        <x:v>-4087</x:v>
      </x:c>
      <x:c r="L31" s="51" t="n">
        <x:f>'Historical Inputs'!L71</x:f>
        <x:v>-7191</x:v>
      </x:c>
      <x:c r="M31" s="51" t="n">
        <x:f>'Historical Inputs'!M71</x:f>
        <x:v>-10581</x:v>
      </x:c>
      <x:c r="N31" s="51" t="n">
        <x:f>'Historical Inputs'!N71</x:f>
        <x:v>-12737</x:v>
      </x:c>
      <x:c r="O31" s="51" t="n">
        <x:f>'Balance Sheet'!N11-O8</x:f>
        <x:v>-12968.324352472147</x:v>
      </x:c>
      <x:c r="P31" s="51" t="n">
        <x:f>'Balance Sheet'!O11-P8</x:f>
        <x:v>-14483.984350068553</x:v>
      </x:c>
      <x:c r="Q31" s="51" t="n">
        <x:f>'Balance Sheet'!P11-Q8</x:f>
        <x:v>-15706.543330386223</x:v>
      </x:c>
      <x:c r="R31" s="51" t="n">
        <x:f>'Balance Sheet'!Q11-R8</x:f>
        <x:v>-16665.48017537268</x:v>
      </x:c>
      <x:c r="S31" s="51" t="n">
        <x:f>'Balance Sheet'!R11-S8</x:f>
        <x:v>-17256.731138023926</x:v>
      </x:c>
      <x:c r="T31" s="2"/>
      <x:c r="U31" s="2"/>
    </x:row>
    <x:row r="32" ht="21" customHeight="1">
      <x:c r="A32" s="2"/>
      <x:c r="B32" s="2"/>
      <x:c r="C32" s="2" t="str">
        <x:v>Inventories cash effect</x:v>
      </x:c>
      <x:c r="D32" s="2"/>
      <x:c r="E32" s="51" t="n">
        <x:f>'Historical Inputs'!E72</x:f>
        <x:v>50</x:v>
      </x:c>
      <x:c r="F32" s="51" t="n">
        <x:f>'Historical Inputs'!F72</x:f>
        <x:v>-465</x:v>
      </x:c>
      <x:c r="G32" s="51" t="n">
        <x:f>'Historical Inputs'!G72</x:f>
        <x:v>597</x:v>
      </x:c>
      <x:c r="H32" s="51" t="n">
        <x:f>'Historical Inputs'!H72</x:f>
        <x:v>168</x:v>
      </x:c>
      <x:c r="I32" s="51" t="n">
        <x:f>'Historical Inputs'!I72</x:f>
        <x:v>-737</x:v>
      </x:c>
      <x:c r="J32" s="51" t="n">
        <x:f>'Historical Inputs'!J72</x:f>
        <x:v>-1123</x:v>
      </x:c>
      <x:c r="K32" s="51" t="n">
        <x:f>'Historical Inputs'!K72</x:f>
        <x:v>1242</x:v>
      </x:c>
      <x:c r="L32" s="51" t="n">
        <x:f>'Historical Inputs'!L72</x:f>
        <x:v>1284</x:v>
      </x:c>
      <x:c r="M32" s="51" t="n">
        <x:f>'Historical Inputs'!M72</x:f>
        <x:v>309</x:v>
      </x:c>
      <x:c r="N32" s="51" t="n">
        <x:f>'Historical Inputs'!N72</x:f>
        <x:v>-461</x:v>
      </x:c>
      <x:c r="O32" s="51" t="n">
        <x:f>'Balance Sheet'!N12-O10</x:f>
        <x:v>-270.0221308691657</x:v>
      </x:c>
      <x:c r="P32" s="51" t="n">
        <x:f>'Balance Sheet'!O12-P10</x:f>
        <x:v>-415.69696262424077</x:v>
      </x:c>
      <x:c r="Q32" s="51" t="n">
        <x:f>'Balance Sheet'!P12-Q10</x:f>
        <x:v>-442.24317326726396</x:v>
      </x:c>
      <x:c r="R32" s="51" t="n">
        <x:f>'Balance Sheet'!Q12-R10</x:f>
        <x:v>-451.31337072975566</x:v>
      </x:c>
      <x:c r="S32" s="51" t="n">
        <x:f>'Balance Sheet'!R12-S10</x:f>
        <x:v>-460.0125586770855</x:v>
      </x:c>
      <x:c r="T32" s="2"/>
      <x:c r="U32" s="2"/>
    </x:row>
    <x:row r="33" ht="21" customHeight="1">
      <x:c r="A33" s="2"/>
      <x:c r="B33" s="2"/>
      <x:c r="C33" s="2" t="str">
        <x:v>Other current assets cash effect</x:v>
      </x:c>
      <x:c r="D33" s="2"/>
      <x:c r="E33" s="51" t="n">
        <x:f>'Historical Inputs'!E73</x:f>
        <x:v>1028</x:v>
      </x:c>
      <x:c r="F33" s="51" t="n">
        <x:f>'Historical Inputs'!F73</x:f>
        <x:v>-952</x:v>
      </x:c>
      <x:c r="G33" s="51" t="n">
        <x:f>'Historical Inputs'!G73</x:f>
        <x:v>-1718</x:v>
      </x:c>
      <x:c r="H33" s="51" t="n">
        <x:f>'Historical Inputs'!H73</x:f>
        <x:v>-2330</x:v>
      </x:c>
      <x:c r="I33" s="51" t="n">
        <x:f>'Historical Inputs'!I73</x:f>
        <x:v>-932</x:v>
      </x:c>
      <x:c r="J33" s="51" t="n">
        <x:f>'Historical Inputs'!J73</x:f>
        <x:v>-709</x:v>
      </x:c>
      <x:c r="K33" s="51" t="n">
        <x:f>'Historical Inputs'!K73</x:f>
        <x:v>-1991</x:v>
      </x:c>
      <x:c r="L33" s="51" t="n">
        <x:f>'Historical Inputs'!L73</x:f>
        <x:v>-1648</x:v>
      </x:c>
      <x:c r="M33" s="51" t="n">
        <x:f>'Historical Inputs'!M73</x:f>
        <x:v>-3044</x:v>
      </x:c>
      <x:c r="N33" s="51" t="n">
        <x:f>'Historical Inputs'!N73</x:f>
        <x:v>-2627</x:v>
      </x:c>
      <x:c r="O33" s="51" t="n">
        <x:f>'Balance Sheet'!N13-O18</x:f>
        <x:v>-3387.5880000000107</x:v>
      </x:c>
      <x:c r="P33" s="51" t="n">
        <x:f>'Balance Sheet'!O13-P18</x:f>
        <x:v>-3578.0922999999966</x:v>
      </x:c>
      <x:c r="Q33" s="51" t="n">
        <x:f>'Balance Sheet'!P13-Q18</x:f>
        <x:v>-5510.997671839992</x:v>
      </x:c>
      <x:c r="R33" s="51" t="n">
        <x:f>'Balance Sheet'!Q13-R18</x:f>
        <x:v>-5319.024993960011</x:v>
      </x:c>
      <x:c r="S33" s="51" t="n">
        <x:f>'Balance Sheet'!R13-S18</x:f>
        <x:v>-4902.083643526261</x:v>
      </x:c>
      <x:c r="T33" s="2"/>
      <x:c r="U33" s="2"/>
    </x:row>
    <x:row r="34" ht="21" customHeight="1">
      <x:c r="A34" s="2"/>
      <x:c r="B34" s="2"/>
      <x:c r="C34" s="2" t="str">
        <x:v>Other long-term assets cash effect</x:v>
      </x:c>
      <x:c r="D34" s="2"/>
      <x:c r="E34" s="51" t="n">
        <x:f>'Historical Inputs'!E74</x:f>
        <x:v>-917</x:v>
      </x:c>
      <x:c r="F34" s="51" t="n">
        <x:f>'Historical Inputs'!F74</x:f>
        <x:v>-285</x:v>
      </x:c>
      <x:c r="G34" s="51" t="n">
        <x:f>'Historical Inputs'!G74</x:f>
        <x:v>-1834</x:v>
      </x:c>
      <x:c r="H34" s="51" t="n">
        <x:f>'Historical Inputs'!H74</x:f>
        <x:v>-1037</x:v>
      </x:c>
      <x:c r="I34" s="51" t="n">
        <x:f>'Historical Inputs'!I74</x:f>
        <x:v>-3459</x:v>
      </x:c>
      <x:c r="J34" s="51" t="n">
        <x:f>'Historical Inputs'!J74</x:f>
        <x:v>-2805</x:v>
      </x:c>
      <x:c r="K34" s="51" t="n">
        <x:f>'Historical Inputs'!K74</x:f>
        <x:v>-2833</x:v>
      </x:c>
      <x:c r="L34" s="51" t="n">
        <x:f>'Historical Inputs'!L74</x:f>
        <x:v>-6817</x:v>
      </x:c>
      <x:c r="M34" s="51" t="n">
        <x:f>'Historical Inputs'!M74</x:f>
        <x:v>-2950</x:v>
      </x:c>
      <x:c r="N34" s="51" t="n">
        <x:f>'Historical Inputs'!N74</x:f>
        <x:v>-3964</x:v>
      </x:c>
      <x:c r="O34" s="51" t="n">
        <x:f>'Balance Sheet'!N21-O24</x:f>
        <x:v>-6222.313498413387</x:v>
      </x:c>
      <x:c r="P34" s="51" t="n">
        <x:f>'Balance Sheet'!O21-P24</x:f>
        <x:v>-6949.54019368429</x:v>
      </x:c>
      <x:c r="Q34" s="51" t="n">
        <x:f>'Balance Sheet'!P21-Q24</x:f>
        <x:v>-7536.134501405075</x:v>
      </x:c>
      <x:c r="R34" s="51" t="n">
        <x:f>'Balance Sheet'!Q21-R24</x:f>
        <x:v>-7996.240642530989</x:v>
      </x:c>
      <x:c r="S34" s="51" t="n">
        <x:f>'Balance Sheet'!R21-S24</x:f>
        <x:v>-8279.927936730543</x:v>
      </x:c>
      <x:c r="T34" s="2"/>
      <x:c r="U34" s="2"/>
    </x:row>
    <x:row r="35" ht="21" customHeight="1">
      <x:c r="A35" s="2"/>
      <x:c r="B35" s="2"/>
      <x:c r="C35" s="2" t="str">
        <x:v>Operating payables cash effect</x:v>
      </x:c>
      <x:c r="D35" s="2"/>
      <x:c r="E35" s="51" t="n">
        <x:f>'Historical Inputs'!E75</x:f>
        <x:v>81</x:v>
      </x:c>
      <x:c r="F35" s="51" t="n">
        <x:f>'Historical Inputs'!F75</x:f>
        <x:v>1148</x:v>
      </x:c>
      <x:c r="G35" s="51" t="n">
        <x:f>'Historical Inputs'!G75</x:f>
        <x:v>232</x:v>
      </x:c>
      <x:c r="H35" s="51" t="n">
        <x:f>'Historical Inputs'!H75</x:f>
        <x:v>3018</x:v>
      </x:c>
      <x:c r="I35" s="51" t="n">
        <x:f>'Historical Inputs'!I75</x:f>
        <x:v>2798</x:v>
      </x:c>
      <x:c r="J35" s="51" t="n">
        <x:f>'Historical Inputs'!J75</x:f>
        <x:v>2943</x:v>
      </x:c>
      <x:c r="K35" s="51" t="n">
        <x:f>'Historical Inputs'!K75</x:f>
        <x:v>-2721</x:v>
      </x:c>
      <x:c r="L35" s="51" t="n">
        <x:f>'Historical Inputs'!L75</x:f>
        <x:v>3545</x:v>
      </x:c>
      <x:c r="M35" s="51" t="n">
        <x:f>'Historical Inputs'!M75</x:f>
        <x:v>569</x:v>
      </x:c>
      <x:c r="N35" s="51" t="n">
        <x:f>'Historical Inputs'!N75</x:f>
        <x:v>5268</x:v>
      </x:c>
      <x:c r="O35" s="57" t="n">
        <x:f>O13-N13</x:f>
        <x:v>3037.7006504937817</x:v>
      </x:c>
      <x:c r="P35" s="57" t="n">
        <x:f>P13-O13</x:f>
        <x:v>4676.516438512932</x:v>
      </x:c>
      <x:c r="Q35" s="57" t="n">
        <x:f>Q13-P13</x:f>
        <x:v>4975.156557672388</x:v>
      </x:c>
      <x:c r="R35" s="57" t="n">
        <x:f>R13-Q13</x:f>
        <x:v>5077.194655969099</x:v>
      </x:c>
      <x:c r="S35" s="57" t="n">
        <x:f>S13-R13</x:f>
        <x:v>5175.0589636142395</x:v>
      </x:c>
      <x:c r="T35" s="2"/>
      <x:c r="U35" s="2"/>
    </x:row>
    <x:row r="36" ht="21" customHeight="1">
      <x:c r="A36" s="2"/>
      <x:c r="B36" s="2"/>
      <x:c r="C36" s="2" t="str">
        <x:v>Unearned revenue cash effect</x:v>
      </x:c>
      <x:c r="D36" s="2"/>
      <x:c r="E36" s="51" t="n">
        <x:f>'Historical Inputs'!E76</x:f>
        <x:v>3820</x:v>
      </x:c>
      <x:c r="F36" s="51" t="n">
        <x:f>'Historical Inputs'!F76</x:f>
        <x:v>5922</x:v>
      </x:c>
      <x:c r="G36" s="51" t="n">
        <x:f>'Historical Inputs'!G76</x:f>
        <x:v>4462</x:v>
      </x:c>
      <x:c r="H36" s="51" t="n">
        <x:f>'Historical Inputs'!H76</x:f>
        <x:v>2212</x:v>
      </x:c>
      <x:c r="I36" s="51" t="n">
        <x:f>'Historical Inputs'!I76</x:f>
        <x:v>4633</x:v>
      </x:c>
      <x:c r="J36" s="51" t="n">
        <x:f>'Historical Inputs'!J76</x:f>
        <x:v>5109</x:v>
      </x:c>
      <x:c r="K36" s="51" t="n">
        <x:f>'Historical Inputs'!K76</x:f>
        <x:v>5535</x:v>
      </x:c>
      <x:c r="L36" s="51" t="n">
        <x:f>'Historical Inputs'!L76</x:f>
        <x:v>5348</x:v>
      </x:c>
      <x:c r="M36" s="51" t="n">
        <x:f>'Historical Inputs'!M76</x:f>
        <x:v>5438</x:v>
      </x:c>
      <x:c r="N36" s="51" t="n">
        <x:f>'Historical Inputs'!N76</x:f>
        <x:v>9361</x:v>
      </x:c>
      <x:c r="O36" s="57" t="n">
        <x:f>O20+O26-N20-N26</x:f>
        <x:v>12140.286035095342</x:v>
      </x:c>
      <x:c r="P36" s="57" t="n">
        <x:f>P20+P26-O20-O26</x:f>
        <x:v>13559.169878732764</x:v>
      </x:c>
      <x:c r="Q36" s="57" t="n">
        <x:f>Q20+Q26-P20-P26</x:f>
        <x:v>14703.667449307588</x:v>
      </x:c>
      <x:c r="R36" s="57" t="n">
        <x:f>R20+R26-Q20-Q26</x:f>
        <x:v>15601.375377588107</x:v>
      </x:c>
      <x:c r="S36" s="57" t="n">
        <x:f>S20+S26-R20-R26</x:f>
        <x:v>16154.874473540574</x:v>
      </x:c>
      <x:c r="T36" s="2"/>
      <x:c r="U36" s="2"/>
    </x:row>
    <x:row r="37" ht="21" customHeight="1">
      <x:c r="A37" s="2"/>
      <x:c r="B37" s="2"/>
      <x:c r="C37" s="2" t="str">
        <x:v>Income tax liabilities cash effect</x:v>
      </x:c>
      <x:c r="D37" s="2"/>
      <x:c r="E37" s="51" t="n">
        <x:f>'Historical Inputs'!E77</x:f>
        <x:v>1792</x:v>
      </x:c>
      <x:c r="F37" s="51" t="n">
        <x:f>'Historical Inputs'!F77</x:f>
        <x:v>18183</x:v>
      </x:c>
      <x:c r="G37" s="51" t="n">
        <x:f>'Historical Inputs'!G77</x:f>
        <x:v>2929</x:v>
      </x:c>
      <x:c r="H37" s="51" t="n">
        <x:f>'Historical Inputs'!H77</x:f>
        <x:v>-3631</x:v>
      </x:c>
      <x:c r="I37" s="51" t="n">
        <x:f>'Historical Inputs'!I77</x:f>
        <x:v>-2309</x:v>
      </x:c>
      <x:c r="J37" s="51" t="n">
        <x:f>'Historical Inputs'!J77</x:f>
        <x:v>696</x:v>
      </x:c>
      <x:c r="K37" s="51" t="n">
        <x:f>'Historical Inputs'!K77</x:f>
        <x:v>-358</x:v>
      </x:c>
      <x:c r="L37" s="51" t="n">
        <x:f>'Historical Inputs'!L77</x:f>
        <x:v>1687</x:v>
      </x:c>
      <x:c r="M37" s="51" t="n">
        <x:f>'Historical Inputs'!M77</x:f>
        <x:v>-38</x:v>
      </x:c>
      <x:c r="N37" s="51" t="n">
        <x:f>'Historical Inputs'!N77</x:f>
        <x:v>-1875</x:v>
      </x:c>
      <x:c r="O37" s="57" t="n">
        <x:f>O22+O25-N22-N25</x:f>
        <x:v>4593.496064657862</x:v>
      </x:c>
      <x:c r="P37" s="57" t="n">
        <x:f>P22+P25-O22-O25</x:f>
        <x:v>5130.356343988504</x:v>
      </x:c>
      <x:c r="Q37" s="57" t="n">
        <x:f>Q22+Q25-P22-P25</x:f>
        <x:v>5563.397630762818</x:v>
      </x:c>
      <x:c r="R37" s="57" t="n">
        <x:f>R22+R25-Q22-Q25</x:f>
        <x:v>5903.061607694508</x:v>
      </x:c>
      <x:c r="S37" s="57" t="n">
        <x:f>S22+S25-R22-R25</x:f>
        <x:v>6112.487968136054</x:v>
      </x:c>
      <x:c r="T37" s="2"/>
      <x:c r="U37" s="2"/>
    </x:row>
    <x:row r="38" ht="32" customHeight="1">
      <x:c r="A38" s="2"/>
      <x:c r="B38" s="2"/>
      <x:c r="C38" s="23" t="str">
        <x:v>Compensation and other current liabilities cash effect</x:v>
      </x:c>
      <x:c r="D38" s="2"/>
      <x:c r="E38" s="51" t="n">
        <x:f>'Historical Inputs'!E78</x:f>
        <x:v>356</x:v>
      </x:c>
      <x:c r="F38" s="51" t="n">
        <x:f>'Historical Inputs'!F78</x:f>
        <x:v>798</x:v>
      </x:c>
      <x:c r="G38" s="51" t="n">
        <x:f>'Historical Inputs'!G78</x:f>
        <x:v>1419</x:v>
      </x:c>
      <x:c r="H38" s="51" t="n">
        <x:f>'Historical Inputs'!H78</x:f>
        <x:v>1346</x:v>
      </x:c>
      <x:c r="I38" s="51" t="n">
        <x:f>'Historical Inputs'!I78</x:f>
        <x:v>4149</x:v>
      </x:c>
      <x:c r="J38" s="51" t="n">
        <x:f>'Historical Inputs'!J78</x:f>
        <x:v>2344</x:v>
      </x:c>
      <x:c r="K38" s="51" t="n">
        <x:f>'Historical Inputs'!K78</x:f>
        <x:v>2272</x:v>
      </x:c>
      <x:c r="L38" s="51" t="n">
        <x:f>'Historical Inputs'!L78</x:f>
        <x:v>4867</x:v>
      </x:c>
      <x:c r="M38" s="51" t="n">
        <x:f>'Historical Inputs'!M78</x:f>
        <x:v>5922</x:v>
      </x:c>
      <x:c r="N38" s="51" t="n">
        <x:f>'Historical Inputs'!N78</x:f>
        <x:v>6847</x:v>
      </x:c>
      <x:c r="O38" s="57" t="n">
        <x:f>O19-N19+O21-N21</x:f>
        <x:v>5131.143717284591</x:v>
      </x:c>
      <x:c r="P38" s="57" t="n">
        <x:f>P19-O19+P21-O21</x:f>
        <x:v>5730.841030740812</x:v>
      </x:c>
      <x:c r="Q38" s="57" t="n">
        <x:f>Q19-P19+Q21-P21</x:f>
        <x:v>6214.567814584781</x:v>
      </x:c>
      <x:c r="R38" s="57" t="n">
        <x:f>R19-Q19+R21-Q21</x:f>
        <x:v>6593.98790261543</x:v>
      </x:c>
      <x:c r="S38" s="57" t="n">
        <x:f>S19-R19+S21-R21</x:f>
        <x:v>6827.926658301181</x:v>
      </x:c>
      <x:c r="T38" s="2"/>
      <x:c r="U38" s="2"/>
    </x:row>
    <x:row r="39" ht="21" customHeight="1">
      <x:c r="A39" s="2"/>
      <x:c r="B39" s="2"/>
      <x:c r="C39" s="2" t="str">
        <x:v>Other long-term liabilities cash effect</x:v>
      </x:c>
      <x:c r="D39" s="2"/>
      <x:c r="E39" s="51" t="n">
        <x:f>'Historical Inputs'!E79</x:f>
        <x:v>-118</x:v>
      </x:c>
      <x:c r="F39" s="51" t="n">
        <x:f>'Historical Inputs'!F79</x:f>
        <x:v>-20</x:v>
      </x:c>
      <x:c r="G39" s="51" t="n">
        <x:f>'Historical Inputs'!G79</x:f>
        <x:v>591</x:v>
      </x:c>
      <x:c r="H39" s="51" t="n">
        <x:f>'Historical Inputs'!H79</x:f>
        <x:v>1348</x:v>
      </x:c>
      <x:c r="I39" s="51" t="n">
        <x:f>'Historical Inputs'!I79</x:f>
        <x:v>1402</x:v>
      </x:c>
      <x:c r="J39" s="51" t="n">
        <x:f>'Historical Inputs'!J79</x:f>
        <x:v>825</x:v>
      </x:c>
      <x:c r="K39" s="51" t="n">
        <x:f>'Historical Inputs'!K79</x:f>
        <x:v>553</x:v>
      </x:c>
      <x:c r="L39" s="51" t="n">
        <x:f>'Historical Inputs'!L79</x:f>
        <x:v>749</x:v>
      </x:c>
      <x:c r="M39" s="51" t="n">
        <x:f>'Historical Inputs'!M79</x:f>
        <x:v>-975</x:v>
      </x:c>
      <x:c r="N39" s="51" t="n">
        <x:f>'Historical Inputs'!N79</x:f>
        <x:v>-4707</x:v>
      </x:c>
      <x:c r="O39" s="57" t="n">
        <x:f>O28-N28</x:f>
        <x:v>451.0596023975486</x:v>
      </x:c>
      <x:c r="P39" s="57" t="n">
        <x:f>P28-O28</x:f>
        <x:v>503.7767443585594</x:v>
      </x:c>
      <x:c r="Q39" s="57" t="n">
        <x:f>Q28-P28</x:f>
        <x:v>546.2993519508432</x:v>
      </x:c>
      <x:c r="R39" s="57" t="n">
        <x:f>R28-Q28</x:f>
        <x:v>579.6527490642884</x:v>
      </x:c>
      <x:c r="S39" s="57" t="n">
        <x:f>S28-R28</x:f>
        <x:v>600.2174278062876</x:v>
      </x:c>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183c9fe84c874dca"/>
</x:worksheet>
</file>

<file path=xl/worksheets/sheet13.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PPE and Intangibles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Cash capex budget</x:v>
      </x:c>
      <x:c r="D8" s="2"/>
      <x:c r="E8" s="51" t="n">
        <x:f>-'Historical Inputs'!E89</x:f>
        <x:v>8129</x:v>
      </x:c>
      <x:c r="F8" s="51" t="n">
        <x:f>-'Historical Inputs'!F89</x:f>
        <x:v>11632</x:v>
      </x:c>
      <x:c r="G8" s="51" t="n">
        <x:f>-'Historical Inputs'!G89</x:f>
        <x:v>13925</x:v>
      </x:c>
      <x:c r="H8" s="51" t="n">
        <x:f>-'Historical Inputs'!H89</x:f>
        <x:v>15441</x:v>
      </x:c>
      <x:c r="I8" s="51" t="n">
        <x:f>-'Historical Inputs'!I89</x:f>
        <x:v>20622</x:v>
      </x:c>
      <x:c r="J8" s="51" t="n">
        <x:f>-'Historical Inputs'!J89</x:f>
        <x:v>23886</x:v>
      </x:c>
      <x:c r="K8" s="51" t="n">
        <x:f>-'Historical Inputs'!K89</x:f>
        <x:v>28107</x:v>
      </x:c>
      <x:c r="L8" s="51" t="n">
        <x:f>-'Historical Inputs'!L89</x:f>
        <x:v>44477</x:v>
      </x:c>
      <x:c r="M8" s="51" t="n">
        <x:f>-'Historical Inputs'!M89</x:f>
        <x:v>64551</x:v>
      </x:c>
      <x:c r="N8" s="51" t="n">
        <x:f>-'Historical Inputs'!N89</x:f>
        <x:v>115948</x:v>
      </x:c>
      <x:c r="O8" s="51" t="n">
        <x:f>'Income Statement'!O8*'Assumptions'!O45</x:f>
        <x:v>123215.61600000002</x:v>
      </x:c>
      <x:c r="P8" s="51" t="n">
        <x:f>'Income Statement'!P8*'Assumptions'!P45</x:f>
        <x:v>124453.68387200002</x:v>
      </x:c>
      <x:c r="Q8" s="51" t="n">
        <x:f>'Income Statement'!Q8*'Assumptions'!Q45</x:f>
        <x:v>127230.579108</x:v>
      </x:c>
      <x:c r="R8" s="51" t="n">
        <x:f>'Income Statement'!R8*'Assumptions'!R45</x:f>
        <x:v>127006.38828240002</x:v>
      </x:c>
      <x:c r="S8" s="51" t="n">
        <x:f>'Income Statement'!S8*'Assumptions'!S45</x:f>
        <x:v>129621.43019877505</x:v>
      </x:c>
      <x:c r="T8" s="2"/>
      <x:c r="U8" s="2"/>
    </x:row>
    <x:row r="9" ht="21" customHeight="1">
      <x:c r="A9" s="2"/>
      <x:c r="B9" s="2"/>
      <x:c r="C9" s="2" t="str">
        <x:v>Capitalized cash interest within capex</x:v>
      </x:c>
      <x:c r="D9" s="2"/>
      <x:c r="E9" s="11"/>
      <x:c r="F9" s="11"/>
      <x:c r="G9" s="11"/>
      <x:c r="H9" s="11"/>
      <x:c r="I9" s="11"/>
      <x:c r="J9" s="11"/>
      <x:c r="K9" s="11"/>
      <x:c r="L9" s="11"/>
      <x:c r="M9" s="11"/>
      <x:c r="N9" s="11"/>
      <x:c r="O9" s="51" t="n">
        <x:f>'Debt and Leases'!O24</x:f>
        <x:v>1052.25197</x:v>
      </x:c>
      <x:c r="P9" s="51" t="n">
        <x:f>'Debt and Leases'!P24</x:f>
        <x:v>1210.3514451252308</x:v>
      </x:c>
      <x:c r="Q9" s="51" t="n">
        <x:f>'Debt and Leases'!Q24</x:f>
        <x:v>1428.8818672933423</x:v>
      </x:c>
      <x:c r="R9" s="51" t="n">
        <x:f>'Debt and Leases'!R24</x:f>
        <x:v>1633.1712600386338</x:v>
      </x:c>
      <x:c r="S9" s="51" t="n">
        <x:f>'Debt and Leases'!S24</x:f>
        <x:v>1842.6508418215735</x:v>
      </x:c>
      <x:c r="T9" s="2"/>
      <x:c r="U9" s="2"/>
    </x:row>
    <x:row r="10" ht="21" customHeight="1">
      <x:c r="A10" s="2"/>
      <x:c r="B10" s="2"/>
      <x:c r="C10" s="2" t="str">
        <x:v>Cash capex excluding capitalized interest</x:v>
      </x:c>
      <x:c r="D10" s="2"/>
      <x:c r="E10" s="11"/>
      <x:c r="F10" s="11"/>
      <x:c r="G10" s="11"/>
      <x:c r="H10" s="11"/>
      <x:c r="I10" s="11"/>
      <x:c r="J10" s="11"/>
      <x:c r="K10" s="11"/>
      <x:c r="L10" s="11"/>
      <x:c r="M10" s="11"/>
      <x:c r="N10" s="11"/>
      <x:c r="O10" s="57" t="n">
        <x:f>O8-O9</x:f>
        <x:v>122163.36403000003</x:v>
      </x:c>
      <x:c r="P10" s="57" t="n">
        <x:f>P8-P9</x:f>
        <x:v>123243.3324268748</x:v>
      </x:c>
      <x:c r="Q10" s="57" t="n">
        <x:f>Q8-Q9</x:f>
        <x:v>125801.69724070666</x:v>
      </x:c>
      <x:c r="R10" s="57" t="n">
        <x:f>R8-R9</x:f>
        <x:v>125373.21702236138</x:v>
      </x:c>
      <x:c r="S10" s="57" t="n">
        <x:f>S8-S9</x:f>
        <x:v>127778.77935695348</x:v>
      </x:c>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t="str">
        <x:v>Capital expenditure payables</x:v>
      </x:c>
      <x:c r="D12" s="2"/>
      <x:c r="E12" s="11"/>
      <x:c r="F12" s="11"/>
      <x:c r="G12" s="11"/>
      <x:c r="H12" s="11"/>
      <x:c r="I12" s="11"/>
      <x:c r="J12" s="11"/>
      <x:c r="K12" s="11"/>
      <x:c r="L12" s="11"/>
      <x:c r="M12" s="11"/>
      <x:c r="N12" s="51" t="n">
        <x:f>'Filing Notes'!N23</x:f>
        <x:v>26700</x:v>
      </x:c>
      <x:c r="O12" s="51" t="n">
        <x:f>'Working Capital'!O14</x:f>
        <x:v>24643.123200000005</x:v>
      </x:c>
      <x:c r="P12" s="51" t="n">
        <x:f>'Working Capital'!P14</x:f>
        <x:v>22401.663096960005</x:v>
      </x:c>
      <x:c r="Q12" s="51" t="n">
        <x:f>'Working Capital'!Q14</x:f>
        <x:v>20356.89265728</x:v>
      </x:c>
      <x:c r="R12" s="51" t="n">
        <x:f>'Working Capital'!R14</x:f>
        <x:v>17780.894359536003</x:v>
      </x:c>
      <x:c r="S12" s="51" t="n">
        <x:f>'Working Capital'!S14</x:f>
        <x:v>15554.571623853006</x:v>
      </x:c>
      <x:c r="T12" s="2"/>
      <x:c r="U12" s="2"/>
    </x:row>
    <x:row r="13" ht="21" customHeight="1">
      <x:c r="A13" s="2"/>
      <x:c r="B13" s="2"/>
      <x:c r="C13" s="2" t="str">
        <x:v>Change in capital expenditure payables</x:v>
      </x:c>
      <x:c r="D13" s="2"/>
      <x:c r="E13" s="11"/>
      <x:c r="F13" s="11"/>
      <x:c r="G13" s="11"/>
      <x:c r="H13" s="11"/>
      <x:c r="I13" s="11"/>
      <x:c r="J13" s="11"/>
      <x:c r="K13" s="11"/>
      <x:c r="L13" s="11"/>
      <x:c r="M13" s="11"/>
      <x:c r="N13" s="11"/>
      <x:c r="O13" s="57" t="n">
        <x:f>O12-N12</x:f>
        <x:v>-2056.8767999999945</x:v>
      </x:c>
      <x:c r="P13" s="57" t="n">
        <x:f>P12-O12</x:f>
        <x:v>-2241.460103040001</x:v>
      </x:c>
      <x:c r="Q13" s="57" t="n">
        <x:f>Q12-P12</x:f>
        <x:v>-2044.7704396800036</x:v>
      </x:c>
      <x:c r="R13" s="57" t="n">
        <x:f>R12-Q12</x:f>
        <x:v>-2575.9982977439977</x:v>
      </x:c>
      <x:c r="S13" s="57" t="n">
        <x:f>S12-R12</x:f>
        <x:v>-2226.3227356829975</x:v>
      </x:c>
      <x:c r="T13" s="2"/>
      <x:c r="U13" s="2"/>
    </x:row>
    <x:row r="14" ht="21" customHeight="1">
      <x:c r="A14" s="2"/>
      <x:c r="B14" s="2"/>
      <x:c r="C14" s="2" t="str">
        <x:v>New finance lease assets</x:v>
      </x:c>
      <x:c r="D14" s="2"/>
      <x:c r="E14" s="51" t="n">
        <x:f>'Filing Notes'!E14</x:f>
        <x:v>1773</x:v>
      </x:c>
      <x:c r="F14" s="51" t="n">
        <x:f>'Filing Notes'!F14</x:f>
        <x:v>1933</x:v>
      </x:c>
      <x:c r="G14" s="51" t="n">
        <x:f>'Filing Notes'!G14</x:f>
        <x:v>2532</x:v>
      </x:c>
      <x:c r="H14" s="51" t="n">
        <x:f>'Filing Notes'!H14</x:f>
        <x:v>3467</x:v>
      </x:c>
      <x:c r="I14" s="51" t="n">
        <x:f>'Filing Notes'!I14</x:f>
        <x:v>3290</x:v>
      </x:c>
      <x:c r="J14" s="51" t="n">
        <x:f>'Filing Notes'!J14</x:f>
        <x:v>4234</x:v>
      </x:c>
      <x:c r="K14" s="51" t="n">
        <x:f>'Filing Notes'!K14</x:f>
        <x:v>3128</x:v>
      </x:c>
      <x:c r="L14" s="51" t="n">
        <x:f>'Filing Notes'!L14</x:f>
        <x:v>11633</x:v>
      </x:c>
      <x:c r="M14" s="51" t="n">
        <x:f>'Filing Notes'!M14</x:f>
        <x:v>20511</x:v>
      </x:c>
      <x:c r="N14" s="51" t="n">
        <x:f>'Filing Notes'!N14</x:f>
        <x:v>24608</x:v>
      </x:c>
      <x:c r="O14" s="51" t="n">
        <x:f>'Debt and Leases'!O37</x:f>
        <x:v>28878.660000000003</x:v>
      </x:c>
      <x:c r="P14" s="51" t="n">
        <x:f>'Debt and Leases'!P37</x:f>
        <x:v>31113.420968000006</x:v>
      </x:c>
      <x:c r="Q14" s="51" t="n">
        <x:f>'Debt and Leases'!Q37</x:f>
        <x:v>33079.95056808</x:v>
      </x:c>
      <x:c r="R14" s="51" t="n">
        <x:f>'Debt and Leases'!R37</x:f>
        <x:v>34638.1058952</x:v>
      </x:c>
      <x:c r="S14" s="51" t="n">
        <x:f>'Debt and Leases'!S37</x:f>
        <x:v>35645.893304663135</x:v>
      </x:c>
      <x:c r="T14" s="2"/>
      <x:c r="U14" s="2"/>
    </x:row>
    <x:row r="15" ht="21" customHeight="1">
      <x:c r="A15" s="2"/>
      <x:c r="B15" s="2"/>
      <x:c r="C15" s="64" t="str">
        <x:v>Total PPE additions</x:v>
      </x:c>
      <x:c r="D15" s="64"/>
      <x:c r="E15" s="70"/>
      <x:c r="F15" s="70"/>
      <x:c r="G15" s="70"/>
      <x:c r="H15" s="70"/>
      <x:c r="I15" s="70"/>
      <x:c r="J15" s="70"/>
      <x:c r="K15" s="70"/>
      <x:c r="L15" s="70"/>
      <x:c r="M15" s="70"/>
      <x:c r="N15" s="70"/>
      <x:c r="O15" s="68" t="n">
        <x:f>SUM(O8,O13:O14)</x:f>
        <x:v>150037.39920000004</x:v>
      </x:c>
      <x:c r="P15" s="68" t="n">
        <x:f>SUM(P8,P13:P14)</x:f>
        <x:v>153325.64473696004</x:v>
      </x:c>
      <x:c r="Q15" s="68" t="n">
        <x:f>SUM(Q8,Q13:Q14)</x:f>
        <x:v>158265.75923640002</x:v>
      </x:c>
      <x:c r="R15" s="68" t="n">
        <x:f>SUM(R8,R13:R14)</x:f>
        <x:v>159068.49587985603</x:v>
      </x:c>
      <x:c r="S15" s="68" t="n">
        <x:f>SUM(S8,S13:S14)</x:f>
        <x:v>163041.0007677552</x:v>
      </x:c>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t="str">
        <x:v>Opening gross PPE</x:v>
      </x:c>
      <x:c r="D17" s="2"/>
      <x:c r="E17" s="11"/>
      <x:c r="F17" s="11"/>
      <x:c r="G17" s="11"/>
      <x:c r="H17" s="11"/>
      <x:c r="I17" s="11"/>
      <x:c r="J17" s="11"/>
      <x:c r="K17" s="11"/>
      <x:c r="L17" s="11"/>
      <x:c r="M17" s="11"/>
      <x:c r="N17" s="11"/>
      <x:c r="O17" s="57" t="n">
        <x:f>N18</x:f>
        <x:v>431767</x:v>
      </x:c>
      <x:c r="P17" s="57" t="n">
        <x:f>O18</x:f>
        <x:v>581804.3992000001</x:v>
      </x:c>
      <x:c r="Q17" s="57" t="n">
        <x:f>P18</x:f>
        <x:v>735130.0439369602</x:v>
      </x:c>
      <x:c r="R17" s="57" t="n">
        <x:f>Q18</x:f>
        <x:v>893395.8031733602</x:v>
      </x:c>
      <x:c r="S17" s="57" t="n">
        <x:f>R18</x:f>
        <x:v>1052464.2990532161</x:v>
      </x:c>
      <x:c r="T17" s="2"/>
      <x:c r="U17" s="2"/>
    </x:row>
    <x:row r="18" ht="21" customHeight="1">
      <x:c r="A18" s="2"/>
      <x:c r="B18" s="2"/>
      <x:c r="C18" s="2" t="str">
        <x:v>Closing gross PPE</x:v>
      </x:c>
      <x:c r="D18" s="2"/>
      <x:c r="E18" s="51" t="n">
        <x:f>'Filing Notes'!E10</x:f>
        <x:v>47913</x:v>
      </x:c>
      <x:c r="F18" s="51" t="n">
        <x:f>'Filing Notes'!F10</x:f>
        <x:v>58683</x:v>
      </x:c>
      <x:c r="G18" s="51" t="n">
        <x:f>'Filing Notes'!G10</x:f>
        <x:v>71807</x:v>
      </x:c>
      <x:c r="H18" s="51" t="n">
        <x:f>'Filing Notes'!H10</x:f>
        <x:v>87348</x:v>
      </x:c>
      <x:c r="I18" s="51" t="n">
        <x:f>'Filing Notes'!I10</x:f>
        <x:v>111066</x:v>
      </x:c>
      <x:c r="J18" s="51" t="n">
        <x:f>'Filing Notes'!J10</x:f>
        <x:v>134058</x:v>
      </x:c>
      <x:c r="K18" s="51" t="n">
        <x:f>'Filing Notes'!K10</x:f>
        <x:v>163892</x:v>
      </x:c>
      <x:c r="L18" s="51" t="n">
        <x:f>'Filing Notes'!L10</x:f>
        <x:v>212012</x:v>
      </x:c>
      <x:c r="M18" s="51" t="n">
        <x:f>'Filing Notes'!M10</x:f>
        <x:v>298619</x:v>
      </x:c>
      <x:c r="N18" s="51" t="n">
        <x:f>'Filing Notes'!N10</x:f>
        <x:v>431767</x:v>
      </x:c>
      <x:c r="O18" s="57" t="n">
        <x:f>O17+O15</x:f>
        <x:v>581804.3992000001</x:v>
      </x:c>
      <x:c r="P18" s="57" t="n">
        <x:f>P17+P15</x:f>
        <x:v>735130.0439369602</x:v>
      </x:c>
      <x:c r="Q18" s="57" t="n">
        <x:f>Q17+Q15</x:f>
        <x:v>893395.8031733602</x:v>
      </x:c>
      <x:c r="R18" s="57" t="n">
        <x:f>R17+R15</x:f>
        <x:v>1052464.2990532161</x:v>
      </x:c>
      <x:c r="S18" s="57" t="n">
        <x:f>S17+S15</x:f>
        <x:v>1215505.2998209712</x:v>
      </x:c>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t="str">
        <x:v>Opening accumulated depreciation</x:v>
      </x:c>
      <x:c r="D20" s="2"/>
      <x:c r="E20" s="11"/>
      <x:c r="F20" s="11"/>
      <x:c r="G20" s="11"/>
      <x:c r="H20" s="11"/>
      <x:c r="I20" s="11"/>
      <x:c r="J20" s="11"/>
      <x:c r="K20" s="11"/>
      <x:c r="L20" s="11"/>
      <x:c r="M20" s="11"/>
      <x:c r="N20" s="11"/>
      <x:c r="O20" s="57" t="n">
        <x:f>N22</x:f>
        <x:v>118691</x:v>
      </x:c>
      <x:c r="P20" s="57" t="n">
        <x:f>O22</x:f>
        <x:v>169010.3666</x:v>
      </x:c>
      <x:c r="Q20" s="57" t="n">
        <x:f>P22</x:f>
        <x:v>244609.98686141334</x:v>
      </x:c>
      <x:c r="R20" s="57" t="n">
        <x:f>Q22</x:f>
        <x:v>346175.55745394004</x:v>
      </x:c>
      <x:c r="S20" s="57" t="n">
        <x:f>R22</x:f>
        <x:v>474185.6493061547</x:v>
      </x:c>
      <x:c r="T20" s="2"/>
      <x:c r="U20" s="2"/>
    </x:row>
    <x:row r="21" ht="21" customHeight="1">
      <x:c r="A21" s="2"/>
      <x:c r="B21" s="2"/>
      <x:c r="C21" s="64" t="str">
        <x:v>PPE depreciation</x:v>
      </x:c>
      <x:c r="D21" s="64"/>
      <x:c r="E21" s="66" t="n">
        <x:f>'Filing Notes'!E8</x:f>
        <x:v>6100</x:v>
      </x:c>
      <x:c r="F21" s="66" t="n">
        <x:f>'Filing Notes'!F8</x:f>
        <x:v>7700</x:v>
      </x:c>
      <x:c r="G21" s="66" t="n">
        <x:f>'Filing Notes'!G8</x:f>
        <x:v>9700</x:v>
      </x:c>
      <x:c r="H21" s="66" t="n">
        <x:f>'Filing Notes'!H8</x:f>
        <x:v>10700</x:v>
      </x:c>
      <x:c r="I21" s="66" t="n">
        <x:f>'Filing Notes'!I8</x:f>
        <x:v>9300</x:v>
      </x:c>
      <x:c r="J21" s="66" t="n">
        <x:f>'Filing Notes'!J8</x:f>
        <x:v>12600</x:v>
      </x:c>
      <x:c r="K21" s="66" t="n">
        <x:f>'Filing Notes'!K8</x:f>
        <x:v>11000</x:v>
      </x:c>
      <x:c r="L21" s="66" t="n">
        <x:f>'Filing Notes'!L8</x:f>
        <x:v>15200</x:v>
      </x:c>
      <x:c r="M21" s="66" t="n">
        <x:f>'Filing Notes'!M8</x:f>
        <x:v>22000</x:v>
      </x:c>
      <x:c r="N21" s="66" t="n">
        <x:f>'Filing Notes'!N8</x:f>
        <x:v>34300</x:v>
      </x:c>
      <x:c r="O21" s="68" t="n">
        <x:f>O27+O39</x:f>
        <x:v>50319.3666</x:v>
      </x:c>
      <x:c r="P21" s="68" t="n">
        <x:f>P27+P39</x:f>
        <x:v>75599.62026141334</x:v>
      </x:c>
      <x:c r="Q21" s="68" t="n">
        <x:f>Q27+Q39</x:f>
        <x:v>101565.57059252668</x:v>
      </x:c>
      <x:c r="R21" s="68" t="n">
        <x:f>R27+R39</x:f>
        <x:v>128010.09185221468</x:v>
      </x:c>
      <x:c r="S21" s="68" t="n">
        <x:f>S27+S39</x:f>
        <x:v>154852.54990618228</x:v>
      </x:c>
      <x:c r="T21" s="2"/>
      <x:c r="U21" s="2"/>
    </x:row>
    <x:row r="22" ht="21" customHeight="1">
      <x:c r="A22" s="2"/>
      <x:c r="B22" s="2"/>
      <x:c r="C22" s="2" t="str">
        <x:v>Closing accumulated depreciation</x:v>
      </x:c>
      <x:c r="D22" s="2"/>
      <x:c r="E22" s="51" t="n">
        <x:f>'Filing Notes'!E11</x:f>
        <x:v>24179</x:v>
      </x:c>
      <x:c r="F22" s="51" t="n">
        <x:f>'Filing Notes'!F11</x:f>
        <x:v>29223</x:v>
      </x:c>
      <x:c r="G22" s="51" t="n">
        <x:f>'Filing Notes'!G11</x:f>
        <x:v>35330</x:v>
      </x:c>
      <x:c r="H22" s="51" t="n">
        <x:f>'Filing Notes'!H11</x:f>
        <x:v>43197</x:v>
      </x:c>
      <x:c r="I22" s="51" t="n">
        <x:f>'Filing Notes'!I11</x:f>
        <x:v>51351</x:v>
      </x:c>
      <x:c r="J22" s="51" t="n">
        <x:f>'Filing Notes'!J11</x:f>
        <x:v>59660</x:v>
      </x:c>
      <x:c r="K22" s="51" t="n">
        <x:f>'Filing Notes'!K11</x:f>
        <x:v>68251</x:v>
      </x:c>
      <x:c r="L22" s="51" t="n">
        <x:f>'Filing Notes'!L11</x:f>
        <x:v>76421</x:v>
      </x:c>
      <x:c r="M22" s="51" t="n">
        <x:f>'Filing Notes'!M11</x:f>
        <x:v>93653</x:v>
      </x:c>
      <x:c r="N22" s="51" t="n">
        <x:f>'Filing Notes'!N11</x:f>
        <x:v>118691</x:v>
      </x:c>
      <x:c r="O22" s="57" t="n">
        <x:f>O20+O21</x:f>
        <x:v>169010.3666</x:v>
      </x:c>
      <x:c r="P22" s="57" t="n">
        <x:f>P20+P21</x:f>
        <x:v>244609.98686141334</x:v>
      </x:c>
      <x:c r="Q22" s="57" t="n">
        <x:f>Q20+Q21</x:f>
        <x:v>346175.55745394004</x:v>
      </x:c>
      <x:c r="R22" s="57" t="n">
        <x:f>R20+R21</x:f>
        <x:v>474185.6493061547</x:v>
      </x:c>
      <x:c r="S22" s="57" t="n">
        <x:f>S20+S21</x:f>
        <x:v>629038.1992123369</x:v>
      </x:c>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64" t="str">
        <x:v>Closing net PPE</x:v>
      </x:c>
      <x:c r="D24" s="64"/>
      <x:c r="E24" s="66" t="n">
        <x:f>'Historical Inputs'!E35</x:f>
        <x:v>23734</x:v>
      </x:c>
      <x:c r="F24" s="66" t="n">
        <x:f>'Historical Inputs'!F35</x:f>
        <x:v>29460</x:v>
      </x:c>
      <x:c r="G24" s="66" t="n">
        <x:f>'Historical Inputs'!G35</x:f>
        <x:v>36477</x:v>
      </x:c>
      <x:c r="H24" s="66" t="n">
        <x:f>'Historical Inputs'!H35</x:f>
        <x:v>44151</x:v>
      </x:c>
      <x:c r="I24" s="66" t="n">
        <x:f>'Historical Inputs'!I35</x:f>
        <x:v>59715</x:v>
      </x:c>
      <x:c r="J24" s="66" t="n">
        <x:f>'Historical Inputs'!J35</x:f>
        <x:v>74398</x:v>
      </x:c>
      <x:c r="K24" s="66" t="n">
        <x:f>'Historical Inputs'!K35</x:f>
        <x:v>95641</x:v>
      </x:c>
      <x:c r="L24" s="66" t="n">
        <x:f>'Historical Inputs'!L35</x:f>
        <x:v>135591</x:v>
      </x:c>
      <x:c r="M24" s="66" t="n">
        <x:f>'Historical Inputs'!M35</x:f>
        <x:v>204966</x:v>
      </x:c>
      <x:c r="N24" s="66" t="n">
        <x:f>'Historical Inputs'!N35</x:f>
        <x:v>313076</x:v>
      </x:c>
      <x:c r="O24" s="68" t="n">
        <x:f>O18-O22</x:f>
        <x:v>412794.0326000001</x:v>
      </x:c>
      <x:c r="P24" s="68" t="n">
        <x:f>P18-P22</x:f>
        <x:v>490520.0570755468</x:v>
      </x:c>
      <x:c r="Q24" s="68" t="n">
        <x:f>Q18-Q22</x:f>
        <x:v>547220.2457194201</x:v>
      </x:c>
      <x:c r="R24" s="68" t="n">
        <x:f>R18-R22</x:f>
        <x:v>578278.6497470614</x:v>
      </x:c>
      <x:c r="S24" s="68" t="n">
        <x:f>S18-S22</x:f>
        <x:v>586467.1006086343</x:v>
      </x:c>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t="str">
        <x:v>Legacy depreciable PPE opening balance</x:v>
      </x:c>
      <x:c r="D26" s="2"/>
      <x:c r="E26" s="11"/>
      <x:c r="F26" s="11"/>
      <x:c r="G26" s="11"/>
      <x:c r="H26" s="11"/>
      <x:c r="I26" s="11"/>
      <x:c r="J26" s="11"/>
      <x:c r="K26" s="11"/>
      <x:c r="L26" s="11"/>
      <x:c r="M26" s="11"/>
      <x:c r="N26" s="11"/>
      <x:c r="O26" s="51" t="n">
        <x:f>'Historical Inputs'!N35-'Filing Notes'!N22</x:f>
        <x:v>302530</x:v>
      </x:c>
      <x:c r="P26" s="57" t="n">
        <x:f>O28</x:f>
        <x:v>264713.75</x:v>
      </x:c>
      <x:c r="Q26" s="57" t="n">
        <x:f>P28</x:f>
        <x:v>226897.5</x:v>
      </x:c>
      <x:c r="R26" s="57" t="n">
        <x:f>Q28</x:f>
        <x:v>189081.25</x:v>
      </x:c>
      <x:c r="S26" s="57" t="n">
        <x:f>R28</x:f>
        <x:v>151265</x:v>
      </x:c>
      <x:c r="T26" s="2"/>
      <x:c r="U26" s="2"/>
    </x:row>
    <x:row r="27" ht="21" customHeight="1">
      <x:c r="A27" s="2"/>
      <x:c r="B27" s="2"/>
      <x:c r="C27" s="2" t="str">
        <x:v>Legacy PPE depreciation</x:v>
      </x:c>
      <x:c r="D27" s="2"/>
      <x:c r="E27" s="11"/>
      <x:c r="F27" s="11"/>
      <x:c r="G27" s="11"/>
      <x:c r="H27" s="11"/>
      <x:c r="I27" s="11"/>
      <x:c r="J27" s="11"/>
      <x:c r="K27" s="11"/>
      <x:c r="L27" s="11"/>
      <x:c r="M27" s="11"/>
      <x:c r="N27" s="11"/>
      <x:c r="O27" s="51" t="n">
        <x:f>MIN(O26,('Historical Inputs'!N35-'Filing Notes'!N22)/'Assumptions'!O61)</x:f>
        <x:v>37816.25</x:v>
      </x:c>
      <x:c r="P27" s="51" t="n">
        <x:f>MIN(P26,('Historical Inputs'!N35-'Filing Notes'!N22)/'Assumptions'!P61)</x:f>
        <x:v>37816.25</x:v>
      </x:c>
      <x:c r="Q27" s="51" t="n">
        <x:f>MIN(Q26,('Historical Inputs'!N35-'Filing Notes'!N22)/'Assumptions'!Q61)</x:f>
        <x:v>37816.25</x:v>
      </x:c>
      <x:c r="R27" s="51" t="n">
        <x:f>MIN(R26,('Historical Inputs'!N35-'Filing Notes'!N22)/'Assumptions'!R61)</x:f>
        <x:v>37816.25</x:v>
      </x:c>
      <x:c r="S27" s="51" t="n">
        <x:f>MIN(S26,('Historical Inputs'!N35-'Filing Notes'!N22)/'Assumptions'!S61)</x:f>
        <x:v>37816.25</x:v>
      </x:c>
      <x:c r="T27" s="2"/>
      <x:c r="U27" s="2"/>
    </x:row>
    <x:row r="28" ht="21" customHeight="1">
      <x:c r="A28" s="2"/>
      <x:c r="B28" s="2"/>
      <x:c r="C28" s="2" t="str">
        <x:v>Legacy depreciable PPE closing balance</x:v>
      </x:c>
      <x:c r="D28" s="2"/>
      <x:c r="E28" s="11"/>
      <x:c r="F28" s="11"/>
      <x:c r="G28" s="11"/>
      <x:c r="H28" s="11"/>
      <x:c r="I28" s="11"/>
      <x:c r="J28" s="11"/>
      <x:c r="K28" s="11"/>
      <x:c r="L28" s="11"/>
      <x:c r="M28" s="11"/>
      <x:c r="N28" s="11"/>
      <x:c r="O28" s="57" t="n">
        <x:f>O26-O27</x:f>
        <x:v>264713.75</x:v>
      </x:c>
      <x:c r="P28" s="57" t="n">
        <x:f>P26-P27</x:f>
        <x:v>226897.5</x:v>
      </x:c>
      <x:c r="Q28" s="57" t="n">
        <x:f>Q26-Q27</x:f>
        <x:v>189081.25</x:v>
      </x:c>
      <x:c r="R28" s="57" t="n">
        <x:f>R26-R27</x:f>
        <x:v>151265</x:v>
      </x:c>
      <x:c r="S28" s="57" t="n">
        <x:f>S26-S27</x:f>
        <x:v>113448.75</x:v>
      </x:c>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t="str">
        <x:v>Land held constant</x:v>
      </x:c>
      <x:c r="D30" s="2"/>
      <x:c r="E30" s="11"/>
      <x:c r="F30" s="11"/>
      <x:c r="G30" s="11"/>
      <x:c r="H30" s="11"/>
      <x:c r="I30" s="11"/>
      <x:c r="J30" s="11"/>
      <x:c r="K30" s="11"/>
      <x:c r="L30" s="11"/>
      <x:c r="M30" s="11"/>
      <x:c r="N30" s="11"/>
      <x:c r="O30" s="51" t="n">
        <x:f>'Filing Notes'!N22</x:f>
        <x:v>10546</x:v>
      </x:c>
      <x:c r="P30" s="51" t="n">
        <x:f>'Filing Notes'!N22</x:f>
        <x:v>10546</x:v>
      </x:c>
      <x:c r="Q30" s="51" t="n">
        <x:f>'Filing Notes'!N22</x:f>
        <x:v>10546</x:v>
      </x:c>
      <x:c r="R30" s="51" t="n">
        <x:f>'Filing Notes'!N22</x:f>
        <x:v>10546</x:v>
      </x:c>
      <x:c r="S30" s="51" t="n">
        <x:f>'Filing Notes'!N22</x:f>
        <x:v>10546</x:v>
      </x:c>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t="str">
        <x:v>FY2027 PPE cohort net carrying amount</x:v>
      </x:c>
      <x:c r="D32" s="2"/>
      <x:c r="E32" s="11"/>
      <x:c r="F32" s="11"/>
      <x:c r="G32" s="11"/>
      <x:c r="H32" s="11"/>
      <x:c r="I32" s="11"/>
      <x:c r="J32" s="11"/>
      <x:c r="K32" s="11"/>
      <x:c r="L32" s="11"/>
      <x:c r="M32" s="11"/>
      <x:c r="N32" s="11"/>
      <x:c r="O32" s="51" t="n">
        <x:f>O15-(O15/'Assumptions'!O65*0.5)</x:f>
        <x:v>137534.28260000004</x:v>
      </x:c>
      <x:c r="P32" s="51" t="n">
        <x:f>O32-(MIN(O32,O15/'Assumptions'!O65))</x:f>
        <x:v>112528.04940000003</x:v>
      </x:c>
      <x:c r="Q32" s="51" t="n">
        <x:f>P32-(MIN(P32,O15/'Assumptions'!O65))</x:f>
        <x:v>87521.81620000003</x:v>
      </x:c>
      <x:c r="R32" s="51" t="n">
        <x:f>Q32-(MIN(Q32,O15/'Assumptions'!O65))</x:f>
        <x:v>62515.58300000003</x:v>
      </x:c>
      <x:c r="S32" s="51" t="n">
        <x:f>R32-(MIN(R32,O15/'Assumptions'!O65))</x:f>
        <x:v>37509.349800000025</x:v>
      </x:c>
      <x:c r="T32" s="2"/>
      <x:c r="U32" s="2"/>
    </x:row>
    <x:row r="33" ht="21" customHeight="1">
      <x:c r="A33" s="2"/>
      <x:c r="B33" s="2"/>
      <x:c r="C33" s="2" t="str">
        <x:v>FY2028 PPE cohort net carrying amount</x:v>
      </x:c>
      <x:c r="D33" s="2"/>
      <x:c r="E33" s="11"/>
      <x:c r="F33" s="11"/>
      <x:c r="G33" s="11"/>
      <x:c r="H33" s="11"/>
      <x:c r="I33" s="11"/>
      <x:c r="J33" s="11"/>
      <x:c r="K33" s="11"/>
      <x:c r="L33" s="11"/>
      <x:c r="M33" s="11"/>
      <x:c r="N33" s="11"/>
      <x:c r="O33" s="12" t="n">
        <x:v>0</x:v>
      </x:c>
      <x:c r="P33" s="51" t="n">
        <x:f>P15-(P15/'Assumptions'!P65*0.5)</x:f>
        <x:v>140548.5076755467</x:v>
      </x:c>
      <x:c r="Q33" s="51" t="n">
        <x:f>P33-(MIN(P33,P15/'Assumptions'!P65))</x:f>
        <x:v>114994.23355272002</x:v>
      </x:c>
      <x:c r="R33" s="51" t="n">
        <x:f>Q33-(MIN(Q33,P15/'Assumptions'!P65))</x:f>
        <x:v>89439.95942989335</x:v>
      </x:c>
      <x:c r="S33" s="51" t="n">
        <x:f>R33-(MIN(R33,P15/'Assumptions'!P65))</x:f>
        <x:v>63885.685307066684</x:v>
      </x:c>
      <x:c r="T33" s="2"/>
      <x:c r="U33" s="2"/>
    </x:row>
    <x:row r="34" ht="21" customHeight="1">
      <x:c r="A34" s="2"/>
      <x:c r="B34" s="2"/>
      <x:c r="C34" s="2" t="str">
        <x:v>FY2029 PPE cohort net carrying amount</x:v>
      </x:c>
      <x:c r="D34" s="2"/>
      <x:c r="E34" s="11"/>
      <x:c r="F34" s="11"/>
      <x:c r="G34" s="11"/>
      <x:c r="H34" s="11"/>
      <x:c r="I34" s="11"/>
      <x:c r="J34" s="11"/>
      <x:c r="K34" s="11"/>
      <x:c r="L34" s="11"/>
      <x:c r="M34" s="11"/>
      <x:c r="N34" s="11"/>
      <x:c r="O34" s="12" t="n">
        <x:v>0</x:v>
      </x:c>
      <x:c r="P34" s="12" t="n">
        <x:v>0</x:v>
      </x:c>
      <x:c r="Q34" s="51" t="n">
        <x:f>Q15-(Q15/'Assumptions'!Q65*0.5)</x:f>
        <x:v>145076.9459667</x:v>
      </x:c>
      <x:c r="R34" s="51" t="n">
        <x:f>Q34-(MIN(Q34,Q15/'Assumptions'!Q65))</x:f>
        <x:v>118699.3194273</x:v>
      </x:c>
      <x:c r="S34" s="51" t="n">
        <x:f>R34-(MIN(R34,Q15/'Assumptions'!Q65))</x:f>
        <x:v>92321.69288789999</x:v>
      </x:c>
      <x:c r="T34" s="2"/>
      <x:c r="U34" s="2"/>
    </x:row>
    <x:row r="35" ht="21" customHeight="1">
      <x:c r="A35" s="2"/>
      <x:c r="B35" s="2"/>
      <x:c r="C35" s="2" t="str">
        <x:v>FY2030 PPE cohort net carrying amount</x:v>
      </x:c>
      <x:c r="D35" s="2"/>
      <x:c r="E35" s="11"/>
      <x:c r="F35" s="11"/>
      <x:c r="G35" s="11"/>
      <x:c r="H35" s="11"/>
      <x:c r="I35" s="11"/>
      <x:c r="J35" s="11"/>
      <x:c r="K35" s="11"/>
      <x:c r="L35" s="11"/>
      <x:c r="M35" s="11"/>
      <x:c r="N35" s="11"/>
      <x:c r="O35" s="12" t="n">
        <x:v>0</x:v>
      </x:c>
      <x:c r="P35" s="12" t="n">
        <x:v>0</x:v>
      </x:c>
      <x:c r="Q35" s="12" t="n">
        <x:v>0</x:v>
      </x:c>
      <x:c r="R35" s="51" t="n">
        <x:f>R15-(R15/'Assumptions'!R65*0.5)</x:f>
        <x:v>145812.78788986802</x:v>
      </x:c>
      <x:c r="S35" s="51" t="n">
        <x:f>R35-(MIN(R35,R15/'Assumptions'!R65))</x:f>
        <x:v>119301.37190989201</x:v>
      </x:c>
      <x:c r="T35" s="2"/>
      <x:c r="U35" s="2"/>
    </x:row>
    <x:row r="36" ht="21" customHeight="1">
      <x:c r="A36" s="2"/>
      <x:c r="B36" s="2"/>
      <x:c r="C36" s="2" t="str">
        <x:v>FY2031 PPE cohort net carrying amount</x:v>
      </x:c>
      <x:c r="D36" s="2"/>
      <x:c r="E36" s="11"/>
      <x:c r="F36" s="11"/>
      <x:c r="G36" s="11"/>
      <x:c r="H36" s="11"/>
      <x:c r="I36" s="11"/>
      <x:c r="J36" s="11"/>
      <x:c r="K36" s="11"/>
      <x:c r="L36" s="11"/>
      <x:c r="M36" s="11"/>
      <x:c r="N36" s="11"/>
      <x:c r="O36" s="12" t="n">
        <x:v>0</x:v>
      </x:c>
      <x:c r="P36" s="12" t="n">
        <x:v>0</x:v>
      </x:c>
      <x:c r="Q36" s="12" t="n">
        <x:v>0</x:v>
      </x:c>
      <x:c r="R36" s="12" t="n">
        <x:v>0</x:v>
      </x:c>
      <x:c r="S36" s="51" t="n">
        <x:f>S15-(S15/'Assumptions'!S65*0.5)</x:f>
        <x:v>149454.25070377561</x:v>
      </x:c>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t="str">
        <x:v>Depreciation of new PPE cohorts</x:v>
      </x:c>
      <x:c r="D39" s="2"/>
      <x:c r="E39" s="11"/>
      <x:c r="F39" s="11"/>
      <x:c r="G39" s="11"/>
      <x:c r="H39" s="11"/>
      <x:c r="I39" s="11"/>
      <x:c r="J39" s="11"/>
      <x:c r="K39" s="11"/>
      <x:c r="L39" s="11"/>
      <x:c r="M39" s="11"/>
      <x:c r="N39" s="11"/>
      <x:c r="O39" s="51" t="n">
        <x:f>O15/'Assumptions'!O65*0.5</x:f>
        <x:v>12503.116600000003</x:v>
      </x:c>
      <x:c r="P39" s="51" t="n">
        <x:f>MIN(O32,O15/'Assumptions'!O65)+P15/'Assumptions'!P65*0.5</x:f>
        <x:v>37783.37026141334</x:v>
      </x:c>
      <x:c r="Q39" s="51" t="n">
        <x:f>MIN(P32,O15/'Assumptions'!O65)+MIN(P33,P15/'Assumptions'!P65)+Q15/'Assumptions'!Q65*0.5</x:f>
        <x:v>63749.32059252668</x:v>
      </x:c>
      <x:c r="R39" s="51" t="n">
        <x:f>MIN(Q32,O15/'Assumptions'!O65)+MIN(Q33,P15/'Assumptions'!P65)+MIN(Q34,Q15/'Assumptions'!Q65)+R15/'Assumptions'!R65*0.5</x:f>
        <x:v>90193.84185221468</x:v>
      </x:c>
      <x:c r="S39" s="51" t="n">
        <x:f>MIN(R32,O15/'Assumptions'!O65)+MIN(R33,P15/'Assumptions'!P65)+MIN(R34,Q15/'Assumptions'!Q65)+MIN(R35,R15/'Assumptions'!R65)+S15/'Assumptions'!S65*0.5</x:f>
        <x:v>117036.29990618229</x:v>
      </x:c>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t="str">
        <x:v>Intangible assets opening balance</x:v>
      </x:c>
      <x:c r="D41" s="2"/>
      <x:c r="E41" s="11"/>
      <x:c r="F41" s="11"/>
      <x:c r="G41" s="11"/>
      <x:c r="H41" s="11"/>
      <x:c r="I41" s="11"/>
      <x:c r="J41" s="11"/>
      <x:c r="K41" s="11"/>
      <x:c r="L41" s="11"/>
      <x:c r="M41" s="11"/>
      <x:c r="N41" s="11"/>
      <x:c r="O41" s="51" t="n">
        <x:f>'Balance Sheet'!N20</x:f>
        <x:v>18609</x:v>
      </x:c>
      <x:c r="P41" s="51" t="n">
        <x:f>'Balance Sheet'!O20</x:f>
        <x:v>15512</x:v>
      </x:c>
      <x:c r="Q41" s="51" t="n">
        <x:f>'Balance Sheet'!P20</x:f>
        <x:v>13371</x:v>
      </x:c>
      <x:c r="R41" s="51" t="n">
        <x:f>'Balance Sheet'!Q20</x:f>
        <x:v>11427</x:v>
      </x:c>
      <x:c r="S41" s="51" t="n">
        <x:f>'Balance Sheet'!R20</x:f>
        <x:v>9950</x:v>
      </x:c>
      <x:c r="T41" s="2"/>
      <x:c r="U41" s="2"/>
    </x:row>
    <x:row r="42" ht="21" customHeight="1">
      <x:c r="A42" s="2"/>
      <x:c r="B42" s="2"/>
      <x:c r="C42" s="2" t="str">
        <x:v>Disclosed expected intangible amortization</x:v>
      </x:c>
      <x:c r="D42" s="2"/>
      <x:c r="E42" s="51" t="n">
        <x:f>'Filing Notes'!E9</x:f>
        <x:v>1700</x:v>
      </x:c>
      <x:c r="F42" s="51" t="n">
        <x:f>'Filing Notes'!F9</x:f>
        <x:v>2200</x:v>
      </x:c>
      <x:c r="G42" s="51" t="n">
        <x:f>'Filing Notes'!G9</x:f>
        <x:v>1900</x:v>
      </x:c>
      <x:c r="H42" s="51" t="n">
        <x:f>'Filing Notes'!H9</x:f>
        <x:v>1600</x:v>
      </x:c>
      <x:c r="I42" s="51" t="n">
        <x:f>'Filing Notes'!I9</x:f>
        <x:v>1600</x:v>
      </x:c>
      <x:c r="J42" s="51" t="n">
        <x:f>'Filing Notes'!J9</x:f>
        <x:v>2000</x:v>
      </x:c>
      <x:c r="K42" s="51" t="n">
        <x:f>'Filing Notes'!K9</x:f>
        <x:v>2500</x:v>
      </x:c>
      <x:c r="L42" s="51" t="n">
        <x:f>'Filing Notes'!L9</x:f>
        <x:v>4800</x:v>
      </x:c>
      <x:c r="M42" s="51" t="n">
        <x:f>'Filing Notes'!M9</x:f>
        <x:v>6000</x:v>
      </x:c>
      <x:c r="N42" s="51" t="n">
        <x:f>'Filing Notes'!N9</x:f>
        <x:v>4700</x:v>
      </x:c>
      <x:c r="O42" s="51" t="n">
        <x:f>MIN(O41,'Filing Notes'!O38)</x:f>
        <x:v>3097</x:v>
      </x:c>
      <x:c r="P42" s="51" t="n">
        <x:f>MIN(P41,'Filing Notes'!P38)</x:f>
        <x:v>2141</x:v>
      </x:c>
      <x:c r="Q42" s="51" t="n">
        <x:f>MIN(Q41,'Filing Notes'!Q38)</x:f>
        <x:v>1944</x:v>
      </x:c>
      <x:c r="R42" s="51" t="n">
        <x:f>MIN(R41,'Filing Notes'!R38)</x:f>
        <x:v>1477</x:v>
      </x:c>
      <x:c r="S42" s="51" t="n">
        <x:f>MIN(S41,'Filing Notes'!S38)</x:f>
        <x:v>1128</x:v>
      </x:c>
      <x:c r="T42" s="2"/>
      <x:c r="U42" s="2"/>
    </x:row>
    <x:row r="43" ht="21" customHeight="1">
      <x:c r="A43" s="2"/>
      <x:c r="B43" s="2"/>
      <x:c r="C43" s="64" t="str">
        <x:v>Intangible assets closing balance</x:v>
      </x:c>
      <x:c r="D43" s="64"/>
      <x:c r="E43" s="66" t="n">
        <x:f>'Historical Inputs'!E39</x:f>
        <x:v>10106</x:v>
      </x:c>
      <x:c r="F43" s="66" t="n">
        <x:f>'Historical Inputs'!F39</x:f>
        <x:v>8053</x:v>
      </x:c>
      <x:c r="G43" s="66" t="n">
        <x:f>'Historical Inputs'!G39</x:f>
        <x:v>7750</x:v>
      </x:c>
      <x:c r="H43" s="66" t="n">
        <x:f>'Historical Inputs'!H39</x:f>
        <x:v>7038</x:v>
      </x:c>
      <x:c r="I43" s="66" t="n">
        <x:f>'Historical Inputs'!I39</x:f>
        <x:v>7800</x:v>
      </x:c>
      <x:c r="J43" s="66" t="n">
        <x:f>'Historical Inputs'!J39</x:f>
        <x:v>11298</x:v>
      </x:c>
      <x:c r="K43" s="66" t="n">
        <x:f>'Historical Inputs'!K39</x:f>
        <x:v>9366</x:v>
      </x:c>
      <x:c r="L43" s="66" t="n">
        <x:f>'Historical Inputs'!L39</x:f>
        <x:v>27597</x:v>
      </x:c>
      <x:c r="M43" s="66" t="n">
        <x:f>'Historical Inputs'!M39</x:f>
        <x:v>22604</x:v>
      </x:c>
      <x:c r="N43" s="66" t="n">
        <x:f>'Historical Inputs'!N39</x:f>
        <x:v>18609</x:v>
      </x:c>
      <x:c r="O43" s="68" t="n">
        <x:f>O41-O42</x:f>
        <x:v>15512</x:v>
      </x:c>
      <x:c r="P43" s="68" t="n">
        <x:f>P41-P42</x:f>
        <x:v>13371</x:v>
      </x:c>
      <x:c r="Q43" s="68" t="n">
        <x:f>Q41-Q42</x:f>
        <x:v>11427</x:v>
      </x:c>
      <x:c r="R43" s="68" t="n">
        <x:f>R41-R42</x:f>
        <x:v>9950</x:v>
      </x:c>
      <x:c r="S43" s="68" t="n">
        <x:f>S41-S42</x:f>
        <x:v>8822</x:v>
      </x:c>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5cc33acc18954c50"/>
</x:worksheet>
</file>

<file path=xl/worksheets/sheet14.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Debt and Leases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Opening debt face value</x:v>
      </x:c>
      <x:c r="D8" s="2"/>
      <x:c r="E8" s="17" t="str">
        <x:v>n.a.</x:v>
      </x:c>
      <x:c r="F8" s="17" t="str">
        <x:v>n.a.</x:v>
      </x:c>
      <x:c r="G8" s="17" t="str">
        <x:v>n.a.</x:v>
      </x:c>
      <x:c r="H8" s="17" t="str">
        <x:v>n.a.</x:v>
      </x:c>
      <x:c r="I8" s="17" t="str">
        <x:v>n.a.</x:v>
      </x:c>
      <x:c r="J8" s="17" t="str">
        <x:v>n.a.</x:v>
      </x:c>
      <x:c r="K8" s="17" t="str">
        <x:v>n.a.</x:v>
      </x:c>
      <x:c r="L8" s="17" t="str">
        <x:v>n.a.</x:v>
      </x:c>
      <x:c r="M8" s="17" t="str">
        <x:v>n.a.</x:v>
      </x:c>
      <x:c r="N8" s="17" t="str">
        <x:v>n.a.</x:v>
      </x:c>
      <x:c r="O8" s="57" t="n">
        <x:f>N12</x:f>
        <x:v>46136</x:v>
      </x:c>
      <x:c r="P8" s="57" t="n">
        <x:f>O12</x:f>
        <x:v>36886</x:v>
      </x:c>
      <x:c r="Q8" s="57" t="n">
        <x:f>P12</x:f>
        <x:v>36886</x:v>
      </x:c>
      <x:c r="R8" s="57" t="n">
        <x:f>Q12</x:f>
        <x:v>34885</x:v>
      </x:c>
      <x:c r="S8" s="57" t="n">
        <x:f>R12</x:f>
        <x:v>34885</x:v>
      </x:c>
      <x:c r="T8" s="2"/>
      <x:c r="U8" s="2"/>
    </x:row>
    <x:row r="9" ht="21" customHeight="1">
      <x:c r="A9" s="2"/>
      <x:c r="B9" s="2"/>
      <x:c r="C9" s="2" t="str">
        <x:v>Contractual debt principal repayment</x:v>
      </x:c>
      <x:c r="D9" s="2"/>
      <x:c r="E9" s="17" t="str">
        <x:v>n.a.</x:v>
      </x:c>
      <x:c r="F9" s="17" t="str">
        <x:v>n.a.</x:v>
      </x:c>
      <x:c r="G9" s="17" t="str">
        <x:v>n.a.</x:v>
      </x:c>
      <x:c r="H9" s="17" t="str">
        <x:v>n.a.</x:v>
      </x:c>
      <x:c r="I9" s="17" t="str">
        <x:v>n.a.</x:v>
      </x:c>
      <x:c r="J9" s="17" t="str">
        <x:v>n.a.</x:v>
      </x:c>
      <x:c r="K9" s="17" t="str">
        <x:v>n.a.</x:v>
      </x:c>
      <x:c r="L9" s="17" t="str">
        <x:v>n.a.</x:v>
      </x:c>
      <x:c r="M9" s="17" t="str">
        <x:v>n.a.</x:v>
      </x:c>
      <x:c r="N9" s="17" t="str">
        <x:v>n.a.</x:v>
      </x:c>
      <x:c r="O9" s="51" t="n">
        <x:f>MIN(O8,'Filing Notes'!O37)</x:f>
        <x:v>9250</x:v>
      </x:c>
      <x:c r="P9" s="51" t="n">
        <x:f>MIN(P8,'Filing Notes'!P37)</x:f>
        <x:v>0</x:v>
      </x:c>
      <x:c r="Q9" s="51" t="n">
        <x:f>MIN(Q8,'Filing Notes'!Q37)</x:f>
        <x:v>2001</x:v>
      </x:c>
      <x:c r="R9" s="51" t="n">
        <x:f>MIN(R8,'Filing Notes'!R37)</x:f>
        <x:v>0</x:v>
      </x:c>
      <x:c r="S9" s="51" t="n">
        <x:f>MIN(S8,'Filing Notes'!S37)</x:f>
        <x:v>500</x:v>
      </x:c>
      <x:c r="T9" s="2"/>
      <x:c r="U9" s="2"/>
    </x:row>
    <x:row r="10" ht="21" customHeight="1">
      <x:c r="A10" s="2"/>
      <x:c r="B10" s="2"/>
      <x:c r="C10" s="2" t="str">
        <x:v>Planned new debt</x:v>
      </x:c>
      <x:c r="D10" s="2"/>
      <x:c r="E10" s="17" t="str">
        <x:v>n.a.</x:v>
      </x:c>
      <x:c r="F10" s="17" t="str">
        <x:v>n.a.</x:v>
      </x:c>
      <x:c r="G10" s="17" t="str">
        <x:v>n.a.</x:v>
      </x:c>
      <x:c r="H10" s="17" t="str">
        <x:v>n.a.</x:v>
      </x:c>
      <x:c r="I10" s="17" t="str">
        <x:v>n.a.</x:v>
      </x:c>
      <x:c r="J10" s="17" t="str">
        <x:v>n.a.</x:v>
      </x:c>
      <x:c r="K10" s="17" t="str">
        <x:v>n.a.</x:v>
      </x:c>
      <x:c r="L10" s="17" t="str">
        <x:v>n.a.</x:v>
      </x:c>
      <x:c r="M10" s="17" t="str">
        <x:v>n.a.</x:v>
      </x:c>
      <x:c r="N10" s="17" t="str">
        <x:v>n.a.</x:v>
      </x:c>
      <x:c r="O10" s="51" t="n">
        <x:f>'Assumptions'!O161</x:f>
        <x:v>0</x:v>
      </x:c>
      <x:c r="P10" s="51" t="n">
        <x:f>'Assumptions'!P161</x:f>
        <x:v>0</x:v>
      </x:c>
      <x:c r="Q10" s="51" t="n">
        <x:f>'Assumptions'!Q161</x:f>
        <x:v>0</x:v>
      </x:c>
      <x:c r="R10" s="51" t="n">
        <x:f>'Assumptions'!R161</x:f>
        <x:v>0</x:v>
      </x:c>
      <x:c r="S10" s="51" t="n">
        <x:f>'Assumptions'!S161</x:f>
        <x:v>0</x:v>
      </x:c>
      <x:c r="T10" s="2"/>
      <x:c r="U10" s="2"/>
    </x:row>
    <x:row r="11" ht="21" customHeight="1">
      <x:c r="A11" s="2"/>
      <x:c r="B11" s="2"/>
      <x:c r="C11" s="2" t="str">
        <x:v>Liquidity borrowing requirement</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MAX(0,'Assumptions'!O117-'Cash Flow'!O59-O77)</x:f>
        <x:v>0</x:v>
      </x:c>
      <x:c r="P11" s="51" t="n">
        <x:f>MAX(0,'Assumptions'!P117-'Cash Flow'!P59-P77)</x:f>
        <x:v>0</x:v>
      </x:c>
      <x:c r="Q11" s="51" t="n">
        <x:f>MAX(0,'Assumptions'!Q117-'Cash Flow'!Q59-Q77)</x:f>
        <x:v>0</x:v>
      </x:c>
      <x:c r="R11" s="51" t="n">
        <x:f>MAX(0,'Assumptions'!R117-'Cash Flow'!R59-R77)</x:f>
        <x:v>0</x:v>
      </x:c>
      <x:c r="S11" s="51" t="n">
        <x:f>MAX(0,'Assumptions'!S117-'Cash Flow'!S59-S77)</x:f>
        <x:v>0</x:v>
      </x:c>
      <x:c r="T11" s="2"/>
      <x:c r="U11" s="2"/>
    </x:row>
    <x:row r="12" ht="21" customHeight="1">
      <x:c r="A12" s="2"/>
      <x:c r="B12" s="2"/>
      <x:c r="C12" s="64" t="str">
        <x:v>Closing debt face value</x:v>
      </x:c>
      <x:c r="D12" s="64"/>
      <x:c r="E12" s="72" t="str">
        <x:v>n.a.</x:v>
      </x:c>
      <x:c r="F12" s="72" t="str">
        <x:v>n.a.</x:v>
      </x:c>
      <x:c r="G12" s="72" t="str">
        <x:v>n.a.</x:v>
      </x:c>
      <x:c r="H12" s="72" t="str">
        <x:v>n.a.</x:v>
      </x:c>
      <x:c r="I12" s="72" t="str">
        <x:v>n.a.</x:v>
      </x:c>
      <x:c r="J12" s="72" t="str">
        <x:v>n.a.</x:v>
      </x:c>
      <x:c r="K12" s="72" t="str">
        <x:v>n.a.</x:v>
      </x:c>
      <x:c r="L12" s="72" t="str">
        <x:v>n.a.</x:v>
      </x:c>
      <x:c r="M12" s="72" t="str">
        <x:v>n.a.</x:v>
      </x:c>
      <x:c r="N12" s="66" t="n">
        <x:f>'Filing Notes'!N24</x:f>
        <x:v>46136</x:v>
      </x:c>
      <x:c r="O12" s="68" t="n">
        <x:f>O8-O9+O10+O11</x:f>
        <x:v>36886</x:v>
      </x:c>
      <x:c r="P12" s="68" t="n">
        <x:f>P8-P9+P10+P11</x:f>
        <x:v>36886</x:v>
      </x:c>
      <x:c r="Q12" s="68" t="n">
        <x:f>Q8-Q9+Q10+Q11</x:f>
        <x:v>34885</x:v>
      </x:c>
      <x:c r="R12" s="68" t="n">
        <x:f>R8-R9+R10+R11</x:f>
        <x:v>34885</x:v>
      </x:c>
      <x:c r="S12" s="68" t="n">
        <x:f>S8-S9+S10+S11</x:f>
        <x:v>34385</x:v>
      </x:c>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Opening debt accounting adjustments</x:v>
      </x:c>
      <x:c r="D14" s="2"/>
      <x:c r="E14" s="17" t="str">
        <x:v>n.a.</x:v>
      </x:c>
      <x:c r="F14" s="17" t="str">
        <x:v>n.a.</x:v>
      </x:c>
      <x:c r="G14" s="17" t="str">
        <x:v>n.a.</x:v>
      </x:c>
      <x:c r="H14" s="17" t="str">
        <x:v>n.a.</x:v>
      </x:c>
      <x:c r="I14" s="17" t="str">
        <x:v>n.a.</x:v>
      </x:c>
      <x:c r="J14" s="17" t="str">
        <x:v>n.a.</x:v>
      </x:c>
      <x:c r="K14" s="17" t="str">
        <x:v>n.a.</x:v>
      </x:c>
      <x:c r="L14" s="17" t="str">
        <x:v>n.a.</x:v>
      </x:c>
      <x:c r="M14" s="17" t="str">
        <x:v>n.a.</x:v>
      </x:c>
      <x:c r="N14" s="17" t="str">
        <x:v>n.a.</x:v>
      </x:c>
      <x:c r="O14" s="57" t="n">
        <x:f>N16</x:f>
        <x:v>5842</x:v>
      </x:c>
      <x:c r="P14" s="57" t="n">
        <x:f>O16</x:f>
        <x:v>5666.74</x:v>
      </x:c>
      <x:c r="Q14" s="57" t="n">
        <x:f>P16</x:f>
        <x:v>5496.7378</x:v>
      </x:c>
      <x:c r="R14" s="57" t="n">
        <x:f>Q16</x:f>
        <x:v>5331.835666</x:v>
      </x:c>
      <x:c r="S14" s="57" t="n">
        <x:f>R16</x:f>
        <x:v>5171.88059602</x:v>
      </x:c>
      <x:c r="T14" s="2"/>
      <x:c r="U14" s="2"/>
    </x:row>
    <x:row r="15" ht="21" customHeight="1">
      <x:c r="A15" s="2"/>
      <x:c r="B15" s="2"/>
      <x:c r="C15" s="2" t="str">
        <x:v>Noncash accounting amortization</x:v>
      </x:c>
      <x:c r="D15" s="2"/>
      <x:c r="E15" s="17" t="str">
        <x:v>n.a.</x:v>
      </x:c>
      <x:c r="F15" s="17" t="str">
        <x:v>n.a.</x:v>
      </x:c>
      <x:c r="G15" s="17" t="str">
        <x:v>n.a.</x:v>
      </x:c>
      <x:c r="H15" s="17" t="str">
        <x:v>n.a.</x:v>
      </x:c>
      <x:c r="I15" s="17" t="str">
        <x:v>n.a.</x:v>
      </x:c>
      <x:c r="J15" s="17" t="str">
        <x:v>n.a.</x:v>
      </x:c>
      <x:c r="K15" s="17" t="str">
        <x:v>n.a.</x:v>
      </x:c>
      <x:c r="L15" s="17" t="str">
        <x:v>n.a.</x:v>
      </x:c>
      <x:c r="M15" s="17" t="str">
        <x:v>n.a.</x:v>
      </x:c>
      <x:c r="N15" s="17" t="str">
        <x:v>n.a.</x:v>
      </x:c>
      <x:c r="O15" s="51" t="n">
        <x:f>MIN(O14,O14*'Assumptions'!O137)</x:f>
        <x:v>175.26</x:v>
      </x:c>
      <x:c r="P15" s="51" t="n">
        <x:f>MIN(P14,P14*'Assumptions'!P137)</x:f>
        <x:v>170.0022</x:v>
      </x:c>
      <x:c r="Q15" s="51" t="n">
        <x:f>MIN(Q14,Q14*'Assumptions'!Q137)</x:f>
        <x:v>164.902134</x:v>
      </x:c>
      <x:c r="R15" s="51" t="n">
        <x:f>MIN(R14,R14*'Assumptions'!R137)</x:f>
        <x:v>159.95506998</x:v>
      </x:c>
      <x:c r="S15" s="51" t="n">
        <x:f>MIN(S14,S14*'Assumptions'!S137)</x:f>
        <x:v>155.15641788059997</x:v>
      </x:c>
      <x:c r="T15" s="2"/>
      <x:c r="U15" s="2"/>
    </x:row>
    <x:row r="16" ht="21" customHeight="1">
      <x:c r="A16" s="2"/>
      <x:c r="B16" s="2"/>
      <x:c r="C16" s="2" t="str">
        <x:v>Closing debt accounting adjustments</x:v>
      </x:c>
      <x:c r="D16" s="2"/>
      <x:c r="E16" s="17" t="str">
        <x:v>n.a.</x:v>
      </x:c>
      <x:c r="F16" s="17" t="str">
        <x:v>n.a.</x:v>
      </x:c>
      <x:c r="G16" s="17" t="str">
        <x:v>n.a.</x:v>
      </x:c>
      <x:c r="H16" s="17" t="str">
        <x:v>n.a.</x:v>
      </x:c>
      <x:c r="I16" s="17" t="str">
        <x:v>n.a.</x:v>
      </x:c>
      <x:c r="J16" s="17" t="str">
        <x:v>n.a.</x:v>
      </x:c>
      <x:c r="K16" s="17" t="str">
        <x:v>n.a.</x:v>
      </x:c>
      <x:c r="L16" s="17" t="str">
        <x:v>n.a.</x:v>
      </x:c>
      <x:c r="M16" s="17" t="str">
        <x:v>n.a.</x:v>
      </x:c>
      <x:c r="N16" s="51" t="n">
        <x:f>SUM('Filing Notes'!N25:N27)</x:f>
        <x:v>5842</x:v>
      </x:c>
      <x:c r="O16" s="57" t="n">
        <x:f>O14-O15</x:f>
        <x:v>5666.74</x:v>
      </x:c>
      <x:c r="P16" s="57" t="n">
        <x:f>P14-P15</x:f>
        <x:v>5496.7378</x:v>
      </x:c>
      <x:c r="Q16" s="57" t="n">
        <x:f>Q14-Q15</x:f>
        <x:v>5331.835666</x:v>
      </x:c>
      <x:c r="R16" s="57" t="n">
        <x:f>R14-R15</x:f>
        <x:v>5171.88059602</x:v>
      </x:c>
      <x:c r="S16" s="57" t="n">
        <x:f>S14-S15</x:f>
        <x:v>5016.7241781394</x:v>
      </x:c>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64" t="str">
        <x:v>Closing debt carrying amount</x:v>
      </x:c>
      <x:c r="D18" s="64"/>
      <x:c r="E18" s="66" t="n">
        <x:f>'Historical Inputs'!E43+'Historical Inputs'!E49+'Historical Inputs'!E61</x:f>
        <x:v>86194</x:v>
      </x:c>
      <x:c r="F18" s="66" t="n">
        <x:f>'Historical Inputs'!F43+'Historical Inputs'!F49+'Historical Inputs'!F61</x:f>
        <x:v>76240</x:v>
      </x:c>
      <x:c r="G18" s="66" t="n">
        <x:f>'Historical Inputs'!G43+'Historical Inputs'!G49+'Historical Inputs'!G61</x:f>
        <x:v>72178</x:v>
      </x:c>
      <x:c r="H18" s="66" t="n">
        <x:f>'Historical Inputs'!H43+'Historical Inputs'!H49+'Historical Inputs'!H61</x:f>
        <x:v>63327</x:v>
      </x:c>
      <x:c r="I18" s="66" t="n">
        <x:f>'Historical Inputs'!I43+'Historical Inputs'!I49+'Historical Inputs'!I61</x:f>
        <x:v>58146</x:v>
      </x:c>
      <x:c r="J18" s="66" t="n">
        <x:f>'Historical Inputs'!J43+'Historical Inputs'!J49+'Historical Inputs'!J61</x:f>
        <x:v>49781</x:v>
      </x:c>
      <x:c r="K18" s="66" t="n">
        <x:f>'Historical Inputs'!K43+'Historical Inputs'!K49+'Historical Inputs'!K61</x:f>
        <x:v>47237</x:v>
      </x:c>
      <x:c r="L18" s="66" t="n">
        <x:f>'Historical Inputs'!L43+'Historical Inputs'!L49+'Historical Inputs'!L61</x:f>
        <x:v>51630</x:v>
      </x:c>
      <x:c r="M18" s="66" t="n">
        <x:f>'Historical Inputs'!M43+'Historical Inputs'!M49+'Historical Inputs'!M61</x:f>
        <x:v>43151</x:v>
      </x:c>
      <x:c r="N18" s="66" t="n">
        <x:f>'Historical Inputs'!N43+'Historical Inputs'!N49+'Historical Inputs'!N61</x:f>
        <x:v>40294</x:v>
      </x:c>
      <x:c r="O18" s="68" t="n">
        <x:f>O12-O16</x:f>
        <x:v>31219.260000000002</x:v>
      </x:c>
      <x:c r="P18" s="68" t="n">
        <x:f>P12-P16</x:f>
        <x:v>31389.2622</x:v>
      </x:c>
      <x:c r="Q18" s="68" t="n">
        <x:f>Q12-Q16</x:f>
        <x:v>29553.164334</x:v>
      </x:c>
      <x:c r="R18" s="68" t="n">
        <x:f>R12-R16</x:f>
        <x:v>29713.11940398</x:v>
      </x:c>
      <x:c r="S18" s="68" t="n">
        <x:f>S12-S16</x:f>
        <x:v>29368.2758218606</x:v>
      </x:c>
      <x:c r="T18" s="2"/>
      <x:c r="U18" s="2"/>
    </x:row>
    <x:row r="19" ht="21" customHeight="1">
      <x:c r="A19" s="2"/>
      <x:c r="B19" s="2"/>
      <x:c r="C19" s="2" t="str">
        <x:v>Current debt carrying amount</x:v>
      </x:c>
      <x:c r="D19" s="2"/>
      <x:c r="E19" s="51" t="n">
        <x:f>'Historical Inputs'!E43</x:f>
        <x:v>1049</x:v>
      </x:c>
      <x:c r="F19" s="51" t="n">
        <x:f>'Historical Inputs'!F43</x:f>
        <x:v>3998</x:v>
      </x:c>
      <x:c r="G19" s="51" t="n">
        <x:f>'Historical Inputs'!G43</x:f>
        <x:v>5516</x:v>
      </x:c>
      <x:c r="H19" s="51" t="n">
        <x:f>'Historical Inputs'!H43</x:f>
        <x:v>3749</x:v>
      </x:c>
      <x:c r="I19" s="51" t="n">
        <x:f>'Historical Inputs'!I43</x:f>
        <x:v>8072</x:v>
      </x:c>
      <x:c r="J19" s="51" t="n">
        <x:f>'Historical Inputs'!J43</x:f>
        <x:v>2749</x:v>
      </x:c>
      <x:c r="K19" s="51" t="n">
        <x:f>'Historical Inputs'!K43</x:f>
        <x:v>5247</x:v>
      </x:c>
      <x:c r="L19" s="51" t="n">
        <x:f>'Historical Inputs'!L43</x:f>
        <x:v>2249</x:v>
      </x:c>
      <x:c r="M19" s="51" t="n">
        <x:f>'Historical Inputs'!M43</x:f>
        <x:v>2999</x:v>
      </x:c>
      <x:c r="N19" s="51" t="n">
        <x:f>'Historical Inputs'!N43</x:f>
        <x:v>9227</x:v>
      </x:c>
      <x:c r="O19" s="51" t="n">
        <x:f>MIN(O18,O27*(1-'Filing Notes'!N44))</x:f>
        <x:v>0</x:v>
      </x:c>
      <x:c r="P19" s="51" t="n">
        <x:f>MIN(P18,P27*(1-'Filing Notes'!N44))</x:f>
        <x:v>1996.0245405405406</x:v>
      </x:c>
      <x:c r="Q19" s="51" t="n">
        <x:f>MIN(Q18,Q27*(1-'Filing Notes'!N44))</x:f>
        <x:v>0</x:v>
      </x:c>
      <x:c r="R19" s="51" t="n">
        <x:f>MIN(R18,R27*(1-'Filing Notes'!N44))</x:f>
        <x:v>498.7567567567567</x:v>
      </x:c>
      <x:c r="S19" s="51" t="n">
        <x:f>MIN(S18,S27*(1-'Filing Notes'!N44))</x:f>
        <x:v>0</x:v>
      </x:c>
      <x:c r="T19" s="2"/>
      <x:c r="U19" s="2"/>
    </x:row>
    <x:row r="20" ht="21" customHeight="1">
      <x:c r="A20" s="2"/>
      <x:c r="B20" s="2"/>
      <x:c r="C20" s="2" t="str">
        <x:v>Long-term debt carrying amount</x:v>
      </x:c>
      <x:c r="D20" s="2"/>
      <x:c r="E20" s="51" t="n">
        <x:f>'Historical Inputs'!E49</x:f>
        <x:v>76073</x:v>
      </x:c>
      <x:c r="F20" s="51" t="n">
        <x:f>'Historical Inputs'!F49</x:f>
        <x:v>72242</x:v>
      </x:c>
      <x:c r="G20" s="51" t="n">
        <x:f>'Historical Inputs'!G49</x:f>
        <x:v>66662</x:v>
      </x:c>
      <x:c r="H20" s="51" t="n">
        <x:f>'Historical Inputs'!H49</x:f>
        <x:v>59578</x:v>
      </x:c>
      <x:c r="I20" s="51" t="n">
        <x:f>'Historical Inputs'!I49</x:f>
        <x:v>50074</x:v>
      </x:c>
      <x:c r="J20" s="51" t="n">
        <x:f>'Historical Inputs'!J49</x:f>
        <x:v>47032</x:v>
      </x:c>
      <x:c r="K20" s="51" t="n">
        <x:f>'Historical Inputs'!K49</x:f>
        <x:v>41990</x:v>
      </x:c>
      <x:c r="L20" s="51" t="n">
        <x:f>'Historical Inputs'!L49</x:f>
        <x:v>42688</x:v>
      </x:c>
      <x:c r="M20" s="51" t="n">
        <x:f>'Historical Inputs'!M49</x:f>
        <x:v>40152</x:v>
      </x:c>
      <x:c r="N20" s="51" t="n">
        <x:f>'Historical Inputs'!N49</x:f>
        <x:v>31067</x:v>
      </x:c>
      <x:c r="O20" s="57" t="n">
        <x:f>O18-O19</x:f>
        <x:v>31219.260000000002</x:v>
      </x:c>
      <x:c r="P20" s="57" t="n">
        <x:f>P18-P19</x:f>
        <x:v>29393.23765945946</x:v>
      </x:c>
      <x:c r="Q20" s="57" t="n">
        <x:f>Q18-Q19</x:f>
        <x:v>29553.164334</x:v>
      </x:c>
      <x:c r="R20" s="57" t="n">
        <x:f>R18-R19</x:f>
        <x:v>29214.362647223243</x:v>
      </x:c>
      <x:c r="S20" s="57" t="n">
        <x:f>S18-S19</x:f>
        <x:v>29368.2758218606</x:v>
      </x:c>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Cash coupon interest on debt</x:v>
      </x:c>
      <x:c r="D22" s="2"/>
      <x:c r="E22" s="17" t="str">
        <x:v>n.a.</x:v>
      </x:c>
      <x:c r="F22" s="17" t="str">
        <x:v>n.a.</x:v>
      </x:c>
      <x:c r="G22" s="17" t="str">
        <x:v>n.a.</x:v>
      </x:c>
      <x:c r="H22" s="17" t="str">
        <x:v>n.a.</x:v>
      </x:c>
      <x:c r="I22" s="17" t="str">
        <x:v>n.a.</x:v>
      </x:c>
      <x:c r="J22" s="17" t="str">
        <x:v>n.a.</x:v>
      </x:c>
      <x:c r="K22" s="17" t="str">
        <x:v>n.a.</x:v>
      </x:c>
      <x:c r="L22" s="17" t="str">
        <x:v>n.a.</x:v>
      </x:c>
      <x:c r="M22" s="17" t="str">
        <x:v>n.a.</x:v>
      </x:c>
      <x:c r="N22" s="17" t="str">
        <x:v>n.a.</x:v>
      </x:c>
      <x:c r="O22" s="51" t="n">
        <x:f>O8*'Assumptions'!O125</x:f>
        <x:v>1614.7600000000002</x:v>
      </x:c>
      <x:c r="P22" s="51" t="n">
        <x:f>P8*'Assumptions'!P125</x:f>
        <x:v>1291.0100000000002</x:v>
      </x:c>
      <x:c r="Q22" s="51" t="n">
        <x:f>Q8*'Assumptions'!Q125</x:f>
        <x:v>1291.0100000000002</x:v>
      </x:c>
      <x:c r="R22" s="51" t="n">
        <x:f>R8*'Assumptions'!R125</x:f>
        <x:v>1220.9750000000001</x:v>
      </x:c>
      <x:c r="S22" s="51" t="n">
        <x:f>S8*'Assumptions'!S125</x:f>
        <x:v>1220.9750000000001</x:v>
      </x:c>
      <x:c r="T22" s="2"/>
      <x:c r="U22" s="2"/>
    </x:row>
    <x:row r="23" ht="21" customHeight="1">
      <x:c r="A23" s="2"/>
      <x:c r="B23" s="2"/>
      <x:c r="C23" s="2" t="str">
        <x:v>Finance lease interest</x:v>
      </x:c>
      <x:c r="D23" s="2"/>
      <x:c r="E23" s="17" t="str">
        <x:v>n.a.</x:v>
      </x:c>
      <x:c r="F23" s="17" t="str">
        <x:v>n.a.</x:v>
      </x:c>
      <x:c r="G23" s="17" t="str">
        <x:v>n.a.</x:v>
      </x:c>
      <x:c r="H23" s="17" t="str">
        <x:v>n.a.</x:v>
      </x:c>
      <x:c r="I23" s="17" t="str">
        <x:v>n.a.</x:v>
      </x:c>
      <x:c r="J23" s="17" t="str">
        <x:v>n.a.</x:v>
      </x:c>
      <x:c r="K23" s="17" t="str">
        <x:v>n.a.</x:v>
      </x:c>
      <x:c r="L23" s="17" t="str">
        <x:v>n.a.</x:v>
      </x:c>
      <x:c r="M23" s="17" t="str">
        <x:v>n.a.</x:v>
      </x:c>
      <x:c r="N23" s="17" t="str">
        <x:v>n.a.</x:v>
      </x:c>
      <x:c r="O23" s="57" t="n">
        <x:f>O40</x:f>
        <x:v>3646.49985</x:v>
      </x:c>
      <x:c r="P23" s="57" t="n">
        <x:f>P40</x:f>
        <x:v>4760.7472256261535</x:v>
      </x:c>
      <x:c r="Q23" s="57" t="n">
        <x:f>Q40</x:f>
        <x:v>5853.399336466711</x:v>
      </x:c>
      <x:c r="R23" s="57" t="n">
        <x:f>R40</x:f>
        <x:v>6944.8813001931685</x:v>
      </x:c>
      <x:c r="S23" s="57" t="n">
        <x:f>S40</x:f>
        <x:v>7992.279209107867</x:v>
      </x:c>
      <x:c r="T23" s="2"/>
      <x:c r="U23" s="2"/>
    </x:row>
    <x:row r="24" ht="21" customHeight="1">
      <x:c r="A24" s="2"/>
      <x:c r="B24" s="2"/>
      <x:c r="C24" s="2" t="str">
        <x:v>Capitalized cash interest within capex</x:v>
      </x:c>
      <x:c r="D24" s="2"/>
      <x:c r="E24" s="17" t="str">
        <x:v>n.a.</x:v>
      </x:c>
      <x:c r="F24" s="17" t="str">
        <x:v>n.a.</x:v>
      </x:c>
      <x:c r="G24" s="17" t="str">
        <x:v>n.a.</x:v>
      </x:c>
      <x:c r="H24" s="17" t="str">
        <x:v>n.a.</x:v>
      </x:c>
      <x:c r="I24" s="17" t="str">
        <x:v>n.a.</x:v>
      </x:c>
      <x:c r="J24" s="17" t="str">
        <x:v>n.a.</x:v>
      </x:c>
      <x:c r="K24" s="17" t="str">
        <x:v>n.a.</x:v>
      </x:c>
      <x:c r="L24" s="17" t="str">
        <x:v>n.a.</x:v>
      </x:c>
      <x:c r="M24" s="17" t="str">
        <x:v>n.a.</x:v>
      </x:c>
      <x:c r="N24" s="17" t="str">
        <x:v>n.a.</x:v>
      </x:c>
      <x:c r="O24" s="51" t="n">
        <x:f>(O22+O23)*'Assumptions'!O133</x:f>
        <x:v>1052.25197</x:v>
      </x:c>
      <x:c r="P24" s="51" t="n">
        <x:f>(P22+P23)*'Assumptions'!P133</x:f>
        <x:v>1210.3514451252308</x:v>
      </x:c>
      <x:c r="Q24" s="51" t="n">
        <x:f>(Q22+Q23)*'Assumptions'!Q133</x:f>
        <x:v>1428.8818672933423</x:v>
      </x:c>
      <x:c r="R24" s="51" t="n">
        <x:f>(R22+R23)*'Assumptions'!R133</x:f>
        <x:v>1633.1712600386338</x:v>
      </x:c>
      <x:c r="S24" s="51" t="n">
        <x:f>(S22+S23)*'Assumptions'!S133</x:f>
        <x:v>1842.6508418215735</x:v>
      </x:c>
      <x:c r="T24" s="2"/>
      <x:c r="U24" s="2"/>
    </x:row>
    <x:row r="25" ht="21" customHeight="1">
      <x:c r="A25" s="2"/>
      <x:c r="B25" s="2"/>
      <x:c r="C25" s="64" t="str">
        <x:v>Interest expense recognized in income</x:v>
      </x:c>
      <x:c r="D25" s="64"/>
      <x:c r="E25" s="72" t="str">
        <x:v>n.a.</x:v>
      </x:c>
      <x:c r="F25" s="72" t="str">
        <x:v>n.a.</x:v>
      </x:c>
      <x:c r="G25" s="72" t="str">
        <x:v>n.a.</x:v>
      </x:c>
      <x:c r="H25" s="72" t="str">
        <x:v>n.a.</x:v>
      </x:c>
      <x:c r="I25" s="72" t="str">
        <x:v>n.a.</x:v>
      </x:c>
      <x:c r="J25" s="72" t="str">
        <x:v>n.a.</x:v>
      </x:c>
      <x:c r="K25" s="72" t="str">
        <x:v>n.a.</x:v>
      </x:c>
      <x:c r="L25" s="72" t="str">
        <x:v>n.a.</x:v>
      </x:c>
      <x:c r="M25" s="72" t="str">
        <x:v>n.a.</x:v>
      </x:c>
      <x:c r="N25" s="72" t="str">
        <x:v>n.a.</x:v>
      </x:c>
      <x:c r="O25" s="68" t="n">
        <x:f>O22+O23-O24+O15</x:f>
        <x:v>4384.26788</x:v>
      </x:c>
      <x:c r="P25" s="68" t="n">
        <x:f>P22+P23-P24+P15</x:f>
        <x:v>5011.407980500923</x:v>
      </x:c>
      <x:c r="Q25" s="68" t="n">
        <x:f>Q22+Q23-Q24+Q15</x:f>
        <x:v>5880.429603173369</x:v>
      </x:c>
      <x:c r="R25" s="68" t="n">
        <x:f>R22+R23-R24+R15</x:f>
        <x:v>6692.6401101345355</x:v>
      </x:c>
      <x:c r="S25" s="68" t="n">
        <x:f>S22+S23-S24+S15</x:f>
        <x:v>7525.759785166893</x:v>
      </x:c>
      <x:c r="T25" s="2"/>
      <x:c r="U25" s="2"/>
    </x:row>
    <x:row r="26" ht="32" customHeight="1">
      <x:c r="A26" s="2"/>
      <x:c r="B26" s="2"/>
      <x:c r="C26" s="23" t="str">
        <x:v>Income on opening cash and short-term investments</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1" t="n">
        <x:f>('Balance Sheet'!N8+'Balance Sheet'!N9)*'Assumptions'!O129</x:f>
        <x:v>2689.505</x:v>
      </x:c>
      <x:c r="P26" s="51" t="n">
        <x:f>('Balance Sheet'!O8+'Balance Sheet'!O9)*'Assumptions'!P129</x:f>
        <x:v>3280.906292409156</x:v>
      </x:c>
      <x:c r="Q26" s="51" t="n">
        <x:f>('Balance Sheet'!P8+'Balance Sheet'!P9)*'Assumptions'!Q129</x:f>
        <x:v>5263.303274194405</x:v>
      </x:c>
      <x:c r="R26" s="51" t="n">
        <x:f>('Balance Sheet'!Q8+'Balance Sheet'!Q9)*'Assumptions'!R129</x:f>
        <x:v>8210.538420249859</x:v>
      </x:c>
      <x:c r="S26" s="51" t="n">
        <x:f>('Balance Sheet'!R8+'Balance Sheet'!R9)*'Assumptions'!S129</x:f>
        <x:v>12481.89425895139</x:v>
      </x:c>
      <x:c r="T26" s="2"/>
      <x:c r="U26" s="2"/>
    </x:row>
    <x:row r="27" ht="21" customHeight="1">
      <x:c r="A27" s="2"/>
      <x:c r="B27" s="2"/>
      <x:c r="C27" s="2" t="str">
        <x:v>Next year contractual debt principal</x:v>
      </x:c>
      <x:c r="D27" s="2"/>
      <x:c r="E27" s="17" t="str">
        <x:v>n.a.</x:v>
      </x:c>
      <x:c r="F27" s="17" t="str">
        <x:v>n.a.</x:v>
      </x:c>
      <x:c r="G27" s="17" t="str">
        <x:v>n.a.</x:v>
      </x:c>
      <x:c r="H27" s="17" t="str">
        <x:v>n.a.</x:v>
      </x:c>
      <x:c r="I27" s="17" t="str">
        <x:v>n.a.</x:v>
      </x:c>
      <x:c r="J27" s="17" t="str">
        <x:v>n.a.</x:v>
      </x:c>
      <x:c r="K27" s="17" t="str">
        <x:v>n.a.</x:v>
      </x:c>
      <x:c r="L27" s="17" t="str">
        <x:v>n.a.</x:v>
      </x:c>
      <x:c r="M27" s="17" t="str">
        <x:v>n.a.</x:v>
      </x:c>
      <x:c r="N27" s="17" t="str">
        <x:v>n.a.</x:v>
      </x:c>
      <x:c r="O27" s="51" t="n">
        <x:f>'Filing Notes'!P37</x:f>
        <x:v>0</x:v>
      </x:c>
      <x:c r="P27" s="51" t="n">
        <x:f>'Filing Notes'!Q37</x:f>
        <x:v>2001</x:v>
      </x:c>
      <x:c r="Q27" s="51" t="n">
        <x:f>'Filing Notes'!R37</x:f>
        <x:v>0</x:v>
      </x:c>
      <x:c r="R27" s="51" t="n">
        <x:f>'Filing Notes'!S37</x:f>
        <x:v>500</x:v>
      </x:c>
      <x:c r="S27" s="51" t="n">
        <x:f>'Assumptions'!O211</x:f>
        <x:v>0</x:v>
      </x:c>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5" customHeight="1">
      <x:c r="A30" s="2"/>
      <x:c r="B30" s="2"/>
      <x:c r="C30" s="10" t="str">
        <x:v>Finance leases</x:v>
      </x:c>
      <x:c r="D30" s="10"/>
      <x:c r="E30" s="10"/>
      <x:c r="F30" s="10"/>
      <x:c r="G30" s="10"/>
      <x:c r="H30" s="10"/>
      <x:c r="I30" s="10"/>
      <x:c r="J30" s="10"/>
      <x:c r="K30" s="10"/>
      <x:c r="L30" s="10"/>
      <x:c r="M30" s="10"/>
      <x:c r="N30" s="10"/>
      <x:c r="O30" s="10"/>
      <x:c r="P30" s="10"/>
      <x:c r="Q30" s="10"/>
      <x:c r="R30" s="10"/>
      <x:c r="S30" s="10"/>
      <x:c r="T30" s="2"/>
      <x:c r="U30" s="2"/>
    </x:row>
    <x:row r="31" ht="21" customHeight="1">
      <x:c r="A31" s="2"/>
      <x:c r="B31" s="2"/>
      <x:c r="C31" s="2" t="str">
        <x:v>Opening legacy finance lease liability</x:v>
      </x:c>
      <x:c r="D31" s="2"/>
      <x:c r="E31" s="17" t="str">
        <x:v>n.a.</x:v>
      </x:c>
      <x:c r="F31" s="17" t="str">
        <x:v>n.a.</x:v>
      </x:c>
      <x:c r="G31" s="17" t="str">
        <x:v>n.a.</x:v>
      </x:c>
      <x:c r="H31" s="17" t="str">
        <x:v>n.a.</x:v>
      </x:c>
      <x:c r="I31" s="17" t="str">
        <x:v>n.a.</x:v>
      </x:c>
      <x:c r="J31" s="17" t="str">
        <x:v>n.a.</x:v>
      </x:c>
      <x:c r="K31" s="17" t="str">
        <x:v>n.a.</x:v>
      </x:c>
      <x:c r="L31" s="17" t="str">
        <x:v>n.a.</x:v>
      </x:c>
      <x:c r="M31" s="17" t="str">
        <x:v>n.a.</x:v>
      </x:c>
      <x:c r="N31" s="17" t="str">
        <x:v>n.a.</x:v>
      </x:c>
      <x:c r="O31" s="51" t="n">
        <x:f>'Filing Notes'!N12</x:f>
        <x:v>66594</x:v>
      </x:c>
      <x:c r="P31" s="57" t="n">
        <x:f>O35</x:f>
        <x:v>62469.729999999996</x:v>
      </x:c>
      <x:c r="Q31" s="57" t="n">
        <x:f>P35</x:f>
        <x:v>57986.867849999995</x:v>
      </x:c>
      <x:c r="R31" s="57" t="n">
        <x:f>Q35</x:f>
        <x:v>53928.27690324999</x:v>
      </x:c>
      <x:c r="S31" s="57" t="n">
        <x:f>R35</x:f>
        <x:v>49785.04936389624</x:v>
      </x:c>
      <x:c r="T31" s="2"/>
      <x:c r="U31" s="2"/>
    </x:row>
    <x:row r="32" ht="21" customHeight="1">
      <x:c r="A32" s="2"/>
      <x:c r="B32" s="2"/>
      <x:c r="C32" s="2" t="str">
        <x:v>Contractual legacy finance lease cash payments</x:v>
      </x:c>
      <x:c r="D32" s="2"/>
      <x:c r="E32" s="17" t="str">
        <x:v>n.a.</x:v>
      </x:c>
      <x:c r="F32" s="17" t="str">
        <x:v>n.a.</x:v>
      </x:c>
      <x:c r="G32" s="17" t="str">
        <x:v>n.a.</x:v>
      </x:c>
      <x:c r="H32" s="17" t="str">
        <x:v>n.a.</x:v>
      </x:c>
      <x:c r="I32" s="17" t="str">
        <x:v>n.a.</x:v>
      </x:c>
      <x:c r="J32" s="17" t="str">
        <x:v>n.a.</x:v>
      </x:c>
      <x:c r="K32" s="17" t="str">
        <x:v>n.a.</x:v>
      </x:c>
      <x:c r="L32" s="17" t="str">
        <x:v>n.a.</x:v>
      </x:c>
      <x:c r="M32" s="17" t="str">
        <x:v>n.a.</x:v>
      </x:c>
      <x:c r="N32" s="17" t="str">
        <x:v>n.a.</x:v>
      </x:c>
      <x:c r="O32" s="51" t="n">
        <x:f>'Filing Notes'!O40</x:f>
        <x:v>7121</x:v>
      </x:c>
      <x:c r="P32" s="51" t="n">
        <x:f>'Filing Notes'!P40</x:f>
        <x:v>7294</x:v>
      </x:c>
      <x:c r="Q32" s="51" t="n">
        <x:f>'Filing Notes'!Q40</x:f>
        <x:v>6668</x:v>
      </x:c>
      <x:c r="R32" s="51" t="n">
        <x:f>'Filing Notes'!R40</x:f>
        <x:v>6570</x:v>
      </x:c>
      <x:c r="S32" s="51" t="n">
        <x:f>'Filing Notes'!S40</x:f>
        <x:v>6543</x:v>
      </x:c>
      <x:c r="T32" s="2"/>
      <x:c r="U32" s="2"/>
    </x:row>
    <x:row r="33" ht="21" customHeight="1">
      <x:c r="A33" s="2"/>
      <x:c r="B33" s="2"/>
      <x:c r="C33" s="2" t="str">
        <x:v>Interest on legacy finance leases</x:v>
      </x:c>
      <x:c r="D33" s="2"/>
      <x:c r="E33" s="17" t="str">
        <x:v>n.a.</x:v>
      </x:c>
      <x:c r="F33" s="17" t="str">
        <x:v>n.a.</x:v>
      </x:c>
      <x:c r="G33" s="17" t="str">
        <x:v>n.a.</x:v>
      </x:c>
      <x:c r="H33" s="17" t="str">
        <x:v>n.a.</x:v>
      </x:c>
      <x:c r="I33" s="17" t="str">
        <x:v>n.a.</x:v>
      </x:c>
      <x:c r="J33" s="17" t="str">
        <x:v>n.a.</x:v>
      </x:c>
      <x:c r="K33" s="17" t="str">
        <x:v>n.a.</x:v>
      </x:c>
      <x:c r="L33" s="17" t="str">
        <x:v>n.a.</x:v>
      </x:c>
      <x:c r="M33" s="17" t="str">
        <x:v>n.a.</x:v>
      </x:c>
      <x:c r="N33" s="17" t="str">
        <x:v>n.a.</x:v>
      </x:c>
      <x:c r="O33" s="51" t="n">
        <x:f>O31*'Assumptions'!O141</x:f>
        <x:v>2996.73</x:v>
      </x:c>
      <x:c r="P33" s="51" t="n">
        <x:f>P31*'Assumptions'!P141</x:f>
        <x:v>2811.1378499999996</x:v>
      </x:c>
      <x:c r="Q33" s="51" t="n">
        <x:f>Q31*'Assumptions'!Q141</x:f>
        <x:v>2609.4090532499995</x:v>
      </x:c>
      <x:c r="R33" s="51" t="n">
        <x:f>R31*'Assumptions'!R141</x:f>
        <x:v>2426.77246064625</x:v>
      </x:c>
      <x:c r="S33" s="51" t="n">
        <x:f>S31*'Assumptions'!S141</x:f>
        <x:v>2240.3272213753307</x:v>
      </x:c>
      <x:c r="T33" s="2"/>
      <x:c r="U33" s="2"/>
    </x:row>
    <x:row r="34" ht="21" customHeight="1">
      <x:c r="A34" s="2"/>
      <x:c r="B34" s="2"/>
      <x:c r="C34" s="2" t="str">
        <x:v>Legacy finance lease principal payments</x:v>
      </x:c>
      <x:c r="D34" s="2"/>
      <x:c r="E34" s="17" t="str">
        <x:v>n.a.</x:v>
      </x:c>
      <x:c r="F34" s="17" t="str">
        <x:v>n.a.</x:v>
      </x:c>
      <x:c r="G34" s="17" t="str">
        <x:v>n.a.</x:v>
      </x:c>
      <x:c r="H34" s="17" t="str">
        <x:v>n.a.</x:v>
      </x:c>
      <x:c r="I34" s="17" t="str">
        <x:v>n.a.</x:v>
      </x:c>
      <x:c r="J34" s="17" t="str">
        <x:v>n.a.</x:v>
      </x:c>
      <x:c r="K34" s="17" t="str">
        <x:v>n.a.</x:v>
      </x:c>
      <x:c r="L34" s="17" t="str">
        <x:v>n.a.</x:v>
      </x:c>
      <x:c r="M34" s="17" t="str">
        <x:v>n.a.</x:v>
      </x:c>
      <x:c r="N34" s="17" t="str">
        <x:v>n.a.</x:v>
      </x:c>
      <x:c r="O34" s="57" t="n">
        <x:f>MIN(O31,MAX(0,O32-O33))</x:f>
        <x:v>4124.27</x:v>
      </x:c>
      <x:c r="P34" s="57" t="n">
        <x:f>MIN(P31,MAX(0,P32-P33))</x:f>
        <x:v>4482.862150000001</x:v>
      </x:c>
      <x:c r="Q34" s="57" t="n">
        <x:f>MIN(Q31,MAX(0,Q32-Q33))</x:f>
        <x:v>4058.5909467500005</x:v>
      </x:c>
      <x:c r="R34" s="57" t="n">
        <x:f>MIN(R31,MAX(0,R32-R33))</x:f>
        <x:v>4143.22753935375</x:v>
      </x:c>
      <x:c r="S34" s="57" t="n">
        <x:f>MIN(S31,MAX(0,S32-S33))</x:f>
        <x:v>4302.672778624669</x:v>
      </x:c>
      <x:c r="T34" s="2"/>
      <x:c r="U34" s="2"/>
    </x:row>
    <x:row r="35" ht="21" customHeight="1">
      <x:c r="A35" s="2"/>
      <x:c r="B35" s="2"/>
      <x:c r="C35" s="2" t="str">
        <x:v>Closing legacy finance lease liability</x:v>
      </x:c>
      <x:c r="D35" s="2"/>
      <x:c r="E35" s="17" t="str">
        <x:v>n.a.</x:v>
      </x:c>
      <x:c r="F35" s="17" t="str">
        <x:v>n.a.</x:v>
      </x:c>
      <x:c r="G35" s="17" t="str">
        <x:v>n.a.</x:v>
      </x:c>
      <x:c r="H35" s="17" t="str">
        <x:v>n.a.</x:v>
      </x:c>
      <x:c r="I35" s="17" t="str">
        <x:v>n.a.</x:v>
      </x:c>
      <x:c r="J35" s="17" t="str">
        <x:v>n.a.</x:v>
      </x:c>
      <x:c r="K35" s="17" t="str">
        <x:v>n.a.</x:v>
      </x:c>
      <x:c r="L35" s="17" t="str">
        <x:v>n.a.</x:v>
      </x:c>
      <x:c r="M35" s="17" t="str">
        <x:v>n.a.</x:v>
      </x:c>
      <x:c r="N35" s="17" t="str">
        <x:v>n.a.</x:v>
      </x:c>
      <x:c r="O35" s="57" t="n">
        <x:f>O31-O34</x:f>
        <x:v>62469.729999999996</x:v>
      </x:c>
      <x:c r="P35" s="57" t="n">
        <x:f>P31-P34</x:f>
        <x:v>57986.867849999995</x:v>
      </x:c>
      <x:c r="Q35" s="57" t="n">
        <x:f>Q31-Q34</x:f>
        <x:v>53928.27690324999</x:v>
      </x:c>
      <x:c r="R35" s="57" t="n">
        <x:f>R31-R34</x:f>
        <x:v>49785.04936389624</x:v>
      </x:c>
      <x:c r="S35" s="57" t="n">
        <x:f>S31-S34</x:f>
        <x:v>45482.37658527157</x:v>
      </x:c>
      <x:c r="T35" s="2"/>
      <x:c r="U35" s="2"/>
    </x:row>
    <x:row r="36" ht="21" customHeight="1">
      <x:c r="A36" s="2"/>
      <x:c r="B36" s="2"/>
      <x:c r="C36" s="2" t="str">
        <x:v>Opening new finance lease liability</x:v>
      </x:c>
      <x:c r="D36" s="2"/>
      <x:c r="E36" s="17" t="str">
        <x:v>n.a.</x:v>
      </x:c>
      <x:c r="F36" s="17" t="str">
        <x:v>n.a.</x:v>
      </x:c>
      <x:c r="G36" s="17" t="str">
        <x:v>n.a.</x:v>
      </x:c>
      <x:c r="H36" s="17" t="str">
        <x:v>n.a.</x:v>
      </x:c>
      <x:c r="I36" s="17" t="str">
        <x:v>n.a.</x:v>
      </x:c>
      <x:c r="J36" s="17" t="str">
        <x:v>n.a.</x:v>
      </x:c>
      <x:c r="K36" s="17" t="str">
        <x:v>n.a.</x:v>
      </x:c>
      <x:c r="L36" s="17" t="str">
        <x:v>n.a.</x:v>
      </x:c>
      <x:c r="M36" s="17" t="str">
        <x:v>n.a.</x:v>
      </x:c>
      <x:c r="N36" s="17" t="str">
        <x:v>n.a.</x:v>
      </x:c>
      <x:c r="O36" s="57" t="n">
        <x:f>0</x:f>
        <x:v>0</x:v>
      </x:c>
      <x:c r="P36" s="57" t="n">
        <x:f>O39</x:f>
        <x:v>27767.942307692312</x:v>
      </x:c>
      <x:c r="Q36" s="57" t="n">
        <x:f>P39</x:f>
        <x:v>55548.69767633137</x:v>
      </x:c>
      <x:c r="R36" s="57" t="n">
        <x:f>Q39</x:f>
        <x:v>83083.36570899819</x:v>
      </x:c>
      <x:c r="S36" s="57" t="n">
        <x:f>R39</x:f>
        <x:v>109998.2086306137</x:v>
      </x:c>
      <x:c r="T36" s="2"/>
      <x:c r="U36" s="2"/>
    </x:row>
    <x:row r="37" ht="21" customHeight="1">
      <x:c r="A37" s="2"/>
      <x:c r="B37" s="2"/>
      <x:c r="C37" s="2" t="str">
        <x:v>New finance lease assets and liabilities</x:v>
      </x:c>
      <x:c r="D37" s="2"/>
      <x:c r="E37" s="51" t="n">
        <x:f>'Filing Notes'!E14</x:f>
        <x:v>1773</x:v>
      </x:c>
      <x:c r="F37" s="51" t="n">
        <x:f>'Filing Notes'!F14</x:f>
        <x:v>1933</x:v>
      </x:c>
      <x:c r="G37" s="51" t="n">
        <x:f>'Filing Notes'!G14</x:f>
        <x:v>2532</x:v>
      </x:c>
      <x:c r="H37" s="51" t="n">
        <x:f>'Filing Notes'!H14</x:f>
        <x:v>3467</x:v>
      </x:c>
      <x:c r="I37" s="51" t="n">
        <x:f>'Filing Notes'!I14</x:f>
        <x:v>3290</x:v>
      </x:c>
      <x:c r="J37" s="51" t="n">
        <x:f>'Filing Notes'!J14</x:f>
        <x:v>4234</x:v>
      </x:c>
      <x:c r="K37" s="51" t="n">
        <x:f>'Filing Notes'!K14</x:f>
        <x:v>3128</x:v>
      </x:c>
      <x:c r="L37" s="51" t="n">
        <x:f>'Filing Notes'!L14</x:f>
        <x:v>11633</x:v>
      </x:c>
      <x:c r="M37" s="51" t="n">
        <x:f>'Filing Notes'!M14</x:f>
        <x:v>20511</x:v>
      </x:c>
      <x:c r="N37" s="51" t="n">
        <x:f>'Filing Notes'!N14</x:f>
        <x:v>24608</x:v>
      </x:c>
      <x:c r="O37" s="51" t="n">
        <x:f>'Income Statement'!O8*'Assumptions'!O53</x:f>
        <x:v>28878.660000000003</x:v>
      </x:c>
      <x:c r="P37" s="51" t="n">
        <x:f>'Income Statement'!P8*'Assumptions'!P53</x:f>
        <x:v>31113.420968000006</x:v>
      </x:c>
      <x:c r="Q37" s="51" t="n">
        <x:f>'Income Statement'!Q8*'Assumptions'!Q53</x:f>
        <x:v>33079.95056808</x:v>
      </x:c>
      <x:c r="R37" s="51" t="n">
        <x:f>'Income Statement'!R8*'Assumptions'!R53</x:f>
        <x:v>34638.1058952</x:v>
      </x:c>
      <x:c r="S37" s="51" t="n">
        <x:f>'Income Statement'!S8*'Assumptions'!S53</x:f>
        <x:v>35645.893304663135</x:v>
      </x:c>
      <x:c r="T37" s="2"/>
      <x:c r="U37" s="2"/>
    </x:row>
    <x:row r="38" ht="21" customHeight="1">
      <x:c r="A38" s="2"/>
      <x:c r="B38" s="2"/>
      <x:c r="C38" s="2" t="str">
        <x:v>Principal payments on new finance leases</x:v>
      </x:c>
      <x:c r="D38" s="2"/>
      <x:c r="E38" s="17" t="str">
        <x:v>n.a.</x:v>
      </x:c>
      <x:c r="F38" s="17" t="str">
        <x:v>n.a.</x:v>
      </x:c>
      <x:c r="G38" s="17" t="str">
        <x:v>n.a.</x:v>
      </x:c>
      <x:c r="H38" s="17" t="str">
        <x:v>n.a.</x:v>
      </x:c>
      <x:c r="I38" s="17" t="str">
        <x:v>n.a.</x:v>
      </x:c>
      <x:c r="J38" s="17" t="str">
        <x:v>n.a.</x:v>
      </x:c>
      <x:c r="K38" s="17" t="str">
        <x:v>n.a.</x:v>
      </x:c>
      <x:c r="L38" s="17" t="str">
        <x:v>n.a.</x:v>
      </x:c>
      <x:c r="M38" s="17" t="str">
        <x:v>n.a.</x:v>
      </x:c>
      <x:c r="N38" s="17" t="str">
        <x:v>n.a.</x:v>
      </x:c>
      <x:c r="O38" s="51" t="n">
        <x:f>MIN(O36+O37,O36/'Assumptions'!O149+0.5*O37/'Assumptions'!O149)</x:f>
        <x:v>1110.7176923076925</x:v>
      </x:c>
      <x:c r="P38" s="51" t="n">
        <x:f>MIN(P36+P37,P36/'Assumptions'!P149+0.5*P37/'Assumptions'!P149)</x:f>
        <x:v>3332.6655993609475</x:v>
      </x:c>
      <x:c r="Q38" s="51" t="n">
        <x:f>MIN(Q36+Q37,Q36/'Assumptions'!Q149+0.5*Q37/'Assumptions'!Q149)</x:f>
        <x:v>5545.282535413182</x:v>
      </x:c>
      <x:c r="R38" s="51" t="n">
        <x:f>MIN(R36+R37,R36/'Assumptions'!R149+0.5*R37/'Assumptions'!R149)</x:f>
        <x:v>7723.262973584476</x:v>
      </x:c>
      <x:c r="S38" s="51" t="n">
        <x:f>MIN(S36+S37,S36/'Assumptions'!S149+0.5*S37/'Assumptions'!S149)</x:f>
        <x:v>9832.39656022656</x:v>
      </x:c>
      <x:c r="T38" s="2"/>
      <x:c r="U38" s="2"/>
    </x:row>
    <x:row r="39" ht="21" customHeight="1">
      <x:c r="A39" s="2"/>
      <x:c r="B39" s="2"/>
      <x:c r="C39" s="2" t="str">
        <x:v>Closing new finance lease liability</x:v>
      </x:c>
      <x:c r="D39" s="2"/>
      <x:c r="E39" s="17" t="str">
        <x:v>n.a.</x:v>
      </x:c>
      <x:c r="F39" s="17" t="str">
        <x:v>n.a.</x:v>
      </x:c>
      <x:c r="G39" s="17" t="str">
        <x:v>n.a.</x:v>
      </x:c>
      <x:c r="H39" s="17" t="str">
        <x:v>n.a.</x:v>
      </x:c>
      <x:c r="I39" s="17" t="str">
        <x:v>n.a.</x:v>
      </x:c>
      <x:c r="J39" s="17" t="str">
        <x:v>n.a.</x:v>
      </x:c>
      <x:c r="K39" s="17" t="str">
        <x:v>n.a.</x:v>
      </x:c>
      <x:c r="L39" s="17" t="str">
        <x:v>n.a.</x:v>
      </x:c>
      <x:c r="M39" s="17" t="str">
        <x:v>n.a.</x:v>
      </x:c>
      <x:c r="N39" s="17" t="str">
        <x:v>n.a.</x:v>
      </x:c>
      <x:c r="O39" s="57" t="n">
        <x:f>O36+O37-O38</x:f>
        <x:v>27767.942307692312</x:v>
      </x:c>
      <x:c r="P39" s="57" t="n">
        <x:f>P36+P37-P38</x:f>
        <x:v>55548.69767633137</x:v>
      </x:c>
      <x:c r="Q39" s="57" t="n">
        <x:f>Q36+Q37-Q38</x:f>
        <x:v>83083.36570899819</x:v>
      </x:c>
      <x:c r="R39" s="57" t="n">
        <x:f>R36+R37-R38</x:f>
        <x:v>109998.2086306137</x:v>
      </x:c>
      <x:c r="S39" s="57" t="n">
        <x:f>S36+S37-S38</x:f>
        <x:v>135811.70537505028</x:v>
      </x:c>
      <x:c r="T39" s="2"/>
      <x:c r="U39" s="2"/>
    </x:row>
    <x:row r="40" ht="21" customHeight="1">
      <x:c r="A40" s="2"/>
      <x:c r="B40" s="2"/>
      <x:c r="C40" s="2" t="str">
        <x:v>Total finance lease interest</x:v>
      </x:c>
      <x:c r="D40" s="2"/>
      <x:c r="E40" s="17" t="str">
        <x:v>n.a.</x:v>
      </x:c>
      <x:c r="F40" s="17" t="str">
        <x:v>n.a.</x:v>
      </x:c>
      <x:c r="G40" s="17" t="str">
        <x:v>n.a.</x:v>
      </x:c>
      <x:c r="H40" s="17" t="str">
        <x:v>n.a.</x:v>
      </x:c>
      <x:c r="I40" s="17" t="str">
        <x:v>n.a.</x:v>
      </x:c>
      <x:c r="J40" s="17" t="str">
        <x:v>n.a.</x:v>
      </x:c>
      <x:c r="K40" s="17" t="str">
        <x:v>n.a.</x:v>
      </x:c>
      <x:c r="L40" s="17" t="str">
        <x:v>n.a.</x:v>
      </x:c>
      <x:c r="M40" s="17" t="str">
        <x:v>n.a.</x:v>
      </x:c>
      <x:c r="N40" s="17" t="str">
        <x:v>n.a.</x:v>
      </x:c>
      <x:c r="O40" s="51" t="n">
        <x:f>O33+(O36+0.5*O37)*'Assumptions'!O141</x:f>
        <x:v>3646.49985</x:v>
      </x:c>
      <x:c r="P40" s="51" t="n">
        <x:f>P33+(P36+0.5*P37)*'Assumptions'!P141</x:f>
        <x:v>4760.7472256261535</x:v>
      </x:c>
      <x:c r="Q40" s="51" t="n">
        <x:f>Q33+(Q36+0.5*Q37)*'Assumptions'!Q141</x:f>
        <x:v>5853.399336466711</x:v>
      </x:c>
      <x:c r="R40" s="51" t="n">
        <x:f>R33+(R36+0.5*R37)*'Assumptions'!R141</x:f>
        <x:v>6944.8813001931685</x:v>
      </x:c>
      <x:c r="S40" s="51" t="n">
        <x:f>S33+(S36+0.5*S37)*'Assumptions'!S141</x:f>
        <x:v>7992.279209107867</x:v>
      </x:c>
      <x:c r="T40" s="2"/>
      <x:c r="U40" s="2"/>
    </x:row>
    <x:row r="41" ht="21" customHeight="1">
      <x:c r="A41" s="2"/>
      <x:c r="B41" s="2"/>
      <x:c r="C41" s="64" t="str">
        <x:v>Total finance lease principal payments</x:v>
      </x:c>
      <x:c r="D41" s="64"/>
      <x:c r="E41" s="66" t="n">
        <x:f>'Filing Notes'!E13</x:f>
        <x:v>46</x:v>
      </x:c>
      <x:c r="F41" s="66" t="n">
        <x:f>'Filing Notes'!F13</x:f>
        <x:v>144</x:v>
      </x:c>
      <x:c r="G41" s="66" t="n">
        <x:f>'Filing Notes'!G13</x:f>
        <x:v>221</x:v>
      </x:c>
      <x:c r="H41" s="66" t="n">
        <x:f>'Filing Notes'!H13</x:f>
        <x:v>409</x:v>
      </x:c>
      <x:c r="I41" s="66" t="n">
        <x:f>'Filing Notes'!I13</x:f>
        <x:v>648</x:v>
      </x:c>
      <x:c r="J41" s="66" t="n">
        <x:f>'Filing Notes'!J13</x:f>
        <x:v>896</x:v>
      </x:c>
      <x:c r="K41" s="66" t="n">
        <x:f>'Filing Notes'!K13</x:f>
        <x:v>1056</x:v>
      </x:c>
      <x:c r="L41" s="66" t="n">
        <x:f>'Filing Notes'!L13</x:f>
        <x:v>1286</x:v>
      </x:c>
      <x:c r="M41" s="66" t="n">
        <x:f>'Filing Notes'!M13</x:f>
        <x:v>2283</x:v>
      </x:c>
      <x:c r="N41" s="66" t="n">
        <x:f>'Filing Notes'!N13</x:f>
        <x:v>3101</x:v>
      </x:c>
      <x:c r="O41" s="68" t="n">
        <x:f>O34+O38</x:f>
        <x:v>5234.987692307693</x:v>
      </x:c>
      <x:c r="P41" s="68" t="n">
        <x:f>P34+P38</x:f>
        <x:v>7815.527749360948</x:v>
      </x:c>
      <x:c r="Q41" s="68" t="n">
        <x:f>Q34+Q38</x:f>
        <x:v>9603.873482163182</x:v>
      </x:c>
      <x:c r="R41" s="68" t="n">
        <x:f>R34+R38</x:f>
        <x:v>11866.490512938226</x:v>
      </x:c>
      <x:c r="S41" s="68" t="n">
        <x:f>S34+S38</x:f>
        <x:v>14135.06933885123</x:v>
      </x:c>
      <x:c r="T41" s="2"/>
      <x:c r="U41" s="2"/>
    </x:row>
    <x:row r="42" ht="21" customHeight="1">
      <x:c r="A42" s="2"/>
      <x:c r="B42" s="2"/>
      <x:c r="C42" s="64" t="str">
        <x:v>Total finance lease liabilities</x:v>
      </x:c>
      <x:c r="D42" s="64"/>
      <x:c r="E42" s="66" t="n">
        <x:f>'Filing Notes'!E12</x:f>
        <x:v>2538</x:v>
      </x:c>
      <x:c r="F42" s="66" t="n">
        <x:f>'Filing Notes'!F12</x:f>
        <x:v>4301</x:v>
      </x:c>
      <x:c r="G42" s="66" t="n">
        <x:f>'Filing Notes'!G12</x:f>
        <x:v>6574</x:v>
      </x:c>
      <x:c r="H42" s="66" t="n">
        <x:f>'Filing Notes'!H12</x:f>
        <x:v>9496</x:v>
      </x:c>
      <x:c r="I42" s="66" t="n">
        <x:f>'Filing Notes'!I12</x:f>
        <x:v>12541</x:v>
      </x:c>
      <x:c r="J42" s="66" t="n">
        <x:f>'Filing Notes'!J12</x:f>
        <x:v>14902</x:v>
      </x:c>
      <x:c r="K42" s="66" t="n">
        <x:f>'Filing Notes'!K12</x:f>
        <x:v>17067</x:v>
      </x:c>
      <x:c r="L42" s="66" t="n">
        <x:f>'Filing Notes'!L12</x:f>
        <x:v>27145</x:v>
      </x:c>
      <x:c r="M42" s="66" t="n">
        <x:f>'Filing Notes'!M12</x:f>
        <x:v>46172</x:v>
      </x:c>
      <x:c r="N42" s="66" t="n">
        <x:f>'Filing Notes'!N12</x:f>
        <x:v>66594</x:v>
      </x:c>
      <x:c r="O42" s="68" t="n">
        <x:f>O35+O39</x:f>
        <x:v>90237.67230769231</x:v>
      </x:c>
      <x:c r="P42" s="68" t="n">
        <x:f>P35+P39</x:f>
        <x:v>113535.56552633137</x:v>
      </x:c>
      <x:c r="Q42" s="68" t="n">
        <x:f>Q35+Q39</x:f>
        <x:v>137011.6426122482</x:v>
      </x:c>
      <x:c r="R42" s="68" t="n">
        <x:f>R35+R39</x:f>
        <x:v>159783.25799450994</x:v>
      </x:c>
      <x:c r="S42" s="68" t="n">
        <x:f>S35+S39</x:f>
        <x:v>181294.08196032187</x:v>
      </x:c>
      <x:c r="T42" s="2"/>
      <x:c r="U42" s="2"/>
    </x:row>
    <x:row r="43" ht="21" customHeight="1">
      <x:c r="A43" s="2"/>
      <x:c r="B43" s="2"/>
      <x:c r="C43" s="2" t="str">
        <x:v>Current finance lease liabilities</x:v>
      </x:c>
      <x:c r="D43" s="2"/>
      <x:c r="E43" s="17" t="str">
        <x:v>n.a.</x:v>
      </x:c>
      <x:c r="F43" s="17" t="str">
        <x:v>n.a.</x:v>
      </x:c>
      <x:c r="G43" s="17" t="str">
        <x:v>n.a.</x:v>
      </x:c>
      <x:c r="H43" s="17" t="str">
        <x:v>n.a.</x:v>
      </x:c>
      <x:c r="I43" s="17" t="str">
        <x:v>n.a.</x:v>
      </x:c>
      <x:c r="J43" s="17" t="str">
        <x:v>n.a.</x:v>
      </x:c>
      <x:c r="K43" s="17" t="str">
        <x:v>n.a.</x:v>
      </x:c>
      <x:c r="L43" s="17" t="str">
        <x:v>n.a.</x:v>
      </x:c>
      <x:c r="M43" s="17" t="str">
        <x:v>n.a.</x:v>
      </x:c>
      <x:c r="N43" s="51" t="n">
        <x:f>'Filing Notes'!N29</x:f>
        <x:v>4290</x:v>
      </x:c>
      <x:c r="O43" s="51" t="n">
        <x:f>MIN(O42,MAX(0,O45-O35*'Assumptions'!O141)+O39/'Assumptions'!O149)</x:f>
        <x:v>6618.857712130179</x:v>
      </x:c>
      <x:c r="P43" s="51" t="n">
        <x:f>MIN(P42,MAX(0,P45-P35*'Assumptions'!P141)+P39/'Assumptions'!P149)</x:f>
        <x:v>8331.567691083183</x:v>
      </x:c>
      <x:c r="Q43" s="51" t="n">
        <x:f>MIN(Q42,MAX(0,Q45-Q35*'Assumptions'!Q141)+Q39/'Assumptions'!Q149)</x:f>
        <x:v>10534.25567081515</x:v>
      </x:c>
      <x:c r="R43" s="51" t="n">
        <x:f>MIN(R42,MAX(0,R45-R35*'Assumptions'!R141)+R39/'Assumptions'!R149)</x:f>
        <x:v>12764.07344251803</x:v>
      </x:c>
      <x:c r="S43" s="51" t="n">
        <x:f>MIN(S42,MAX(0,S45-S35*'Assumptions'!S141)+S39/'Assumptions'!S149)</x:f>
        <x:v>14900.34731328203</x:v>
      </x:c>
      <x:c r="T43" s="2"/>
      <x:c r="U43" s="2"/>
    </x:row>
    <x:row r="44" ht="21" customHeight="1">
      <x:c r="A44" s="2"/>
      <x:c r="B44" s="2"/>
      <x:c r="C44" s="2" t="str">
        <x:v>Long-term finance lease liabilities</x:v>
      </x:c>
      <x:c r="D44" s="2"/>
      <x:c r="E44" s="17" t="str">
        <x:v>n.a.</x:v>
      </x:c>
      <x:c r="F44" s="17" t="str">
        <x:v>n.a.</x:v>
      </x:c>
      <x:c r="G44" s="17" t="str">
        <x:v>n.a.</x:v>
      </x:c>
      <x:c r="H44" s="17" t="str">
        <x:v>n.a.</x:v>
      </x:c>
      <x:c r="I44" s="17" t="str">
        <x:v>n.a.</x:v>
      </x:c>
      <x:c r="J44" s="17" t="str">
        <x:v>n.a.</x:v>
      </x:c>
      <x:c r="K44" s="17" t="str">
        <x:v>n.a.</x:v>
      </x:c>
      <x:c r="L44" s="17" t="str">
        <x:v>n.a.</x:v>
      </x:c>
      <x:c r="M44" s="17" t="str">
        <x:v>n.a.</x:v>
      </x:c>
      <x:c r="N44" s="51" t="n">
        <x:f>'Filing Notes'!N30</x:f>
        <x:v>62304</x:v>
      </x:c>
      <x:c r="O44" s="57" t="n">
        <x:f>O42-O43</x:f>
        <x:v>83618.81459556213</x:v>
      </x:c>
      <x:c r="P44" s="57" t="n">
        <x:f>P42-P43</x:f>
        <x:v>105203.99783524818</x:v>
      </x:c>
      <x:c r="Q44" s="57" t="n">
        <x:f>Q42-Q43</x:f>
        <x:v>126477.38694143304</x:v>
      </x:c>
      <x:c r="R44" s="57" t="n">
        <x:f>R42-R43</x:f>
        <x:v>147019.1845519919</x:v>
      </x:c>
      <x:c r="S44" s="57" t="n">
        <x:f>S42-S43</x:f>
        <x:v>166393.73464703985</x:v>
      </x:c>
      <x:c r="T44" s="2"/>
      <x:c r="U44" s="2"/>
    </x:row>
    <x:row r="45" ht="21" customHeight="1">
      <x:c r="A45" s="2"/>
      <x:c r="B45" s="2"/>
      <x:c r="C45" s="2" t="str">
        <x:v>Next year legacy finance lease cash payments</x:v>
      </x:c>
      <x:c r="D45" s="2"/>
      <x:c r="E45" s="17" t="str">
        <x:v>n.a.</x:v>
      </x:c>
      <x:c r="F45" s="17" t="str">
        <x:v>n.a.</x:v>
      </x:c>
      <x:c r="G45" s="17" t="str">
        <x:v>n.a.</x:v>
      </x:c>
      <x:c r="H45" s="17" t="str">
        <x:v>n.a.</x:v>
      </x:c>
      <x:c r="I45" s="17" t="str">
        <x:v>n.a.</x:v>
      </x:c>
      <x:c r="J45" s="17" t="str">
        <x:v>n.a.</x:v>
      </x:c>
      <x:c r="K45" s="17" t="str">
        <x:v>n.a.</x:v>
      </x:c>
      <x:c r="L45" s="17" t="str">
        <x:v>n.a.</x:v>
      </x:c>
      <x:c r="M45" s="17" t="str">
        <x:v>n.a.</x:v>
      </x:c>
      <x:c r="N45" s="17" t="str">
        <x:v>n.a.</x:v>
      </x:c>
      <x:c r="O45" s="51" t="n">
        <x:f>'Filing Notes'!P40</x:f>
        <x:v>7294</x:v>
      </x:c>
      <x:c r="P45" s="51" t="n">
        <x:f>'Filing Notes'!Q40</x:f>
        <x:v>6668</x:v>
      </x:c>
      <x:c r="Q45" s="51" t="n">
        <x:f>'Filing Notes'!R40</x:f>
        <x:v>6570</x:v>
      </x:c>
      <x:c r="R45" s="51" t="n">
        <x:f>'Filing Notes'!S40</x:f>
        <x:v>6543</x:v>
      </x:c>
      <x:c r="S45" s="51" t="n">
        <x:f>'Assumptions'!O213</x:f>
        <x:v>6500</x:v>
      </x:c>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5" customHeight="1">
      <x:c r="A47" s="2"/>
      <x:c r="B47" s="2"/>
      <x:c r="C47" s="10" t="str">
        <x:v>Operating leases</x:v>
      </x:c>
      <x:c r="D47" s="10"/>
      <x:c r="E47" s="10"/>
      <x:c r="F47" s="10"/>
      <x:c r="G47" s="10"/>
      <x:c r="H47" s="10"/>
      <x:c r="I47" s="10"/>
      <x:c r="J47" s="10"/>
      <x:c r="K47" s="10"/>
      <x:c r="L47" s="10"/>
      <x:c r="M47" s="10"/>
      <x:c r="N47" s="10"/>
      <x:c r="O47" s="10"/>
      <x:c r="P47" s="10"/>
      <x:c r="Q47" s="10"/>
      <x:c r="R47" s="10"/>
      <x:c r="S47" s="10"/>
      <x:c r="T47" s="2"/>
      <x:c r="U47" s="2"/>
    </x:row>
    <x:row r="48" ht="21" customHeight="1">
      <x:c r="A48" s="2"/>
      <x:c r="B48" s="2"/>
      <x:c r="C48" s="2" t="str">
        <x:v>Opening legacy operating ROU assets</x:v>
      </x:c>
      <x:c r="D48" s="2"/>
      <x:c r="E48" s="17" t="str">
        <x:v>n.a.</x:v>
      </x:c>
      <x:c r="F48" s="17" t="str">
        <x:v>n.a.</x:v>
      </x:c>
      <x:c r="G48" s="17" t="str">
        <x:v>n.a.</x:v>
      </x:c>
      <x:c r="H48" s="17" t="str">
        <x:v>n.a.</x:v>
      </x:c>
      <x:c r="I48" s="17" t="str">
        <x:v>n.a.</x:v>
      </x:c>
      <x:c r="J48" s="17" t="str">
        <x:v>n.a.</x:v>
      </x:c>
      <x:c r="K48" s="17" t="str">
        <x:v>n.a.</x:v>
      </x:c>
      <x:c r="L48" s="17" t="str">
        <x:v>n.a.</x:v>
      </x:c>
      <x:c r="M48" s="17" t="str">
        <x:v>n.a.</x:v>
      </x:c>
      <x:c r="N48" s="17" t="str">
        <x:v>n.a.</x:v>
      </x:c>
      <x:c r="O48" s="51" t="n">
        <x:f>'Historical Inputs'!N36</x:f>
        <x:v>24177</x:v>
      </x:c>
      <x:c r="P48" s="57" t="n">
        <x:f>O50</x:f>
        <x:v>20147.5</x:v>
      </x:c>
      <x:c r="Q48" s="57" t="n">
        <x:f>P50</x:f>
        <x:v>16118</x:v>
      </x:c>
      <x:c r="R48" s="57" t="n">
        <x:f>Q50</x:f>
        <x:v>12088.5</x:v>
      </x:c>
      <x:c r="S48" s="57" t="n">
        <x:f>R50</x:f>
        <x:v>8059</x:v>
      </x:c>
      <x:c r="T48" s="2"/>
      <x:c r="U48" s="2"/>
    </x:row>
    <x:row r="49" ht="21" customHeight="1">
      <x:c r="A49" s="2"/>
      <x:c r="B49" s="2"/>
      <x:c r="C49" s="2" t="str">
        <x:v>Legacy operating ROU amortization</x:v>
      </x:c>
      <x:c r="D49" s="2"/>
      <x:c r="E49" s="17" t="str">
        <x:v>n.a.</x:v>
      </x:c>
      <x:c r="F49" s="17" t="str">
        <x:v>n.a.</x:v>
      </x:c>
      <x:c r="G49" s="17" t="str">
        <x:v>n.a.</x:v>
      </x:c>
      <x:c r="H49" s="17" t="str">
        <x:v>n.a.</x:v>
      </x:c>
      <x:c r="I49" s="17" t="str">
        <x:v>n.a.</x:v>
      </x:c>
      <x:c r="J49" s="17" t="str">
        <x:v>n.a.</x:v>
      </x:c>
      <x:c r="K49" s="17" t="str">
        <x:v>n.a.</x:v>
      </x:c>
      <x:c r="L49" s="17" t="str">
        <x:v>n.a.</x:v>
      </x:c>
      <x:c r="M49" s="17" t="str">
        <x:v>n.a.</x:v>
      </x:c>
      <x:c r="N49" s="17" t="str">
        <x:v>n.a.</x:v>
      </x:c>
      <x:c r="O49" s="51" t="n">
        <x:f>MIN(O48,'Historical Inputs'!N36/'Assumptions'!O157)</x:f>
        <x:v>4029.5</x:v>
      </x:c>
      <x:c r="P49" s="51" t="n">
        <x:f>MIN(P48,'Historical Inputs'!N36/'Assumptions'!P157)</x:f>
        <x:v>4029.5</x:v>
      </x:c>
      <x:c r="Q49" s="51" t="n">
        <x:f>MIN(Q48,'Historical Inputs'!N36/'Assumptions'!Q157)</x:f>
        <x:v>4029.5</x:v>
      </x:c>
      <x:c r="R49" s="51" t="n">
        <x:f>MIN(R48,'Historical Inputs'!N36/'Assumptions'!R157)</x:f>
        <x:v>4029.5</x:v>
      </x:c>
      <x:c r="S49" s="51" t="n">
        <x:f>MIN(S48,'Historical Inputs'!N36/'Assumptions'!S157)</x:f>
        <x:v>4029.5</x:v>
      </x:c>
      <x:c r="T49" s="2"/>
      <x:c r="U49" s="2"/>
    </x:row>
    <x:row r="50" ht="21" customHeight="1">
      <x:c r="A50" s="2"/>
      <x:c r="B50" s="2"/>
      <x:c r="C50" s="2" t="str">
        <x:v>Closing legacy operating ROU assets</x:v>
      </x:c>
      <x:c r="D50" s="2"/>
      <x:c r="E50" s="17" t="str">
        <x:v>n.a.</x:v>
      </x:c>
      <x:c r="F50" s="17" t="str">
        <x:v>n.a.</x:v>
      </x:c>
      <x:c r="G50" s="17" t="str">
        <x:v>n.a.</x:v>
      </x:c>
      <x:c r="H50" s="17" t="str">
        <x:v>n.a.</x:v>
      </x:c>
      <x:c r="I50" s="17" t="str">
        <x:v>n.a.</x:v>
      </x:c>
      <x:c r="J50" s="17" t="str">
        <x:v>n.a.</x:v>
      </x:c>
      <x:c r="K50" s="17" t="str">
        <x:v>n.a.</x:v>
      </x:c>
      <x:c r="L50" s="17" t="str">
        <x:v>n.a.</x:v>
      </x:c>
      <x:c r="M50" s="17" t="str">
        <x:v>n.a.</x:v>
      </x:c>
      <x:c r="N50" s="17" t="str">
        <x:v>n.a.</x:v>
      </x:c>
      <x:c r="O50" s="57" t="n">
        <x:f>O48-O49</x:f>
        <x:v>20147.5</x:v>
      </x:c>
      <x:c r="P50" s="57" t="n">
        <x:f>P48-P49</x:f>
        <x:v>16118</x:v>
      </x:c>
      <x:c r="Q50" s="57" t="n">
        <x:f>Q48-Q49</x:f>
        <x:v>12088.5</x:v>
      </x:c>
      <x:c r="R50" s="57" t="n">
        <x:f>R48-R49</x:f>
        <x:v>8059</x:v>
      </x:c>
      <x:c r="S50" s="57" t="n">
        <x:f>S48-S49</x:f>
        <x:v>4029.5</x:v>
      </x:c>
      <x:c r="T50" s="2"/>
      <x:c r="U50" s="2"/>
    </x:row>
    <x:row r="51" ht="21" customHeight="1">
      <x:c r="A51" s="2"/>
      <x:c r="B51" s="2"/>
      <x:c r="C51" s="2" t="str">
        <x:v>Opening legacy operating lease liability</x:v>
      </x:c>
      <x:c r="D51" s="2"/>
      <x:c r="E51" s="17" t="str">
        <x:v>n.a.</x:v>
      </x:c>
      <x:c r="F51" s="17" t="str">
        <x:v>n.a.</x:v>
      </x:c>
      <x:c r="G51" s="17" t="str">
        <x:v>n.a.</x:v>
      </x:c>
      <x:c r="H51" s="17" t="str">
        <x:v>n.a.</x:v>
      </x:c>
      <x:c r="I51" s="17" t="str">
        <x:v>n.a.</x:v>
      </x:c>
      <x:c r="J51" s="17" t="str">
        <x:v>n.a.</x:v>
      </x:c>
      <x:c r="K51" s="17" t="str">
        <x:v>n.a.</x:v>
      </x:c>
      <x:c r="L51" s="17" t="str">
        <x:v>n.a.</x:v>
      </x:c>
      <x:c r="M51" s="17" t="str">
        <x:v>n.a.</x:v>
      </x:c>
      <x:c r="N51" s="17" t="str">
        <x:v>n.a.</x:v>
      </x:c>
      <x:c r="O51" s="51" t="n">
        <x:f>'Filing Notes'!N15</x:f>
        <x:v>21925</x:v>
      </x:c>
      <x:c r="P51" s="57" t="n">
        <x:f>O55</x:f>
        <x:v>16654.225</x:v>
      </x:c>
      <x:c r="Q51" s="57" t="n">
        <x:f>P55</x:f>
        <x:v>12936.431324999998</x:v>
      </x:c>
      <x:c r="R51" s="57" t="n">
        <x:f>Q55</x:f>
        <x:v>10269.079284024998</x:v>
      </x:c>
      <x:c r="S51" s="57" t="n">
        <x:f>R55</x:f>
        <x:v>8037.035217533923</x:v>
      </x:c>
      <x:c r="T51" s="2"/>
      <x:c r="U51" s="2"/>
    </x:row>
    <x:row r="52" ht="21" customHeight="1">
      <x:c r="A52" s="2"/>
      <x:c r="B52" s="2"/>
      <x:c r="C52" s="2" t="str">
        <x:v>Contractual legacy operating lease cash payments</x:v>
      </x:c>
      <x:c r="D52" s="2"/>
      <x:c r="E52" s="17" t="str">
        <x:v>n.a.</x:v>
      </x:c>
      <x:c r="F52" s="17" t="str">
        <x:v>n.a.</x:v>
      </x:c>
      <x:c r="G52" s="17" t="str">
        <x:v>n.a.</x:v>
      </x:c>
      <x:c r="H52" s="17" t="str">
        <x:v>n.a.</x:v>
      </x:c>
      <x:c r="I52" s="17" t="str">
        <x:v>n.a.</x:v>
      </x:c>
      <x:c r="J52" s="17" t="str">
        <x:v>n.a.</x:v>
      </x:c>
      <x:c r="K52" s="17" t="str">
        <x:v>n.a.</x:v>
      </x:c>
      <x:c r="L52" s="17" t="str">
        <x:v>n.a.</x:v>
      </x:c>
      <x:c r="M52" s="17" t="str">
        <x:v>n.a.</x:v>
      </x:c>
      <x:c r="N52" s="17" t="str">
        <x:v>n.a.</x:v>
      </x:c>
      <x:c r="O52" s="51" t="n">
        <x:f>'Filing Notes'!O39</x:f>
        <x:v>6082</x:v>
      </x:c>
      <x:c r="P52" s="51" t="n">
        <x:f>'Filing Notes'!P39</x:f>
        <x:v>4334</x:v>
      </x:c>
      <x:c r="Q52" s="51" t="n">
        <x:f>'Filing Notes'!Q39</x:f>
        <x:v>3146</x:v>
      </x:c>
      <x:c r="R52" s="51" t="n">
        <x:f>'Filing Notes'!R39</x:f>
        <x:v>2612</x:v>
      </x:c>
      <x:c r="S52" s="51" t="n">
        <x:f>'Filing Notes'!S39</x:f>
        <x:v>2316</x:v>
      </x:c>
      <x:c r="T52" s="2"/>
      <x:c r="U52" s="2"/>
    </x:row>
    <x:row r="53" ht="21" customHeight="1">
      <x:c r="A53" s="2"/>
      <x:c r="B53" s="2"/>
      <x:c r="C53" s="2" t="str">
        <x:v>Interest component of legacy operating leases</x:v>
      </x:c>
      <x:c r="D53" s="2"/>
      <x:c r="E53" s="17" t="str">
        <x:v>n.a.</x:v>
      </x:c>
      <x:c r="F53" s="17" t="str">
        <x:v>n.a.</x:v>
      </x:c>
      <x:c r="G53" s="17" t="str">
        <x:v>n.a.</x:v>
      </x:c>
      <x:c r="H53" s="17" t="str">
        <x:v>n.a.</x:v>
      </x:c>
      <x:c r="I53" s="17" t="str">
        <x:v>n.a.</x:v>
      </x:c>
      <x:c r="J53" s="17" t="str">
        <x:v>n.a.</x:v>
      </x:c>
      <x:c r="K53" s="17" t="str">
        <x:v>n.a.</x:v>
      </x:c>
      <x:c r="L53" s="17" t="str">
        <x:v>n.a.</x:v>
      </x:c>
      <x:c r="M53" s="17" t="str">
        <x:v>n.a.</x:v>
      </x:c>
      <x:c r="N53" s="17" t="str">
        <x:v>n.a.</x:v>
      </x:c>
      <x:c r="O53" s="51" t="n">
        <x:f>O51*'Assumptions'!O145</x:f>
        <x:v>811.2249999999999</x:v>
      </x:c>
      <x:c r="P53" s="51" t="n">
        <x:f>P51*'Assumptions'!P145</x:f>
        <x:v>616.2063249999999</x:v>
      </x:c>
      <x:c r="Q53" s="51" t="n">
        <x:f>Q51*'Assumptions'!Q145</x:f>
        <x:v>478.6479590249999</x:v>
      </x:c>
      <x:c r="R53" s="51" t="n">
        <x:f>R51*'Assumptions'!R145</x:f>
        <x:v>379.9559335089249</x:v>
      </x:c>
      <x:c r="S53" s="51" t="n">
        <x:f>S51*'Assumptions'!S145</x:f>
        <x:v>297.37030304875515</x:v>
      </x:c>
      <x:c r="T53" s="2"/>
      <x:c r="U53" s="2"/>
    </x:row>
    <x:row r="54" ht="21" customHeight="1">
      <x:c r="A54" s="2"/>
      <x:c r="B54" s="2"/>
      <x:c r="C54" s="2" t="str">
        <x:v>Legacy operating lease principal reduction</x:v>
      </x:c>
      <x:c r="D54" s="2"/>
      <x:c r="E54" s="17" t="str">
        <x:v>n.a.</x:v>
      </x:c>
      <x:c r="F54" s="17" t="str">
        <x:v>n.a.</x:v>
      </x:c>
      <x:c r="G54" s="17" t="str">
        <x:v>n.a.</x:v>
      </x:c>
      <x:c r="H54" s="17" t="str">
        <x:v>n.a.</x:v>
      </x:c>
      <x:c r="I54" s="17" t="str">
        <x:v>n.a.</x:v>
      </x:c>
      <x:c r="J54" s="17" t="str">
        <x:v>n.a.</x:v>
      </x:c>
      <x:c r="K54" s="17" t="str">
        <x:v>n.a.</x:v>
      </x:c>
      <x:c r="L54" s="17" t="str">
        <x:v>n.a.</x:v>
      </x:c>
      <x:c r="M54" s="17" t="str">
        <x:v>n.a.</x:v>
      </x:c>
      <x:c r="N54" s="17" t="str">
        <x:v>n.a.</x:v>
      </x:c>
      <x:c r="O54" s="57" t="n">
        <x:f>MIN(O51,MAX(0,O52-O53))</x:f>
        <x:v>5270.775</x:v>
      </x:c>
      <x:c r="P54" s="57" t="n">
        <x:f>MIN(P51,MAX(0,P52-P53))</x:f>
        <x:v>3717.793675</x:v>
      </x:c>
      <x:c r="Q54" s="57" t="n">
        <x:f>MIN(Q51,MAX(0,Q52-Q53))</x:f>
        <x:v>2667.352040975</x:v>
      </x:c>
      <x:c r="R54" s="57" t="n">
        <x:f>MIN(R51,MAX(0,R52-R53))</x:f>
        <x:v>2232.0440664910752</x:v>
      </x:c>
      <x:c r="S54" s="57" t="n">
        <x:f>MIN(S51,MAX(0,S52-S53))</x:f>
        <x:v>2018.6296969512448</x:v>
      </x:c>
      <x:c r="T54" s="2"/>
      <x:c r="U54" s="2"/>
    </x:row>
    <x:row r="55" ht="21" customHeight="1">
      <x:c r="A55" s="2"/>
      <x:c r="B55" s="2"/>
      <x:c r="C55" s="2" t="str">
        <x:v>Closing legacy operating lease liability</x:v>
      </x:c>
      <x:c r="D55" s="2"/>
      <x:c r="E55" s="17" t="str">
        <x:v>n.a.</x:v>
      </x:c>
      <x:c r="F55" s="17" t="str">
        <x:v>n.a.</x:v>
      </x:c>
      <x:c r="G55" s="17" t="str">
        <x:v>n.a.</x:v>
      </x:c>
      <x:c r="H55" s="17" t="str">
        <x:v>n.a.</x:v>
      </x:c>
      <x:c r="I55" s="17" t="str">
        <x:v>n.a.</x:v>
      </x:c>
      <x:c r="J55" s="17" t="str">
        <x:v>n.a.</x:v>
      </x:c>
      <x:c r="K55" s="17" t="str">
        <x:v>n.a.</x:v>
      </x:c>
      <x:c r="L55" s="17" t="str">
        <x:v>n.a.</x:v>
      </x:c>
      <x:c r="M55" s="17" t="str">
        <x:v>n.a.</x:v>
      </x:c>
      <x:c r="N55" s="17" t="str">
        <x:v>n.a.</x:v>
      </x:c>
      <x:c r="O55" s="57" t="n">
        <x:f>O51-O54</x:f>
        <x:v>16654.225</x:v>
      </x:c>
      <x:c r="P55" s="57" t="n">
        <x:f>P51-P54</x:f>
        <x:v>12936.431324999998</x:v>
      </x:c>
      <x:c r="Q55" s="57" t="n">
        <x:f>Q51-Q54</x:f>
        <x:v>10269.079284024998</x:v>
      </x:c>
      <x:c r="R55" s="57" t="n">
        <x:f>R51-R54</x:f>
        <x:v>8037.035217533923</x:v>
      </x:c>
      <x:c r="S55" s="57" t="n">
        <x:f>S51-S54</x:f>
        <x:v>6018.405520582678</x:v>
      </x:c>
      <x:c r="T55" s="2"/>
      <x:c r="U55" s="2"/>
    </x:row>
    <x:row r="56" ht="32" customHeight="1">
      <x:c r="A56" s="2"/>
      <x:c r="B56" s="2"/>
      <x:c r="C56" s="23" t="str">
        <x:v>Opening new operating lease assets and liabilities</x:v>
      </x:c>
      <x:c r="D56" s="2"/>
      <x:c r="E56" s="17" t="str">
        <x:v>n.a.</x:v>
      </x:c>
      <x:c r="F56" s="17" t="str">
        <x:v>n.a.</x:v>
      </x:c>
      <x:c r="G56" s="17" t="str">
        <x:v>n.a.</x:v>
      </x:c>
      <x:c r="H56" s="17" t="str">
        <x:v>n.a.</x:v>
      </x:c>
      <x:c r="I56" s="17" t="str">
        <x:v>n.a.</x:v>
      </x:c>
      <x:c r="J56" s="17" t="str">
        <x:v>n.a.</x:v>
      </x:c>
      <x:c r="K56" s="17" t="str">
        <x:v>n.a.</x:v>
      </x:c>
      <x:c r="L56" s="17" t="str">
        <x:v>n.a.</x:v>
      </x:c>
      <x:c r="M56" s="17" t="str">
        <x:v>n.a.</x:v>
      </x:c>
      <x:c r="N56" s="17" t="str">
        <x:v>n.a.</x:v>
      </x:c>
      <x:c r="O56" s="57" t="n">
        <x:f>0</x:f>
        <x:v>0</x:v>
      </x:c>
      <x:c r="P56" s="57" t="n">
        <x:f>O59</x:f>
        <x:v>5294.421000000001</x:v>
      </x:c>
      <x:c r="Q56" s="57" t="n">
        <x:f>P59</x:f>
        <x:v>10523.582333000002</x:v>
      </x:c>
      <x:c r="R56" s="57" t="n">
        <x:f>Q59</x:f>
        <x:v>15767.333795106668</x:v>
      </x:c>
      <x:c r="S56" s="57" t="n">
        <x:f>R59</x:f>
        <x:v>21077.34409690556</x:v>
      </x:c>
      <x:c r="T56" s="2"/>
      <x:c r="U56" s="2"/>
    </x:row>
    <x:row r="57" ht="21" customHeight="1">
      <x:c r="A57" s="2"/>
      <x:c r="B57" s="2"/>
      <x:c r="C57" s="2" t="str">
        <x:v>New operating lease assets and liabilities</x:v>
      </x:c>
      <x:c r="D57" s="2"/>
      <x:c r="E57" s="17" t="str">
        <x:v>n.a.</x:v>
      </x:c>
      <x:c r="F57" s="17" t="str">
        <x:v>n.a.</x:v>
      </x:c>
      <x:c r="G57" s="17" t="str">
        <x:v>n.a.</x:v>
      </x:c>
      <x:c r="H57" s="17" t="str">
        <x:v>n.a.</x:v>
      </x:c>
      <x:c r="I57" s="17" t="str">
        <x:v>n.a.</x:v>
      </x:c>
      <x:c r="J57" s="17" t="str">
        <x:v>n.a.</x:v>
      </x:c>
      <x:c r="K57" s="17" t="str">
        <x:v>n.a.</x:v>
      </x:c>
      <x:c r="L57" s="17" t="str">
        <x:v>n.a.</x:v>
      </x:c>
      <x:c r="M57" s="17" t="str">
        <x:v>n.a.</x:v>
      </x:c>
      <x:c r="N57" s="17" t="str">
        <x:v>n.a.</x:v>
      </x:c>
      <x:c r="O57" s="51" t="n">
        <x:f>'Income Statement'!O8*'Assumptions'!O57</x:f>
        <x:v>5775.732000000001</x:v>
      </x:c>
      <x:c r="P57" s="51" t="n">
        <x:f>'Income Statement'!P8*'Assumptions'!P57</x:f>
        <x:v>6667.161636000001</x:v>
      </x:c>
      <x:c r="Q57" s="51" t="n">
        <x:f>'Income Statement'!Q8*'Assumptions'!Q57</x:f>
        <x:v>7633.83474648</x:v>
      </x:c>
      <x:c r="R57" s="51" t="n">
        <x:f>'Income Statement'!R8*'Assumptions'!R57</x:f>
        <x:v>8659.5264738</x:v>
      </x:c>
      <x:c r="S57" s="51" t="n">
        <x:f>'Income Statement'!S8*'Assumptions'!S57</x:f>
        <x:v>9721.607264908129</x:v>
      </x:c>
      <x:c r="T57" s="2"/>
      <x:c r="U57" s="2"/>
    </x:row>
    <x:row r="58" ht="21" customHeight="1">
      <x:c r="A58" s="2"/>
      <x:c r="B58" s="2"/>
      <x:c r="C58" s="2" t="str">
        <x:v>New operating ROU amortization and principal</x:v>
      </x:c>
      <x:c r="D58" s="2"/>
      <x:c r="E58" s="17" t="str">
        <x:v>n.a.</x:v>
      </x:c>
      <x:c r="F58" s="17" t="str">
        <x:v>n.a.</x:v>
      </x:c>
      <x:c r="G58" s="17" t="str">
        <x:v>n.a.</x:v>
      </x:c>
      <x:c r="H58" s="17" t="str">
        <x:v>n.a.</x:v>
      </x:c>
      <x:c r="I58" s="17" t="str">
        <x:v>n.a.</x:v>
      </x:c>
      <x:c r="J58" s="17" t="str">
        <x:v>n.a.</x:v>
      </x:c>
      <x:c r="K58" s="17" t="str">
        <x:v>n.a.</x:v>
      </x:c>
      <x:c r="L58" s="17" t="str">
        <x:v>n.a.</x:v>
      </x:c>
      <x:c r="M58" s="17" t="str">
        <x:v>n.a.</x:v>
      </x:c>
      <x:c r="N58" s="17" t="str">
        <x:v>n.a.</x:v>
      </x:c>
      <x:c r="O58" s="51" t="n">
        <x:f>MIN(O56+O57,O56/'Assumptions'!O153+0.5*O57/'Assumptions'!O153)</x:f>
        <x:v>481.3110000000001</x:v>
      </x:c>
      <x:c r="P58" s="51" t="n">
        <x:f>MIN(P56+P57,P56/'Assumptions'!P153+0.5*P57/'Assumptions'!P153)</x:f>
        <x:v>1438.0003030000003</x:v>
      </x:c>
      <x:c r="Q58" s="51" t="n">
        <x:f>MIN(Q56+Q57,Q56/'Assumptions'!Q153+0.5*Q57/'Assumptions'!Q153)</x:f>
        <x:v>2390.0832843733338</x:v>
      </x:c>
      <x:c r="R58" s="51" t="n">
        <x:f>MIN(R56+R57,R56/'Assumptions'!R153+0.5*R57/'Assumptions'!R153)</x:f>
        <x:v>3349.516172001111</x:v>
      </x:c>
      <x:c r="S58" s="51" t="n">
        <x:f>MIN(S56+S57,S56/'Assumptions'!S153+0.5*S57/'Assumptions'!S153)</x:f>
        <x:v>4323.024621559937</x:v>
      </x:c>
      <x:c r="T58" s="2"/>
      <x:c r="U58" s="2"/>
    </x:row>
    <x:row r="59" ht="32" customHeight="1">
      <x:c r="A59" s="2"/>
      <x:c r="B59" s="2"/>
      <x:c r="C59" s="23" t="str">
        <x:v>Closing new operating lease assets and liabilities</x:v>
      </x:c>
      <x:c r="D59" s="2"/>
      <x:c r="E59" s="17" t="str">
        <x:v>n.a.</x:v>
      </x:c>
      <x:c r="F59" s="17" t="str">
        <x:v>n.a.</x:v>
      </x:c>
      <x:c r="G59" s="17" t="str">
        <x:v>n.a.</x:v>
      </x:c>
      <x:c r="H59" s="17" t="str">
        <x:v>n.a.</x:v>
      </x:c>
      <x:c r="I59" s="17" t="str">
        <x:v>n.a.</x:v>
      </x:c>
      <x:c r="J59" s="17" t="str">
        <x:v>n.a.</x:v>
      </x:c>
      <x:c r="K59" s="17" t="str">
        <x:v>n.a.</x:v>
      </x:c>
      <x:c r="L59" s="17" t="str">
        <x:v>n.a.</x:v>
      </x:c>
      <x:c r="M59" s="17" t="str">
        <x:v>n.a.</x:v>
      </x:c>
      <x:c r="N59" s="17" t="str">
        <x:v>n.a.</x:v>
      </x:c>
      <x:c r="O59" s="57" t="n">
        <x:f>O56+O57-O58</x:f>
        <x:v>5294.421000000001</x:v>
      </x:c>
      <x:c r="P59" s="57" t="n">
        <x:f>P56+P57-P58</x:f>
        <x:v>10523.582333000002</x:v>
      </x:c>
      <x:c r="Q59" s="57" t="n">
        <x:f>Q56+Q57-Q58</x:f>
        <x:v>15767.333795106668</x:v>
      </x:c>
      <x:c r="R59" s="57" t="n">
        <x:f>R56+R57-R58</x:f>
        <x:v>21077.34409690556</x:v>
      </x:c>
      <x:c r="S59" s="57" t="n">
        <x:f>S56+S57-S58</x:f>
        <x:v>26475.92674025375</x:v>
      </x:c>
      <x:c r="T59" s="2"/>
      <x:c r="U59" s="2"/>
    </x:row>
    <x:row r="60" ht="21" customHeight="1">
      <x:c r="A60" s="2"/>
      <x:c r="B60" s="2"/>
      <x:c r="C60" s="2" t="str">
        <x:v>Interest component of new operating leases</x:v>
      </x:c>
      <x:c r="D60" s="2"/>
      <x:c r="E60" s="17" t="str">
        <x:v>n.a.</x:v>
      </x:c>
      <x:c r="F60" s="17" t="str">
        <x:v>n.a.</x:v>
      </x:c>
      <x:c r="G60" s="17" t="str">
        <x:v>n.a.</x:v>
      </x:c>
      <x:c r="H60" s="17" t="str">
        <x:v>n.a.</x:v>
      </x:c>
      <x:c r="I60" s="17" t="str">
        <x:v>n.a.</x:v>
      </x:c>
      <x:c r="J60" s="17" t="str">
        <x:v>n.a.</x:v>
      </x:c>
      <x:c r="K60" s="17" t="str">
        <x:v>n.a.</x:v>
      </x:c>
      <x:c r="L60" s="17" t="str">
        <x:v>n.a.</x:v>
      </x:c>
      <x:c r="M60" s="17" t="str">
        <x:v>n.a.</x:v>
      </x:c>
      <x:c r="N60" s="17" t="str">
        <x:v>n.a.</x:v>
      </x:c>
      <x:c r="O60" s="51" t="n">
        <x:f>(O56+0.5*O57)*'Assumptions'!O145</x:f>
        <x:v>106.851042</x:v>
      </x:c>
      <x:c r="P60" s="51" t="n">
        <x:f>(P56+0.5*P57)*'Assumptions'!P145</x:f>
        <x:v>319.236067266</x:v>
      </x:c>
      <x:c r="Q60" s="51" t="n">
        <x:f>(Q56+0.5*Q57)*'Assumptions'!Q145</x:f>
        <x:v>530.59848913088</x:v>
      </x:c>
      <x:c r="R60" s="51" t="n">
        <x:f>(R56+0.5*R57)*'Assumptions'!R145</x:f>
        <x:v>743.5925901842468</x:v>
      </x:c>
      <x:c r="S60" s="51" t="n">
        <x:f>(S56+0.5*S57)*'Assumptions'!S145</x:f>
        <x:v>959.711465986306</x:v>
      </x:c>
      <x:c r="T60" s="2"/>
      <x:c r="U60" s="2"/>
    </x:row>
    <x:row r="61" ht="21" customHeight="1">
      <x:c r="A61" s="2"/>
      <x:c r="B61" s="2"/>
      <x:c r="C61" s="64" t="str">
        <x:v>Operating lease expense</x:v>
      </x:c>
      <x:c r="D61" s="64"/>
      <x:c r="E61" s="66" t="n">
        <x:f>'Filing Notes'!E17</x:f>
        <x:v>1412</x:v>
      </x:c>
      <x:c r="F61" s="66" t="n">
        <x:f>'Filing Notes'!F17</x:f>
        <x:v>1585</x:v>
      </x:c>
      <x:c r="G61" s="66" t="n">
        <x:f>'Filing Notes'!G17</x:f>
        <x:v>1707</x:v>
      </x:c>
      <x:c r="H61" s="66" t="n">
        <x:f>'Filing Notes'!H17</x:f>
        <x:v>2043</x:v>
      </x:c>
      <x:c r="I61" s="66" t="n">
        <x:f>'Filing Notes'!I17</x:f>
        <x:v>2127</x:v>
      </x:c>
      <x:c r="J61" s="66" t="n">
        <x:f>'Filing Notes'!J17</x:f>
        <x:v>2461</x:v>
      </x:c>
      <x:c r="K61" s="66" t="n">
        <x:f>'Filing Notes'!K17</x:f>
        <x:v>2875</x:v>
      </x:c>
      <x:c r="L61" s="66" t="n">
        <x:f>'Filing Notes'!L17</x:f>
        <x:v>3555</x:v>
      </x:c>
      <x:c r="M61" s="66" t="n">
        <x:f>'Filing Notes'!M17</x:f>
        <x:v>5524</x:v>
      </x:c>
      <x:c r="N61" s="66" t="n">
        <x:f>'Filing Notes'!N17</x:f>
        <x:v>6968</x:v>
      </x:c>
      <x:c r="O61" s="68" t="n">
        <x:f>SUM(O49,O53,O58,O60)</x:f>
        <x:v>5428.887042</x:v>
      </x:c>
      <x:c r="P61" s="68" t="n">
        <x:f>SUM(P49,P53,P58,P60)</x:f>
        <x:v>6402.942695266</x:v>
      </x:c>
      <x:c r="Q61" s="68" t="n">
        <x:f>SUM(Q49,Q53,Q58,Q60)</x:f>
        <x:v>7428.829732529213</x:v>
      </x:c>
      <x:c r="R61" s="68" t="n">
        <x:f>SUM(R49,R53,R58,R60)</x:f>
        <x:v>8502.564695694284</x:v>
      </x:c>
      <x:c r="S61" s="68" t="n">
        <x:f>SUM(S49,S53,S58,S60)</x:f>
        <x:v>9609.606390594998</x:v>
      </x:c>
      <x:c r="T61" s="2"/>
      <x:c r="U61" s="2"/>
    </x:row>
    <x:row r="62" ht="21" customHeight="1">
      <x:c r="A62" s="2"/>
      <x:c r="B62" s="2"/>
      <x:c r="C62" s="2" t="str">
        <x:v>Closing operating ROU assets</x:v>
      </x:c>
      <x:c r="D62" s="2"/>
      <x:c r="E62" s="51" t="n">
        <x:f>'Historical Inputs'!E36</x:f>
        <x:v>6555</x:v>
      </x:c>
      <x:c r="F62" s="51" t="n">
        <x:f>'Historical Inputs'!F36</x:f>
        <x:v>6686</x:v>
      </x:c>
      <x:c r="G62" s="51" t="n">
        <x:f>'Historical Inputs'!G36</x:f>
        <x:v>7379</x:v>
      </x:c>
      <x:c r="H62" s="51" t="n">
        <x:f>'Historical Inputs'!H36</x:f>
        <x:v>8753</x:v>
      </x:c>
      <x:c r="I62" s="51" t="n">
        <x:f>'Historical Inputs'!I36</x:f>
        <x:v>11088</x:v>
      </x:c>
      <x:c r="J62" s="51" t="n">
        <x:f>'Historical Inputs'!J36</x:f>
        <x:v>13148</x:v>
      </x:c>
      <x:c r="K62" s="51" t="n">
        <x:f>'Historical Inputs'!K36</x:f>
        <x:v>14346</x:v>
      </x:c>
      <x:c r="L62" s="51" t="n">
        <x:f>'Historical Inputs'!L36</x:f>
        <x:v>18961</x:v>
      </x:c>
      <x:c r="M62" s="51" t="n">
        <x:f>'Historical Inputs'!M36</x:f>
        <x:v>24823</x:v>
      </x:c>
      <x:c r="N62" s="51" t="n">
        <x:f>'Historical Inputs'!N36</x:f>
        <x:v>24177</x:v>
      </x:c>
      <x:c r="O62" s="57" t="n">
        <x:f>O50+O59</x:f>
        <x:v>25441.921000000002</x:v>
      </x:c>
      <x:c r="P62" s="57" t="n">
        <x:f>P50+P59</x:f>
        <x:v>26641.582333000002</x:v>
      </x:c>
      <x:c r="Q62" s="57" t="n">
        <x:f>Q50+Q59</x:f>
        <x:v>27855.833795106668</x:v>
      </x:c>
      <x:c r="R62" s="57" t="n">
        <x:f>R50+R59</x:f>
        <x:v>29136.34409690556</x:v>
      </x:c>
      <x:c r="S62" s="57" t="n">
        <x:f>S50+S59</x:f>
        <x:v>30505.42674025375</x:v>
      </x:c>
      <x:c r="T62" s="2"/>
      <x:c r="U62" s="2"/>
    </x:row>
    <x:row r="63" ht="21" customHeight="1">
      <x:c r="A63" s="2"/>
      <x:c r="B63" s="2"/>
      <x:c r="C63" s="64" t="str">
        <x:v>Total operating lease liabilities</x:v>
      </x:c>
      <x:c r="D63" s="64"/>
      <x:c r="E63" s="66" t="n">
        <x:f>'Filing Notes'!E15</x:f>
        <x:v>6795</x:v>
      </x:c>
      <x:c r="F63" s="66" t="n">
        <x:f>'Filing Notes'!F15</x:f>
        <x:v>6967</x:v>
      </x:c>
      <x:c r="G63" s="66" t="n">
        <x:f>'Filing Notes'!G15</x:f>
        <x:v>7703</x:v>
      </x:c>
      <x:c r="H63" s="66" t="n">
        <x:f>'Filing Notes'!H15</x:f>
        <x:v>9287</x:v>
      </x:c>
      <x:c r="I63" s="66" t="n">
        <x:f>'Filing Notes'!I15</x:f>
        <x:v>11591</x:v>
      </x:c>
      <x:c r="J63" s="66" t="n">
        <x:f>'Filing Notes'!J15</x:f>
        <x:v>13717</x:v>
      </x:c>
      <x:c r="K63" s="66" t="n">
        <x:f>'Filing Notes'!K15</x:f>
        <x:v>15137</x:v>
      </x:c>
      <x:c r="L63" s="66" t="n">
        <x:f>'Filing Notes'!L15</x:f>
        <x:v>19077</x:v>
      </x:c>
      <x:c r="M63" s="66" t="n">
        <x:f>'Filing Notes'!M15</x:f>
        <x:v>22861</x:v>
      </x:c>
      <x:c r="N63" s="66" t="n">
        <x:f>'Filing Notes'!N15</x:f>
        <x:v>21925</x:v>
      </x:c>
      <x:c r="O63" s="68" t="n">
        <x:f>O55+O59</x:f>
        <x:v>21948.646</x:v>
      </x:c>
      <x:c r="P63" s="68" t="n">
        <x:f>P55+P59</x:f>
        <x:v>23460.013658</x:v>
      </x:c>
      <x:c r="Q63" s="68" t="n">
        <x:f>Q55+Q59</x:f>
        <x:v>26036.413079131664</x:v>
      </x:c>
      <x:c r="R63" s="68" t="n">
        <x:f>R55+R59</x:f>
        <x:v>29114.37931443948</x:v>
      </x:c>
      <x:c r="S63" s="68" t="n">
        <x:f>S55+S59</x:f>
        <x:v>32494.33226083643</x:v>
      </x:c>
      <x:c r="T63" s="2"/>
      <x:c r="U63" s="2"/>
    </x:row>
    <x:row r="64" ht="21" customHeight="1">
      <x:c r="A64" s="2"/>
      <x:c r="B64" s="2"/>
      <x:c r="C64" s="2" t="str">
        <x:v>Current operating lease liabilities</x:v>
      </x:c>
      <x:c r="D64" s="2"/>
      <x:c r="E64" s="17" t="str">
        <x:v>n.a.</x:v>
      </x:c>
      <x:c r="F64" s="17" t="str">
        <x:v>n.a.</x:v>
      </x:c>
      <x:c r="G64" s="17" t="str">
        <x:v>n.a.</x:v>
      </x:c>
      <x:c r="H64" s="17" t="str">
        <x:v>n.a.</x:v>
      </x:c>
      <x:c r="I64" s="17" t="str">
        <x:v>n.a.</x:v>
      </x:c>
      <x:c r="J64" s="17" t="str">
        <x:v>n.a.</x:v>
      </x:c>
      <x:c r="K64" s="17" t="str">
        <x:v>n.a.</x:v>
      </x:c>
      <x:c r="L64" s="17" t="str">
        <x:v>n.a.</x:v>
      </x:c>
      <x:c r="M64" s="17" t="str">
        <x:v>n.a.</x:v>
      </x:c>
      <x:c r="N64" s="51" t="n">
        <x:f>'Filing Notes'!N28</x:f>
        <x:v>5393</x:v>
      </x:c>
      <x:c r="O64" s="51" t="n">
        <x:f>MIN(O63,MAX(0,O69-O55*'Assumptions'!O145)+O59/'Assumptions'!O153)</x:f>
        <x:v>4600.197175</x:v>
      </x:c>
      <x:c r="P64" s="51" t="n">
        <x:f>MIN(P63,MAX(0,P69-P55*'Assumptions'!P145)+P59/'Assumptions'!P153)</x:f>
        <x:v>4421.282429808333</x:v>
      </x:c>
      <x:c r="Q64" s="51" t="n">
        <x:f>MIN(Q63,MAX(0,Q69-Q55*'Assumptions'!Q145)+Q59/'Assumptions'!Q153)</x:f>
        <x:v>4859.933032342186</x:v>
      </x:c>
      <x:c r="R64" s="51" t="n">
        <x:f>MIN(R63,MAX(0,R69-R55*'Assumptions'!R145)+R59/'Assumptions'!R153)</x:f>
        <x:v>5531.520379768838</x:v>
      </x:c>
      <x:c r="S64" s="51" t="n">
        <x:f>MIN(S63,MAX(0,S69-S55*'Assumptions'!S145)+S59/'Assumptions'!S153)</x:f>
        <x:v>6189.9734524474</x:v>
      </x:c>
      <x:c r="T64" s="2"/>
      <x:c r="U64" s="2"/>
    </x:row>
    <x:row r="65" ht="21" customHeight="1">
      <x:c r="A65" s="2"/>
      <x:c r="B65" s="2"/>
      <x:c r="C65" s="2" t="str">
        <x:v>Long-term operating lease liabilities</x:v>
      </x:c>
      <x:c r="D65" s="2"/>
      <x:c r="E65" s="17" t="str">
        <x:v>n.a.</x:v>
      </x:c>
      <x:c r="F65" s="17" t="str">
        <x:v>n.a.</x:v>
      </x:c>
      <x:c r="G65" s="17" t="str">
        <x:v>n.a.</x:v>
      </x:c>
      <x:c r="H65" s="17" t="str">
        <x:v>n.a.</x:v>
      </x:c>
      <x:c r="I65" s="17" t="str">
        <x:v>n.a.</x:v>
      </x:c>
      <x:c r="J65" s="17" t="str">
        <x:v>n.a.</x:v>
      </x:c>
      <x:c r="K65" s="17" t="str">
        <x:v>n.a.</x:v>
      </x:c>
      <x:c r="L65" s="17" t="str">
        <x:v>n.a.</x:v>
      </x:c>
      <x:c r="M65" s="17" t="str">
        <x:v>n.a.</x:v>
      </x:c>
      <x:c r="N65" s="51" t="n">
        <x:f>'Historical Inputs'!N53</x:f>
        <x:v>16532</x:v>
      </x:c>
      <x:c r="O65" s="57" t="n">
        <x:f>O63-O64</x:f>
        <x:v>17348.448825</x:v>
      </x:c>
      <x:c r="P65" s="57" t="n">
        <x:f>P63-P64</x:f>
        <x:v>19038.731228191667</x:v>
      </x:c>
      <x:c r="Q65" s="57" t="n">
        <x:f>Q63-Q64</x:f>
        <x:v>21176.48004678948</x:v>
      </x:c>
      <x:c r="R65" s="57" t="n">
        <x:f>R63-R64</x:f>
        <x:v>23582.858934670643</x:v>
      </x:c>
      <x:c r="S65" s="57" t="n">
        <x:f>S63-S64</x:f>
        <x:v>26304.358808389028</x:v>
      </x:c>
      <x:c r="T65" s="2"/>
      <x:c r="U65" s="2"/>
    </x:row>
    <x:row r="66" ht="21" customHeight="1">
      <x:c r="A66" s="2"/>
      <x:c r="B66" s="2"/>
      <x:c r="C66" s="2" t="str">
        <x:v>Operating lease cash reconciliation</x:v>
      </x:c>
      <x:c r="D66" s="2"/>
      <x:c r="E66" s="17" t="str">
        <x:v>n.a.</x:v>
      </x:c>
      <x:c r="F66" s="17" t="str">
        <x:v>n.a.</x:v>
      </x:c>
      <x:c r="G66" s="17" t="str">
        <x:v>n.a.</x:v>
      </x:c>
      <x:c r="H66" s="17" t="str">
        <x:v>n.a.</x:v>
      </x:c>
      <x:c r="I66" s="17" t="str">
        <x:v>n.a.</x:v>
      </x:c>
      <x:c r="J66" s="17" t="str">
        <x:v>n.a.</x:v>
      </x:c>
      <x:c r="K66" s="17" t="str">
        <x:v>n.a.</x:v>
      </x:c>
      <x:c r="L66" s="17" t="str">
        <x:v>n.a.</x:v>
      </x:c>
      <x:c r="M66" s="17" t="str">
        <x:v>n.a.</x:v>
      </x:c>
      <x:c r="N66" s="17" t="str">
        <x:v>n.a.</x:v>
      </x:c>
      <x:c r="O66" s="57" t="n">
        <x:f>O67-O68</x:f>
        <x:v>-1241.2749999999996</x:v>
      </x:c>
      <x:c r="P66" s="57" t="n">
        <x:f>P67-P68</x:f>
        <x:v>311.706325000001</x:v>
      </x:c>
      <x:c r="Q66" s="57" t="n">
        <x:f>Q67-Q68</x:f>
        <x:v>1362.147959025</x:v>
      </x:c>
      <x:c r="R66" s="57" t="n">
        <x:f>R67-R68</x:f>
        <x:v>1797.4559335089252</x:v>
      </x:c>
      <x:c r="S66" s="57" t="n">
        <x:f>S67-S68</x:f>
        <x:v>2010.870303048754</x:v>
      </x:c>
      <x:c r="T66" s="2"/>
      <x:c r="U66" s="2"/>
    </x:row>
    <x:row r="67" ht="21" customHeight="1">
      <x:c r="A67" s="2"/>
      <x:c r="B67" s="2"/>
      <x:c r="C67" s="2" t="str">
        <x:v>Total operating ROU amortization</x:v>
      </x:c>
      <x:c r="D67" s="2"/>
      <x:c r="E67" s="17" t="str">
        <x:v>n.a.</x:v>
      </x:c>
      <x:c r="F67" s="17" t="str">
        <x:v>n.a.</x:v>
      </x:c>
      <x:c r="G67" s="17" t="str">
        <x:v>n.a.</x:v>
      </x:c>
      <x:c r="H67" s="17" t="str">
        <x:v>n.a.</x:v>
      </x:c>
      <x:c r="I67" s="17" t="str">
        <x:v>n.a.</x:v>
      </x:c>
      <x:c r="J67" s="17" t="str">
        <x:v>n.a.</x:v>
      </x:c>
      <x:c r="K67" s="17" t="str">
        <x:v>n.a.</x:v>
      </x:c>
      <x:c r="L67" s="17" t="str">
        <x:v>n.a.</x:v>
      </x:c>
      <x:c r="M67" s="17" t="str">
        <x:v>n.a.</x:v>
      </x:c>
      <x:c r="N67" s="17" t="str">
        <x:v>n.a.</x:v>
      </x:c>
      <x:c r="O67" s="57" t="n">
        <x:f>O49+O58</x:f>
        <x:v>4510.811</x:v>
      </x:c>
      <x:c r="P67" s="57" t="n">
        <x:f>P49+P58</x:f>
        <x:v>5467.500303000001</x:v>
      </x:c>
      <x:c r="Q67" s="57" t="n">
        <x:f>Q49+Q58</x:f>
        <x:v>6419.583284373333</x:v>
      </x:c>
      <x:c r="R67" s="57" t="n">
        <x:f>R49+R58</x:f>
        <x:v>7379.016172001111</x:v>
      </x:c>
      <x:c r="S67" s="57" t="n">
        <x:f>S49+S58</x:f>
        <x:v>8352.524621559936</x:v>
      </x:c>
      <x:c r="T67" s="2"/>
      <x:c r="U67" s="2"/>
    </x:row>
    <x:row r="68" ht="21" customHeight="1">
      <x:c r="A68" s="2"/>
      <x:c r="B68" s="2"/>
      <x:c r="C68" s="2" t="str">
        <x:v>Total operating lease principal reduction</x:v>
      </x:c>
      <x:c r="D68" s="2"/>
      <x:c r="E68" s="17" t="str">
        <x:v>n.a.</x:v>
      </x:c>
      <x:c r="F68" s="17" t="str">
        <x:v>n.a.</x:v>
      </x:c>
      <x:c r="G68" s="17" t="str">
        <x:v>n.a.</x:v>
      </x:c>
      <x:c r="H68" s="17" t="str">
        <x:v>n.a.</x:v>
      </x:c>
      <x:c r="I68" s="17" t="str">
        <x:v>n.a.</x:v>
      </x:c>
      <x:c r="J68" s="17" t="str">
        <x:v>n.a.</x:v>
      </x:c>
      <x:c r="K68" s="17" t="str">
        <x:v>n.a.</x:v>
      </x:c>
      <x:c r="L68" s="17" t="str">
        <x:v>n.a.</x:v>
      </x:c>
      <x:c r="M68" s="17" t="str">
        <x:v>n.a.</x:v>
      </x:c>
      <x:c r="N68" s="17" t="str">
        <x:v>n.a.</x:v>
      </x:c>
      <x:c r="O68" s="57" t="n">
        <x:f>O54+O58</x:f>
        <x:v>5752.085999999999</x:v>
      </x:c>
      <x:c r="P68" s="57" t="n">
        <x:f>P54+P58</x:f>
        <x:v>5155.793978</x:v>
      </x:c>
      <x:c r="Q68" s="57" t="n">
        <x:f>Q54+Q58</x:f>
        <x:v>5057.435325348333</x:v>
      </x:c>
      <x:c r="R68" s="57" t="n">
        <x:f>R54+R58</x:f>
        <x:v>5581.560238492186</x:v>
      </x:c>
      <x:c r="S68" s="57" t="n">
        <x:f>S54+S58</x:f>
        <x:v>6341.654318511182</x:v>
      </x:c>
      <x:c r="T68" s="2"/>
      <x:c r="U68" s="2"/>
    </x:row>
    <x:row r="69" ht="21" customHeight="1">
      <x:c r="A69" s="2"/>
      <x:c r="B69" s="2"/>
      <x:c r="C69" s="2" t="str">
        <x:v>Next year legacy operating lease cash payments</x:v>
      </x:c>
      <x:c r="D69" s="2"/>
      <x:c r="E69" s="17" t="str">
        <x:v>n.a.</x:v>
      </x:c>
      <x:c r="F69" s="17" t="str">
        <x:v>n.a.</x:v>
      </x:c>
      <x:c r="G69" s="17" t="str">
        <x:v>n.a.</x:v>
      </x:c>
      <x:c r="H69" s="17" t="str">
        <x:v>n.a.</x:v>
      </x:c>
      <x:c r="I69" s="17" t="str">
        <x:v>n.a.</x:v>
      </x:c>
      <x:c r="J69" s="17" t="str">
        <x:v>n.a.</x:v>
      </x:c>
      <x:c r="K69" s="17" t="str">
        <x:v>n.a.</x:v>
      </x:c>
      <x:c r="L69" s="17" t="str">
        <x:v>n.a.</x:v>
      </x:c>
      <x:c r="M69" s="17" t="str">
        <x:v>n.a.</x:v>
      </x:c>
      <x:c r="N69" s="17" t="str">
        <x:v>n.a.</x:v>
      </x:c>
      <x:c r="O69" s="51" t="n">
        <x:f>'Filing Notes'!P39</x:f>
        <x:v>4334</x:v>
      </x:c>
      <x:c r="P69" s="51" t="n">
        <x:f>'Filing Notes'!Q39</x:f>
        <x:v>3146</x:v>
      </x:c>
      <x:c r="Q69" s="51" t="n">
        <x:f>'Filing Notes'!R39</x:f>
        <x:v>2612</x:v>
      </x:c>
      <x:c r="R69" s="51" t="n">
        <x:f>'Filing Notes'!S39</x:f>
        <x:v>2316</x:v>
      </x:c>
      <x:c r="S69" s="51" t="n">
        <x:f>'Assumptions'!O212</x:f>
        <x:v>2000</x:v>
      </x:c>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5" customHeight="1">
      <x:c r="A71" s="2"/>
      <x:c r="B71" s="2"/>
      <x:c r="C71" s="10" t="str">
        <x:v>Cash and investment funding</x:v>
      </x:c>
      <x:c r="D71" s="10"/>
      <x:c r="E71" s="10"/>
      <x:c r="F71" s="10"/>
      <x:c r="G71" s="10"/>
      <x:c r="H71" s="10"/>
      <x:c r="I71" s="10"/>
      <x:c r="J71" s="10"/>
      <x:c r="K71" s="10"/>
      <x:c r="L71" s="10"/>
      <x:c r="M71" s="10"/>
      <x:c r="N71" s="10"/>
      <x:c r="O71" s="10"/>
      <x:c r="P71" s="10"/>
      <x:c r="Q71" s="10"/>
      <x:c r="R71" s="10"/>
      <x:c r="S71" s="10"/>
      <x:c r="T71" s="2"/>
      <x:c r="U71" s="2"/>
    </x:row>
    <x:row r="72" ht="21" customHeight="1">
      <x:c r="A72" s="2"/>
      <x:c r="B72" s="2"/>
      <x:c r="C72" s="2" t="str">
        <x:v>Opening short-term investments</x:v>
      </x:c>
      <x:c r="D72" s="2"/>
      <x:c r="E72" s="17" t="str">
        <x:v>n.a.</x:v>
      </x:c>
      <x:c r="F72" s="17" t="str">
        <x:v>n.a.</x:v>
      </x:c>
      <x:c r="G72" s="17" t="str">
        <x:v>n.a.</x:v>
      </x:c>
      <x:c r="H72" s="17" t="str">
        <x:v>n.a.</x:v>
      </x:c>
      <x:c r="I72" s="17" t="str">
        <x:v>n.a.</x:v>
      </x:c>
      <x:c r="J72" s="17" t="str">
        <x:v>n.a.</x:v>
      </x:c>
      <x:c r="K72" s="17" t="str">
        <x:v>n.a.</x:v>
      </x:c>
      <x:c r="L72" s="17" t="str">
        <x:v>n.a.</x:v>
      </x:c>
      <x:c r="M72" s="17" t="str">
        <x:v>n.a.</x:v>
      </x:c>
      <x:c r="N72" s="17" t="str">
        <x:v>n.a.</x:v>
      </x:c>
      <x:c r="O72" s="51" t="n">
        <x:f>'Balance Sheet'!N9</x:f>
        <x:v>55908</x:v>
      </x:c>
      <x:c r="P72" s="51" t="n">
        <x:f>'Balance Sheet'!O9</x:f>
        <x:v>55908</x:v>
      </x:c>
      <x:c r="Q72" s="51" t="n">
        <x:f>'Balance Sheet'!P9</x:f>
        <x:v>55908</x:v>
      </x:c>
      <x:c r="R72" s="51" t="n">
        <x:f>'Balance Sheet'!Q9</x:f>
        <x:v>55908</x:v>
      </x:c>
      <x:c r="S72" s="51" t="n">
        <x:f>'Balance Sheet'!R9</x:f>
        <x:v>55908</x:v>
      </x:c>
      <x:c r="T72" s="2"/>
      <x:c r="U72" s="2"/>
    </x:row>
    <x:row r="73" ht="21" customHeight="1">
      <x:c r="A73" s="2"/>
      <x:c r="B73" s="2"/>
      <x:c r="C73" s="2" t="str">
        <x:v>Planned closing short-term investments</x:v>
      </x:c>
      <x:c r="D73" s="2"/>
      <x:c r="E73" s="17" t="str">
        <x:v>n.a.</x:v>
      </x:c>
      <x:c r="F73" s="17" t="str">
        <x:v>n.a.</x:v>
      </x:c>
      <x:c r="G73" s="17" t="str">
        <x:v>n.a.</x:v>
      </x:c>
      <x:c r="H73" s="17" t="str">
        <x:v>n.a.</x:v>
      </x:c>
      <x:c r="I73" s="17" t="str">
        <x:v>n.a.</x:v>
      </x:c>
      <x:c r="J73" s="17" t="str">
        <x:v>n.a.</x:v>
      </x:c>
      <x:c r="K73" s="17" t="str">
        <x:v>n.a.</x:v>
      </x:c>
      <x:c r="L73" s="17" t="str">
        <x:v>n.a.</x:v>
      </x:c>
      <x:c r="M73" s="17" t="str">
        <x:v>n.a.</x:v>
      </x:c>
      <x:c r="N73" s="17" t="str">
        <x:v>n.a.</x:v>
      </x:c>
      <x:c r="O73" s="51" t="n">
        <x:f>MAX('Assumptions'!O121,O72*(1+'Assumptions'!O165))</x:f>
        <x:v>55908</x:v>
      </x:c>
      <x:c r="P73" s="51" t="n">
        <x:f>MAX('Assumptions'!P121,P72*(1+'Assumptions'!P165))</x:f>
        <x:v>55908</x:v>
      </x:c>
      <x:c r="Q73" s="51" t="n">
        <x:f>MAX('Assumptions'!Q121,Q72*(1+'Assumptions'!Q165))</x:f>
        <x:v>55908</x:v>
      </x:c>
      <x:c r="R73" s="51" t="n">
        <x:f>MAX('Assumptions'!R121,R72*(1+'Assumptions'!R165))</x:f>
        <x:v>55908</x:v>
      </x:c>
      <x:c r="S73" s="51" t="n">
        <x:f>MAX('Assumptions'!S121,S72*(1+'Assumptions'!S165))</x:f>
        <x:v>55908</x:v>
      </x:c>
      <x:c r="T73" s="2"/>
      <x:c r="U73" s="2"/>
    </x:row>
    <x:row r="74" ht="21" customHeight="1">
      <x:c r="A74" s="2"/>
      <x:c r="B74" s="2"/>
      <x:c r="C74" s="2" t="str">
        <x:v>Minimum short-term investment reserve</x:v>
      </x:c>
      <x:c r="D74" s="2"/>
      <x:c r="E74" s="17" t="str">
        <x:v>n.a.</x:v>
      </x:c>
      <x:c r="F74" s="17" t="str">
        <x:v>n.a.</x:v>
      </x:c>
      <x:c r="G74" s="17" t="str">
        <x:v>n.a.</x:v>
      </x:c>
      <x:c r="H74" s="17" t="str">
        <x:v>n.a.</x:v>
      </x:c>
      <x:c r="I74" s="17" t="str">
        <x:v>n.a.</x:v>
      </x:c>
      <x:c r="J74" s="17" t="str">
        <x:v>n.a.</x:v>
      </x:c>
      <x:c r="K74" s="17" t="str">
        <x:v>n.a.</x:v>
      </x:c>
      <x:c r="L74" s="17" t="str">
        <x:v>n.a.</x:v>
      </x:c>
      <x:c r="M74" s="17" t="str">
        <x:v>n.a.</x:v>
      </x:c>
      <x:c r="N74" s="17" t="str">
        <x:v>n.a.</x:v>
      </x:c>
      <x:c r="O74" s="51" t="n">
        <x:f>'Assumptions'!O121</x:f>
        <x:v>20000</x:v>
      </x:c>
      <x:c r="P74" s="51" t="n">
        <x:f>'Assumptions'!P121</x:f>
        <x:v>20000</x:v>
      </x:c>
      <x:c r="Q74" s="51" t="n">
        <x:f>'Assumptions'!Q121</x:f>
        <x:v>20000</x:v>
      </x:c>
      <x:c r="R74" s="51" t="n">
        <x:f>'Assumptions'!R121</x:f>
        <x:v>20000</x:v>
      </x:c>
      <x:c r="S74" s="51" t="n">
        <x:f>'Assumptions'!S121</x:f>
        <x:v>20000</x:v>
      </x:c>
      <x:c r="T74" s="2"/>
      <x:c r="U74" s="2"/>
    </x:row>
    <x:row r="75" ht="21" customHeight="1">
      <x:c r="A75" s="2"/>
      <x:c r="B75" s="2"/>
      <x:c r="C75" s="2" t="str">
        <x:v>Cash before reserve liquidation and funding</x:v>
      </x:c>
      <x:c r="D75" s="2"/>
      <x:c r="E75" s="17" t="str">
        <x:v>n.a.</x:v>
      </x:c>
      <x:c r="F75" s="17" t="str">
        <x:v>n.a.</x:v>
      </x:c>
      <x:c r="G75" s="17" t="str">
        <x:v>n.a.</x:v>
      </x:c>
      <x:c r="H75" s="17" t="str">
        <x:v>n.a.</x:v>
      </x:c>
      <x:c r="I75" s="17" t="str">
        <x:v>n.a.</x:v>
      </x:c>
      <x:c r="J75" s="17" t="str">
        <x:v>n.a.</x:v>
      </x:c>
      <x:c r="K75" s="17" t="str">
        <x:v>n.a.</x:v>
      </x:c>
      <x:c r="L75" s="17" t="str">
        <x:v>n.a.</x:v>
      </x:c>
      <x:c r="M75" s="17" t="str">
        <x:v>n.a.</x:v>
      </x:c>
      <x:c r="N75" s="17" t="str">
        <x:v>n.a.</x:v>
      </x:c>
      <x:c r="O75" s="51" t="n">
        <x:f>'Cash Flow'!O59</x:f>
        <x:v>37832.17978311874</x:v>
      </x:c>
      <x:c r="P75" s="51" t="n">
        <x:f>'Cash Flow'!P59</x:f>
        <x:v>94472.09354841156</x:v>
      </x:c>
      <x:c r="Q75" s="51" t="n">
        <x:f>'Cash Flow'!Q59</x:f>
        <x:v>178678.8120071388</x:v>
      </x:c>
      <x:c r="R75" s="51" t="n">
        <x:f>'Cash Flow'!R59</x:f>
        <x:v>300717.550255754</x:v>
      </x:c>
      <x:c r="S75" s="51" t="n">
        <x:f>'Cash Flow'!S59</x:f>
        <x:v>457382.5410788634</x:v>
      </x:c>
      <x:c r="T75" s="2"/>
      <x:c r="U75" s="2"/>
    </x:row>
    <x:row r="76" ht="21" customHeight="1">
      <x:c r="A76" s="2"/>
      <x:c r="B76" s="2"/>
      <x:c r="C76" s="2" t="str">
        <x:v>Cash shortfall to policy minimum</x:v>
      </x:c>
      <x:c r="D76" s="2"/>
      <x:c r="E76" s="17" t="str">
        <x:v>n.a.</x:v>
      </x:c>
      <x:c r="F76" s="17" t="str">
        <x:v>n.a.</x:v>
      </x:c>
      <x:c r="G76" s="17" t="str">
        <x:v>n.a.</x:v>
      </x:c>
      <x:c r="H76" s="17" t="str">
        <x:v>n.a.</x:v>
      </x:c>
      <x:c r="I76" s="17" t="str">
        <x:v>n.a.</x:v>
      </x:c>
      <x:c r="J76" s="17" t="str">
        <x:v>n.a.</x:v>
      </x:c>
      <x:c r="K76" s="17" t="str">
        <x:v>n.a.</x:v>
      </x:c>
      <x:c r="L76" s="17" t="str">
        <x:v>n.a.</x:v>
      </x:c>
      <x:c r="M76" s="17" t="str">
        <x:v>n.a.</x:v>
      </x:c>
      <x:c r="N76" s="17" t="str">
        <x:v>n.a.</x:v>
      </x:c>
      <x:c r="O76" s="51" t="n">
        <x:f>MAX(0,'Assumptions'!O117-O75)</x:f>
        <x:v>0</x:v>
      </x:c>
      <x:c r="P76" s="51" t="n">
        <x:f>MAX(0,'Assumptions'!P117-P75)</x:f>
        <x:v>0</x:v>
      </x:c>
      <x:c r="Q76" s="51" t="n">
        <x:f>MAX(0,'Assumptions'!Q117-Q75)</x:f>
        <x:v>0</x:v>
      </x:c>
      <x:c r="R76" s="51" t="n">
        <x:f>MAX(0,'Assumptions'!R117-R75)</x:f>
        <x:v>0</x:v>
      </x:c>
      <x:c r="S76" s="51" t="n">
        <x:f>MAX(0,'Assumptions'!S117-S75)</x:f>
        <x:v>0</x:v>
      </x:c>
      <x:c r="T76" s="2"/>
      <x:c r="U76" s="2"/>
    </x:row>
    <x:row r="77" ht="21" customHeight="1">
      <x:c r="A77" s="2"/>
      <x:c r="B77" s="2"/>
      <x:c r="C77" s="2" t="str">
        <x:v>Reserve investments liquidated</x:v>
      </x:c>
      <x:c r="D77" s="2"/>
      <x:c r="E77" s="17" t="str">
        <x:v>n.a.</x:v>
      </x:c>
      <x:c r="F77" s="17" t="str">
        <x:v>n.a.</x:v>
      </x:c>
      <x:c r="G77" s="17" t="str">
        <x:v>n.a.</x:v>
      </x:c>
      <x:c r="H77" s="17" t="str">
        <x:v>n.a.</x:v>
      </x:c>
      <x:c r="I77" s="17" t="str">
        <x:v>n.a.</x:v>
      </x:c>
      <x:c r="J77" s="17" t="str">
        <x:v>n.a.</x:v>
      </x:c>
      <x:c r="K77" s="17" t="str">
        <x:v>n.a.</x:v>
      </x:c>
      <x:c r="L77" s="17" t="str">
        <x:v>n.a.</x:v>
      </x:c>
      <x:c r="M77" s="17" t="str">
        <x:v>n.a.</x:v>
      </x:c>
      <x:c r="N77" s="17" t="str">
        <x:v>n.a.</x:v>
      </x:c>
      <x:c r="O77" s="57" t="n">
        <x:f>MIN(MAX(0,O73-O74),O76)</x:f>
        <x:v>0</x:v>
      </x:c>
      <x:c r="P77" s="57" t="n">
        <x:f>MIN(MAX(0,P73-P74),P76)</x:f>
        <x:v>0</x:v>
      </x:c>
      <x:c r="Q77" s="57" t="n">
        <x:f>MIN(MAX(0,Q73-Q74),Q76)</x:f>
        <x:v>0</x:v>
      </x:c>
      <x:c r="R77" s="57" t="n">
        <x:f>MIN(MAX(0,R73-R74),R76)</x:f>
        <x:v>0</x:v>
      </x:c>
      <x:c r="S77" s="57" t="n">
        <x:f>MIN(MAX(0,S73-S74),S76)</x:f>
        <x:v>0</x:v>
      </x:c>
      <x:c r="T77" s="2"/>
      <x:c r="U77" s="2"/>
    </x:row>
    <x:row r="78" ht="21" customHeight="1">
      <x:c r="A78" s="2"/>
      <x:c r="B78" s="2"/>
      <x:c r="C78" s="64" t="str">
        <x:v>Closing short-term investments</x:v>
      </x:c>
      <x:c r="D78" s="64"/>
      <x:c r="E78" s="66" t="n">
        <x:f>'Historical Inputs'!E29</x:f>
        <x:v>125318</x:v>
      </x:c>
      <x:c r="F78" s="66" t="n">
        <x:f>'Historical Inputs'!F29</x:f>
        <x:v>121822</x:v>
      </x:c>
      <x:c r="G78" s="66" t="n">
        <x:f>'Historical Inputs'!G29</x:f>
        <x:v>122463</x:v>
      </x:c>
      <x:c r="H78" s="66" t="n">
        <x:f>'Historical Inputs'!H29</x:f>
        <x:v>122951</x:v>
      </x:c>
      <x:c r="I78" s="66" t="n">
        <x:f>'Historical Inputs'!I29</x:f>
        <x:v>116110</x:v>
      </x:c>
      <x:c r="J78" s="66" t="n">
        <x:f>'Historical Inputs'!J29</x:f>
        <x:v>90826</x:v>
      </x:c>
      <x:c r="K78" s="66" t="n">
        <x:f>'Historical Inputs'!K29</x:f>
        <x:v>76558</x:v>
      </x:c>
      <x:c r="L78" s="66" t="n">
        <x:f>'Historical Inputs'!L29</x:f>
        <x:v>57228</x:v>
      </x:c>
      <x:c r="M78" s="66" t="n">
        <x:f>'Historical Inputs'!M29</x:f>
        <x:v>64323</x:v>
      </x:c>
      <x:c r="N78" s="66" t="n">
        <x:f>'Historical Inputs'!N29</x:f>
        <x:v>55908</x:v>
      </x:c>
      <x:c r="O78" s="68" t="n">
        <x:f>O73-O77</x:f>
        <x:v>55908</x:v>
      </x:c>
      <x:c r="P78" s="68" t="n">
        <x:f>P73-P77</x:f>
        <x:v>55908</x:v>
      </x:c>
      <x:c r="Q78" s="68" t="n">
        <x:f>Q73-Q77</x:f>
        <x:v>55908</x:v>
      </x:c>
      <x:c r="R78" s="68" t="n">
        <x:f>R73-R77</x:f>
        <x:v>55908</x:v>
      </x:c>
      <x:c r="S78" s="68" t="n">
        <x:f>S73-S77</x:f>
        <x:v>55908</x:v>
      </x:c>
      <x:c r="T78" s="2"/>
      <x:c r="U78" s="2"/>
    </x:row>
    <x:row r="79" ht="21" customHeight="1">
      <x:c r="A79" s="2"/>
      <x:c r="B79" s="2"/>
      <x:c r="C79" s="2" t="str">
        <x:v>Opening cash balance</x:v>
      </x:c>
      <x:c r="D79" s="2"/>
      <x:c r="E79" s="17" t="str">
        <x:v>n.a.</x:v>
      </x:c>
      <x:c r="F79" s="17" t="str">
        <x:v>n.a.</x:v>
      </x:c>
      <x:c r="G79" s="17" t="str">
        <x:v>n.a.</x:v>
      </x:c>
      <x:c r="H79" s="17" t="str">
        <x:v>n.a.</x:v>
      </x:c>
      <x:c r="I79" s="17" t="str">
        <x:v>n.a.</x:v>
      </x:c>
      <x:c r="J79" s="17" t="str">
        <x:v>n.a.</x:v>
      </x:c>
      <x:c r="K79" s="17" t="str">
        <x:v>n.a.</x:v>
      </x:c>
      <x:c r="L79" s="17" t="str">
        <x:v>n.a.</x:v>
      </x:c>
      <x:c r="M79" s="17" t="str">
        <x:v>n.a.</x:v>
      </x:c>
      <x:c r="N79" s="17" t="str">
        <x:v>n.a.</x:v>
      </x:c>
      <x:c r="O79" s="51" t="n">
        <x:f>'Balance Sheet'!N8</x:f>
        <x:v>20935</x:v>
      </x:c>
      <x:c r="P79" s="51" t="n">
        <x:f>'Balance Sheet'!O8</x:f>
        <x:v>37832.17978311873</x:v>
      </x:c>
      <x:c r="Q79" s="51" t="n">
        <x:f>'Balance Sheet'!P8</x:f>
        <x:v>94472.09354841156</x:v>
      </x:c>
      <x:c r="R79" s="51" t="n">
        <x:f>'Balance Sheet'!Q8</x:f>
        <x:v>178678.8120071388</x:v>
      </x:c>
      <x:c r="S79" s="51" t="n">
        <x:f>'Balance Sheet'!R8</x:f>
        <x:v>300717.550255754</x:v>
      </x:c>
      <x:c r="T79" s="2"/>
      <x:c r="U79" s="2"/>
    </x:row>
    <x:row r="80" ht="21" customHeight="1">
      <x:c r="A80" s="2"/>
      <x:c r="B80" s="2"/>
      <x:c r="C80" s="64" t="str">
        <x:v>Closing cash balance</x:v>
      </x:c>
      <x:c r="D80" s="64"/>
      <x:c r="E80" s="66" t="n">
        <x:f>'Historical Inputs'!E28</x:f>
        <x:v>7663</x:v>
      </x:c>
      <x:c r="F80" s="66" t="n">
        <x:f>'Historical Inputs'!F28</x:f>
        <x:v>11946</x:v>
      </x:c>
      <x:c r="G80" s="66" t="n">
        <x:f>'Historical Inputs'!G28</x:f>
        <x:v>11356</x:v>
      </x:c>
      <x:c r="H80" s="66" t="n">
        <x:f>'Historical Inputs'!H28</x:f>
        <x:v>13576</x:v>
      </x:c>
      <x:c r="I80" s="66" t="n">
        <x:f>'Historical Inputs'!I28</x:f>
        <x:v>14224</x:v>
      </x:c>
      <x:c r="J80" s="66" t="n">
        <x:f>'Historical Inputs'!J28</x:f>
        <x:v>13931</x:v>
      </x:c>
      <x:c r="K80" s="66" t="n">
        <x:f>'Historical Inputs'!K28</x:f>
        <x:v>34704</x:v>
      </x:c>
      <x:c r="L80" s="66" t="n">
        <x:f>'Historical Inputs'!L28</x:f>
        <x:v>18315</x:v>
      </x:c>
      <x:c r="M80" s="66" t="n">
        <x:f>'Historical Inputs'!M28</x:f>
        <x:v>30242</x:v>
      </x:c>
      <x:c r="N80" s="66" t="n">
        <x:f>'Historical Inputs'!N28</x:f>
        <x:v>20935</x:v>
      </x:c>
      <x:c r="O80" s="66" t="n">
        <x:f>'Cash Flow'!O54</x:f>
        <x:v>37832.17978311873</x:v>
      </x:c>
      <x:c r="P80" s="66" t="n">
        <x:f>'Cash Flow'!P54</x:f>
        <x:v>94472.09354841156</x:v>
      </x:c>
      <x:c r="Q80" s="66" t="n">
        <x:f>'Cash Flow'!Q54</x:f>
        <x:v>178678.8120071388</x:v>
      </x:c>
      <x:c r="R80" s="66" t="n">
        <x:f>'Cash Flow'!R54</x:f>
        <x:v>300717.550255754</x:v>
      </x:c>
      <x:c r="S80" s="66" t="n">
        <x:f>'Cash Flow'!S54</x:f>
        <x:v>457382.5410788633</x:v>
      </x:c>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t="str">
        <x:v>Opening equity investments</x:v>
      </x:c>
      <x:c r="D82" s="2"/>
      <x:c r="E82" s="17" t="str">
        <x:v>n.a.</x:v>
      </x:c>
      <x:c r="F82" s="17" t="str">
        <x:v>n.a.</x:v>
      </x:c>
      <x:c r="G82" s="17" t="str">
        <x:v>n.a.</x:v>
      </x:c>
      <x:c r="H82" s="17" t="str">
        <x:v>n.a.</x:v>
      </x:c>
      <x:c r="I82" s="17" t="str">
        <x:v>n.a.</x:v>
      </x:c>
      <x:c r="J82" s="17" t="str">
        <x:v>n.a.</x:v>
      </x:c>
      <x:c r="K82" s="17" t="str">
        <x:v>n.a.</x:v>
      </x:c>
      <x:c r="L82" s="17" t="str">
        <x:v>n.a.</x:v>
      </x:c>
      <x:c r="M82" s="17" t="str">
        <x:v>n.a.</x:v>
      </x:c>
      <x:c r="N82" s="17" t="str">
        <x:v>n.a.</x:v>
      </x:c>
      <x:c r="O82" s="51" t="n">
        <x:f>'Balance Sheet'!N18</x:f>
        <x:v>36348</x:v>
      </x:c>
      <x:c r="P82" s="51" t="n">
        <x:f>'Balance Sheet'!O18</x:f>
        <x:v>40198.488</x:v>
      </x:c>
      <x:c r="Q82" s="51" t="n">
        <x:f>'Balance Sheet'!P18</x:f>
        <x:v>44643.262424</x:v>
      </x:c>
      <x:c r="R82" s="51" t="n">
        <x:f>'Balance Sheet'!Q18</x:f>
        <x:v>49732.48558832</x:v>
      </x:c>
      <x:c r="S82" s="51" t="n">
        <x:f>'Balance Sheet'!R18</x:f>
        <x:v>55505.50323752</x:v>
      </x:c>
      <x:c r="T82" s="2"/>
      <x:c r="U82" s="2"/>
    </x:row>
    <x:row r="83" ht="21" customHeight="1">
      <x:c r="A83" s="2"/>
      <x:c r="B83" s="2"/>
      <x:c r="C83" s="2" t="str">
        <x:v>Cash purchases of equity investments</x:v>
      </x:c>
      <x:c r="D83" s="2"/>
      <x:c r="E83" s="17" t="str">
        <x:v>n.a.</x:v>
      </x:c>
      <x:c r="F83" s="17" t="str">
        <x:v>n.a.</x:v>
      </x:c>
      <x:c r="G83" s="17" t="str">
        <x:v>n.a.</x:v>
      </x:c>
      <x:c r="H83" s="17" t="str">
        <x:v>n.a.</x:v>
      </x:c>
      <x:c r="I83" s="17" t="str">
        <x:v>n.a.</x:v>
      </x:c>
      <x:c r="J83" s="17" t="str">
        <x:v>n.a.</x:v>
      </x:c>
      <x:c r="K83" s="17" t="str">
        <x:v>n.a.</x:v>
      </x:c>
      <x:c r="L83" s="17" t="str">
        <x:v>n.a.</x:v>
      </x:c>
      <x:c r="M83" s="17" t="str">
        <x:v>n.a.</x:v>
      </x:c>
      <x:c r="N83" s="17" t="str">
        <x:v>n.a.</x:v>
      </x:c>
      <x:c r="O83" s="51" t="n">
        <x:f>'Income Statement'!O8*'Assumptions'!O169</x:f>
        <x:v>3850.4880000000007</x:v>
      </x:c>
      <x:c r="P83" s="51" t="n">
        <x:f>'Income Statement'!P8*'Assumptions'!P169</x:f>
        <x:v>4444.774424000001</x:v>
      </x:c>
      <x:c r="Q83" s="51" t="n">
        <x:f>'Income Statement'!Q8*'Assumptions'!Q169</x:f>
        <x:v>5089.22316432</x:v>
      </x:c>
      <x:c r="R83" s="51" t="n">
        <x:f>'Income Statement'!R8*'Assumptions'!R169</x:f>
        <x:v>5773.017649200001</x:v>
      </x:c>
      <x:c r="S83" s="51" t="n">
        <x:f>'Income Statement'!S8*'Assumptions'!S169</x:f>
        <x:v>6481.071509938753</x:v>
      </x:c>
      <x:c r="T83" s="2"/>
      <x:c r="U83" s="2"/>
    </x:row>
    <x:row r="84" ht="21" customHeight="1">
      <x:c r="A84" s="2"/>
      <x:c r="B84" s="2"/>
      <x:c r="C84" s="2" t="str">
        <x:v>Closing equity investments</x:v>
      </x:c>
      <x:c r="D84" s="2"/>
      <x:c r="E84" s="51" t="n">
        <x:f>'Historical Inputs'!E37</x:f>
        <x:v>6023</x:v>
      </x:c>
      <x:c r="F84" s="51" t="n">
        <x:f>'Historical Inputs'!F37</x:f>
        <x:v>1862</x:v>
      </x:c>
      <x:c r="G84" s="51" t="n">
        <x:f>'Historical Inputs'!G37</x:f>
        <x:v>2649</x:v>
      </x:c>
      <x:c r="H84" s="51" t="n">
        <x:f>'Historical Inputs'!H37</x:f>
        <x:v>2965</x:v>
      </x:c>
      <x:c r="I84" s="51" t="n">
        <x:f>'Historical Inputs'!I37</x:f>
        <x:v>5984</x:v>
      </x:c>
      <x:c r="J84" s="51" t="n">
        <x:f>'Historical Inputs'!J37</x:f>
        <x:v>6891</x:v>
      </x:c>
      <x:c r="K84" s="51" t="n">
        <x:f>'Historical Inputs'!K37</x:f>
        <x:v>9879</x:v>
      </x:c>
      <x:c r="L84" s="51" t="n">
        <x:f>'Historical Inputs'!L37</x:f>
        <x:v>14600</x:v>
      </x:c>
      <x:c r="M84" s="51" t="n">
        <x:f>'Historical Inputs'!M37</x:f>
        <x:v>15405</x:v>
      </x:c>
      <x:c r="N84" s="51" t="n">
        <x:f>'Historical Inputs'!N37</x:f>
        <x:v>36348</x:v>
      </x:c>
      <x:c r="O84" s="57" t="n">
        <x:f>O82+O83</x:f>
        <x:v>40198.488</x:v>
      </x:c>
      <x:c r="P84" s="57" t="n">
        <x:f>P82+P83</x:f>
        <x:v>44643.262424</x:v>
      </x:c>
      <x:c r="Q84" s="57" t="n">
        <x:f>Q82+Q83</x:f>
        <x:v>49732.48558832</x:v>
      </x:c>
      <x:c r="R84" s="57" t="n">
        <x:f>R82+R83</x:f>
        <x:v>55505.50323752</x:v>
      </x:c>
      <x:c r="S84" s="57" t="n">
        <x:f>S82+S83</x:f>
        <x:v>61986.574747458755</x:v>
      </x:c>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row r="96" ht="21" customHeight="1">
      <x:c r="A96" s="2"/>
      <x:c r="B96" s="2"/>
      <x:c r="C96" s="2"/>
      <x:c r="D96" s="2"/>
      <x:c r="E96" s="2"/>
      <x:c r="F96" s="2"/>
      <x:c r="G96" s="2"/>
      <x:c r="H96" s="2"/>
      <x:c r="I96" s="2"/>
      <x:c r="J96" s="2"/>
      <x:c r="K96" s="2"/>
      <x:c r="L96" s="2"/>
      <x:c r="M96" s="2"/>
      <x:c r="N96" s="2"/>
      <x:c r="O96" s="2"/>
      <x:c r="P96" s="2"/>
      <x:c r="Q96" s="2"/>
      <x:c r="R96" s="2"/>
      <x:c r="S96" s="2"/>
      <x:c r="T96" s="2"/>
      <x:c r="U96" s="2"/>
    </x:row>
    <x:row r="97" ht="21" customHeight="1">
      <x:c r="A97" s="2"/>
      <x:c r="B97" s="2"/>
      <x:c r="C97" s="2"/>
      <x:c r="D97" s="2"/>
      <x:c r="E97" s="2"/>
      <x:c r="F97" s="2"/>
      <x:c r="G97" s="2"/>
      <x:c r="H97" s="2"/>
      <x:c r="I97" s="2"/>
      <x:c r="J97" s="2"/>
      <x:c r="K97" s="2"/>
      <x:c r="L97" s="2"/>
      <x:c r="M97" s="2"/>
      <x:c r="N97" s="2"/>
      <x:c r="O97" s="2"/>
      <x:c r="P97" s="2"/>
      <x:c r="Q97" s="2"/>
      <x:c r="R97" s="2"/>
      <x:c r="S97" s="2"/>
      <x:c r="T97" s="2"/>
      <x:c r="U97" s="2"/>
    </x:row>
    <x:row r="98" ht="21" customHeight="1">
      <x:c r="A98" s="2"/>
      <x:c r="B98" s="2"/>
      <x:c r="C98" s="2"/>
      <x:c r="D98" s="2"/>
      <x:c r="E98" s="2"/>
      <x:c r="F98" s="2"/>
      <x:c r="G98" s="2"/>
      <x:c r="H98" s="2"/>
      <x:c r="I98" s="2"/>
      <x:c r="J98" s="2"/>
      <x:c r="K98" s="2"/>
      <x:c r="L98" s="2"/>
      <x:c r="M98" s="2"/>
      <x:c r="N98" s="2"/>
      <x:c r="O98" s="2"/>
      <x:c r="P98" s="2"/>
      <x:c r="Q98" s="2"/>
      <x:c r="R98" s="2"/>
      <x:c r="S98" s="2"/>
      <x:c r="T98" s="2"/>
      <x:c r="U98" s="2"/>
    </x:row>
    <x:row r="99" ht="21" customHeight="1">
      <x:c r="A99" s="2"/>
      <x:c r="B99" s="2"/>
      <x:c r="C99" s="2"/>
      <x:c r="D99" s="2"/>
      <x:c r="E99" s="2"/>
      <x:c r="F99" s="2"/>
      <x:c r="G99" s="2"/>
      <x:c r="H99" s="2"/>
      <x:c r="I99" s="2"/>
      <x:c r="J99" s="2"/>
      <x:c r="K99" s="2"/>
      <x:c r="L99" s="2"/>
      <x:c r="M99" s="2"/>
      <x:c r="N99" s="2"/>
      <x:c r="O99" s="2"/>
      <x:c r="P99" s="2"/>
      <x:c r="Q99" s="2"/>
      <x:c r="R99" s="2"/>
      <x:c r="S99" s="2"/>
      <x:c r="T99" s="2"/>
      <x:c r="U99" s="2"/>
    </x:row>
    <x:row r="100" ht="21" customHeight="1">
      <x:c r="A100" s="2"/>
      <x:c r="B100" s="2"/>
      <x:c r="C100" s="2"/>
      <x:c r="D100" s="2"/>
      <x:c r="E100" s="2"/>
      <x:c r="F100" s="2"/>
      <x:c r="G100" s="2"/>
      <x:c r="H100" s="2"/>
      <x:c r="I100" s="2"/>
      <x:c r="J100" s="2"/>
      <x:c r="K100" s="2"/>
      <x:c r="L100" s="2"/>
      <x:c r="M100" s="2"/>
      <x:c r="N100" s="2"/>
      <x:c r="O100" s="2"/>
      <x:c r="P100" s="2"/>
      <x:c r="Q100" s="2"/>
      <x:c r="R100" s="2"/>
      <x:c r="S100" s="2"/>
      <x:c r="T100" s="2"/>
      <x:c r="U100" s="2"/>
    </x:row>
    <x:row r="101" ht="21" customHeight="1">
      <x:c r="A101" s="2"/>
      <x:c r="B101" s="2"/>
      <x:c r="C101" s="2"/>
      <x:c r="D101" s="2"/>
      <x:c r="E101" s="2"/>
      <x:c r="F101" s="2"/>
      <x:c r="G101" s="2"/>
      <x:c r="H101" s="2"/>
      <x:c r="I101" s="2"/>
      <x:c r="J101" s="2"/>
      <x:c r="K101" s="2"/>
      <x:c r="L101" s="2"/>
      <x:c r="M101" s="2"/>
      <x:c r="N101" s="2"/>
      <x:c r="O101" s="2"/>
      <x:c r="P101" s="2"/>
      <x:c r="Q101" s="2"/>
      <x:c r="R101" s="2"/>
      <x:c r="S101" s="2"/>
      <x:c r="T101" s="2"/>
      <x:c r="U101" s="2"/>
    </x:row>
    <x:row r="102" ht="21" customHeight="1">
      <x:c r="A102" s="2"/>
      <x:c r="B102" s="2"/>
      <x:c r="C102" s="2"/>
      <x:c r="D102" s="2"/>
      <x:c r="E102" s="2"/>
      <x:c r="F102" s="2"/>
      <x:c r="G102" s="2"/>
      <x:c r="H102" s="2"/>
      <x:c r="I102" s="2"/>
      <x:c r="J102" s="2"/>
      <x:c r="K102" s="2"/>
      <x:c r="L102" s="2"/>
      <x:c r="M102" s="2"/>
      <x:c r="N102" s="2"/>
      <x:c r="O102" s="2"/>
      <x:c r="P102" s="2"/>
      <x:c r="Q102" s="2"/>
      <x:c r="R102" s="2"/>
      <x:c r="S102" s="2"/>
      <x:c r="T102" s="2"/>
      <x:c r="U102" s="2"/>
    </x:row>
    <x:row r="103" ht="21" customHeight="1">
      <x:c r="A103" s="2"/>
      <x:c r="B103" s="2"/>
      <x:c r="C103" s="2"/>
      <x:c r="D103" s="2"/>
      <x:c r="E103" s="2"/>
      <x:c r="F103" s="2"/>
      <x:c r="G103" s="2"/>
      <x:c r="H103" s="2"/>
      <x:c r="I103" s="2"/>
      <x:c r="J103" s="2"/>
      <x:c r="K103" s="2"/>
      <x:c r="L103" s="2"/>
      <x:c r="M103" s="2"/>
      <x:c r="N103" s="2"/>
      <x:c r="O103" s="2"/>
      <x:c r="P103" s="2"/>
      <x:c r="Q103" s="2"/>
      <x:c r="R103" s="2"/>
      <x:c r="S103" s="2"/>
      <x:c r="T103" s="2"/>
      <x:c r="U103" s="2"/>
    </x:row>
    <x:row r="104" ht="21" customHeight="1">
      <x:c r="A104" s="2"/>
      <x:c r="B104" s="2"/>
      <x:c r="C104" s="2"/>
      <x:c r="D104" s="2"/>
      <x:c r="E104" s="2"/>
      <x:c r="F104" s="2"/>
      <x:c r="G104" s="2"/>
      <x:c r="H104" s="2"/>
      <x:c r="I104" s="2"/>
      <x:c r="J104" s="2"/>
      <x:c r="K104" s="2"/>
      <x:c r="L104" s="2"/>
      <x:c r="M104" s="2"/>
      <x:c r="N104" s="2"/>
      <x:c r="O104" s="2"/>
      <x:c r="P104" s="2"/>
      <x:c r="Q104" s="2"/>
      <x:c r="R104" s="2"/>
      <x:c r="S104" s="2"/>
      <x:c r="T104" s="2"/>
      <x:c r="U104" s="2"/>
    </x:row>
    <x:row r="105" ht="21" customHeight="1">
      <x:c r="A105" s="2"/>
      <x:c r="B105" s="2"/>
      <x:c r="C105" s="2"/>
      <x:c r="D105" s="2"/>
      <x:c r="E105" s="2"/>
      <x:c r="F105" s="2"/>
      <x:c r="G105" s="2"/>
      <x:c r="H105" s="2"/>
      <x:c r="I105" s="2"/>
      <x:c r="J105" s="2"/>
      <x:c r="K105" s="2"/>
      <x:c r="L105" s="2"/>
      <x:c r="M105" s="2"/>
      <x:c r="N105" s="2"/>
      <x:c r="O105" s="2"/>
      <x:c r="P105" s="2"/>
      <x:c r="Q105" s="2"/>
      <x:c r="R105" s="2"/>
      <x:c r="S105" s="2"/>
      <x:c r="T105" s="2"/>
      <x:c r="U105" s="2"/>
    </x:row>
    <x:row r="106" ht="21" customHeight="1">
      <x:c r="A106" s="2"/>
      <x:c r="B106" s="2"/>
      <x:c r="C106" s="2"/>
      <x:c r="D106" s="2"/>
      <x:c r="E106" s="2"/>
      <x:c r="F106" s="2"/>
      <x:c r="G106" s="2"/>
      <x:c r="H106" s="2"/>
      <x:c r="I106" s="2"/>
      <x:c r="J106" s="2"/>
      <x:c r="K106" s="2"/>
      <x:c r="L106" s="2"/>
      <x:c r="M106" s="2"/>
      <x:c r="N106" s="2"/>
      <x:c r="O106" s="2"/>
      <x:c r="P106" s="2"/>
      <x:c r="Q106" s="2"/>
      <x:c r="R106" s="2"/>
      <x:c r="S106" s="2"/>
      <x:c r="T106" s="2"/>
      <x:c r="U106" s="2"/>
    </x:row>
    <x:row r="107" ht="21" customHeight="1">
      <x:c r="A107" s="2"/>
      <x:c r="B107" s="2"/>
      <x:c r="C107" s="2"/>
      <x:c r="D107" s="2"/>
      <x:c r="E107" s="2"/>
      <x:c r="F107" s="2"/>
      <x:c r="G107" s="2"/>
      <x:c r="H107" s="2"/>
      <x:c r="I107" s="2"/>
      <x:c r="J107" s="2"/>
      <x:c r="K107" s="2"/>
      <x:c r="L107" s="2"/>
      <x:c r="M107" s="2"/>
      <x:c r="N107" s="2"/>
      <x:c r="O107" s="2"/>
      <x:c r="P107" s="2"/>
      <x:c r="Q107" s="2"/>
      <x:c r="R107" s="2"/>
      <x:c r="S107" s="2"/>
      <x:c r="T107" s="2"/>
      <x:c r="U107" s="2"/>
    </x:row>
  </x:sheetData>
  <x:pageMargins left="0.7" right="0.7" top="0.75" bottom="0.75" header="0.3" footer="0.3"/>
  <x:drawing xmlns:r="http://schemas.openxmlformats.org/officeDocument/2006/relationships" r:id="R4004fac420a74c9c"/>
</x:worksheet>
</file>

<file path=xl/worksheets/sheet15.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Tax and Equity</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Income before taxes</x:v>
      </x:c>
      <x:c r="D8" s="2"/>
      <x:c r="E8" s="51" t="n">
        <x:f>'Income Statement'!E23</x:f>
        <x:v>29901</x:v>
      </x:c>
      <x:c r="F8" s="51" t="n">
        <x:f>'Income Statement'!F23</x:f>
        <x:v>36474</x:v>
      </x:c>
      <x:c r="G8" s="51" t="n">
        <x:f>'Income Statement'!G23</x:f>
        <x:v>43688</x:v>
      </x:c>
      <x:c r="H8" s="51" t="n">
        <x:f>'Income Statement'!H23</x:f>
        <x:v>53036</x:v>
      </x:c>
      <x:c r="I8" s="51" t="n">
        <x:f>'Income Statement'!I23</x:f>
        <x:v>71102</x:v>
      </x:c>
      <x:c r="J8" s="51" t="n">
        <x:f>'Income Statement'!J23</x:f>
        <x:v>83716</x:v>
      </x:c>
      <x:c r="K8" s="51" t="n">
        <x:f>'Income Statement'!K23</x:f>
        <x:v>89311</x:v>
      </x:c>
      <x:c r="L8" s="51" t="n">
        <x:f>'Income Statement'!L23</x:f>
        <x:v>107787</x:v>
      </x:c>
      <x:c r="M8" s="51" t="n">
        <x:f>'Income Statement'!M23</x:f>
        <x:v>123627</x:v>
      </x:c>
      <x:c r="N8" s="51" t="n">
        <x:f>'Income Statement'!N23</x:f>
        <x:v>165934</x:v>
      </x:c>
      <x:c r="O8" s="51" t="n">
        <x:f>'Income Statement'!O23</x:f>
        <x:v>174033.32415427134</x:v>
      </x:c>
      <x:c r="P8" s="51" t="n">
        <x:f>'Income Statement'!P23</x:f>
        <x:v>187449.30041408233</x:v>
      </x:c>
      <x:c r="Q8" s="51" t="n">
        <x:f>'Income Statement'!Q23</x:f>
        <x:v>204119.26623087877</x:v>
      </x:c>
      <x:c r="R8" s="51" t="n">
        <x:f>'Income Statement'!R23</x:f>
        <x:v>224530.61398818123</x:v>
      </x:c>
      <x:c r="S8" s="51" t="n">
        <x:f>'Income Statement'!S23</x:f>
        <x:v>247760.6851953733</x:v>
      </x:c>
      <x:c r="T8" s="2"/>
      <x:c r="U8" s="2"/>
    </x:row>
    <x:row r="9" ht="21" customHeight="1">
      <x:c r="A9" s="2"/>
      <x:c r="B9" s="2"/>
      <x:c r="C9" s="18" t="str">
        <x:v>Effective tax rate</x:v>
      </x:c>
      <x:c r="D9" s="18"/>
      <x:c r="E9" s="54" t="n">
        <x:f>E10/E8</x:f>
        <x:v>0.14755359352530015</x:v>
      </x:c>
      <x:c r="F9" s="54" t="n">
        <x:f>F10/F8</x:f>
        <x:v>0.5456763722103416</x:v>
      </x:c>
      <x:c r="G9" s="54" t="n">
        <x:f>G10/G8</x:f>
        <x:v>0.10181285478850027</x:v>
      </x:c>
      <x:c r="H9" s="54" t="n">
        <x:f>H10/H8</x:f>
        <x:v>0.16507655177615205</x:v>
      </x:c>
      <x:c r="I9" s="54" t="n">
        <x:f>I10/I8</x:f>
        <x:v>0.13826615285083402</x:v>
      </x:c>
      <x:c r="J9" s="54" t="n">
        <x:f>J10/J8</x:f>
        <x:v>0.13113383343685794</x:v>
      </x:c>
      <x:c r="K9" s="54" t="n">
        <x:f>K10/K8</x:f>
        <x:v>0.18978625253328257</x:v>
      </x:c>
      <x:c r="L9" s="54" t="n">
        <x:f>L10/L8</x:f>
        <x:v>0.18231326597827197</x:v>
      </x:c>
      <x:c r="M9" s="54" t="n">
        <x:f>M10/M8</x:f>
        <x:v>0.17629644009803683</x:v>
      </x:c>
      <x:c r="N9" s="54" t="n">
        <x:f>N10/N8</x:f>
        <x:v>0.19396265985271252</x:v>
      </x:c>
      <x:c r="O9" s="20" t="n">
        <x:f>'Assumptions'!O189</x:f>
        <x:v>0.2</x:v>
      </x:c>
      <x:c r="P9" s="20" t="n">
        <x:f>'Assumptions'!P189</x:f>
        <x:v>0.2</x:v>
      </x:c>
      <x:c r="Q9" s="20" t="n">
        <x:f>'Assumptions'!Q189</x:f>
        <x:v>0.2</x:v>
      </x:c>
      <x:c r="R9" s="20" t="n">
        <x:f>'Assumptions'!R189</x:f>
        <x:v>0.2</x:v>
      </x:c>
      <x:c r="S9" s="20" t="n">
        <x:f>'Assumptions'!S189</x:f>
        <x:v>0.2</x:v>
      </x:c>
      <x:c r="T9" s="2"/>
      <x:c r="U9" s="2"/>
    </x:row>
    <x:row r="10" ht="21" customHeight="1">
      <x:c r="A10" s="2"/>
      <x:c r="B10" s="2"/>
      <x:c r="C10" s="64" t="str">
        <x:v>Income tax expense</x:v>
      </x:c>
      <x:c r="D10" s="64"/>
      <x:c r="E10" s="66" t="n">
        <x:f>'Historical Inputs'!E18</x:f>
        <x:v>4412</x:v>
      </x:c>
      <x:c r="F10" s="66" t="n">
        <x:f>'Historical Inputs'!F18</x:f>
        <x:v>19903</x:v>
      </x:c>
      <x:c r="G10" s="66" t="n">
        <x:f>'Historical Inputs'!G18</x:f>
        <x:v>4448</x:v>
      </x:c>
      <x:c r="H10" s="66" t="n">
        <x:f>'Historical Inputs'!H18</x:f>
        <x:v>8755</x:v>
      </x:c>
      <x:c r="I10" s="66" t="n">
        <x:f>'Historical Inputs'!I18</x:f>
        <x:v>9831</x:v>
      </x:c>
      <x:c r="J10" s="66" t="n">
        <x:f>'Historical Inputs'!J18</x:f>
        <x:v>10978</x:v>
      </x:c>
      <x:c r="K10" s="66" t="n">
        <x:f>'Historical Inputs'!K18</x:f>
        <x:v>16950</x:v>
      </x:c>
      <x:c r="L10" s="66" t="n">
        <x:f>'Historical Inputs'!L18</x:f>
        <x:v>19651</x:v>
      </x:c>
      <x:c r="M10" s="66" t="n">
        <x:f>'Historical Inputs'!M18</x:f>
        <x:v>21795</x:v>
      </x:c>
      <x:c r="N10" s="66" t="n">
        <x:f>'Historical Inputs'!N18</x:f>
        <x:v>32185</x:v>
      </x:c>
      <x:c r="O10" s="68" t="n">
        <x:f>O8*O9</x:f>
        <x:v>34806.66483085427</x:v>
      </x:c>
      <x:c r="P10" s="68" t="n">
        <x:f>P8*P9</x:f>
        <x:v>37489.86008281647</x:v>
      </x:c>
      <x:c r="Q10" s="68" t="n">
        <x:f>Q8*Q9</x:f>
        <x:v>40823.85324617576</x:v>
      </x:c>
      <x:c r="R10" s="68" t="n">
        <x:f>R8*R9</x:f>
        <x:v>44906.12279763625</x:v>
      </x:c>
      <x:c r="S10" s="68" t="n">
        <x:f>S8*S9</x:f>
        <x:v>49552.13703907467</x:v>
      </x:c>
      <x:c r="T10" s="2"/>
      <x:c r="U10" s="2"/>
    </x:row>
    <x:row r="11" ht="21" customHeight="1">
      <x:c r="A11" s="2"/>
      <x:c r="B11" s="2"/>
      <x:c r="C11" s="2" t="str">
        <x:v>Change in deferred tax liabilities</x:v>
      </x:c>
      <x:c r="D11" s="2"/>
      <x:c r="E11" s="17" t="str">
        <x:v>n.a.</x:v>
      </x:c>
      <x:c r="F11" s="17" t="str">
        <x:v>n.a.</x:v>
      </x:c>
      <x:c r="G11" s="17" t="str">
        <x:v>n.a.</x:v>
      </x:c>
      <x:c r="H11" s="17" t="str">
        <x:v>n.a.</x:v>
      </x:c>
      <x:c r="I11" s="17" t="str">
        <x:v>n.a.</x:v>
      </x:c>
      <x:c r="J11" s="17" t="str">
        <x:v>n.a.</x:v>
      </x:c>
      <x:c r="K11" s="17" t="str">
        <x:v>n.a.</x:v>
      </x:c>
      <x:c r="L11" s="17" t="str">
        <x:v>n.a.</x:v>
      </x:c>
      <x:c r="M11" s="17" t="str">
        <x:v>n.a.</x:v>
      </x:c>
      <x:c r="N11" s="17" t="str">
        <x:v>n.a.</x:v>
      </x:c>
      <x:c r="O11" s="51" t="n">
        <x:f>'Working Capital'!O27-'Balance Sheet'!N37</x:f>
        <x:v>489.70352851834787</x:v>
      </x:c>
      <x:c r="P11" s="51" t="n">
        <x:f>'Working Capital'!P27-'Balance Sheet'!O37</x:f>
        <x:v>546.9371408713264</x:v>
      </x:c>
      <x:c r="Q11" s="51" t="n">
        <x:f>'Working Capital'!Q27-'Balance Sheet'!P37</x:f>
        <x:v>593.1028158044346</x:v>
      </x:c>
      <x:c r="R11" s="51" t="n">
        <x:f>'Working Capital'!R27-'Balance Sheet'!Q37</x:f>
        <x:v>629.3137204558607</x:v>
      </x:c>
      <x:c r="S11" s="51" t="n">
        <x:f>'Working Capital'!S27-'Balance Sheet'!R37</x:f>
        <x:v>651.6402504516182</x:v>
      </x:c>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t="str">
        <x:v>Net income</x:v>
      </x:c>
      <x:c r="D14" s="2"/>
      <x:c r="E14" s="51" t="n">
        <x:f>'Historical Inputs'!E19</x:f>
        <x:v>25489</x:v>
      </x:c>
      <x:c r="F14" s="51" t="n">
        <x:f>'Historical Inputs'!F19</x:f>
        <x:v>16571</x:v>
      </x:c>
      <x:c r="G14" s="51" t="n">
        <x:f>'Historical Inputs'!G19</x:f>
        <x:v>39240</x:v>
      </x:c>
      <x:c r="H14" s="51" t="n">
        <x:f>'Historical Inputs'!H19</x:f>
        <x:v>44281</x:v>
      </x:c>
      <x:c r="I14" s="51" t="n">
        <x:f>'Historical Inputs'!I19</x:f>
        <x:v>61271</x:v>
      </x:c>
      <x:c r="J14" s="51" t="n">
        <x:f>'Historical Inputs'!J19</x:f>
        <x:v>72738</x:v>
      </x:c>
      <x:c r="K14" s="51" t="n">
        <x:f>'Historical Inputs'!K19</x:f>
        <x:v>72361</x:v>
      </x:c>
      <x:c r="L14" s="51" t="n">
        <x:f>'Historical Inputs'!L19</x:f>
        <x:v>88136</x:v>
      </x:c>
      <x:c r="M14" s="51" t="n">
        <x:f>'Historical Inputs'!M19</x:f>
        <x:v>101832</x:v>
      </x:c>
      <x:c r="N14" s="51" t="n">
        <x:f>'Historical Inputs'!N19</x:f>
        <x:v>133749</x:v>
      </x:c>
      <x:c r="O14" s="51" t="n">
        <x:f>'Income Statement'!O28</x:f>
        <x:v>139226.65932341706</x:v>
      </x:c>
      <x:c r="P14" s="51" t="n">
        <x:f>'Income Statement'!P28</x:f>
        <x:v>149959.44033126585</x:v>
      </x:c>
      <x:c r="Q14" s="51" t="n">
        <x:f>'Income Statement'!Q28</x:f>
        <x:v>163295.41298470303</x:v>
      </x:c>
      <x:c r="R14" s="51" t="n">
        <x:f>'Income Statement'!R28</x:f>
        <x:v>179624.49119054497</x:v>
      </x:c>
      <x:c r="S14" s="51" t="n">
        <x:f>'Income Statement'!S28</x:f>
        <x:v>198208.54815629864</x:v>
      </x:c>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t="str">
        <x:v>Stock-based compensation</x:v>
      </x:c>
      <x:c r="D16" s="2"/>
      <x:c r="E16" s="51" t="n">
        <x:f>'Historical Inputs'!E68</x:f>
        <x:v>3266</x:v>
      </x:c>
      <x:c r="F16" s="51" t="n">
        <x:f>'Historical Inputs'!F68</x:f>
        <x:v>3940</x:v>
      </x:c>
      <x:c r="G16" s="51" t="n">
        <x:f>'Historical Inputs'!G68</x:f>
        <x:v>4652</x:v>
      </x:c>
      <x:c r="H16" s="51" t="n">
        <x:f>'Historical Inputs'!H68</x:f>
        <x:v>5289</x:v>
      </x:c>
      <x:c r="I16" s="51" t="n">
        <x:f>'Historical Inputs'!I68</x:f>
        <x:v>6118</x:v>
      </x:c>
      <x:c r="J16" s="51" t="n">
        <x:f>'Historical Inputs'!J68</x:f>
        <x:v>7502</x:v>
      </x:c>
      <x:c r="K16" s="51" t="n">
        <x:f>'Historical Inputs'!K68</x:f>
        <x:v>9611</x:v>
      </x:c>
      <x:c r="L16" s="51" t="n">
        <x:f>'Historical Inputs'!L68</x:f>
        <x:v>10734</x:v>
      </x:c>
      <x:c r="M16" s="51" t="n">
        <x:f>'Historical Inputs'!M68</x:f>
        <x:v>11974</x:v>
      </x:c>
      <x:c r="N16" s="51" t="n">
        <x:f>'Historical Inputs'!N68</x:f>
        <x:v>12405</x:v>
      </x:c>
      <x:c r="O16" s="51" t="n">
        <x:f>'Income Statement'!O8*'Assumptions'!O177</x:f>
        <x:v>14439.330000000002</x:v>
      </x:c>
      <x:c r="P16" s="51" t="n">
        <x:f>'Income Statement'!P8*'Assumptions'!P177</x:f>
        <x:v>16667.90409</x:v>
      </x:c>
      <x:c r="Q16" s="51" t="n">
        <x:f>'Income Statement'!Q8*'Assumptions'!Q177</x:f>
        <x:v>19084.5868662</x:v>
      </x:c>
      <x:c r="R16" s="51" t="n">
        <x:f>'Income Statement'!R8*'Assumptions'!R177</x:f>
        <x:v>21648.816184500003</x:v>
      </x:c>
      <x:c r="S16" s="51" t="n">
        <x:f>'Income Statement'!S8*'Assumptions'!S177</x:f>
        <x:v>24304.01816227032</x:v>
      </x:c>
      <x:c r="T16" s="2"/>
      <x:c r="U16" s="2"/>
    </x:row>
    <x:row r="17" ht="21" customHeight="1">
      <x:c r="A17" s="2"/>
      <x:c r="B17" s="2"/>
      <x:c r="C17" s="2" t="str">
        <x:v>Cash share issuance proceeds</x:v>
      </x:c>
      <x:c r="D17" s="2"/>
      <x:c r="E17" s="51" t="n">
        <x:f>'Historical Inputs'!E84</x:f>
        <x:v>772</x:v>
      </x:c>
      <x:c r="F17" s="51" t="n">
        <x:f>'Historical Inputs'!F84</x:f>
        <x:v>1002</x:v>
      </x:c>
      <x:c r="G17" s="51" t="n">
        <x:f>'Historical Inputs'!G84</x:f>
        <x:v>1142</x:v>
      </x:c>
      <x:c r="H17" s="51" t="n">
        <x:f>'Historical Inputs'!H84</x:f>
        <x:v>1343</x:v>
      </x:c>
      <x:c r="I17" s="51" t="n">
        <x:f>'Historical Inputs'!I84</x:f>
        <x:v>1693</x:v>
      </x:c>
      <x:c r="J17" s="51" t="n">
        <x:f>'Historical Inputs'!J84</x:f>
        <x:v>1841</x:v>
      </x:c>
      <x:c r="K17" s="51" t="n">
        <x:f>'Historical Inputs'!K84</x:f>
        <x:v>1866</x:v>
      </x:c>
      <x:c r="L17" s="51" t="n">
        <x:f>'Historical Inputs'!L84</x:f>
        <x:v>2002</x:v>
      </x:c>
      <x:c r="M17" s="51" t="n">
        <x:f>'Historical Inputs'!M84</x:f>
        <x:v>2056</x:v>
      </x:c>
      <x:c r="N17" s="51" t="n">
        <x:f>'Historical Inputs'!N84</x:f>
        <x:v>2009</x:v>
      </x:c>
      <x:c r="O17" s="51" t="n">
        <x:f>'Income Statement'!O8*'Assumptions'!O173</x:f>
        <x:v>2310.2928</x:v>
      </x:c>
      <x:c r="P17" s="51" t="n">
        <x:f>'Income Statement'!P8*'Assumptions'!P173</x:f>
        <x:v>2666.8646544000003</x:v>
      </x:c>
      <x:c r="Q17" s="51" t="n">
        <x:f>'Income Statement'!Q8*'Assumptions'!Q173</x:f>
        <x:v>3053.5338985920002</x:v>
      </x:c>
      <x:c r="R17" s="51" t="n">
        <x:f>'Income Statement'!R8*'Assumptions'!R173</x:f>
        <x:v>3463.8105895200006</x:v>
      </x:c>
      <x:c r="S17" s="51" t="n">
        <x:f>'Income Statement'!S8*'Assumptions'!S173</x:f>
        <x:v>3888.6429059632515</x:v>
      </x:c>
      <x:c r="T17" s="2"/>
      <x:c r="U17" s="2"/>
    </x:row>
    <x:row r="18" ht="21" customHeight="1">
      <x:c r="A18" s="2"/>
      <x:c r="B18" s="2"/>
      <x:c r="C18" s="2" t="str">
        <x:v>Cash share repurchases</x:v>
      </x:c>
      <x:c r="D18" s="2"/>
      <x:c r="E18" s="51" t="n">
        <x:f>-'Historical Inputs'!E85</x:f>
        <x:v>11788</x:v>
      </x:c>
      <x:c r="F18" s="51" t="n">
        <x:f>-'Historical Inputs'!F85</x:f>
        <x:v>10721</x:v>
      </x:c>
      <x:c r="G18" s="51" t="n">
        <x:f>-'Historical Inputs'!G85</x:f>
        <x:v>19543</x:v>
      </x:c>
      <x:c r="H18" s="51" t="n">
        <x:f>-'Historical Inputs'!H85</x:f>
        <x:v>22968</x:v>
      </x:c>
      <x:c r="I18" s="51" t="n">
        <x:f>-'Historical Inputs'!I85</x:f>
        <x:v>27385</x:v>
      </x:c>
      <x:c r="J18" s="51" t="n">
        <x:f>-'Historical Inputs'!J85</x:f>
        <x:v>32696</x:v>
      </x:c>
      <x:c r="K18" s="51" t="n">
        <x:f>-'Historical Inputs'!K85</x:f>
        <x:v>22245</x:v>
      </x:c>
      <x:c r="L18" s="51" t="n">
        <x:f>-'Historical Inputs'!L85</x:f>
        <x:v>17254</x:v>
      </x:c>
      <x:c r="M18" s="51" t="n">
        <x:f>-'Historical Inputs'!M85</x:f>
        <x:v>18420</x:v>
      </x:c>
      <x:c r="N18" s="51" t="n">
        <x:f>-'Historical Inputs'!N85</x:f>
        <x:v>22271</x:v>
      </x:c>
      <x:c r="O18" s="51" t="n">
        <x:f>'Income Statement'!O8*'Assumptions'!O193</x:f>
        <x:v>25028.172000000002</x:v>
      </x:c>
      <x:c r="P18" s="51" t="n">
        <x:f>'Income Statement'!P8*'Assumptions'!P193</x:f>
        <x:v>28891.033756000004</x:v>
      </x:c>
      <x:c r="Q18" s="51" t="n">
        <x:f>'Income Statement'!Q8*'Assumptions'!Q193</x:f>
        <x:v>33079.95056808</x:v>
      </x:c>
      <x:c r="R18" s="51" t="n">
        <x:f>'Income Statement'!R8*'Assumptions'!R193</x:f>
        <x:v>37524.61471980001</x:v>
      </x:c>
      <x:c r="S18" s="51" t="n">
        <x:f>'Income Statement'!S8*'Assumptions'!S193</x:f>
        <x:v>42126.96481460189</x:v>
      </x:c>
      <x:c r="T18" s="2"/>
      <x:c r="U18" s="2"/>
    </x:row>
    <x:row r="19" ht="21" customHeight="1">
      <x:c r="A19" s="2"/>
      <x:c r="B19" s="2"/>
      <x:c r="C19" s="2" t="str">
        <x:v>Cash dividends</x:v>
      </x:c>
      <x:c r="D19" s="2"/>
      <x:c r="E19" s="51" t="n">
        <x:f>-'Historical Inputs'!E86</x:f>
        <x:v>11845</x:v>
      </x:c>
      <x:c r="F19" s="51" t="n">
        <x:f>-'Historical Inputs'!F86</x:f>
        <x:v>12699</x:v>
      </x:c>
      <x:c r="G19" s="51" t="n">
        <x:f>-'Historical Inputs'!G86</x:f>
        <x:v>13811</x:v>
      </x:c>
      <x:c r="H19" s="51" t="n">
        <x:f>-'Historical Inputs'!H86</x:f>
        <x:v>15137</x:v>
      </x:c>
      <x:c r="I19" s="51" t="n">
        <x:f>-'Historical Inputs'!I86</x:f>
        <x:v>16521</x:v>
      </x:c>
      <x:c r="J19" s="51" t="n">
        <x:f>-'Historical Inputs'!J86</x:f>
        <x:v>18135</x:v>
      </x:c>
      <x:c r="K19" s="51" t="n">
        <x:f>-'Historical Inputs'!K86</x:f>
        <x:v>19800</x:v>
      </x:c>
      <x:c r="L19" s="51" t="n">
        <x:f>-'Historical Inputs'!L86</x:f>
        <x:v>21771</x:v>
      </x:c>
      <x:c r="M19" s="51" t="n">
        <x:f>-'Historical Inputs'!M86</x:f>
        <x:v>24082</x:v>
      </x:c>
      <x:c r="N19" s="51" t="n">
        <x:f>-'Historical Inputs'!N86</x:f>
        <x:v>26445</x:v>
      </x:c>
      <x:c r="O19" s="51" t="n">
        <x:f>MAX(0,O14)*'Assumptions'!O185</x:f>
        <x:v>27845.331864683412</x:v>
      </x:c>
      <x:c r="P19" s="51" t="n">
        <x:f>MAX(0,P14)*'Assumptions'!P185</x:f>
        <x:v>29991.888066253174</x:v>
      </x:c>
      <x:c r="Q19" s="51" t="n">
        <x:f>MAX(0,Q14)*'Assumptions'!Q185</x:f>
        <x:v>32659.082596940607</x:v>
      </x:c>
      <x:c r="R19" s="51" t="n">
        <x:f>MAX(0,R14)*'Assumptions'!R185</x:f>
        <x:v>35924.898238108995</x:v>
      </x:c>
      <x:c r="S19" s="51" t="n">
        <x:f>MAX(0,S14)*'Assumptions'!S185</x:f>
        <x:v>39641.70963125973</x:v>
      </x:c>
      <x:c r="T19" s="2"/>
      <x:c r="U19" s="2"/>
    </x:row>
    <x:row r="20" ht="21" customHeight="1">
      <x:c r="A20" s="2"/>
      <x:c r="B20" s="2"/>
      <x:c r="C20" s="2" t="str">
        <x:v>Buybacks charged to retained earnings</x:v>
      </x:c>
      <x:c r="D20" s="2"/>
      <x:c r="E20" s="17" t="str">
        <x:v>n.a.</x:v>
      </x:c>
      <x:c r="F20" s="17" t="str">
        <x:v>n.a.</x:v>
      </x:c>
      <x:c r="G20" s="17" t="str">
        <x:v>n.a.</x:v>
      </x:c>
      <x:c r="H20" s="17" t="str">
        <x:v>n.a.</x:v>
      </x:c>
      <x:c r="I20" s="17" t="str">
        <x:v>n.a.</x:v>
      </x:c>
      <x:c r="J20" s="17" t="str">
        <x:v>n.a.</x:v>
      </x:c>
      <x:c r="K20" s="17" t="str">
        <x:v>n.a.</x:v>
      </x:c>
      <x:c r="L20" s="17" t="str">
        <x:v>n.a.</x:v>
      </x:c>
      <x:c r="M20" s="17" t="str">
        <x:v>n.a.</x:v>
      </x:c>
      <x:c r="N20" s="17" t="str">
        <x:v>n.a.</x:v>
      </x:c>
      <x:c r="O20" s="51" t="n">
        <x:f>'Assumptions'!O181</x:f>
        <x:v>0.75</x:v>
      </x:c>
      <x:c r="P20" s="51" t="n">
        <x:f>'Assumptions'!P181</x:f>
        <x:v>0.75</x:v>
      </x:c>
      <x:c r="Q20" s="51" t="n">
        <x:f>'Assumptions'!Q181</x:f>
        <x:v>0.75</x:v>
      </x:c>
      <x:c r="R20" s="51" t="n">
        <x:f>'Assumptions'!R181</x:f>
        <x:v>0.75</x:v>
      </x:c>
      <x:c r="S20" s="51" t="n">
        <x:f>'Assumptions'!S181</x:f>
        <x:v>0.75</x:v>
      </x:c>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t="str">
        <x:v>Opening common stock and paid-in capital</x:v>
      </x:c>
      <x:c r="D22" s="2"/>
      <x:c r="E22" s="17" t="str">
        <x:v>n.a.</x:v>
      </x:c>
      <x:c r="F22" s="17" t="str">
        <x:v>n.a.</x:v>
      </x:c>
      <x:c r="G22" s="17" t="str">
        <x:v>n.a.</x:v>
      </x:c>
      <x:c r="H22" s="17" t="str">
        <x:v>n.a.</x:v>
      </x:c>
      <x:c r="I22" s="17" t="str">
        <x:v>n.a.</x:v>
      </x:c>
      <x:c r="J22" s="17" t="str">
        <x:v>n.a.</x:v>
      </x:c>
      <x:c r="K22" s="17" t="str">
        <x:v>n.a.</x:v>
      </x:c>
      <x:c r="L22" s="17" t="str">
        <x:v>n.a.</x:v>
      </x:c>
      <x:c r="M22" s="17" t="str">
        <x:v>n.a.</x:v>
      </x:c>
      <x:c r="N22" s="17" t="str">
        <x:v>n.a.</x:v>
      </x:c>
      <x:c r="O22" s="51" t="n">
        <x:f>'Balance Sheet'!N42</x:f>
        <x:v>117406</x:v>
      </x:c>
      <x:c r="P22" s="51" t="n">
        <x:f>'Balance Sheet'!O42</x:f>
        <x:v>127898.5798</x:v>
      </x:c>
      <x:c r="Q22" s="51" t="n">
        <x:f>'Balance Sheet'!P42</x:f>
        <x:v>140010.5901054</x:v>
      </x:c>
      <x:c r="R22" s="51" t="n">
        <x:f>'Balance Sheet'!Q42</x:f>
        <x:v>153878.72322817202</x:v>
      </x:c>
      <x:c r="S22" s="51" t="n">
        <x:f>'Balance Sheet'!R42</x:f>
        <x:v>169610.19632224203</x:v>
      </x:c>
      <x:c r="T22" s="2"/>
      <x:c r="U22" s="2"/>
    </x:row>
    <x:row r="23" ht="21" customHeight="1">
      <x:c r="A23" s="2"/>
      <x:c r="B23" s="2"/>
      <x:c r="C23" s="64" t="str">
        <x:v>Closing common stock and paid-in capital</x:v>
      </x:c>
      <x:c r="D23" s="64"/>
      <x:c r="E23" s="66" t="n">
        <x:f>'Historical Inputs'!E56</x:f>
        <x:v>69315</x:v>
      </x:c>
      <x:c r="F23" s="66" t="n">
        <x:f>'Historical Inputs'!F56</x:f>
        <x:v>71223</x:v>
      </x:c>
      <x:c r="G23" s="66" t="n">
        <x:f>'Historical Inputs'!G56</x:f>
        <x:v>78520</x:v>
      </x:c>
      <x:c r="H23" s="66" t="n">
        <x:f>'Historical Inputs'!H56</x:f>
        <x:v>80552</x:v>
      </x:c>
      <x:c r="I23" s="66" t="n">
        <x:f>'Historical Inputs'!I56</x:f>
        <x:v>83111</x:v>
      </x:c>
      <x:c r="J23" s="66" t="n">
        <x:f>'Historical Inputs'!J56</x:f>
        <x:v>86939</x:v>
      </x:c>
      <x:c r="K23" s="66" t="n">
        <x:f>'Historical Inputs'!K56</x:f>
        <x:v>93718</x:v>
      </x:c>
      <x:c r="L23" s="66" t="n">
        <x:f>'Historical Inputs'!L56</x:f>
        <x:v>100923</x:v>
      </x:c>
      <x:c r="M23" s="66" t="n">
        <x:f>'Historical Inputs'!M56</x:f>
        <x:v>109095</x:v>
      </x:c>
      <x:c r="N23" s="66" t="n">
        <x:f>'Historical Inputs'!N56</x:f>
        <x:v>117406</x:v>
      </x:c>
      <x:c r="O23" s="68" t="n">
        <x:f>O22+O16+O17-O18*(1-O20)</x:f>
        <x:v>127898.5798</x:v>
      </x:c>
      <x:c r="P23" s="68" t="n">
        <x:f>P22+P16+P17-P18*(1-P20)</x:f>
        <x:v>140010.5901054</x:v>
      </x:c>
      <x:c r="Q23" s="68" t="n">
        <x:f>Q22+Q16+Q17-Q18*(1-Q20)</x:f>
        <x:v>153878.72322817202</x:v>
      </x:c>
      <x:c r="R23" s="68" t="n">
        <x:f>R22+R16+R17-R18*(1-R20)</x:f>
        <x:v>169610.19632224203</x:v>
      </x:c>
      <x:c r="S23" s="68" t="n">
        <x:f>S22+S16+S17-S18*(1-S20)</x:f>
        <x:v>187271.11618682512</x:v>
      </x:c>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t="str">
        <x:v>Opening retained earnings</x:v>
      </x:c>
      <x:c r="D25" s="2"/>
      <x:c r="E25" s="17" t="str">
        <x:v>n.a.</x:v>
      </x:c>
      <x:c r="F25" s="17" t="str">
        <x:v>n.a.</x:v>
      </x:c>
      <x:c r="G25" s="17" t="str">
        <x:v>n.a.</x:v>
      </x:c>
      <x:c r="H25" s="17" t="str">
        <x:v>n.a.</x:v>
      </x:c>
      <x:c r="I25" s="17" t="str">
        <x:v>n.a.</x:v>
      </x:c>
      <x:c r="J25" s="17" t="str">
        <x:v>n.a.</x:v>
      </x:c>
      <x:c r="K25" s="17" t="str">
        <x:v>n.a.</x:v>
      </x:c>
      <x:c r="L25" s="17" t="str">
        <x:v>n.a.</x:v>
      </x:c>
      <x:c r="M25" s="17" t="str">
        <x:v>n.a.</x:v>
      </x:c>
      <x:c r="N25" s="17" t="str">
        <x:v>n.a.</x:v>
      </x:c>
      <x:c r="O25" s="51" t="n">
        <x:f>'Balance Sheet'!N43</x:f>
        <x:v>328265</x:v>
      </x:c>
      <x:c r="P25" s="51" t="n">
        <x:f>'Balance Sheet'!O43</x:f>
        <x:v>420875.1984587336</x:v>
      </x:c>
      <x:c r="Q25" s="51" t="n">
        <x:f>'Balance Sheet'!P43</x:f>
        <x:v>519174.4754067464</x:v>
      </x:c>
      <x:c r="R25" s="51" t="n">
        <x:f>'Balance Sheet'!Q43</x:f>
        <x:v>625000.8428684488</x:v>
      </x:c>
      <x:c r="S25" s="51" t="n">
        <x:f>'Balance Sheet'!R43</x:f>
        <x:v>740556.9747810347</x:v>
      </x:c>
      <x:c r="T25" s="2"/>
      <x:c r="U25" s="2"/>
    </x:row>
    <x:row r="26" ht="21" customHeight="1">
      <x:c r="A26" s="2"/>
      <x:c r="B26" s="2"/>
      <x:c r="C26" s="2" t="str">
        <x:v>Share repurchases charged to retained earnings</x:v>
      </x:c>
      <x:c r="D26" s="2"/>
      <x:c r="E26" s="17" t="str">
        <x:v>n.a.</x:v>
      </x:c>
      <x:c r="F26" s="17" t="str">
        <x:v>n.a.</x:v>
      </x:c>
      <x:c r="G26" s="17" t="str">
        <x:v>n.a.</x:v>
      </x:c>
      <x:c r="H26" s="17" t="str">
        <x:v>n.a.</x:v>
      </x:c>
      <x:c r="I26" s="17" t="str">
        <x:v>n.a.</x:v>
      </x:c>
      <x:c r="J26" s="17" t="str">
        <x:v>n.a.</x:v>
      </x:c>
      <x:c r="K26" s="17" t="str">
        <x:v>n.a.</x:v>
      </x:c>
      <x:c r="L26" s="17" t="str">
        <x:v>n.a.</x:v>
      </x:c>
      <x:c r="M26" s="17" t="str">
        <x:v>n.a.</x:v>
      </x:c>
      <x:c r="N26" s="17" t="str">
        <x:v>n.a.</x:v>
      </x:c>
      <x:c r="O26" s="57" t="n">
        <x:f>O18*O20</x:f>
        <x:v>18771.129</x:v>
      </x:c>
      <x:c r="P26" s="57" t="n">
        <x:f>P18*P20</x:f>
        <x:v>21668.275317000003</x:v>
      </x:c>
      <x:c r="Q26" s="57" t="n">
        <x:f>Q18*Q20</x:f>
        <x:v>24809.962926059998</x:v>
      </x:c>
      <x:c r="R26" s="57" t="n">
        <x:f>R18*R20</x:f>
        <x:v>28143.461039850008</x:v>
      </x:c>
      <x:c r="S26" s="57" t="n">
        <x:f>S18*S20</x:f>
        <x:v>31595.223610951416</x:v>
      </x:c>
      <x:c r="T26" s="2"/>
      <x:c r="U26" s="2"/>
    </x:row>
    <x:row r="27" ht="21" customHeight="1">
      <x:c r="A27" s="2"/>
      <x:c r="B27" s="2"/>
      <x:c r="C27" s="64" t="str">
        <x:v>Closing retained earnings</x:v>
      </x:c>
      <x:c r="D27" s="64"/>
      <x:c r="E27" s="66" t="n">
        <x:f>'Historical Inputs'!E57</x:f>
        <x:v>17769</x:v>
      </x:c>
      <x:c r="F27" s="66" t="n">
        <x:f>'Historical Inputs'!F57</x:f>
        <x:v>13682</x:v>
      </x:c>
      <x:c r="G27" s="66" t="n">
        <x:f>'Historical Inputs'!G57</x:f>
        <x:v>24150</x:v>
      </x:c>
      <x:c r="H27" s="66" t="n">
        <x:f>'Historical Inputs'!H57</x:f>
        <x:v>34566</x:v>
      </x:c>
      <x:c r="I27" s="66" t="n">
        <x:f>'Historical Inputs'!I57</x:f>
        <x:v>57055</x:v>
      </x:c>
      <x:c r="J27" s="66" t="n">
        <x:f>'Historical Inputs'!J57</x:f>
        <x:v>84281</x:v>
      </x:c>
      <x:c r="K27" s="66" t="n">
        <x:f>'Historical Inputs'!K57</x:f>
        <x:v>118848</x:v>
      </x:c>
      <x:c r="L27" s="66" t="n">
        <x:f>'Historical Inputs'!L57</x:f>
        <x:v>173144</x:v>
      </x:c>
      <x:c r="M27" s="66" t="n">
        <x:f>'Historical Inputs'!M57</x:f>
        <x:v>237731</x:v>
      </x:c>
      <x:c r="N27" s="66" t="n">
        <x:f>'Historical Inputs'!N57</x:f>
        <x:v>328265</x:v>
      </x:c>
      <x:c r="O27" s="68" t="n">
        <x:f>O25+O14-O19-O26</x:f>
        <x:v>420875.1984587336</x:v>
      </x:c>
      <x:c r="P27" s="68" t="n">
        <x:f>P25+P14-P19-P26</x:f>
        <x:v>519174.4754067464</x:v>
      </x:c>
      <x:c r="Q27" s="68" t="n">
        <x:f>Q25+Q14-Q19-Q26</x:f>
        <x:v>625000.8428684488</x:v>
      </x:c>
      <x:c r="R27" s="68" t="n">
        <x:f>R25+R14-R19-R26</x:f>
        <x:v>740556.9747810347</x:v>
      </x:c>
      <x:c r="S27" s="68" t="n">
        <x:f>S25+S14-S19-S26</x:f>
        <x:v>867528.5896951222</x:v>
      </x:c>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t="str">
        <x:v>Accumulated other comprehensive income</x:v>
      </x:c>
      <x:c r="D29" s="2"/>
      <x:c r="E29" s="51" t="n">
        <x:f>'Historical Inputs'!E58</x:f>
        <x:v>627</x:v>
      </x:c>
      <x:c r="F29" s="51" t="n">
        <x:f>'Historical Inputs'!F58</x:f>
        <x:v>-2187</x:v>
      </x:c>
      <x:c r="G29" s="51" t="n">
        <x:f>'Historical Inputs'!G58</x:f>
        <x:v>-340</x:v>
      </x:c>
      <x:c r="H29" s="51" t="n">
        <x:f>'Historical Inputs'!H58</x:f>
        <x:v>3186</x:v>
      </x:c>
      <x:c r="I29" s="51" t="n">
        <x:f>'Historical Inputs'!I58</x:f>
        <x:v>1822</x:v>
      </x:c>
      <x:c r="J29" s="51" t="n">
        <x:f>'Historical Inputs'!J58</x:f>
        <x:v>-4678</x:v>
      </x:c>
      <x:c r="K29" s="51" t="n">
        <x:f>'Historical Inputs'!K58</x:f>
        <x:v>-6343</x:v>
      </x:c>
      <x:c r="L29" s="51" t="n">
        <x:f>'Historical Inputs'!L58</x:f>
        <x:v>-5590</x:v>
      </x:c>
      <x:c r="M29" s="51" t="n">
        <x:f>'Historical Inputs'!M58</x:f>
        <x:v>-3347</x:v>
      </x:c>
      <x:c r="N29" s="51" t="n">
        <x:f>'Historical Inputs'!N58</x:f>
        <x:v>-3284</x:v>
      </x:c>
      <x:c r="O29" s="51" t="n">
        <x:f>'Balance Sheet'!N44</x:f>
        <x:v>-3284</x:v>
      </x:c>
      <x:c r="P29" s="51" t="n">
        <x:f>'Balance Sheet'!O44</x:f>
        <x:v>-3284</x:v>
      </x:c>
      <x:c r="Q29" s="51" t="n">
        <x:f>'Balance Sheet'!P44</x:f>
        <x:v>-3284</x:v>
      </x:c>
      <x:c r="R29" s="51" t="n">
        <x:f>'Balance Sheet'!Q44</x:f>
        <x:v>-3284</x:v>
      </x:c>
      <x:c r="S29" s="51" t="n">
        <x:f>'Balance Sheet'!R44</x:f>
        <x:v>-3284</x:v>
      </x:c>
      <x:c r="T29" s="2"/>
      <x:c r="U29" s="2"/>
    </x:row>
    <x:row r="30" ht="21" customHeight="1">
      <x:c r="A30" s="2"/>
      <x:c r="B30" s="2"/>
      <x:c r="C30" s="64" t="str">
        <x:v>Total stockholders equity</x:v>
      </x:c>
      <x:c r="D30" s="64"/>
      <x:c r="E30" s="68" t="n">
        <x:f>E23+E27+E29</x:f>
        <x:v>87711</x:v>
      </x:c>
      <x:c r="F30" s="68" t="n">
        <x:f>F23+F27+F29</x:f>
        <x:v>82718</x:v>
      </x:c>
      <x:c r="G30" s="68" t="n">
        <x:f>G23+G27+G29</x:f>
        <x:v>102330</x:v>
      </x:c>
      <x:c r="H30" s="68" t="n">
        <x:f>H23+H27+H29</x:f>
        <x:v>118304</x:v>
      </x:c>
      <x:c r="I30" s="68" t="n">
        <x:f>I23+I27+I29</x:f>
        <x:v>141988</x:v>
      </x:c>
      <x:c r="J30" s="68" t="n">
        <x:f>J23+J27+J29</x:f>
        <x:v>166542</x:v>
      </x:c>
      <x:c r="K30" s="68" t="n">
        <x:f>K23+K27+K29</x:f>
        <x:v>206223</x:v>
      </x:c>
      <x:c r="L30" s="68" t="n">
        <x:f>L23+L27+L29</x:f>
        <x:v>268477</x:v>
      </x:c>
      <x:c r="M30" s="68" t="n">
        <x:f>M23+M27+M29</x:f>
        <x:v>343479</x:v>
      </x:c>
      <x:c r="N30" s="68" t="n">
        <x:f>N23+N27+N29</x:f>
        <x:v>442387</x:v>
      </x:c>
      <x:c r="O30" s="68" t="n">
        <x:f>O23+O27+O29</x:f>
        <x:v>545489.7782587337</x:v>
      </x:c>
      <x:c r="P30" s="68" t="n">
        <x:f>P23+P27+P29</x:f>
        <x:v>655901.0655121463</x:v>
      </x:c>
      <x:c r="Q30" s="68" t="n">
        <x:f>Q23+Q27+Q29</x:f>
        <x:v>775595.5660966209</x:v>
      </x:c>
      <x:c r="R30" s="68" t="n">
        <x:f>R23+R27+R29</x:f>
        <x:v>906883.1711032768</x:v>
      </x:c>
      <x:c r="S30" s="68" t="n">
        <x:f>S23+S27+S29</x:f>
        <x:v>1051515.7058819474</x:v>
      </x:c>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t="str">
        <x:v>Opening diluted weighted average shares</x:v>
      </x:c>
      <x:c r="D32" s="2"/>
      <x:c r="E32" s="56" t="str">
        <x:v>n.a.</x:v>
      </x:c>
      <x:c r="F32" s="56" t="str">
        <x:v>n.a.</x:v>
      </x:c>
      <x:c r="G32" s="56" t="str">
        <x:v>n.a.</x:v>
      </x:c>
      <x:c r="H32" s="56" t="str">
        <x:v>n.a.</x:v>
      </x:c>
      <x:c r="I32" s="56" t="str">
        <x:v>n.a.</x:v>
      </x:c>
      <x:c r="J32" s="56" t="str">
        <x:v>n.a.</x:v>
      </x:c>
      <x:c r="K32" s="56" t="str">
        <x:v>n.a.</x:v>
      </x:c>
      <x:c r="L32" s="56" t="str">
        <x:v>n.a.</x:v>
      </x:c>
      <x:c r="M32" s="56" t="str">
        <x:v>n.a.</x:v>
      </x:c>
      <x:c r="N32" s="56" t="str">
        <x:v>n.a.</x:v>
      </x:c>
      <x:c r="O32" s="52" t="n">
        <x:f>'Income Statement'!N32</x:f>
        <x:v>7453</x:v>
      </x:c>
      <x:c r="P32" s="52" t="n">
        <x:f>'Income Statement'!O32</x:f>
        <x:v>7430.641</x:v>
      </x:c>
      <x:c r="Q32" s="52" t="n">
        <x:f>'Income Statement'!P32</x:f>
        <x:v>7408.349077</x:v>
      </x:c>
      <x:c r="R32" s="52" t="n">
        <x:f>'Income Statement'!Q32</x:f>
        <x:v>7386.124029769</x:v>
      </x:c>
      <x:c r="S32" s="52" t="n">
        <x:f>'Income Statement'!R32</x:f>
        <x:v>7363.965657679693</x:v>
      </x:c>
      <x:c r="T32" s="2"/>
      <x:c r="U32" s="2"/>
    </x:row>
    <x:row r="33" ht="21" customHeight="1">
      <x:c r="A33" s="2"/>
      <x:c r="B33" s="2"/>
      <x:c r="C33" s="18" t="str">
        <x:v>Net diluted share change</x:v>
      </x:c>
      <x:c r="D33" s="18"/>
      <x:c r="E33" s="55" t="str">
        <x:v>n.a.</x:v>
      </x:c>
      <x:c r="F33" s="55" t="str">
        <x:v>n.a.</x:v>
      </x:c>
      <x:c r="G33" s="55" t="str">
        <x:v>n.a.</x:v>
      </x:c>
      <x:c r="H33" s="55" t="str">
        <x:v>n.a.</x:v>
      </x:c>
      <x:c r="I33" s="55" t="str">
        <x:v>n.a.</x:v>
      </x:c>
      <x:c r="J33" s="55" t="str">
        <x:v>n.a.</x:v>
      </x:c>
      <x:c r="K33" s="55" t="str">
        <x:v>n.a.</x:v>
      </x:c>
      <x:c r="L33" s="55" t="str">
        <x:v>n.a.</x:v>
      </x:c>
      <x:c r="M33" s="55" t="str">
        <x:v>n.a.</x:v>
      </x:c>
      <x:c r="N33" s="55" t="str">
        <x:v>n.a.</x:v>
      </x:c>
      <x:c r="O33" s="20" t="n">
        <x:f>'Assumptions'!O197</x:f>
        <x:v>-0.003</x:v>
      </x:c>
      <x:c r="P33" s="20" t="n">
        <x:f>'Assumptions'!P197</x:f>
        <x:v>-0.003</x:v>
      </x:c>
      <x:c r="Q33" s="20" t="n">
        <x:f>'Assumptions'!Q197</x:f>
        <x:v>-0.003</x:v>
      </x:c>
      <x:c r="R33" s="20" t="n">
        <x:f>'Assumptions'!R197</x:f>
        <x:v>-0.003</x:v>
      </x:c>
      <x:c r="S33" s="20" t="n">
        <x:f>'Assumptions'!S197</x:f>
        <x:v>-0.003</x:v>
      </x:c>
      <x:c r="T33" s="2"/>
      <x:c r="U33" s="2"/>
    </x:row>
    <x:row r="34" ht="21" customHeight="1">
      <x:c r="A34" s="2"/>
      <x:c r="B34" s="2"/>
      <x:c r="C34" s="2" t="str">
        <x:v>Diluted weighted average shares</x:v>
      </x:c>
      <x:c r="D34" s="2"/>
      <x:c r="E34" s="52" t="n">
        <x:f>'Historical Inputs'!E23</x:f>
        <x:v>7832</x:v>
      </x:c>
      <x:c r="F34" s="52" t="n">
        <x:f>'Historical Inputs'!F23</x:f>
        <x:v>7794</x:v>
      </x:c>
      <x:c r="G34" s="52" t="n">
        <x:f>'Historical Inputs'!G23</x:f>
        <x:v>7753</x:v>
      </x:c>
      <x:c r="H34" s="52" t="n">
        <x:f>'Historical Inputs'!H23</x:f>
        <x:v>7683</x:v>
      </x:c>
      <x:c r="I34" s="52" t="n">
        <x:f>'Historical Inputs'!I23</x:f>
        <x:v>7608</x:v>
      </x:c>
      <x:c r="J34" s="52" t="n">
        <x:f>'Historical Inputs'!J23</x:f>
        <x:v>7540</x:v>
      </x:c>
      <x:c r="K34" s="52" t="n">
        <x:f>'Historical Inputs'!K23</x:f>
        <x:v>7472</x:v>
      </x:c>
      <x:c r="L34" s="52" t="n">
        <x:f>'Historical Inputs'!L23</x:f>
        <x:v>7469</x:v>
      </x:c>
      <x:c r="M34" s="52" t="n">
        <x:f>'Historical Inputs'!M23</x:f>
        <x:v>7465</x:v>
      </x:c>
      <x:c r="N34" s="52" t="n">
        <x:f>'Historical Inputs'!N23</x:f>
        <x:v>7453</x:v>
      </x:c>
      <x:c r="O34" s="60" t="n">
        <x:f>O32*(1+O33)</x:f>
        <x:v>7430.641</x:v>
      </x:c>
      <x:c r="P34" s="60" t="n">
        <x:f>P32*(1+P33)</x:f>
        <x:v>7408.349077</x:v>
      </x:c>
      <x:c r="Q34" s="60" t="n">
        <x:f>Q32*(1+Q33)</x:f>
        <x:v>7386.124029769</x:v>
      </x:c>
      <x:c r="R34" s="60" t="n">
        <x:f>R32*(1+R33)</x:f>
        <x:v>7363.965657679693</x:v>
      </x:c>
      <x:c r="S34" s="60" t="n">
        <x:f>S32*(1+S33)</x:f>
        <x:v>7341.873760706654</x:v>
      </x:c>
      <x:c r="T34" s="2"/>
      <x:c r="U34" s="2"/>
    </x:row>
    <x:row r="35" ht="21" customHeight="1">
      <x:c r="A35" s="2"/>
      <x:c r="B35" s="2"/>
      <x:c r="C35" s="2" t="str">
        <x:v>Basic weighted average shares</x:v>
      </x:c>
      <x:c r="D35" s="2"/>
      <x:c r="E35" s="52" t="n">
        <x:f>'Historical Inputs'!E22</x:f>
        <x:v>7746</x:v>
      </x:c>
      <x:c r="F35" s="52" t="n">
        <x:f>'Historical Inputs'!F22</x:f>
        <x:v>7700</x:v>
      </x:c>
      <x:c r="G35" s="52" t="n">
        <x:f>'Historical Inputs'!G22</x:f>
        <x:v>7673</x:v>
      </x:c>
      <x:c r="H35" s="52" t="n">
        <x:f>'Historical Inputs'!H22</x:f>
        <x:v>7610</x:v>
      </x:c>
      <x:c r="I35" s="52" t="n">
        <x:f>'Historical Inputs'!I22</x:f>
        <x:v>7547</x:v>
      </x:c>
      <x:c r="J35" s="52" t="n">
        <x:f>'Historical Inputs'!J22</x:f>
        <x:v>7496</x:v>
      </x:c>
      <x:c r="K35" s="52" t="n">
        <x:f>'Historical Inputs'!K22</x:f>
        <x:v>7446</x:v>
      </x:c>
      <x:c r="L35" s="52" t="n">
        <x:f>'Historical Inputs'!L22</x:f>
        <x:v>7431</x:v>
      </x:c>
      <x:c r="M35" s="52" t="n">
        <x:f>'Historical Inputs'!M22</x:f>
        <x:v>7433</x:v>
      </x:c>
      <x:c r="N35" s="52" t="n">
        <x:f>'Historical Inputs'!N22</x:f>
        <x:v>7429</x:v>
      </x:c>
      <x:c r="O35" s="52" t="n">
        <x:f>O34*'Historical Inputs'!N22/'Historical Inputs'!N23</x:f>
        <x:v>7406.713</x:v>
      </x:c>
      <x:c r="P35" s="52" t="n">
        <x:f>P34*'Historical Inputs'!N22/'Historical Inputs'!N23</x:f>
        <x:v>7384.492861</x:v>
      </x:c>
      <x:c r="Q35" s="52" t="n">
        <x:f>Q34*'Historical Inputs'!N22/'Historical Inputs'!N23</x:f>
        <x:v>7362.339382417</x:v>
      </x:c>
      <x:c r="R35" s="52" t="n">
        <x:f>R34*'Historical Inputs'!N22/'Historical Inputs'!N23</x:f>
        <x:v>7340.25236426975</x:v>
      </x:c>
      <x:c r="S35" s="52" t="n">
        <x:f>S34*'Historical Inputs'!N22/'Historical Inputs'!N23</x:f>
        <x:v>7318.23160717694</x:v>
      </x:c>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a1b77d1fe29f4667"/>
</x:worksheet>
</file>

<file path=xl/worksheets/sheet16.xml><?xml version="1.0" encoding="utf-8"?>
<x:worksheet xmlns:x="http://schemas.openxmlformats.org/spreadsheetml/2006/main">
  <x:sheetPr>
    <x:tabColor rgb="FF888888"/>
  </x:sheetPr>
  <x:sheetViews>
    <x:sheetView showGridLines="0" workbookViewId="0"/>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Data &gt;&gt;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1" customHeight="1">
      <x:c r="A7" s="2"/>
      <x:c r="B7" s="2"/>
      <x:c r="C7" s="2" t="str">
        <x:v>Historical Inputs, Filing Notes and Audit retain the evidence behind the model.</x:v>
      </x:c>
      <x:c r="D7" s="2"/>
      <x:c r="E7" s="2"/>
      <x:c r="F7" s="2"/>
      <x:c r="G7" s="2"/>
      <x:c r="H7" s="2"/>
      <x:c r="I7" s="2"/>
      <x:c r="J7" s="2"/>
      <x:c r="K7" s="2"/>
      <x:c r="L7" s="2"/>
      <x:c r="M7" s="2"/>
      <x:c r="N7" s="2"/>
      <x:c r="O7" s="2"/>
      <x:c r="P7" s="2"/>
      <x:c r="Q7" s="2"/>
      <x:c r="R7" s="2"/>
      <x:c r="S7" s="2"/>
      <x:c r="T7" s="2"/>
      <x:c r="U7" s="2"/>
    </x:row>
    <x:row r="8" ht="21" customHeight="1">
      <x:c r="A8" s="2"/>
      <x:c r="B8" s="2"/>
      <x:c r="C8" s="2"/>
      <x:c r="D8" s="2"/>
      <x:c r="E8" s="2"/>
      <x:c r="F8" s="2"/>
      <x:c r="G8" s="2"/>
      <x:c r="H8" s="2"/>
      <x:c r="I8" s="2"/>
      <x:c r="J8" s="2"/>
      <x:c r="K8" s="2"/>
      <x:c r="L8" s="2"/>
      <x:c r="M8" s="2"/>
      <x:c r="N8" s="2"/>
      <x:c r="O8" s="2"/>
      <x:c r="P8" s="2"/>
      <x:c r="Q8" s="2"/>
      <x:c r="R8" s="2"/>
      <x:c r="S8" s="2"/>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x:c r="D22" s="2"/>
      <x:c r="E22" s="2"/>
      <x:c r="F22" s="2"/>
      <x:c r="G22" s="2"/>
      <x:c r="H22" s="2"/>
      <x:c r="I22" s="2"/>
      <x:c r="J22" s="2"/>
      <x:c r="K22" s="2"/>
      <x:c r="L22" s="2"/>
      <x:c r="M22" s="2"/>
      <x:c r="N22" s="2"/>
      <x:c r="O22" s="2"/>
      <x:c r="P22" s="2"/>
      <x:c r="Q22" s="2"/>
      <x:c r="R22" s="2"/>
      <x:c r="S22" s="2"/>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worksheet>
</file>

<file path=xl/worksheets/sheet17.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Historical Inputs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5" customHeight="1">
      <x:c r="A8" s="2"/>
      <x:c r="B8" s="2"/>
      <x:c r="C8" s="10" t="str">
        <x:v>Audited income statements</x:v>
      </x:c>
      <x:c r="D8" s="10"/>
      <x:c r="E8" s="10"/>
      <x:c r="F8" s="10"/>
      <x:c r="G8" s="10"/>
      <x:c r="H8" s="10"/>
      <x:c r="I8" s="10"/>
      <x:c r="J8" s="10"/>
      <x:c r="K8" s="10"/>
      <x:c r="L8" s="10"/>
      <x:c r="M8" s="10"/>
      <x:c r="N8" s="10"/>
      <x:c r="O8" s="10"/>
      <x:c r="P8" s="10"/>
      <x:c r="Q8" s="10"/>
      <x:c r="R8" s="10"/>
      <x:c r="S8" s="10"/>
      <x:c r="T8" s="2"/>
      <x:c r="U8" s="2"/>
    </x:row>
    <x:row r="9" ht="21" customHeight="1">
      <x:c r="A9" s="2"/>
      <x:c r="B9" s="2"/>
      <x:c r="C9" s="2" t="str">
        <x:v>revenue</x:v>
      </x:c>
      <x:c r="D9" s="2"/>
      <x:c r="E9" s="12" t="n">
        <x:v>96571</x:v>
      </x:c>
      <x:c r="F9" s="12" t="n">
        <x:v>110360</x:v>
      </x:c>
      <x:c r="G9" s="12" t="n">
        <x:v>125843</x:v>
      </x:c>
      <x:c r="H9" s="12" t="n">
        <x:v>143015</x:v>
      </x:c>
      <x:c r="I9" s="12" t="n">
        <x:v>168088</x:v>
      </x:c>
      <x:c r="J9" s="12" t="n">
        <x:v>198270</x:v>
      </x:c>
      <x:c r="K9" s="12" t="n">
        <x:v>211915</x:v>
      </x:c>
      <x:c r="L9" s="12" t="n">
        <x:v>245122</x:v>
      </x:c>
      <x:c r="M9" s="12" t="n">
        <x:v>281724</x:v>
      </x:c>
      <x:c r="N9" s="12" t="n">
        <x:v>331839</x:v>
      </x:c>
      <x:c r="O9" s="11"/>
      <x:c r="P9" s="11"/>
      <x:c r="Q9" s="11"/>
      <x:c r="R9" s="11"/>
      <x:c r="S9" s="11"/>
      <x:c r="T9" s="2"/>
      <x:c r="U9" s="2"/>
    </x:row>
    <x:row r="10" ht="21" customHeight="1">
      <x:c r="A10" s="2"/>
      <x:c r="B10" s="2"/>
      <x:c r="C10" s="2" t="str">
        <x:v>cogs</x:v>
      </x:c>
      <x:c r="D10" s="2"/>
      <x:c r="E10" s="12" t="n">
        <x:v>34261</x:v>
      </x:c>
      <x:c r="F10" s="12" t="n">
        <x:v>38353</x:v>
      </x:c>
      <x:c r="G10" s="12" t="n">
        <x:v>42910</x:v>
      </x:c>
      <x:c r="H10" s="12" t="n">
        <x:v>46078</x:v>
      </x:c>
      <x:c r="I10" s="12" t="n">
        <x:v>52232</x:v>
      </x:c>
      <x:c r="J10" s="12" t="n">
        <x:v>62650</x:v>
      </x:c>
      <x:c r="K10" s="12" t="n">
        <x:v>65863</x:v>
      </x:c>
      <x:c r="L10" s="12" t="n">
        <x:v>74114</x:v>
      </x:c>
      <x:c r="M10" s="12" t="n">
        <x:v>87831</x:v>
      </x:c>
      <x:c r="N10" s="12" t="n">
        <x:v>106374</x:v>
      </x:c>
      <x:c r="O10" s="11"/>
      <x:c r="P10" s="11"/>
      <x:c r="Q10" s="11"/>
      <x:c r="R10" s="11"/>
      <x:c r="S10" s="11"/>
      <x:c r="T10" s="2"/>
      <x:c r="U10" s="2"/>
    </x:row>
    <x:row r="11" ht="21" customHeight="1">
      <x:c r="A11" s="2"/>
      <x:c r="B11" s="2"/>
      <x:c r="C11" s="2" t="str">
        <x:v>gross profit</x:v>
      </x:c>
      <x:c r="D11" s="2"/>
      <x:c r="E11" s="12" t="n">
        <x:v>62310</x:v>
      </x:c>
      <x:c r="F11" s="12" t="n">
        <x:v>72007</x:v>
      </x:c>
      <x:c r="G11" s="12" t="n">
        <x:v>82933</x:v>
      </x:c>
      <x:c r="H11" s="12" t="n">
        <x:v>96937</x:v>
      </x:c>
      <x:c r="I11" s="12" t="n">
        <x:v>115856</x:v>
      </x:c>
      <x:c r="J11" s="12" t="n">
        <x:v>135620</x:v>
      </x:c>
      <x:c r="K11" s="12" t="n">
        <x:v>146052</x:v>
      </x:c>
      <x:c r="L11" s="12" t="n">
        <x:v>171008</x:v>
      </x:c>
      <x:c r="M11" s="12" t="n">
        <x:v>193893</x:v>
      </x:c>
      <x:c r="N11" s="12" t="n">
        <x:v>225465</x:v>
      </x:c>
      <x:c r="O11" s="11"/>
      <x:c r="P11" s="11"/>
      <x:c r="Q11" s="11"/>
      <x:c r="R11" s="11"/>
      <x:c r="S11" s="11"/>
      <x:c r="T11" s="2"/>
      <x:c r="U11" s="2"/>
    </x:row>
    <x:row r="12" ht="21" customHeight="1">
      <x:c r="A12" s="2"/>
      <x:c r="B12" s="2"/>
      <x:c r="C12" s="2" t="str">
        <x:v>rd</x:v>
      </x:c>
      <x:c r="D12" s="2"/>
      <x:c r="E12" s="12" t="n">
        <x:v>13037</x:v>
      </x:c>
      <x:c r="F12" s="12" t="n">
        <x:v>14726</x:v>
      </x:c>
      <x:c r="G12" s="12" t="n">
        <x:v>16876</x:v>
      </x:c>
      <x:c r="H12" s="12" t="n">
        <x:v>19269</x:v>
      </x:c>
      <x:c r="I12" s="12" t="n">
        <x:v>20716</x:v>
      </x:c>
      <x:c r="J12" s="12" t="n">
        <x:v>24512</x:v>
      </x:c>
      <x:c r="K12" s="12" t="n">
        <x:v>27195</x:v>
      </x:c>
      <x:c r="L12" s="12" t="n">
        <x:v>29510</x:v>
      </x:c>
      <x:c r="M12" s="12" t="n">
        <x:v>32488</x:v>
      </x:c>
      <x:c r="N12" s="12" t="n">
        <x:v>35562</x:v>
      </x:c>
      <x:c r="O12" s="11"/>
      <x:c r="P12" s="11"/>
      <x:c r="Q12" s="11"/>
      <x:c r="R12" s="11"/>
      <x:c r="S12" s="11"/>
      <x:c r="T12" s="2"/>
      <x:c r="U12" s="2"/>
    </x:row>
    <x:row r="13" ht="21" customHeight="1">
      <x:c r="A13" s="2"/>
      <x:c r="B13" s="2"/>
      <x:c r="C13" s="2" t="str">
        <x:v>sales marketing</x:v>
      </x:c>
      <x:c r="D13" s="2"/>
      <x:c r="E13" s="12" t="n">
        <x:v>15461</x:v>
      </x:c>
      <x:c r="F13" s="12" t="n">
        <x:v>17469</x:v>
      </x:c>
      <x:c r="G13" s="12" t="n">
        <x:v>18213</x:v>
      </x:c>
      <x:c r="H13" s="12" t="n">
        <x:v>19598</x:v>
      </x:c>
      <x:c r="I13" s="12" t="n">
        <x:v>20117</x:v>
      </x:c>
      <x:c r="J13" s="12" t="n">
        <x:v>21825</x:v>
      </x:c>
      <x:c r="K13" s="12" t="n">
        <x:v>22759</x:v>
      </x:c>
      <x:c r="L13" s="12" t="n">
        <x:v>24456</x:v>
      </x:c>
      <x:c r="M13" s="12" t="n">
        <x:v>25654</x:v>
      </x:c>
      <x:c r="N13" s="12" t="n">
        <x:v>26710</x:v>
      </x:c>
      <x:c r="O13" s="11"/>
      <x:c r="P13" s="11"/>
      <x:c r="Q13" s="11"/>
      <x:c r="R13" s="11"/>
      <x:c r="S13" s="11"/>
      <x:c r="T13" s="2"/>
      <x:c r="U13" s="2"/>
    </x:row>
    <x:row r="14" ht="21" customHeight="1">
      <x:c r="A14" s="2"/>
      <x:c r="B14" s="2"/>
      <x:c r="C14" s="2" t="str">
        <x:v>ga</x:v>
      </x:c>
      <x:c r="D14" s="2"/>
      <x:c r="E14" s="12" t="n">
        <x:v>4481</x:v>
      </x:c>
      <x:c r="F14" s="12" t="n">
        <x:v>4754</x:v>
      </x:c>
      <x:c r="G14" s="12" t="n">
        <x:v>4885</x:v>
      </x:c>
      <x:c r="H14" s="12" t="n">
        <x:v>5111</x:v>
      </x:c>
      <x:c r="I14" s="12" t="n">
        <x:v>5107</x:v>
      </x:c>
      <x:c r="J14" s="12" t="n">
        <x:v>5900</x:v>
      </x:c>
      <x:c r="K14" s="12" t="n">
        <x:v>7575</x:v>
      </x:c>
      <x:c r="L14" s="12" t="n">
        <x:v>7609</x:v>
      </x:c>
      <x:c r="M14" s="12" t="n">
        <x:v>7223</x:v>
      </x:c>
      <x:c r="N14" s="12" t="n">
        <x:v>7956</x:v>
      </x:c>
      <x:c r="O14" s="11"/>
      <x:c r="P14" s="11"/>
      <x:c r="Q14" s="11"/>
      <x:c r="R14" s="11"/>
      <x:c r="S14" s="11"/>
      <x:c r="T14" s="2"/>
      <x:c r="U14" s="2"/>
    </x:row>
    <x:row r="15" ht="21" customHeight="1">
      <x:c r="A15" s="2"/>
      <x:c r="B15" s="2"/>
      <x:c r="C15" s="2" t="str">
        <x:v>operating income</x:v>
      </x:c>
      <x:c r="D15" s="2"/>
      <x:c r="E15" s="12" t="n">
        <x:v>29025</x:v>
      </x:c>
      <x:c r="F15" s="12" t="n">
        <x:v>35058</x:v>
      </x:c>
      <x:c r="G15" s="12" t="n">
        <x:v>42959</x:v>
      </x:c>
      <x:c r="H15" s="12" t="n">
        <x:v>52959</x:v>
      </x:c>
      <x:c r="I15" s="12" t="n">
        <x:v>69916</x:v>
      </x:c>
      <x:c r="J15" s="12" t="n">
        <x:v>83383</x:v>
      </x:c>
      <x:c r="K15" s="12" t="n">
        <x:v>88523</x:v>
      </x:c>
      <x:c r="L15" s="12" t="n">
        <x:v>109433</x:v>
      </x:c>
      <x:c r="M15" s="12" t="n">
        <x:v>128528</x:v>
      </x:c>
      <x:c r="N15" s="12" t="n">
        <x:v>155237</x:v>
      </x:c>
      <x:c r="O15" s="11"/>
      <x:c r="P15" s="11"/>
      <x:c r="Q15" s="11"/>
      <x:c r="R15" s="11"/>
      <x:c r="S15" s="11"/>
      <x:c r="T15" s="2"/>
      <x:c r="U15" s="2"/>
    </x:row>
    <x:row r="16" ht="21" customHeight="1">
      <x:c r="A16" s="2"/>
      <x:c r="B16" s="2"/>
      <x:c r="C16" s="2" t="str">
        <x:v>other income</x:v>
      </x:c>
      <x:c r="D16" s="2"/>
      <x:c r="E16" s="12" t="n">
        <x:v>876</x:v>
      </x:c>
      <x:c r="F16" s="12" t="n">
        <x:v>1416</x:v>
      </x:c>
      <x:c r="G16" s="12" t="n">
        <x:v>729</x:v>
      </x:c>
      <x:c r="H16" s="12" t="n">
        <x:v>77</x:v>
      </x:c>
      <x:c r="I16" s="12" t="n">
        <x:v>1186</x:v>
      </x:c>
      <x:c r="J16" s="12" t="n">
        <x:v>333</x:v>
      </x:c>
      <x:c r="K16" s="12" t="n">
        <x:v>788</x:v>
      </x:c>
      <x:c r="L16" s="12" t="n">
        <x:v>-1646</x:v>
      </x:c>
      <x:c r="M16" s="12" t="n">
        <x:v>-4901</x:v>
      </x:c>
      <x:c r="N16" s="12" t="n">
        <x:v>10697</x:v>
      </x:c>
      <x:c r="O16" s="11"/>
      <x:c r="P16" s="11"/>
      <x:c r="Q16" s="11"/>
      <x:c r="R16" s="11"/>
      <x:c r="S16" s="11"/>
      <x:c r="T16" s="2"/>
      <x:c r="U16" s="2"/>
    </x:row>
    <x:row r="17" ht="21" customHeight="1">
      <x:c r="A17" s="2"/>
      <x:c r="B17" s="2"/>
      <x:c r="C17" s="2" t="str">
        <x:v>pretax income</x:v>
      </x:c>
      <x:c r="D17" s="2"/>
      <x:c r="E17" s="12" t="n">
        <x:v>29901</x:v>
      </x:c>
      <x:c r="F17" s="12" t="n">
        <x:v>36474</x:v>
      </x:c>
      <x:c r="G17" s="12" t="n">
        <x:v>43688</x:v>
      </x:c>
      <x:c r="H17" s="12" t="n">
        <x:v>53036</x:v>
      </x:c>
      <x:c r="I17" s="12" t="n">
        <x:v>71102</x:v>
      </x:c>
      <x:c r="J17" s="12" t="n">
        <x:v>83716</x:v>
      </x:c>
      <x:c r="K17" s="12" t="n">
        <x:v>89311</x:v>
      </x:c>
      <x:c r="L17" s="12" t="n">
        <x:v>107787</x:v>
      </x:c>
      <x:c r="M17" s="12" t="n">
        <x:v>123627</x:v>
      </x:c>
      <x:c r="N17" s="12" t="n">
        <x:v>165934</x:v>
      </x:c>
      <x:c r="O17" s="11"/>
      <x:c r="P17" s="11"/>
      <x:c r="Q17" s="11"/>
      <x:c r="R17" s="11"/>
      <x:c r="S17" s="11"/>
      <x:c r="T17" s="2"/>
      <x:c r="U17" s="2"/>
    </x:row>
    <x:row r="18" ht="21" customHeight="1">
      <x:c r="A18" s="2"/>
      <x:c r="B18" s="2"/>
      <x:c r="C18" s="2" t="str">
        <x:v>income tax</x:v>
      </x:c>
      <x:c r="D18" s="2"/>
      <x:c r="E18" s="12" t="n">
        <x:v>4412</x:v>
      </x:c>
      <x:c r="F18" s="12" t="n">
        <x:v>19903</x:v>
      </x:c>
      <x:c r="G18" s="12" t="n">
        <x:v>4448</x:v>
      </x:c>
      <x:c r="H18" s="12" t="n">
        <x:v>8755</x:v>
      </x:c>
      <x:c r="I18" s="12" t="n">
        <x:v>9831</x:v>
      </x:c>
      <x:c r="J18" s="12" t="n">
        <x:v>10978</x:v>
      </x:c>
      <x:c r="K18" s="12" t="n">
        <x:v>16950</x:v>
      </x:c>
      <x:c r="L18" s="12" t="n">
        <x:v>19651</x:v>
      </x:c>
      <x:c r="M18" s="12" t="n">
        <x:v>21795</x:v>
      </x:c>
      <x:c r="N18" s="12" t="n">
        <x:v>32185</x:v>
      </x:c>
      <x:c r="O18" s="11"/>
      <x:c r="P18" s="11"/>
      <x:c r="Q18" s="11"/>
      <x:c r="R18" s="11"/>
      <x:c r="S18" s="11"/>
      <x:c r="T18" s="2"/>
      <x:c r="U18" s="2"/>
    </x:row>
    <x:row r="19" ht="21" customHeight="1">
      <x:c r="A19" s="2"/>
      <x:c r="B19" s="2"/>
      <x:c r="C19" s="2" t="str">
        <x:v>net income</x:v>
      </x:c>
      <x:c r="D19" s="2"/>
      <x:c r="E19" s="12" t="n">
        <x:v>25489</x:v>
      </x:c>
      <x:c r="F19" s="12" t="n">
        <x:v>16571</x:v>
      </x:c>
      <x:c r="G19" s="12" t="n">
        <x:v>39240</x:v>
      </x:c>
      <x:c r="H19" s="12" t="n">
        <x:v>44281</x:v>
      </x:c>
      <x:c r="I19" s="12" t="n">
        <x:v>61271</x:v>
      </x:c>
      <x:c r="J19" s="12" t="n">
        <x:v>72738</x:v>
      </x:c>
      <x:c r="K19" s="12" t="n">
        <x:v>72361</x:v>
      </x:c>
      <x:c r="L19" s="12" t="n">
        <x:v>88136</x:v>
      </x:c>
      <x:c r="M19" s="12" t="n">
        <x:v>101832</x:v>
      </x:c>
      <x:c r="N19" s="12" t="n">
        <x:v>133749</x:v>
      </x:c>
      <x:c r="O19" s="11"/>
      <x:c r="P19" s="11"/>
      <x:c r="Q19" s="11"/>
      <x:c r="R19" s="11"/>
      <x:c r="S19" s="11"/>
      <x:c r="T19" s="2"/>
      <x:c r="U19" s="2"/>
    </x:row>
    <x:row r="20" ht="21" customHeight="1">
      <x:c r="A20" s="2"/>
      <x:c r="B20" s="2"/>
      <x:c r="C20" s="2" t="str">
        <x:v>eps basic</x:v>
      </x:c>
      <x:c r="D20" s="2"/>
      <x:c r="E20" s="14" t="n">
        <x:v>3.29</x:v>
      </x:c>
      <x:c r="F20" s="14" t="n">
        <x:v>2.15</x:v>
      </x:c>
      <x:c r="G20" s="14" t="n">
        <x:v>5.11</x:v>
      </x:c>
      <x:c r="H20" s="14" t="n">
        <x:v>5.82</x:v>
      </x:c>
      <x:c r="I20" s="14" t="n">
        <x:v>8.12</x:v>
      </x:c>
      <x:c r="J20" s="14" t="n">
        <x:v>9.7</x:v>
      </x:c>
      <x:c r="K20" s="14" t="n">
        <x:v>9.72</x:v>
      </x:c>
      <x:c r="L20" s="14" t="n">
        <x:v>11.86</x:v>
      </x:c>
      <x:c r="M20" s="14" t="n">
        <x:v>13.7</x:v>
      </x:c>
      <x:c r="N20" s="14" t="n">
        <x:v>18</x:v>
      </x:c>
      <x:c r="O20" s="13"/>
      <x:c r="P20" s="13"/>
      <x:c r="Q20" s="13"/>
      <x:c r="R20" s="13"/>
      <x:c r="S20" s="13"/>
      <x:c r="T20" s="2"/>
      <x:c r="U20" s="2"/>
    </x:row>
    <x:row r="21" ht="21" customHeight="1">
      <x:c r="A21" s="2"/>
      <x:c r="B21" s="2"/>
      <x:c r="C21" s="2" t="str">
        <x:v>eps diluted</x:v>
      </x:c>
      <x:c r="D21" s="2"/>
      <x:c r="E21" s="14" t="n">
        <x:v>3.25</x:v>
      </x:c>
      <x:c r="F21" s="14" t="n">
        <x:v>2.13</x:v>
      </x:c>
      <x:c r="G21" s="14" t="n">
        <x:v>5.06</x:v>
      </x:c>
      <x:c r="H21" s="14" t="n">
        <x:v>5.76</x:v>
      </x:c>
      <x:c r="I21" s="14" t="n">
        <x:v>8.05</x:v>
      </x:c>
      <x:c r="J21" s="14" t="n">
        <x:v>9.65</x:v>
      </x:c>
      <x:c r="K21" s="14" t="n">
        <x:v>9.68</x:v>
      </x:c>
      <x:c r="L21" s="14" t="n">
        <x:v>11.8</x:v>
      </x:c>
      <x:c r="M21" s="14" t="n">
        <x:v>13.64</x:v>
      </x:c>
      <x:c r="N21" s="14" t="n">
        <x:v>17.95</x:v>
      </x:c>
      <x:c r="O21" s="13"/>
      <x:c r="P21" s="13"/>
      <x:c r="Q21" s="13"/>
      <x:c r="R21" s="13"/>
      <x:c r="S21" s="13"/>
      <x:c r="T21" s="2"/>
      <x:c r="U21" s="2"/>
    </x:row>
    <x:row r="22" ht="21" customHeight="1">
      <x:c r="A22" s="2"/>
      <x:c r="B22" s="2"/>
      <x:c r="C22" s="2" t="str">
        <x:v>shares basic</x:v>
      </x:c>
      <x:c r="D22" s="2"/>
      <x:c r="E22" s="16" t="n">
        <x:v>7746</x:v>
      </x:c>
      <x:c r="F22" s="16" t="n">
        <x:v>7700</x:v>
      </x:c>
      <x:c r="G22" s="16" t="n">
        <x:v>7673</x:v>
      </x:c>
      <x:c r="H22" s="16" t="n">
        <x:v>7610</x:v>
      </x:c>
      <x:c r="I22" s="16" t="n">
        <x:v>7547</x:v>
      </x:c>
      <x:c r="J22" s="16" t="n">
        <x:v>7496</x:v>
      </x:c>
      <x:c r="K22" s="16" t="n">
        <x:v>7446</x:v>
      </x:c>
      <x:c r="L22" s="16" t="n">
        <x:v>7431</x:v>
      </x:c>
      <x:c r="M22" s="16" t="n">
        <x:v>7433</x:v>
      </x:c>
      <x:c r="N22" s="16" t="n">
        <x:v>7429</x:v>
      </x:c>
      <x:c r="O22" s="15"/>
      <x:c r="P22" s="15"/>
      <x:c r="Q22" s="15"/>
      <x:c r="R22" s="15"/>
      <x:c r="S22" s="15"/>
      <x:c r="T22" s="2"/>
      <x:c r="U22" s="2"/>
    </x:row>
    <x:row r="23" ht="21" customHeight="1">
      <x:c r="A23" s="2"/>
      <x:c r="B23" s="2"/>
      <x:c r="C23" s="2" t="str">
        <x:v>shares diluted</x:v>
      </x:c>
      <x:c r="D23" s="2"/>
      <x:c r="E23" s="16" t="n">
        <x:v>7832</x:v>
      </x:c>
      <x:c r="F23" s="16" t="n">
        <x:v>7794</x:v>
      </x:c>
      <x:c r="G23" s="16" t="n">
        <x:v>7753</x:v>
      </x:c>
      <x:c r="H23" s="16" t="n">
        <x:v>7683</x:v>
      </x:c>
      <x:c r="I23" s="16" t="n">
        <x:v>7608</x:v>
      </x:c>
      <x:c r="J23" s="16" t="n">
        <x:v>7540</x:v>
      </x:c>
      <x:c r="K23" s="16" t="n">
        <x:v>7472</x:v>
      </x:c>
      <x:c r="L23" s="16" t="n">
        <x:v>7469</x:v>
      </x:c>
      <x:c r="M23" s="16" t="n">
        <x:v>7465</x:v>
      </x:c>
      <x:c r="N23" s="16" t="n">
        <x:v>7453</x:v>
      </x:c>
      <x:c r="O23" s="15"/>
      <x:c r="P23" s="15"/>
      <x:c r="Q23" s="15"/>
      <x:c r="R23" s="15"/>
      <x:c r="S23" s="15"/>
      <x:c r="T23" s="2"/>
      <x:c r="U23" s="2"/>
    </x:row>
    <x:row r="24" ht="21" customHeight="1">
      <x:c r="A24" s="2"/>
      <x:c r="B24" s="2"/>
      <x:c r="C24" s="2" t="str">
        <x:v>other opex</x:v>
      </x:c>
      <x:c r="D24" s="2"/>
      <x:c r="E24" s="12" t="n">
        <x:v>306</x:v>
      </x:c>
      <x:c r="F24" s="12" t="n">
        <x:v>0</x:v>
      </x:c>
      <x:c r="G24" s="12" t="n">
        <x:v>0</x:v>
      </x:c>
      <x:c r="H24" s="12" t="n">
        <x:v>0</x:v>
      </x:c>
      <x:c r="I24" s="12" t="n">
        <x:v>0</x:v>
      </x:c>
      <x:c r="J24" s="12" t="n">
        <x:v>0</x:v>
      </x:c>
      <x:c r="K24" s="12" t="n">
        <x:v>0</x:v>
      </x:c>
      <x:c r="L24" s="12" t="n">
        <x:v>0</x:v>
      </x:c>
      <x:c r="M24" s="12" t="n">
        <x:v>0</x:v>
      </x:c>
      <x:c r="N24" s="12" t="n">
        <x:v>0</x:v>
      </x:c>
      <x:c r="O24" s="11"/>
      <x:c r="P24" s="11"/>
      <x:c r="Q24" s="11"/>
      <x:c r="R24" s="11"/>
      <x:c r="S24" s="11"/>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5" customHeight="1">
      <x:c r="A27" s="2"/>
      <x:c r="B27" s="2"/>
      <x:c r="C27" s="10" t="str">
        <x:v>Audited balance sheets</x:v>
      </x:c>
      <x:c r="D27" s="10"/>
      <x:c r="E27" s="10"/>
      <x:c r="F27" s="10"/>
      <x:c r="G27" s="10"/>
      <x:c r="H27" s="10"/>
      <x:c r="I27" s="10"/>
      <x:c r="J27" s="10"/>
      <x:c r="K27" s="10"/>
      <x:c r="L27" s="10"/>
      <x:c r="M27" s="10"/>
      <x:c r="N27" s="10"/>
      <x:c r="O27" s="10"/>
      <x:c r="P27" s="10"/>
      <x:c r="Q27" s="10"/>
      <x:c r="R27" s="10"/>
      <x:c r="S27" s="10"/>
      <x:c r="T27" s="2"/>
      <x:c r="U27" s="2"/>
    </x:row>
    <x:row r="28" ht="21" customHeight="1">
      <x:c r="A28" s="2"/>
      <x:c r="B28" s="2"/>
      <x:c r="C28" s="2" t="str">
        <x:v>cash</x:v>
      </x:c>
      <x:c r="D28" s="2"/>
      <x:c r="E28" s="12" t="n">
        <x:v>7663</x:v>
      </x:c>
      <x:c r="F28" s="12" t="n">
        <x:v>11946</x:v>
      </x:c>
      <x:c r="G28" s="12" t="n">
        <x:v>11356</x:v>
      </x:c>
      <x:c r="H28" s="12" t="n">
        <x:v>13576</x:v>
      </x:c>
      <x:c r="I28" s="12" t="n">
        <x:v>14224</x:v>
      </x:c>
      <x:c r="J28" s="12" t="n">
        <x:v>13931</x:v>
      </x:c>
      <x:c r="K28" s="12" t="n">
        <x:v>34704</x:v>
      </x:c>
      <x:c r="L28" s="12" t="n">
        <x:v>18315</x:v>
      </x:c>
      <x:c r="M28" s="12" t="n">
        <x:v>30242</x:v>
      </x:c>
      <x:c r="N28" s="12" t="n">
        <x:v>20935</x:v>
      </x:c>
      <x:c r="O28" s="11"/>
      <x:c r="P28" s="11"/>
      <x:c r="Q28" s="11"/>
      <x:c r="R28" s="11"/>
      <x:c r="S28" s="11"/>
      <x:c r="T28" s="2"/>
      <x:c r="U28" s="2"/>
    </x:row>
    <x:row r="29" ht="21" customHeight="1">
      <x:c r="A29" s="2"/>
      <x:c r="B29" s="2"/>
      <x:c r="C29" s="2" t="str">
        <x:v>st investments</x:v>
      </x:c>
      <x:c r="D29" s="2"/>
      <x:c r="E29" s="12" t="n">
        <x:v>125318</x:v>
      </x:c>
      <x:c r="F29" s="12" t="n">
        <x:v>121822</x:v>
      </x:c>
      <x:c r="G29" s="12" t="n">
        <x:v>122463</x:v>
      </x:c>
      <x:c r="H29" s="12" t="n">
        <x:v>122951</x:v>
      </x:c>
      <x:c r="I29" s="12" t="n">
        <x:v>116110</x:v>
      </x:c>
      <x:c r="J29" s="12" t="n">
        <x:v>90826</x:v>
      </x:c>
      <x:c r="K29" s="12" t="n">
        <x:v>76558</x:v>
      </x:c>
      <x:c r="L29" s="12" t="n">
        <x:v>57228</x:v>
      </x:c>
      <x:c r="M29" s="12" t="n">
        <x:v>64323</x:v>
      </x:c>
      <x:c r="N29" s="12" t="n">
        <x:v>55908</x:v>
      </x:c>
      <x:c r="O29" s="11"/>
      <x:c r="P29" s="11"/>
      <x:c r="Q29" s="11"/>
      <x:c r="R29" s="11"/>
      <x:c r="S29" s="11"/>
      <x:c r="T29" s="2"/>
      <x:c r="U29" s="2"/>
    </x:row>
    <x:row r="30" ht="21" customHeight="1">
      <x:c r="A30" s="2"/>
      <x:c r="B30" s="2"/>
      <x:c r="C30" s="2" t="str">
        <x:v>liquid assets</x:v>
      </x:c>
      <x:c r="D30" s="2"/>
      <x:c r="E30" s="12" t="n">
        <x:v>132981</x:v>
      </x:c>
      <x:c r="F30" s="12" t="n">
        <x:v>133768</x:v>
      </x:c>
      <x:c r="G30" s="12" t="n">
        <x:v>133819</x:v>
      </x:c>
      <x:c r="H30" s="12" t="n">
        <x:v>136527</x:v>
      </x:c>
      <x:c r="I30" s="12" t="n">
        <x:v>130334</x:v>
      </x:c>
      <x:c r="J30" s="12" t="n">
        <x:v>104757</x:v>
      </x:c>
      <x:c r="K30" s="12" t="n">
        <x:v>111262</x:v>
      </x:c>
      <x:c r="L30" s="12" t="n">
        <x:v>75543</x:v>
      </x:c>
      <x:c r="M30" s="12" t="n">
        <x:v>94565</x:v>
      </x:c>
      <x:c r="N30" s="12" t="n">
        <x:v>76843</x:v>
      </x:c>
      <x:c r="O30" s="11"/>
      <x:c r="P30" s="11"/>
      <x:c r="Q30" s="11"/>
      <x:c r="R30" s="11"/>
      <x:c r="S30" s="11"/>
      <x:c r="T30" s="2"/>
      <x:c r="U30" s="2"/>
    </x:row>
    <x:row r="31" ht="21" customHeight="1">
      <x:c r="A31" s="2"/>
      <x:c r="B31" s="2"/>
      <x:c r="C31" s="2" t="str">
        <x:v>receivables</x:v>
      </x:c>
      <x:c r="D31" s="2"/>
      <x:c r="E31" s="12" t="n">
        <x:v>22431</x:v>
      </x:c>
      <x:c r="F31" s="12" t="n">
        <x:v>26481</x:v>
      </x:c>
      <x:c r="G31" s="12" t="n">
        <x:v>29524</x:v>
      </x:c>
      <x:c r="H31" s="12" t="n">
        <x:v>32011</x:v>
      </x:c>
      <x:c r="I31" s="12" t="n">
        <x:v>38043</x:v>
      </x:c>
      <x:c r="J31" s="12" t="n">
        <x:v>44261</x:v>
      </x:c>
      <x:c r="K31" s="12" t="n">
        <x:v>48688</x:v>
      </x:c>
      <x:c r="L31" s="12" t="n">
        <x:v>56924</x:v>
      </x:c>
      <x:c r="M31" s="12" t="n">
        <x:v>69905</x:v>
      </x:c>
      <x:c r="N31" s="12" t="n">
        <x:v>80876</x:v>
      </x:c>
      <x:c r="O31" s="11"/>
      <x:c r="P31" s="11"/>
      <x:c r="Q31" s="11"/>
      <x:c r="R31" s="11"/>
      <x:c r="S31" s="11"/>
      <x:c r="T31" s="2"/>
      <x:c r="U31" s="2"/>
    </x:row>
    <x:row r="32" ht="21" customHeight="1">
      <x:c r="A32" s="2"/>
      <x:c r="B32" s="2"/>
      <x:c r="C32" s="2" t="str">
        <x:v>inventory</x:v>
      </x:c>
      <x:c r="D32" s="2"/>
      <x:c r="E32" s="12" t="n">
        <x:v>2181</x:v>
      </x:c>
      <x:c r="F32" s="12" t="n">
        <x:v>2662</x:v>
      </x:c>
      <x:c r="G32" s="12" t="n">
        <x:v>2063</x:v>
      </x:c>
      <x:c r="H32" s="12" t="n">
        <x:v>1895</x:v>
      </x:c>
      <x:c r="I32" s="12" t="n">
        <x:v>2636</x:v>
      </x:c>
      <x:c r="J32" s="12" t="n">
        <x:v>3742</x:v>
      </x:c>
      <x:c r="K32" s="12" t="n">
        <x:v>2500</x:v>
      </x:c>
      <x:c r="L32" s="12" t="n">
        <x:v>1246</x:v>
      </x:c>
      <x:c r="M32" s="12" t="n">
        <x:v>938</x:v>
      </x:c>
      <x:c r="N32" s="12" t="n">
        <x:v>1397</x:v>
      </x:c>
      <x:c r="O32" s="11"/>
      <x:c r="P32" s="11"/>
      <x:c r="Q32" s="11"/>
      <x:c r="R32" s="11"/>
      <x:c r="S32" s="11"/>
      <x:c r="T32" s="2"/>
      <x:c r="U32" s="2"/>
    </x:row>
    <x:row r="33" ht="21" customHeight="1">
      <x:c r="A33" s="2"/>
      <x:c r="B33" s="2"/>
      <x:c r="C33" s="2" t="str">
        <x:v>other current assets</x:v>
      </x:c>
      <x:c r="D33" s="2"/>
      <x:c r="E33" s="12" t="n">
        <x:v>5103</x:v>
      </x:c>
      <x:c r="F33" s="12" t="n">
        <x:v>6751</x:v>
      </x:c>
      <x:c r="G33" s="12" t="n">
        <x:v>10146</x:v>
      </x:c>
      <x:c r="H33" s="12" t="n">
        <x:v>11482</x:v>
      </x:c>
      <x:c r="I33" s="12" t="n">
        <x:v>13393</x:v>
      </x:c>
      <x:c r="J33" s="12" t="n">
        <x:v>16924</x:v>
      </x:c>
      <x:c r="K33" s="12" t="n">
        <x:v>21807</x:v>
      </x:c>
      <x:c r="L33" s="12" t="n">
        <x:v>26021</x:v>
      </x:c>
      <x:c r="M33" s="12" t="n">
        <x:v>25723</x:v>
      </x:c>
      <x:c r="N33" s="12" t="n">
        <x:v>48594</x:v>
      </x:c>
      <x:c r="O33" s="11"/>
      <x:c r="P33" s="11"/>
      <x:c r="Q33" s="11"/>
      <x:c r="R33" s="11"/>
      <x:c r="S33" s="11"/>
      <x:c r="T33" s="2"/>
      <x:c r="U33" s="2"/>
    </x:row>
    <x:row r="34" ht="21" customHeight="1">
      <x:c r="A34" s="2"/>
      <x:c r="B34" s="2"/>
      <x:c r="C34" s="2" t="str">
        <x:v>current assets</x:v>
      </x:c>
      <x:c r="D34" s="2"/>
      <x:c r="E34" s="12" t="n">
        <x:v>162696</x:v>
      </x:c>
      <x:c r="F34" s="12" t="n">
        <x:v>169662</x:v>
      </x:c>
      <x:c r="G34" s="12" t="n">
        <x:v>175552</x:v>
      </x:c>
      <x:c r="H34" s="12" t="n">
        <x:v>181915</x:v>
      </x:c>
      <x:c r="I34" s="12" t="n">
        <x:v>184406</x:v>
      </x:c>
      <x:c r="J34" s="12" t="n">
        <x:v>169684</x:v>
      </x:c>
      <x:c r="K34" s="12" t="n">
        <x:v>184257</x:v>
      </x:c>
      <x:c r="L34" s="12" t="n">
        <x:v>159734</x:v>
      </x:c>
      <x:c r="M34" s="12" t="n">
        <x:v>191131</x:v>
      </x:c>
      <x:c r="N34" s="12" t="n">
        <x:v>207710</x:v>
      </x:c>
      <x:c r="O34" s="11"/>
      <x:c r="P34" s="11"/>
      <x:c r="Q34" s="11"/>
      <x:c r="R34" s="11"/>
      <x:c r="S34" s="11"/>
      <x:c r="T34" s="2"/>
      <x:c r="U34" s="2"/>
    </x:row>
    <x:row r="35" ht="21" customHeight="1">
      <x:c r="A35" s="2"/>
      <x:c r="B35" s="2"/>
      <x:c r="C35" s="2" t="str">
        <x:v>ppe</x:v>
      </x:c>
      <x:c r="D35" s="2"/>
      <x:c r="E35" s="12" t="n">
        <x:v>23734</x:v>
      </x:c>
      <x:c r="F35" s="12" t="n">
        <x:v>29460</x:v>
      </x:c>
      <x:c r="G35" s="12" t="n">
        <x:v>36477</x:v>
      </x:c>
      <x:c r="H35" s="12" t="n">
        <x:v>44151</x:v>
      </x:c>
      <x:c r="I35" s="12" t="n">
        <x:v>59715</x:v>
      </x:c>
      <x:c r="J35" s="12" t="n">
        <x:v>74398</x:v>
      </x:c>
      <x:c r="K35" s="12" t="n">
        <x:v>95641</x:v>
      </x:c>
      <x:c r="L35" s="12" t="n">
        <x:v>135591</x:v>
      </x:c>
      <x:c r="M35" s="12" t="n">
        <x:v>204966</x:v>
      </x:c>
      <x:c r="N35" s="12" t="n">
        <x:v>313076</x:v>
      </x:c>
      <x:c r="O35" s="11"/>
      <x:c r="P35" s="11"/>
      <x:c r="Q35" s="11"/>
      <x:c r="R35" s="11"/>
      <x:c r="S35" s="11"/>
      <x:c r="T35" s="2"/>
      <x:c r="U35" s="2"/>
    </x:row>
    <x:row r="36" ht="21" customHeight="1">
      <x:c r="A36" s="2"/>
      <x:c r="B36" s="2"/>
      <x:c r="C36" s="2" t="str">
        <x:v>op rou</x:v>
      </x:c>
      <x:c r="D36" s="2"/>
      <x:c r="E36" s="12" t="n">
        <x:v>6555</x:v>
      </x:c>
      <x:c r="F36" s="12" t="n">
        <x:v>6686</x:v>
      </x:c>
      <x:c r="G36" s="12" t="n">
        <x:v>7379</x:v>
      </x:c>
      <x:c r="H36" s="12" t="n">
        <x:v>8753</x:v>
      </x:c>
      <x:c r="I36" s="12" t="n">
        <x:v>11088</x:v>
      </x:c>
      <x:c r="J36" s="12" t="n">
        <x:v>13148</x:v>
      </x:c>
      <x:c r="K36" s="12" t="n">
        <x:v>14346</x:v>
      </x:c>
      <x:c r="L36" s="12" t="n">
        <x:v>18961</x:v>
      </x:c>
      <x:c r="M36" s="12" t="n">
        <x:v>24823</x:v>
      </x:c>
      <x:c r="N36" s="12" t="n">
        <x:v>24177</x:v>
      </x:c>
      <x:c r="O36" s="11"/>
      <x:c r="P36" s="11"/>
      <x:c r="Q36" s="11"/>
      <x:c r="R36" s="11"/>
      <x:c r="S36" s="11"/>
      <x:c r="T36" s="2"/>
      <x:c r="U36" s="2"/>
    </x:row>
    <x:row r="37" ht="21" customHeight="1">
      <x:c r="A37" s="2"/>
      <x:c r="B37" s="2"/>
      <x:c r="C37" s="2" t="str">
        <x:v>equity investments</x:v>
      </x:c>
      <x:c r="D37" s="2"/>
      <x:c r="E37" s="12" t="n">
        <x:v>6023</x:v>
      </x:c>
      <x:c r="F37" s="12" t="n">
        <x:v>1862</x:v>
      </x:c>
      <x:c r="G37" s="12" t="n">
        <x:v>2649</x:v>
      </x:c>
      <x:c r="H37" s="12" t="n">
        <x:v>2965</x:v>
      </x:c>
      <x:c r="I37" s="12" t="n">
        <x:v>5984</x:v>
      </x:c>
      <x:c r="J37" s="12" t="n">
        <x:v>6891</x:v>
      </x:c>
      <x:c r="K37" s="12" t="n">
        <x:v>9879</x:v>
      </x:c>
      <x:c r="L37" s="12" t="n">
        <x:v>14600</x:v>
      </x:c>
      <x:c r="M37" s="12" t="n">
        <x:v>15405</x:v>
      </x:c>
      <x:c r="N37" s="12" t="n">
        <x:v>36348</x:v>
      </x:c>
      <x:c r="O37" s="11"/>
      <x:c r="P37" s="11"/>
      <x:c r="Q37" s="11"/>
      <x:c r="R37" s="11"/>
      <x:c r="S37" s="11"/>
      <x:c r="T37" s="2"/>
      <x:c r="U37" s="2"/>
    </x:row>
    <x:row r="38" ht="21" customHeight="1">
      <x:c r="A38" s="2"/>
      <x:c r="B38" s="2"/>
      <x:c r="C38" s="2" t="str">
        <x:v>goodwill</x:v>
      </x:c>
      <x:c r="D38" s="2"/>
      <x:c r="E38" s="12" t="n">
        <x:v>35122</x:v>
      </x:c>
      <x:c r="F38" s="12" t="n">
        <x:v>35683</x:v>
      </x:c>
      <x:c r="G38" s="12" t="n">
        <x:v>42026</x:v>
      </x:c>
      <x:c r="H38" s="12" t="n">
        <x:v>43351</x:v>
      </x:c>
      <x:c r="I38" s="12" t="n">
        <x:v>49711</x:v>
      </x:c>
      <x:c r="J38" s="12" t="n">
        <x:v>67524</x:v>
      </x:c>
      <x:c r="K38" s="12" t="n">
        <x:v>67886</x:v>
      </x:c>
      <x:c r="L38" s="12" t="n">
        <x:v>119220</x:v>
      </x:c>
      <x:c r="M38" s="12" t="n">
        <x:v>119509</x:v>
      </x:c>
      <x:c r="N38" s="12" t="n">
        <x:v>119651</x:v>
      </x:c>
      <x:c r="O38" s="11"/>
      <x:c r="P38" s="11"/>
      <x:c r="Q38" s="11"/>
      <x:c r="R38" s="11"/>
      <x:c r="S38" s="11"/>
      <x:c r="T38" s="2"/>
      <x:c r="U38" s="2"/>
    </x:row>
    <x:row r="39" ht="21" customHeight="1">
      <x:c r="A39" s="2"/>
      <x:c r="B39" s="2"/>
      <x:c r="C39" s="2" t="str">
        <x:v>intangibles</x:v>
      </x:c>
      <x:c r="D39" s="2"/>
      <x:c r="E39" s="12" t="n">
        <x:v>10106</x:v>
      </x:c>
      <x:c r="F39" s="12" t="n">
        <x:v>8053</x:v>
      </x:c>
      <x:c r="G39" s="12" t="n">
        <x:v>7750</x:v>
      </x:c>
      <x:c r="H39" s="12" t="n">
        <x:v>7038</x:v>
      </x:c>
      <x:c r="I39" s="12" t="n">
        <x:v>7800</x:v>
      </x:c>
      <x:c r="J39" s="12" t="n">
        <x:v>11298</x:v>
      </x:c>
      <x:c r="K39" s="12" t="n">
        <x:v>9366</x:v>
      </x:c>
      <x:c r="L39" s="12" t="n">
        <x:v>27597</x:v>
      </x:c>
      <x:c r="M39" s="12" t="n">
        <x:v>22604</x:v>
      </x:c>
      <x:c r="N39" s="12" t="n">
        <x:v>18609</x:v>
      </x:c>
      <x:c r="O39" s="11"/>
      <x:c r="P39" s="11"/>
      <x:c r="Q39" s="11"/>
      <x:c r="R39" s="11"/>
      <x:c r="S39" s="11"/>
      <x:c r="T39" s="2"/>
      <x:c r="U39" s="2"/>
    </x:row>
    <x:row r="40" ht="21" customHeight="1">
      <x:c r="A40" s="2"/>
      <x:c r="B40" s="2"/>
      <x:c r="C40" s="2" t="str">
        <x:v>other lt assets</x:v>
      </x:c>
      <x:c r="D40" s="2"/>
      <x:c r="E40" s="12" t="n">
        <x:v>6076</x:v>
      </x:c>
      <x:c r="F40" s="12" t="n">
        <x:v>7442</x:v>
      </x:c>
      <x:c r="G40" s="12" t="n">
        <x:v>14723</x:v>
      </x:c>
      <x:c r="H40" s="12" t="n">
        <x:v>13138</x:v>
      </x:c>
      <x:c r="I40" s="12" t="n">
        <x:v>15075</x:v>
      </x:c>
      <x:c r="J40" s="12" t="n">
        <x:v>21897</x:v>
      </x:c>
      <x:c r="K40" s="12" t="n">
        <x:v>30601</x:v>
      </x:c>
      <x:c r="L40" s="12" t="n">
        <x:v>36460</x:v>
      </x:c>
      <x:c r="M40" s="12" t="n">
        <x:v>40565</x:v>
      </x:c>
      <x:c r="N40" s="12" t="n">
        <x:v>38805</x:v>
      </x:c>
      <x:c r="O40" s="11"/>
      <x:c r="P40" s="11"/>
      <x:c r="Q40" s="11"/>
      <x:c r="R40" s="11"/>
      <x:c r="S40" s="11"/>
      <x:c r="T40" s="2"/>
      <x:c r="U40" s="2"/>
    </x:row>
    <x:row r="41" ht="21" customHeight="1">
      <x:c r="A41" s="2"/>
      <x:c r="B41" s="2"/>
      <x:c r="C41" s="2" t="str">
        <x:v>total assets</x:v>
      </x:c>
      <x:c r="D41" s="2"/>
      <x:c r="E41" s="12" t="n">
        <x:v>250312</x:v>
      </x:c>
      <x:c r="F41" s="12" t="n">
        <x:v>258848</x:v>
      </x:c>
      <x:c r="G41" s="12" t="n">
        <x:v>286556</x:v>
      </x:c>
      <x:c r="H41" s="12" t="n">
        <x:v>301311</x:v>
      </x:c>
      <x:c r="I41" s="12" t="n">
        <x:v>333779</x:v>
      </x:c>
      <x:c r="J41" s="12" t="n">
        <x:v>364840</x:v>
      </x:c>
      <x:c r="K41" s="12" t="n">
        <x:v>411976</x:v>
      </x:c>
      <x:c r="L41" s="12" t="n">
        <x:v>512163</x:v>
      </x:c>
      <x:c r="M41" s="12" t="n">
        <x:v>619003</x:v>
      </x:c>
      <x:c r="N41" s="12" t="n">
        <x:v>758376</x:v>
      </x:c>
      <x:c r="O41" s="11"/>
      <x:c r="P41" s="11"/>
      <x:c r="Q41" s="11"/>
      <x:c r="R41" s="11"/>
      <x:c r="S41" s="11"/>
      <x:c r="T41" s="2"/>
      <x:c r="U41" s="2"/>
    </x:row>
    <x:row r="42" ht="21" customHeight="1">
      <x:c r="A42" s="2"/>
      <x:c r="B42" s="2"/>
      <x:c r="C42" s="2" t="str">
        <x:v>payables</x:v>
      </x:c>
      <x:c r="D42" s="2"/>
      <x:c r="E42" s="12" t="n">
        <x:v>7390</x:v>
      </x:c>
      <x:c r="F42" s="12" t="n">
        <x:v>8617</x:v>
      </x:c>
      <x:c r="G42" s="12" t="n">
        <x:v>9382</x:v>
      </x:c>
      <x:c r="H42" s="12" t="n">
        <x:v>12530</x:v>
      </x:c>
      <x:c r="I42" s="12" t="n">
        <x:v>15163</x:v>
      </x:c>
      <x:c r="J42" s="12" t="n">
        <x:v>19000</x:v>
      </x:c>
      <x:c r="K42" s="12" t="n">
        <x:v>18095</x:v>
      </x:c>
      <x:c r="L42" s="12" t="n">
        <x:v>21996</x:v>
      </x:c>
      <x:c r="M42" s="12" t="n">
        <x:v>27724</x:v>
      </x:c>
      <x:c r="N42" s="12" t="n">
        <x:v>42416</x:v>
      </x:c>
      <x:c r="O42" s="11"/>
      <x:c r="P42" s="11"/>
      <x:c r="Q42" s="11"/>
      <x:c r="R42" s="11"/>
      <x:c r="S42" s="11"/>
      <x:c r="T42" s="2"/>
      <x:c r="U42" s="2"/>
    </x:row>
    <x:row r="43" ht="21" customHeight="1">
      <x:c r="A43" s="2"/>
      <x:c r="B43" s="2"/>
      <x:c r="C43" s="2" t="str">
        <x:v>current debt</x:v>
      </x:c>
      <x:c r="D43" s="2"/>
      <x:c r="E43" s="12" t="n">
        <x:v>1049</x:v>
      </x:c>
      <x:c r="F43" s="12" t="n">
        <x:v>3998</x:v>
      </x:c>
      <x:c r="G43" s="12" t="n">
        <x:v>5516</x:v>
      </x:c>
      <x:c r="H43" s="12" t="n">
        <x:v>3749</x:v>
      </x:c>
      <x:c r="I43" s="12" t="n">
        <x:v>8072</x:v>
      </x:c>
      <x:c r="J43" s="12" t="n">
        <x:v>2749</x:v>
      </x:c>
      <x:c r="K43" s="12" t="n">
        <x:v>5247</x:v>
      </x:c>
      <x:c r="L43" s="12" t="n">
        <x:v>2249</x:v>
      </x:c>
      <x:c r="M43" s="12" t="n">
        <x:v>2999</x:v>
      </x:c>
      <x:c r="N43" s="12" t="n">
        <x:v>9227</x:v>
      </x:c>
      <x:c r="O43" s="11"/>
      <x:c r="P43" s="11"/>
      <x:c r="Q43" s="11"/>
      <x:c r="R43" s="11"/>
      <x:c r="S43" s="11"/>
      <x:c r="T43" s="2"/>
      <x:c r="U43" s="2"/>
    </x:row>
    <x:row r="44" ht="21" customHeight="1">
      <x:c r="A44" s="2"/>
      <x:c r="B44" s="2"/>
      <x:c r="C44" s="2" t="str">
        <x:v>compensation</x:v>
      </x:c>
      <x:c r="D44" s="2"/>
      <x:c r="E44" s="12" t="n">
        <x:v>5819</x:v>
      </x:c>
      <x:c r="F44" s="12" t="n">
        <x:v>6103</x:v>
      </x:c>
      <x:c r="G44" s="12" t="n">
        <x:v>6830</x:v>
      </x:c>
      <x:c r="H44" s="12" t="n">
        <x:v>7874</x:v>
      </x:c>
      <x:c r="I44" s="12" t="n">
        <x:v>10057</x:v>
      </x:c>
      <x:c r="J44" s="12" t="n">
        <x:v>10661</x:v>
      </x:c>
      <x:c r="K44" s="12" t="n">
        <x:v>11009</x:v>
      </x:c>
      <x:c r="L44" s="12" t="n">
        <x:v>12564</x:v>
      </x:c>
      <x:c r="M44" s="12" t="n">
        <x:v>13709</x:v>
      </x:c>
      <x:c r="N44" s="12" t="n">
        <x:v>14945</x:v>
      </x:c>
      <x:c r="O44" s="11"/>
      <x:c r="P44" s="11"/>
      <x:c r="Q44" s="11"/>
      <x:c r="R44" s="11"/>
      <x:c r="S44" s="11"/>
      <x:c r="T44" s="2"/>
      <x:c r="U44" s="2"/>
    </x:row>
    <x:row r="45" ht="21" customHeight="1">
      <x:c r="A45" s="2"/>
      <x:c r="B45" s="2"/>
      <x:c r="C45" s="2" t="str">
        <x:v>current tax</x:v>
      </x:c>
      <x:c r="D45" s="2"/>
      <x:c r="E45" s="12" t="n">
        <x:v>718</x:v>
      </x:c>
      <x:c r="F45" s="12" t="n">
        <x:v>2121</x:v>
      </x:c>
      <x:c r="G45" s="12" t="n">
        <x:v>5665</x:v>
      </x:c>
      <x:c r="H45" s="12" t="n">
        <x:v>2130</x:v>
      </x:c>
      <x:c r="I45" s="12" t="n">
        <x:v>2174</x:v>
      </x:c>
      <x:c r="J45" s="12" t="n">
        <x:v>4067</x:v>
      </x:c>
      <x:c r="K45" s="12" t="n">
        <x:v>4152</x:v>
      </x:c>
      <x:c r="L45" s="12" t="n">
        <x:v>5017</x:v>
      </x:c>
      <x:c r="M45" s="12" t="n">
        <x:v>7211</x:v>
      </x:c>
      <x:c r="N45" s="12" t="n">
        <x:v>2534</x:v>
      </x:c>
      <x:c r="O45" s="11"/>
      <x:c r="P45" s="11"/>
      <x:c r="Q45" s="11"/>
      <x:c r="R45" s="11"/>
      <x:c r="S45" s="11"/>
      <x:c r="T45" s="2"/>
      <x:c r="U45" s="2"/>
    </x:row>
    <x:row r="46" ht="21" customHeight="1">
      <x:c r="A46" s="2"/>
      <x:c r="B46" s="2"/>
      <x:c r="C46" s="2" t="str">
        <x:v>current deferred rev</x:v>
      </x:c>
      <x:c r="D46" s="2"/>
      <x:c r="E46" s="12" t="n">
        <x:v>24013</x:v>
      </x:c>
      <x:c r="F46" s="12" t="n">
        <x:v>28905</x:v>
      </x:c>
      <x:c r="G46" s="12" t="n">
        <x:v>32676</x:v>
      </x:c>
      <x:c r="H46" s="12" t="n">
        <x:v>36000</x:v>
      </x:c>
      <x:c r="I46" s="12" t="n">
        <x:v>41525</x:v>
      </x:c>
      <x:c r="J46" s="12" t="n">
        <x:v>45538</x:v>
      </x:c>
      <x:c r="K46" s="12" t="n">
        <x:v>50901</x:v>
      </x:c>
      <x:c r="L46" s="12" t="n">
        <x:v>57582</x:v>
      </x:c>
      <x:c r="M46" s="12" t="n">
        <x:v>64555</x:v>
      </x:c>
      <x:c r="N46" s="12" t="n">
        <x:v>72965</x:v>
      </x:c>
      <x:c r="O46" s="11"/>
      <x:c r="P46" s="11"/>
      <x:c r="Q46" s="11"/>
      <x:c r="R46" s="11"/>
      <x:c r="S46" s="11"/>
      <x:c r="T46" s="2"/>
      <x:c r="U46" s="2"/>
    </x:row>
    <x:row r="47" ht="21" customHeight="1">
      <x:c r="A47" s="2"/>
      <x:c r="B47" s="2"/>
      <x:c r="C47" s="2" t="str">
        <x:v>other current liab</x:v>
      </x:c>
      <x:c r="D47" s="2"/>
      <x:c r="E47" s="12" t="n">
        <x:v>7684</x:v>
      </x:c>
      <x:c r="F47" s="12" t="n">
        <x:v>8744</x:v>
      </x:c>
      <x:c r="G47" s="12" t="n">
        <x:v>9351</x:v>
      </x:c>
      <x:c r="H47" s="12" t="n">
        <x:v>10027</x:v>
      </x:c>
      <x:c r="I47" s="12" t="n">
        <x:v>11666</x:v>
      </x:c>
      <x:c r="J47" s="12" t="n">
        <x:v>13067</x:v>
      </x:c>
      <x:c r="K47" s="12" t="n">
        <x:v>14745</x:v>
      </x:c>
      <x:c r="L47" s="12" t="n">
        <x:v>19185</x:v>
      </x:c>
      <x:c r="M47" s="12" t="n">
        <x:v>25020</x:v>
      </x:c>
      <x:c r="N47" s="12" t="n">
        <x:v>26738</x:v>
      </x:c>
      <x:c r="O47" s="11"/>
      <x:c r="P47" s="11"/>
      <x:c r="Q47" s="11"/>
      <x:c r="R47" s="11"/>
      <x:c r="S47" s="11"/>
      <x:c r="T47" s="2"/>
      <x:c r="U47" s="2"/>
    </x:row>
    <x:row r="48" ht="21" customHeight="1">
      <x:c r="A48" s="2"/>
      <x:c r="B48" s="2"/>
      <x:c r="C48" s="2" t="str">
        <x:v>current liabilities</x:v>
      </x:c>
      <x:c r="D48" s="2"/>
      <x:c r="E48" s="12" t="n">
        <x:v>55745</x:v>
      </x:c>
      <x:c r="F48" s="12" t="n">
        <x:v>58488</x:v>
      </x:c>
      <x:c r="G48" s="12" t="n">
        <x:v>69420</x:v>
      </x:c>
      <x:c r="H48" s="12" t="n">
        <x:v>72310</x:v>
      </x:c>
      <x:c r="I48" s="12" t="n">
        <x:v>88657</x:v>
      </x:c>
      <x:c r="J48" s="12" t="n">
        <x:v>95082</x:v>
      </x:c>
      <x:c r="K48" s="12" t="n">
        <x:v>104149</x:v>
      </x:c>
      <x:c r="L48" s="12" t="n">
        <x:v>125286</x:v>
      </x:c>
      <x:c r="M48" s="12" t="n">
        <x:v>141218</x:v>
      </x:c>
      <x:c r="N48" s="12" t="n">
        <x:v>168825</x:v>
      </x:c>
      <x:c r="O48" s="11"/>
      <x:c r="P48" s="11"/>
      <x:c r="Q48" s="11"/>
      <x:c r="R48" s="11"/>
      <x:c r="S48" s="11"/>
      <x:c r="T48" s="2"/>
      <x:c r="U48" s="2"/>
    </x:row>
    <x:row r="49" ht="21" customHeight="1">
      <x:c r="A49" s="2"/>
      <x:c r="B49" s="2"/>
      <x:c r="C49" s="2" t="str">
        <x:v>long debt</x:v>
      </x:c>
      <x:c r="D49" s="2"/>
      <x:c r="E49" s="12" t="n">
        <x:v>76073</x:v>
      </x:c>
      <x:c r="F49" s="12" t="n">
        <x:v>72242</x:v>
      </x:c>
      <x:c r="G49" s="12" t="n">
        <x:v>66662</x:v>
      </x:c>
      <x:c r="H49" s="12" t="n">
        <x:v>59578</x:v>
      </x:c>
      <x:c r="I49" s="12" t="n">
        <x:v>50074</x:v>
      </x:c>
      <x:c r="J49" s="12" t="n">
        <x:v>47032</x:v>
      </x:c>
      <x:c r="K49" s="12" t="n">
        <x:v>41990</x:v>
      </x:c>
      <x:c r="L49" s="12" t="n">
        <x:v>42688</x:v>
      </x:c>
      <x:c r="M49" s="12" t="n">
        <x:v>40152</x:v>
      </x:c>
      <x:c r="N49" s="12" t="n">
        <x:v>31067</x:v>
      </x:c>
      <x:c r="O49" s="11"/>
      <x:c r="P49" s="11"/>
      <x:c r="Q49" s="11"/>
      <x:c r="R49" s="11"/>
      <x:c r="S49" s="11"/>
      <x:c r="T49" s="2"/>
      <x:c r="U49" s="2"/>
    </x:row>
    <x:row r="50" ht="21" customHeight="1">
      <x:c r="A50" s="2"/>
      <x:c r="B50" s="2"/>
      <x:c r="C50" s="2" t="str">
        <x:v>long tax</x:v>
      </x:c>
      <x:c r="D50" s="2"/>
      <x:c r="E50" s="12" t="n">
        <x:v>13485</x:v>
      </x:c>
      <x:c r="F50" s="12" t="n">
        <x:v>30265</x:v>
      </x:c>
      <x:c r="G50" s="12" t="n">
        <x:v>29612</x:v>
      </x:c>
      <x:c r="H50" s="12" t="n">
        <x:v>29432</x:v>
      </x:c>
      <x:c r="I50" s="12" t="n">
        <x:v>27190</x:v>
      </x:c>
      <x:c r="J50" s="12" t="n">
        <x:v>26069</x:v>
      </x:c>
      <x:c r="K50" s="12" t="n">
        <x:v>25560</x:v>
      </x:c>
      <x:c r="L50" s="12" t="n">
        <x:v>27931</x:v>
      </x:c>
      <x:c r="M50" s="12" t="n">
        <x:v>25986</x:v>
      </x:c>
      <x:c r="N50" s="12" t="n">
        <x:v>28647</x:v>
      </x:c>
      <x:c r="O50" s="11"/>
      <x:c r="P50" s="11"/>
      <x:c r="Q50" s="11"/>
      <x:c r="R50" s="11"/>
      <x:c r="S50" s="11"/>
      <x:c r="T50" s="2"/>
      <x:c r="U50" s="2"/>
    </x:row>
    <x:row r="51" ht="21" customHeight="1">
      <x:c r="A51" s="2"/>
      <x:c r="B51" s="2"/>
      <x:c r="C51" s="2" t="str">
        <x:v>long deferred rev</x:v>
      </x:c>
      <x:c r="D51" s="2"/>
      <x:c r="E51" s="12" t="n">
        <x:v>2643</x:v>
      </x:c>
      <x:c r="F51" s="12" t="n">
        <x:v>3815</x:v>
      </x:c>
      <x:c r="G51" s="12" t="n">
        <x:v>4530</x:v>
      </x:c>
      <x:c r="H51" s="12" t="n">
        <x:v>3180</x:v>
      </x:c>
      <x:c r="I51" s="12" t="n">
        <x:v>2616</x:v>
      </x:c>
      <x:c r="J51" s="12" t="n">
        <x:v>2870</x:v>
      </x:c>
      <x:c r="K51" s="12" t="n">
        <x:v>2912</x:v>
      </x:c>
      <x:c r="L51" s="12" t="n">
        <x:v>2602</x:v>
      </x:c>
      <x:c r="M51" s="12" t="n">
        <x:v>2710</x:v>
      </x:c>
      <x:c r="N51" s="12" t="n">
        <x:v>2747</x:v>
      </x:c>
      <x:c r="O51" s="11"/>
      <x:c r="P51" s="11"/>
      <x:c r="Q51" s="11"/>
      <x:c r="R51" s="11"/>
      <x:c r="S51" s="11"/>
      <x:c r="T51" s="2"/>
      <x:c r="U51" s="2"/>
    </x:row>
    <x:row r="52" ht="21" customHeight="1">
      <x:c r="A52" s="2"/>
      <x:c r="B52" s="2"/>
      <x:c r="C52" s="2" t="str">
        <x:v>deferred tax liab</x:v>
      </x:c>
      <x:c r="D52" s="2"/>
      <x:c r="E52" s="12" t="n">
        <x:v>5734</x:v>
      </x:c>
      <x:c r="F52" s="12" t="n">
        <x:v>541</x:v>
      </x:c>
      <x:c r="G52" s="12" t="n">
        <x:v>233</x:v>
      </x:c>
      <x:c r="H52" s="12" t="n">
        <x:v>204</x:v>
      </x:c>
      <x:c r="I52" s="12" t="n">
        <x:v>198</x:v>
      </x:c>
      <x:c r="J52" s="12" t="n">
        <x:v>230</x:v>
      </x:c>
      <x:c r="K52" s="12" t="n">
        <x:v>433</x:v>
      </x:c>
      <x:c r="L52" s="12" t="n">
        <x:v>2618</x:v>
      </x:c>
      <x:c r="M52" s="12" t="n">
        <x:v>2835</x:v>
      </x:c>
      <x:c r="N52" s="12" t="n">
        <x:v>3054</x:v>
      </x:c>
      <x:c r="O52" s="11"/>
      <x:c r="P52" s="11"/>
      <x:c r="Q52" s="11"/>
      <x:c r="R52" s="11"/>
      <x:c r="S52" s="11"/>
      <x:c r="T52" s="2"/>
      <x:c r="U52" s="2"/>
    </x:row>
    <x:row r="53" ht="21" customHeight="1">
      <x:c r="A53" s="2"/>
      <x:c r="B53" s="2"/>
      <x:c r="C53" s="2" t="str">
        <x:v>op lease long</x:v>
      </x:c>
      <x:c r="D53" s="2"/>
      <x:c r="E53" s="12" t="n">
        <x:v>5372</x:v>
      </x:c>
      <x:c r="F53" s="12" t="n">
        <x:v>5568</x:v>
      </x:c>
      <x:c r="G53" s="12" t="n">
        <x:v>6188</x:v>
      </x:c>
      <x:c r="H53" s="12" t="n">
        <x:v>7671</x:v>
      </x:c>
      <x:c r="I53" s="12" t="n">
        <x:v>9629</x:v>
      </x:c>
      <x:c r="J53" s="12" t="n">
        <x:v>11489</x:v>
      </x:c>
      <x:c r="K53" s="12" t="n">
        <x:v>12728</x:v>
      </x:c>
      <x:c r="L53" s="12" t="n">
        <x:v>15497</x:v>
      </x:c>
      <x:c r="M53" s="12" t="n">
        <x:v>17437</x:v>
      </x:c>
      <x:c r="N53" s="12" t="n">
        <x:v>16532</x:v>
      </x:c>
      <x:c r="O53" s="11"/>
      <x:c r="P53" s="11"/>
      <x:c r="Q53" s="11"/>
      <x:c r="R53" s="11"/>
      <x:c r="S53" s="11"/>
      <x:c r="T53" s="2"/>
      <x:c r="U53" s="2"/>
    </x:row>
    <x:row r="54" ht="21" customHeight="1">
      <x:c r="A54" s="2"/>
      <x:c r="B54" s="2"/>
      <x:c r="C54" s="2" t="str">
        <x:v>other lt liab</x:v>
      </x:c>
      <x:c r="D54" s="2"/>
      <x:c r="E54" s="12" t="n">
        <x:v>3549</x:v>
      </x:c>
      <x:c r="F54" s="12" t="n">
        <x:v>5211</x:v>
      </x:c>
      <x:c r="G54" s="12" t="n">
        <x:v>7581</x:v>
      </x:c>
      <x:c r="H54" s="12" t="n">
        <x:v>10632</x:v>
      </x:c>
      <x:c r="I54" s="12" t="n">
        <x:v>13427</x:v>
      </x:c>
      <x:c r="J54" s="12" t="n">
        <x:v>15526</x:v>
      </x:c>
      <x:c r="K54" s="12" t="n">
        <x:v>17981</x:v>
      </x:c>
      <x:c r="L54" s="12" t="n">
        <x:v>27064</x:v>
      </x:c>
      <x:c r="M54" s="12" t="n">
        <x:v>45186</x:v>
      </x:c>
      <x:c r="N54" s="12" t="n">
        <x:v>65117</x:v>
      </x:c>
      <x:c r="O54" s="11"/>
      <x:c r="P54" s="11"/>
      <x:c r="Q54" s="11"/>
      <x:c r="R54" s="11"/>
      <x:c r="S54" s="11"/>
      <x:c r="T54" s="2"/>
      <x:c r="U54" s="2"/>
    </x:row>
    <x:row r="55" ht="21" customHeight="1">
      <x:c r="A55" s="2"/>
      <x:c r="B55" s="2"/>
      <x:c r="C55" s="2" t="str">
        <x:v>total liabilities</x:v>
      </x:c>
      <x:c r="D55" s="2"/>
      <x:c r="E55" s="12" t="n">
        <x:v>162601</x:v>
      </x:c>
      <x:c r="F55" s="12" t="n">
        <x:v>176130</x:v>
      </x:c>
      <x:c r="G55" s="12" t="n">
        <x:v>184226</x:v>
      </x:c>
      <x:c r="H55" s="12" t="n">
        <x:v>183007</x:v>
      </x:c>
      <x:c r="I55" s="12" t="n">
        <x:v>191791</x:v>
      </x:c>
      <x:c r="J55" s="12" t="n">
        <x:v>198298</x:v>
      </x:c>
      <x:c r="K55" s="12" t="n">
        <x:v>205753</x:v>
      </x:c>
      <x:c r="L55" s="12" t="n">
        <x:v>243686</x:v>
      </x:c>
      <x:c r="M55" s="12" t="n">
        <x:v>275524</x:v>
      </x:c>
      <x:c r="N55" s="12" t="n">
        <x:v>315989</x:v>
      </x:c>
      <x:c r="O55" s="11"/>
      <x:c r="P55" s="11"/>
      <x:c r="Q55" s="11"/>
      <x:c r="R55" s="11"/>
      <x:c r="S55" s="11"/>
      <x:c r="T55" s="2"/>
      <x:c r="U55" s="2"/>
    </x:row>
    <x:row r="56" ht="21" customHeight="1">
      <x:c r="A56" s="2"/>
      <x:c r="B56" s="2"/>
      <x:c r="C56" s="2" t="str">
        <x:v>paid in capital</x:v>
      </x:c>
      <x:c r="D56" s="2"/>
      <x:c r="E56" s="12" t="n">
        <x:v>69315</x:v>
      </x:c>
      <x:c r="F56" s="12" t="n">
        <x:v>71223</x:v>
      </x:c>
      <x:c r="G56" s="12" t="n">
        <x:v>78520</x:v>
      </x:c>
      <x:c r="H56" s="12" t="n">
        <x:v>80552</x:v>
      </x:c>
      <x:c r="I56" s="12" t="n">
        <x:v>83111</x:v>
      </x:c>
      <x:c r="J56" s="12" t="n">
        <x:v>86939</x:v>
      </x:c>
      <x:c r="K56" s="12" t="n">
        <x:v>93718</x:v>
      </x:c>
      <x:c r="L56" s="12" t="n">
        <x:v>100923</x:v>
      </x:c>
      <x:c r="M56" s="12" t="n">
        <x:v>109095</x:v>
      </x:c>
      <x:c r="N56" s="12" t="n">
        <x:v>117406</x:v>
      </x:c>
      <x:c r="O56" s="11"/>
      <x:c r="P56" s="11"/>
      <x:c r="Q56" s="11"/>
      <x:c r="R56" s="11"/>
      <x:c r="S56" s="11"/>
      <x:c r="T56" s="2"/>
      <x:c r="U56" s="2"/>
    </x:row>
    <x:row r="57" ht="21" customHeight="1">
      <x:c r="A57" s="2"/>
      <x:c r="B57" s="2"/>
      <x:c r="C57" s="2" t="str">
        <x:v>retained earnings</x:v>
      </x:c>
      <x:c r="D57" s="2"/>
      <x:c r="E57" s="12" t="n">
        <x:v>17769</x:v>
      </x:c>
      <x:c r="F57" s="12" t="n">
        <x:v>13682</x:v>
      </x:c>
      <x:c r="G57" s="12" t="n">
        <x:v>24150</x:v>
      </x:c>
      <x:c r="H57" s="12" t="n">
        <x:v>34566</x:v>
      </x:c>
      <x:c r="I57" s="12" t="n">
        <x:v>57055</x:v>
      </x:c>
      <x:c r="J57" s="12" t="n">
        <x:v>84281</x:v>
      </x:c>
      <x:c r="K57" s="12" t="n">
        <x:v>118848</x:v>
      </x:c>
      <x:c r="L57" s="12" t="n">
        <x:v>173144</x:v>
      </x:c>
      <x:c r="M57" s="12" t="n">
        <x:v>237731</x:v>
      </x:c>
      <x:c r="N57" s="12" t="n">
        <x:v>328265</x:v>
      </x:c>
      <x:c r="O57" s="11"/>
      <x:c r="P57" s="11"/>
      <x:c r="Q57" s="11"/>
      <x:c r="R57" s="11"/>
      <x:c r="S57" s="11"/>
      <x:c r="T57" s="2"/>
      <x:c r="U57" s="2"/>
    </x:row>
    <x:row r="58" ht="21" customHeight="1">
      <x:c r="A58" s="2"/>
      <x:c r="B58" s="2"/>
      <x:c r="C58" s="2" t="str">
        <x:v>aoci</x:v>
      </x:c>
      <x:c r="D58" s="2"/>
      <x:c r="E58" s="12" t="n">
        <x:v>627</x:v>
      </x:c>
      <x:c r="F58" s="12" t="n">
        <x:v>-2187</x:v>
      </x:c>
      <x:c r="G58" s="12" t="n">
        <x:v>-340</x:v>
      </x:c>
      <x:c r="H58" s="12" t="n">
        <x:v>3186</x:v>
      </x:c>
      <x:c r="I58" s="12" t="n">
        <x:v>1822</x:v>
      </x:c>
      <x:c r="J58" s="12" t="n">
        <x:v>-4678</x:v>
      </x:c>
      <x:c r="K58" s="12" t="n">
        <x:v>-6343</x:v>
      </x:c>
      <x:c r="L58" s="12" t="n">
        <x:v>-5590</x:v>
      </x:c>
      <x:c r="M58" s="12" t="n">
        <x:v>-3347</x:v>
      </x:c>
      <x:c r="N58" s="12" t="n">
        <x:v>-3284</x:v>
      </x:c>
      <x:c r="O58" s="11"/>
      <x:c r="P58" s="11"/>
      <x:c r="Q58" s="11"/>
      <x:c r="R58" s="11"/>
      <x:c r="S58" s="11"/>
      <x:c r="T58" s="2"/>
      <x:c r="U58" s="2"/>
    </x:row>
    <x:row r="59" ht="21" customHeight="1">
      <x:c r="A59" s="2"/>
      <x:c r="B59" s="2"/>
      <x:c r="C59" s="2" t="str">
        <x:v>total equity</x:v>
      </x:c>
      <x:c r="D59" s="2"/>
      <x:c r="E59" s="12" t="n">
        <x:v>87711</x:v>
      </x:c>
      <x:c r="F59" s="12" t="n">
        <x:v>82718</x:v>
      </x:c>
      <x:c r="G59" s="12" t="n">
        <x:v>102330</x:v>
      </x:c>
      <x:c r="H59" s="12" t="n">
        <x:v>118304</x:v>
      </x:c>
      <x:c r="I59" s="12" t="n">
        <x:v>141988</x:v>
      </x:c>
      <x:c r="J59" s="12" t="n">
        <x:v>166542</x:v>
      </x:c>
      <x:c r="K59" s="12" t="n">
        <x:v>206223</x:v>
      </x:c>
      <x:c r="L59" s="12" t="n">
        <x:v>268477</x:v>
      </x:c>
      <x:c r="M59" s="12" t="n">
        <x:v>343479</x:v>
      </x:c>
      <x:c r="N59" s="12" t="n">
        <x:v>442387</x:v>
      </x:c>
      <x:c r="O59" s="11"/>
      <x:c r="P59" s="11"/>
      <x:c r="Q59" s="11"/>
      <x:c r="R59" s="11"/>
      <x:c r="S59" s="11"/>
      <x:c r="T59" s="2"/>
      <x:c r="U59" s="2"/>
    </x:row>
    <x:row r="60" ht="21" customHeight="1">
      <x:c r="A60" s="2"/>
      <x:c r="B60" s="2"/>
      <x:c r="C60" s="2" t="str">
        <x:v>total le</x:v>
      </x:c>
      <x:c r="D60" s="2"/>
      <x:c r="E60" s="12" t="n">
        <x:v>250312</x:v>
      </x:c>
      <x:c r="F60" s="12" t="n">
        <x:v>258848</x:v>
      </x:c>
      <x:c r="G60" s="12" t="n">
        <x:v>286556</x:v>
      </x:c>
      <x:c r="H60" s="12" t="n">
        <x:v>301311</x:v>
      </x:c>
      <x:c r="I60" s="12" t="n">
        <x:v>333779</x:v>
      </x:c>
      <x:c r="J60" s="12" t="n">
        <x:v>364840</x:v>
      </x:c>
      <x:c r="K60" s="12" t="n">
        <x:v>411976</x:v>
      </x:c>
      <x:c r="L60" s="12" t="n">
        <x:v>512163</x:v>
      </x:c>
      <x:c r="M60" s="12" t="n">
        <x:v>619003</x:v>
      </x:c>
      <x:c r="N60" s="12" t="n">
        <x:v>758376</x:v>
      </x:c>
      <x:c r="O60" s="11"/>
      <x:c r="P60" s="11"/>
      <x:c r="Q60" s="11"/>
      <x:c r="R60" s="11"/>
      <x:c r="S60" s="11"/>
      <x:c r="T60" s="2"/>
      <x:c r="U60" s="2"/>
    </x:row>
    <x:row r="61" ht="21" customHeight="1">
      <x:c r="A61" s="2"/>
      <x:c r="B61" s="2"/>
      <x:c r="C61" s="2" t="str">
        <x:v>st debt</x:v>
      </x:c>
      <x:c r="D61" s="2"/>
      <x:c r="E61" s="12" t="n">
        <x:v>9072</x:v>
      </x:c>
      <x:c r="F61" s="12" t="n">
        <x:v>0</x:v>
      </x:c>
      <x:c r="G61" s="12" t="n">
        <x:v>0</x:v>
      </x:c>
      <x:c r="H61" s="12" t="n">
        <x:v>0</x:v>
      </x:c>
      <x:c r="I61" s="12" t="n">
        <x:v>0</x:v>
      </x:c>
      <x:c r="J61" s="12" t="n">
        <x:v>0</x:v>
      </x:c>
      <x:c r="K61" s="12" t="n">
        <x:v>0</x:v>
      </x:c>
      <x:c r="L61" s="12" t="n">
        <x:v>6693</x:v>
      </x:c>
      <x:c r="M61" s="12" t="n">
        <x:v>0</x:v>
      </x:c>
      <x:c r="N61" s="12" t="n">
        <x:v>0</x:v>
      </x:c>
      <x:c r="O61" s="11"/>
      <x:c r="P61" s="11"/>
      <x:c r="Q61" s="11"/>
      <x:c r="R61" s="11"/>
      <x:c r="S61" s="11"/>
      <x:c r="T61" s="2"/>
      <x:c r="U61" s="2"/>
    </x:row>
    <x:row r="62" ht="21" customHeight="1">
      <x:c r="A62" s="2"/>
      <x:c r="B62" s="2"/>
      <x:c r="C62" s="2" t="str">
        <x:v>securities lending</x:v>
      </x:c>
      <x:c r="D62" s="2"/>
      <x:c r="E62" s="12" t="n">
        <x:v>0</x:v>
      </x:c>
      <x:c r="F62" s="12" t="n">
        <x:v>0</x:v>
      </x:c>
      <x:c r="G62" s="12" t="n">
        <x:v>0</x:v>
      </x:c>
      <x:c r="H62" s="12" t="n">
        <x:v>0</x:v>
      </x:c>
      <x:c r="I62" s="12" t="n">
        <x:v>0</x:v>
      </x:c>
      <x:c r="J62" s="12" t="n">
        <x:v>0</x:v>
      </x:c>
      <x:c r="K62" s="12" t="n">
        <x:v>0</x:v>
      </x:c>
      <x:c r="L62" s="12" t="n">
        <x:v>0</x:v>
      </x:c>
      <x:c r="M62" s="12" t="n">
        <x:v>0</x:v>
      </x:c>
      <x:c r="N62" s="12" t="n">
        <x:v>0</x:v>
      </x:c>
      <x:c r="O62" s="11"/>
      <x:c r="P62" s="11"/>
      <x:c r="Q62" s="11"/>
      <x:c r="R62" s="11"/>
      <x:c r="S62" s="11"/>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5" customHeight="1">
      <x:c r="A65" s="2"/>
      <x:c r="B65" s="2"/>
      <x:c r="C65" s="10" t="str">
        <x:v>Audited cash flow statements</x:v>
      </x:c>
      <x:c r="D65" s="10"/>
      <x:c r="E65" s="10"/>
      <x:c r="F65" s="10"/>
      <x:c r="G65" s="10"/>
      <x:c r="H65" s="10"/>
      <x:c r="I65" s="10"/>
      <x:c r="J65" s="10"/>
      <x:c r="K65" s="10"/>
      <x:c r="L65" s="10"/>
      <x:c r="M65" s="10"/>
      <x:c r="N65" s="10"/>
      <x:c r="O65" s="10"/>
      <x:c r="P65" s="10"/>
      <x:c r="Q65" s="10"/>
      <x:c r="R65" s="10"/>
      <x:c r="S65" s="10"/>
      <x:c r="T65" s="2"/>
      <x:c r="U65" s="2"/>
    </x:row>
    <x:row r="66" ht="21" customHeight="1">
      <x:c r="A66" s="2"/>
      <x:c r="B66" s="2"/>
      <x:c r="C66" s="2" t="str">
        <x:v>net income</x:v>
      </x:c>
      <x:c r="D66" s="2"/>
      <x:c r="E66" s="12" t="n">
        <x:v>25489</x:v>
      </x:c>
      <x:c r="F66" s="12" t="n">
        <x:v>16571</x:v>
      </x:c>
      <x:c r="G66" s="12" t="n">
        <x:v>39240</x:v>
      </x:c>
      <x:c r="H66" s="12" t="n">
        <x:v>44281</x:v>
      </x:c>
      <x:c r="I66" s="12" t="n">
        <x:v>61271</x:v>
      </x:c>
      <x:c r="J66" s="12" t="n">
        <x:v>72738</x:v>
      </x:c>
      <x:c r="K66" s="12" t="n">
        <x:v>72361</x:v>
      </x:c>
      <x:c r="L66" s="12" t="n">
        <x:v>88136</x:v>
      </x:c>
      <x:c r="M66" s="12" t="n">
        <x:v>101832</x:v>
      </x:c>
      <x:c r="N66" s="12" t="n">
        <x:v>133749</x:v>
      </x:c>
      <x:c r="O66" s="11"/>
      <x:c r="P66" s="11"/>
      <x:c r="Q66" s="11"/>
      <x:c r="R66" s="11"/>
      <x:c r="S66" s="11"/>
      <x:c r="T66" s="2"/>
      <x:c r="U66" s="2"/>
    </x:row>
    <x:row r="67" ht="21" customHeight="1">
      <x:c r="A67" s="2"/>
      <x:c r="B67" s="2"/>
      <x:c r="C67" s="2" t="str">
        <x:v>da other</x:v>
      </x:c>
      <x:c r="D67" s="2"/>
      <x:c r="E67" s="12" t="n">
        <x:v>8778</x:v>
      </x:c>
      <x:c r="F67" s="12" t="n">
        <x:v>10261</x:v>
      </x:c>
      <x:c r="G67" s="12" t="n">
        <x:v>11682</x:v>
      </x:c>
      <x:c r="H67" s="12" t="n">
        <x:v>12796</x:v>
      </x:c>
      <x:c r="I67" s="12" t="n">
        <x:v>11686</x:v>
      </x:c>
      <x:c r="J67" s="12" t="n">
        <x:v>14460</x:v>
      </x:c>
      <x:c r="K67" s="12" t="n">
        <x:v>13861</x:v>
      </x:c>
      <x:c r="L67" s="12" t="n">
        <x:v>20958</x:v>
      </x:c>
      <x:c r="M67" s="12" t="n">
        <x:v>29433</x:v>
      </x:c>
      <x:c r="N67" s="12" t="n">
        <x:v>38534</x:v>
      </x:c>
      <x:c r="O67" s="11"/>
      <x:c r="P67" s="11"/>
      <x:c r="Q67" s="11"/>
      <x:c r="R67" s="11"/>
      <x:c r="S67" s="11"/>
      <x:c r="T67" s="2"/>
      <x:c r="U67" s="2"/>
    </x:row>
    <x:row r="68" ht="21" customHeight="1">
      <x:c r="A68" s="2"/>
      <x:c r="B68" s="2"/>
      <x:c r="C68" s="2" t="str">
        <x:v>sbc</x:v>
      </x:c>
      <x:c r="D68" s="2"/>
      <x:c r="E68" s="12" t="n">
        <x:v>3266</x:v>
      </x:c>
      <x:c r="F68" s="12" t="n">
        <x:v>3940</x:v>
      </x:c>
      <x:c r="G68" s="12" t="n">
        <x:v>4652</x:v>
      </x:c>
      <x:c r="H68" s="12" t="n">
        <x:v>5289</x:v>
      </x:c>
      <x:c r="I68" s="12" t="n">
        <x:v>6118</x:v>
      </x:c>
      <x:c r="J68" s="12" t="n">
        <x:v>7502</x:v>
      </x:c>
      <x:c r="K68" s="12" t="n">
        <x:v>9611</x:v>
      </x:c>
      <x:c r="L68" s="12" t="n">
        <x:v>10734</x:v>
      </x:c>
      <x:c r="M68" s="12" t="n">
        <x:v>11974</x:v>
      </x:c>
      <x:c r="N68" s="12" t="n">
        <x:v>12405</x:v>
      </x:c>
      <x:c r="O68" s="11"/>
      <x:c r="P68" s="11"/>
      <x:c r="Q68" s="11"/>
      <x:c r="R68" s="11"/>
      <x:c r="S68" s="11"/>
      <x:c r="T68" s="2"/>
      <x:c r="U68" s="2"/>
    </x:row>
    <x:row r="69" ht="21" customHeight="1">
      <x:c r="A69" s="2"/>
      <x:c r="B69" s="2"/>
      <x:c r="C69" s="2" t="str">
        <x:v>investment adjustment</x:v>
      </x:c>
      <x:c r="D69" s="2"/>
      <x:c r="E69" s="12" t="n">
        <x:v>-2073</x:v>
      </x:c>
      <x:c r="F69" s="12" t="n">
        <x:v>-2212</x:v>
      </x:c>
      <x:c r="G69" s="12" t="n">
        <x:v>-792</x:v>
      </x:c>
      <x:c r="H69" s="12" t="n">
        <x:v>-219</x:v>
      </x:c>
      <x:c r="I69" s="12" t="n">
        <x:v>-1249</x:v>
      </x:c>
      <x:c r="J69" s="12" t="n">
        <x:v>-409</x:v>
      </x:c>
      <x:c r="K69" s="12" t="n">
        <x:v>196</x:v>
      </x:c>
      <x:c r="L69" s="12" t="n">
        <x:v>1634</x:v>
      </x:c>
      <x:c r="M69" s="12" t="n">
        <x:v>5329</x:v>
      </x:c>
      <x:c r="N69" s="12" t="n">
        <x:v>-11047</x:v>
      </x:c>
      <x:c r="O69" s="11"/>
      <x:c r="P69" s="11"/>
      <x:c r="Q69" s="11"/>
      <x:c r="R69" s="11"/>
      <x:c r="S69" s="11"/>
      <x:c r="T69" s="2"/>
      <x:c r="U69" s="2"/>
    </x:row>
    <x:row r="70" ht="21" customHeight="1">
      <x:c r="A70" s="2"/>
      <x:c r="B70" s="2"/>
      <x:c r="C70" s="2" t="str">
        <x:v>deferred taxes</x:v>
      </x:c>
      <x:c r="D70" s="2"/>
      <x:c r="E70" s="12" t="n">
        <x:v>-829</x:v>
      </x:c>
      <x:c r="F70" s="12" t="n">
        <x:v>-5143</x:v>
      </x:c>
      <x:c r="G70" s="12" t="n">
        <x:v>-6463</x:v>
      </x:c>
      <x:c r="H70" s="12" t="n">
        <x:v>11</x:v>
      </x:c>
      <x:c r="I70" s="12" t="n">
        <x:v>-150</x:v>
      </x:c>
      <x:c r="J70" s="12" t="n">
        <x:v>-5702</x:v>
      </x:c>
      <x:c r="K70" s="12" t="n">
        <x:v>-6059</x:v>
      </x:c>
      <x:c r="L70" s="12" t="n">
        <x:v>-4738</x:v>
      </x:c>
      <x:c r="M70" s="12" t="n">
        <x:v>-7056</x:v>
      </x:c>
      <x:c r="N70" s="12" t="n">
        <x:v>14189</x:v>
      </x:c>
      <x:c r="O70" s="11"/>
      <x:c r="P70" s="11"/>
      <x:c r="Q70" s="11"/>
      <x:c r="R70" s="11"/>
      <x:c r="S70" s="11"/>
      <x:c r="T70" s="2"/>
      <x:c r="U70" s="2"/>
    </x:row>
    <x:row r="71" ht="21" customHeight="1">
      <x:c r="A71" s="2"/>
      <x:c r="B71" s="2"/>
      <x:c r="C71" s="2" t="str">
        <x:v>ar change</x:v>
      </x:c>
      <x:c r="D71" s="2"/>
      <x:c r="E71" s="12" t="n">
        <x:v>-1216</x:v>
      </x:c>
      <x:c r="F71" s="12" t="n">
        <x:v>-3862</x:v>
      </x:c>
      <x:c r="G71" s="12" t="n">
        <x:v>-2812</x:v>
      </x:c>
      <x:c r="H71" s="12" t="n">
        <x:v>-2577</x:v>
      </x:c>
      <x:c r="I71" s="12" t="n">
        <x:v>-6481</x:v>
      </x:c>
      <x:c r="J71" s="12" t="n">
        <x:v>-6834</x:v>
      </x:c>
      <x:c r="K71" s="12" t="n">
        <x:v>-4087</x:v>
      </x:c>
      <x:c r="L71" s="12" t="n">
        <x:v>-7191</x:v>
      </x:c>
      <x:c r="M71" s="12" t="n">
        <x:v>-10581</x:v>
      </x:c>
      <x:c r="N71" s="12" t="n">
        <x:v>-12737</x:v>
      </x:c>
      <x:c r="O71" s="11"/>
      <x:c r="P71" s="11"/>
      <x:c r="Q71" s="11"/>
      <x:c r="R71" s="11"/>
      <x:c r="S71" s="11"/>
      <x:c r="T71" s="2"/>
      <x:c r="U71" s="2"/>
    </x:row>
    <x:row r="72" ht="21" customHeight="1">
      <x:c r="A72" s="2"/>
      <x:c r="B72" s="2"/>
      <x:c r="C72" s="2" t="str">
        <x:v>inventory change</x:v>
      </x:c>
      <x:c r="D72" s="2"/>
      <x:c r="E72" s="12" t="n">
        <x:v>50</x:v>
      </x:c>
      <x:c r="F72" s="12" t="n">
        <x:v>-465</x:v>
      </x:c>
      <x:c r="G72" s="12" t="n">
        <x:v>597</x:v>
      </x:c>
      <x:c r="H72" s="12" t="n">
        <x:v>168</x:v>
      </x:c>
      <x:c r="I72" s="12" t="n">
        <x:v>-737</x:v>
      </x:c>
      <x:c r="J72" s="12" t="n">
        <x:v>-1123</x:v>
      </x:c>
      <x:c r="K72" s="12" t="n">
        <x:v>1242</x:v>
      </x:c>
      <x:c r="L72" s="12" t="n">
        <x:v>1284</x:v>
      </x:c>
      <x:c r="M72" s="12" t="n">
        <x:v>309</x:v>
      </x:c>
      <x:c r="N72" s="12" t="n">
        <x:v>-461</x:v>
      </x:c>
      <x:c r="O72" s="11"/>
      <x:c r="P72" s="11"/>
      <x:c r="Q72" s="11"/>
      <x:c r="R72" s="11"/>
      <x:c r="S72" s="11"/>
      <x:c r="T72" s="2"/>
      <x:c r="U72" s="2"/>
    </x:row>
    <x:row r="73" ht="21" customHeight="1">
      <x:c r="A73" s="2"/>
      <x:c r="B73" s="2"/>
      <x:c r="C73" s="2" t="str">
        <x:v>other ca change</x:v>
      </x:c>
      <x:c r="D73" s="2"/>
      <x:c r="E73" s="12" t="n">
        <x:v>1028</x:v>
      </x:c>
      <x:c r="F73" s="12" t="n">
        <x:v>-952</x:v>
      </x:c>
      <x:c r="G73" s="12" t="n">
        <x:v>-1718</x:v>
      </x:c>
      <x:c r="H73" s="12" t="n">
        <x:v>-2330</x:v>
      </x:c>
      <x:c r="I73" s="12" t="n">
        <x:v>-932</x:v>
      </x:c>
      <x:c r="J73" s="12" t="n">
        <x:v>-709</x:v>
      </x:c>
      <x:c r="K73" s="12" t="n">
        <x:v>-1991</x:v>
      </x:c>
      <x:c r="L73" s="12" t="n">
        <x:v>-1648</x:v>
      </x:c>
      <x:c r="M73" s="12" t="n">
        <x:v>-3044</x:v>
      </x:c>
      <x:c r="N73" s="12" t="n">
        <x:v>-2627</x:v>
      </x:c>
      <x:c r="O73" s="11"/>
      <x:c r="P73" s="11"/>
      <x:c r="Q73" s="11"/>
      <x:c r="R73" s="11"/>
      <x:c r="S73" s="11"/>
      <x:c r="T73" s="2"/>
      <x:c r="U73" s="2"/>
    </x:row>
    <x:row r="74" ht="21" customHeight="1">
      <x:c r="A74" s="2"/>
      <x:c r="B74" s="2"/>
      <x:c r="C74" s="2" t="str">
        <x:v>other lta change</x:v>
      </x:c>
      <x:c r="D74" s="2"/>
      <x:c r="E74" s="12" t="n">
        <x:v>-917</x:v>
      </x:c>
      <x:c r="F74" s="12" t="n">
        <x:v>-285</x:v>
      </x:c>
      <x:c r="G74" s="12" t="n">
        <x:v>-1834</x:v>
      </x:c>
      <x:c r="H74" s="12" t="n">
        <x:v>-1037</x:v>
      </x:c>
      <x:c r="I74" s="12" t="n">
        <x:v>-3459</x:v>
      </x:c>
      <x:c r="J74" s="12" t="n">
        <x:v>-2805</x:v>
      </x:c>
      <x:c r="K74" s="12" t="n">
        <x:v>-2833</x:v>
      </x:c>
      <x:c r="L74" s="12" t="n">
        <x:v>-6817</x:v>
      </x:c>
      <x:c r="M74" s="12" t="n">
        <x:v>-2950</x:v>
      </x:c>
      <x:c r="N74" s="12" t="n">
        <x:v>-3964</x:v>
      </x:c>
      <x:c r="O74" s="11"/>
      <x:c r="P74" s="11"/>
      <x:c r="Q74" s="11"/>
      <x:c r="R74" s="11"/>
      <x:c r="S74" s="11"/>
      <x:c r="T74" s="2"/>
      <x:c r="U74" s="2"/>
    </x:row>
    <x:row r="75" ht="21" customHeight="1">
      <x:c r="A75" s="2"/>
      <x:c r="B75" s="2"/>
      <x:c r="C75" s="2" t="str">
        <x:v>ap change</x:v>
      </x:c>
      <x:c r="D75" s="2"/>
      <x:c r="E75" s="12" t="n">
        <x:v>81</x:v>
      </x:c>
      <x:c r="F75" s="12" t="n">
        <x:v>1148</x:v>
      </x:c>
      <x:c r="G75" s="12" t="n">
        <x:v>232</x:v>
      </x:c>
      <x:c r="H75" s="12" t="n">
        <x:v>3018</x:v>
      </x:c>
      <x:c r="I75" s="12" t="n">
        <x:v>2798</x:v>
      </x:c>
      <x:c r="J75" s="12" t="n">
        <x:v>2943</x:v>
      </x:c>
      <x:c r="K75" s="12" t="n">
        <x:v>-2721</x:v>
      </x:c>
      <x:c r="L75" s="12" t="n">
        <x:v>3545</x:v>
      </x:c>
      <x:c r="M75" s="12" t="n">
        <x:v>569</x:v>
      </x:c>
      <x:c r="N75" s="12" t="n">
        <x:v>5268</x:v>
      </x:c>
      <x:c r="O75" s="11"/>
      <x:c r="P75" s="11"/>
      <x:c r="Q75" s="11"/>
      <x:c r="R75" s="11"/>
      <x:c r="S75" s="11"/>
      <x:c r="T75" s="2"/>
      <x:c r="U75" s="2"/>
    </x:row>
    <x:row r="76" ht="21" customHeight="1">
      <x:c r="A76" s="2"/>
      <x:c r="B76" s="2"/>
      <x:c r="C76" s="2" t="str">
        <x:v>deferred rev change</x:v>
      </x:c>
      <x:c r="D76" s="2"/>
      <x:c r="E76" s="12" t="n">
        <x:v>3820</x:v>
      </x:c>
      <x:c r="F76" s="12" t="n">
        <x:v>5922</x:v>
      </x:c>
      <x:c r="G76" s="12" t="n">
        <x:v>4462</x:v>
      </x:c>
      <x:c r="H76" s="12" t="n">
        <x:v>2212</x:v>
      </x:c>
      <x:c r="I76" s="12" t="n">
        <x:v>4633</x:v>
      </x:c>
      <x:c r="J76" s="12" t="n">
        <x:v>5109</x:v>
      </x:c>
      <x:c r="K76" s="12" t="n">
        <x:v>5535</x:v>
      </x:c>
      <x:c r="L76" s="12" t="n">
        <x:v>5348</x:v>
      </x:c>
      <x:c r="M76" s="12" t="n">
        <x:v>5438</x:v>
      </x:c>
      <x:c r="N76" s="12" t="n">
        <x:v>9361</x:v>
      </x:c>
      <x:c r="O76" s="11"/>
      <x:c r="P76" s="11"/>
      <x:c r="Q76" s="11"/>
      <x:c r="R76" s="11"/>
      <x:c r="S76" s="11"/>
      <x:c r="T76" s="2"/>
      <x:c r="U76" s="2"/>
    </x:row>
    <x:row r="77" ht="21" customHeight="1">
      <x:c r="A77" s="2"/>
      <x:c r="B77" s="2"/>
      <x:c r="C77" s="2" t="str">
        <x:v>tax change</x:v>
      </x:c>
      <x:c r="D77" s="2"/>
      <x:c r="E77" s="12" t="n">
        <x:v>1792</x:v>
      </x:c>
      <x:c r="F77" s="12" t="n">
        <x:v>18183</x:v>
      </x:c>
      <x:c r="G77" s="12" t="n">
        <x:v>2929</x:v>
      </x:c>
      <x:c r="H77" s="12" t="n">
        <x:v>-3631</x:v>
      </x:c>
      <x:c r="I77" s="12" t="n">
        <x:v>-2309</x:v>
      </x:c>
      <x:c r="J77" s="12" t="n">
        <x:v>696</x:v>
      </x:c>
      <x:c r="K77" s="12" t="n">
        <x:v>-358</x:v>
      </x:c>
      <x:c r="L77" s="12" t="n">
        <x:v>1687</x:v>
      </x:c>
      <x:c r="M77" s="12" t="n">
        <x:v>-38</x:v>
      </x:c>
      <x:c r="N77" s="12" t="n">
        <x:v>-1875</x:v>
      </x:c>
      <x:c r="O77" s="11"/>
      <x:c r="P77" s="11"/>
      <x:c r="Q77" s="11"/>
      <x:c r="R77" s="11"/>
      <x:c r="S77" s="11"/>
      <x:c r="T77" s="2"/>
      <x:c r="U77" s="2"/>
    </x:row>
    <x:row r="78" ht="21" customHeight="1">
      <x:c r="A78" s="2"/>
      <x:c r="B78" s="2"/>
      <x:c r="C78" s="2" t="str">
        <x:v>other cl change</x:v>
      </x:c>
      <x:c r="D78" s="2"/>
      <x:c r="E78" s="12" t="n">
        <x:v>356</x:v>
      </x:c>
      <x:c r="F78" s="12" t="n">
        <x:v>798</x:v>
      </x:c>
      <x:c r="G78" s="12" t="n">
        <x:v>1419</x:v>
      </x:c>
      <x:c r="H78" s="12" t="n">
        <x:v>1346</x:v>
      </x:c>
      <x:c r="I78" s="12" t="n">
        <x:v>4149</x:v>
      </x:c>
      <x:c r="J78" s="12" t="n">
        <x:v>2344</x:v>
      </x:c>
      <x:c r="K78" s="12" t="n">
        <x:v>2272</x:v>
      </x:c>
      <x:c r="L78" s="12" t="n">
        <x:v>4867</x:v>
      </x:c>
      <x:c r="M78" s="12" t="n">
        <x:v>5922</x:v>
      </x:c>
      <x:c r="N78" s="12" t="n">
        <x:v>6847</x:v>
      </x:c>
      <x:c r="O78" s="11"/>
      <x:c r="P78" s="11"/>
      <x:c r="Q78" s="11"/>
      <x:c r="R78" s="11"/>
      <x:c r="S78" s="11"/>
      <x:c r="T78" s="2"/>
      <x:c r="U78" s="2"/>
    </x:row>
    <x:row r="79" ht="21" customHeight="1">
      <x:c r="A79" s="2"/>
      <x:c r="B79" s="2"/>
      <x:c r="C79" s="2" t="str">
        <x:v>other ltl change</x:v>
      </x:c>
      <x:c r="D79" s="2"/>
      <x:c r="E79" s="12" t="n">
        <x:v>-118</x:v>
      </x:c>
      <x:c r="F79" s="12" t="n">
        <x:v>-20</x:v>
      </x:c>
      <x:c r="G79" s="12" t="n">
        <x:v>591</x:v>
      </x:c>
      <x:c r="H79" s="12" t="n">
        <x:v>1348</x:v>
      </x:c>
      <x:c r="I79" s="12" t="n">
        <x:v>1402</x:v>
      </x:c>
      <x:c r="J79" s="12" t="n">
        <x:v>825</x:v>
      </x:c>
      <x:c r="K79" s="12" t="n">
        <x:v>553</x:v>
      </x:c>
      <x:c r="L79" s="12" t="n">
        <x:v>749</x:v>
      </x:c>
      <x:c r="M79" s="12" t="n">
        <x:v>-975</x:v>
      </x:c>
      <x:c r="N79" s="12" t="n">
        <x:v>-4707</x:v>
      </x:c>
      <x:c r="O79" s="11"/>
      <x:c r="P79" s="11"/>
      <x:c r="Q79" s="11"/>
      <x:c r="R79" s="11"/>
      <x:c r="S79" s="11"/>
      <x:c r="T79" s="2"/>
      <x:c r="U79" s="2"/>
    </x:row>
    <x:row r="80" ht="21" customHeight="1">
      <x:c r="A80" s="2"/>
      <x:c r="B80" s="2"/>
      <x:c r="C80" s="2" t="str">
        <x:v>cfo</x:v>
      </x:c>
      <x:c r="D80" s="2"/>
      <x:c r="E80" s="12" t="n">
        <x:v>39507</x:v>
      </x:c>
      <x:c r="F80" s="12" t="n">
        <x:v>43884</x:v>
      </x:c>
      <x:c r="G80" s="12" t="n">
        <x:v>52185</x:v>
      </x:c>
      <x:c r="H80" s="12" t="n">
        <x:v>60675</x:v>
      </x:c>
      <x:c r="I80" s="12" t="n">
        <x:v>76740</x:v>
      </x:c>
      <x:c r="J80" s="12" t="n">
        <x:v>89035</x:v>
      </x:c>
      <x:c r="K80" s="12" t="n">
        <x:v>87582</x:v>
      </x:c>
      <x:c r="L80" s="12" t="n">
        <x:v>118548</x:v>
      </x:c>
      <x:c r="M80" s="12" t="n">
        <x:v>136162</x:v>
      </x:c>
      <x:c r="N80" s="12" t="n">
        <x:v>182935</x:v>
      </x:c>
      <x:c r="O80" s="11"/>
      <x:c r="P80" s="11"/>
      <x:c r="Q80" s="11"/>
      <x:c r="R80" s="11"/>
      <x:c r="S80" s="11"/>
      <x:c r="T80" s="2"/>
      <x:c r="U80" s="2"/>
    </x:row>
    <x:row r="81" ht="21" customHeight="1">
      <x:c r="A81" s="2"/>
      <x:c r="B81" s="2"/>
      <x:c r="C81" s="2" t="str">
        <x:v>net st debt</x:v>
      </x:c>
      <x:c r="D81" s="2"/>
      <x:c r="E81" s="12" t="n">
        <x:v>-4963</x:v>
      </x:c>
      <x:c r="F81" s="12" t="n">
        <x:v>-7324</x:v>
      </x:c>
      <x:c r="G81" s="12" t="n">
        <x:v>0</x:v>
      </x:c>
      <x:c r="H81" s="12" t="n">
        <x:v>0</x:v>
      </x:c>
      <x:c r="I81" s="12" t="n">
        <x:v>0</x:v>
      </x:c>
      <x:c r="J81" s="12" t="n">
        <x:v>0</x:v>
      </x:c>
      <x:c r="K81" s="12" t="n">
        <x:v>0</x:v>
      </x:c>
      <x:c r="L81" s="12" t="n">
        <x:v>5250</x:v>
      </x:c>
      <x:c r="M81" s="12" t="n">
        <x:v>-5746</x:v>
      </x:c>
      <x:c r="N81" s="12" t="n">
        <x:v>0</x:v>
      </x:c>
      <x:c r="O81" s="11"/>
      <x:c r="P81" s="11"/>
      <x:c r="Q81" s="11"/>
      <x:c r="R81" s="11"/>
      <x:c r="S81" s="11"/>
      <x:c r="T81" s="2"/>
      <x:c r="U81" s="2"/>
    </x:row>
    <x:row r="82" ht="21" customHeight="1">
      <x:c r="A82" s="2"/>
      <x:c r="B82" s="2"/>
      <x:c r="C82" s="2" t="str">
        <x:v>debt issued</x:v>
      </x:c>
      <x:c r="D82" s="2"/>
      <x:c r="E82" s="12" t="n">
        <x:v>44344</x:v>
      </x:c>
      <x:c r="F82" s="12" t="n">
        <x:v>7183</x:v>
      </x:c>
      <x:c r="G82" s="12" t="n">
        <x:v>0</x:v>
      </x:c>
      <x:c r="H82" s="12" t="n">
        <x:v>0</x:v>
      </x:c>
      <x:c r="I82" s="12" t="n">
        <x:v>0</x:v>
      </x:c>
      <x:c r="J82" s="12" t="n">
        <x:v>0</x:v>
      </x:c>
      <x:c r="K82" s="12" t="n">
        <x:v>0</x:v>
      </x:c>
      <x:c r="L82" s="12" t="n">
        <x:v>24395</x:v>
      </x:c>
      <x:c r="M82" s="12" t="n">
        <x:v>0</x:v>
      </x:c>
      <x:c r="N82" s="12" t="n">
        <x:v>0</x:v>
      </x:c>
      <x:c r="O82" s="11"/>
      <x:c r="P82" s="11"/>
      <x:c r="Q82" s="11"/>
      <x:c r="R82" s="11"/>
      <x:c r="S82" s="11"/>
      <x:c r="T82" s="2"/>
      <x:c r="U82" s="2"/>
    </x:row>
    <x:row r="83" ht="21" customHeight="1">
      <x:c r="A83" s="2"/>
      <x:c r="B83" s="2"/>
      <x:c r="C83" s="2" t="str">
        <x:v>debt repaid</x:v>
      </x:c>
      <x:c r="D83" s="2"/>
      <x:c r="E83" s="12" t="n">
        <x:v>-7922</x:v>
      </x:c>
      <x:c r="F83" s="12" t="n">
        <x:v>-10060</x:v>
      </x:c>
      <x:c r="G83" s="12" t="n">
        <x:v>-4000</x:v>
      </x:c>
      <x:c r="H83" s="12" t="n">
        <x:v>-5518</x:v>
      </x:c>
      <x:c r="I83" s="12" t="n">
        <x:v>-3750</x:v>
      </x:c>
      <x:c r="J83" s="12" t="n">
        <x:v>-9023</x:v>
      </x:c>
      <x:c r="K83" s="12" t="n">
        <x:v>-2750</x:v>
      </x:c>
      <x:c r="L83" s="12" t="n">
        <x:v>-29070</x:v>
      </x:c>
      <x:c r="M83" s="12" t="n">
        <x:v>-3216</x:v>
      </x:c>
      <x:c r="N83" s="12" t="n">
        <x:v>-3000</x:v>
      </x:c>
      <x:c r="O83" s="11"/>
      <x:c r="P83" s="11"/>
      <x:c r="Q83" s="11"/>
      <x:c r="R83" s="11"/>
      <x:c r="S83" s="11"/>
      <x:c r="T83" s="2"/>
      <x:c r="U83" s="2"/>
    </x:row>
    <x:row r="84" ht="21" customHeight="1">
      <x:c r="A84" s="2"/>
      <x:c r="B84" s="2"/>
      <x:c r="C84" s="2" t="str">
        <x:v>stock issued</x:v>
      </x:c>
      <x:c r="D84" s="2"/>
      <x:c r="E84" s="12" t="n">
        <x:v>772</x:v>
      </x:c>
      <x:c r="F84" s="12" t="n">
        <x:v>1002</x:v>
      </x:c>
      <x:c r="G84" s="12" t="n">
        <x:v>1142</x:v>
      </x:c>
      <x:c r="H84" s="12" t="n">
        <x:v>1343</x:v>
      </x:c>
      <x:c r="I84" s="12" t="n">
        <x:v>1693</x:v>
      </x:c>
      <x:c r="J84" s="12" t="n">
        <x:v>1841</x:v>
      </x:c>
      <x:c r="K84" s="12" t="n">
        <x:v>1866</x:v>
      </x:c>
      <x:c r="L84" s="12" t="n">
        <x:v>2002</x:v>
      </x:c>
      <x:c r="M84" s="12" t="n">
        <x:v>2056</x:v>
      </x:c>
      <x:c r="N84" s="12" t="n">
        <x:v>2009</x:v>
      </x:c>
      <x:c r="O84" s="11"/>
      <x:c r="P84" s="11"/>
      <x:c r="Q84" s="11"/>
      <x:c r="R84" s="11"/>
      <x:c r="S84" s="11"/>
      <x:c r="T84" s="2"/>
      <x:c r="U84" s="2"/>
    </x:row>
    <x:row r="85" ht="21" customHeight="1">
      <x:c r="A85" s="2"/>
      <x:c r="B85" s="2"/>
      <x:c r="C85" s="2" t="str">
        <x:v>buybacks</x:v>
      </x:c>
      <x:c r="D85" s="2"/>
      <x:c r="E85" s="12" t="n">
        <x:v>-11788</x:v>
      </x:c>
      <x:c r="F85" s="12" t="n">
        <x:v>-10721</x:v>
      </x:c>
      <x:c r="G85" s="12" t="n">
        <x:v>-19543</x:v>
      </x:c>
      <x:c r="H85" s="12" t="n">
        <x:v>-22968</x:v>
      </x:c>
      <x:c r="I85" s="12" t="n">
        <x:v>-27385</x:v>
      </x:c>
      <x:c r="J85" s="12" t="n">
        <x:v>-32696</x:v>
      </x:c>
      <x:c r="K85" s="12" t="n">
        <x:v>-22245</x:v>
      </x:c>
      <x:c r="L85" s="12" t="n">
        <x:v>-17254</x:v>
      </x:c>
      <x:c r="M85" s="12" t="n">
        <x:v>-18420</x:v>
      </x:c>
      <x:c r="N85" s="12" t="n">
        <x:v>-22271</x:v>
      </x:c>
      <x:c r="O85" s="11"/>
      <x:c r="P85" s="11"/>
      <x:c r="Q85" s="11"/>
      <x:c r="R85" s="11"/>
      <x:c r="S85" s="11"/>
      <x:c r="T85" s="2"/>
      <x:c r="U85" s="2"/>
    </x:row>
    <x:row r="86" ht="21" customHeight="1">
      <x:c r="A86" s="2"/>
      <x:c r="B86" s="2"/>
      <x:c r="C86" s="2" t="str">
        <x:v>dividends</x:v>
      </x:c>
      <x:c r="D86" s="2"/>
      <x:c r="E86" s="12" t="n">
        <x:v>-11845</x:v>
      </x:c>
      <x:c r="F86" s="12" t="n">
        <x:v>-12699</x:v>
      </x:c>
      <x:c r="G86" s="12" t="n">
        <x:v>-13811</x:v>
      </x:c>
      <x:c r="H86" s="12" t="n">
        <x:v>-15137</x:v>
      </x:c>
      <x:c r="I86" s="12" t="n">
        <x:v>-16521</x:v>
      </x:c>
      <x:c r="J86" s="12" t="n">
        <x:v>-18135</x:v>
      </x:c>
      <x:c r="K86" s="12" t="n">
        <x:v>-19800</x:v>
      </x:c>
      <x:c r="L86" s="12" t="n">
        <x:v>-21771</x:v>
      </x:c>
      <x:c r="M86" s="12" t="n">
        <x:v>-24082</x:v>
      </x:c>
      <x:c r="N86" s="12" t="n">
        <x:v>-26445</x:v>
      </x:c>
      <x:c r="O86" s="11"/>
      <x:c r="P86" s="11"/>
      <x:c r="Q86" s="11"/>
      <x:c r="R86" s="11"/>
      <x:c r="S86" s="11"/>
      <x:c r="T86" s="2"/>
      <x:c r="U86" s="2"/>
    </x:row>
    <x:row r="87" ht="21" customHeight="1">
      <x:c r="A87" s="2"/>
      <x:c r="B87" s="2"/>
      <x:c r="C87" s="2" t="str">
        <x:v>other financing</x:v>
      </x:c>
      <x:c r="D87" s="2"/>
      <x:c r="E87" s="12" t="n">
        <x:v>-190</x:v>
      </x:c>
      <x:c r="F87" s="12" t="n">
        <x:v>-971</x:v>
      </x:c>
      <x:c r="G87" s="12" t="n">
        <x:v>-675</x:v>
      </x:c>
      <x:c r="H87" s="12" t="n">
        <x:v>-3751</x:v>
      </x:c>
      <x:c r="I87" s="12" t="n">
        <x:v>-2523</x:v>
      </x:c>
      <x:c r="J87" s="12" t="n">
        <x:v>-863</x:v>
      </x:c>
      <x:c r="K87" s="12" t="n">
        <x:v>-1006</x:v>
      </x:c>
      <x:c r="L87" s="12" t="n">
        <x:v>-1309</x:v>
      </x:c>
      <x:c r="M87" s="12" t="n">
        <x:v>-2291</x:v>
      </x:c>
      <x:c r="N87" s="12" t="n">
        <x:v>-2839</x:v>
      </x:c>
      <x:c r="O87" s="11"/>
      <x:c r="P87" s="11"/>
      <x:c r="Q87" s="11"/>
      <x:c r="R87" s="11"/>
      <x:c r="S87" s="11"/>
      <x:c r="T87" s="2"/>
      <x:c r="U87" s="2"/>
    </x:row>
    <x:row r="88" ht="21" customHeight="1">
      <x:c r="A88" s="2"/>
      <x:c r="B88" s="2"/>
      <x:c r="C88" s="2" t="str">
        <x:v>cff</x:v>
      </x:c>
      <x:c r="D88" s="2"/>
      <x:c r="E88" s="12" t="n">
        <x:v>8408</x:v>
      </x:c>
      <x:c r="F88" s="12" t="n">
        <x:v>-33590</x:v>
      </x:c>
      <x:c r="G88" s="12" t="n">
        <x:v>-36887</x:v>
      </x:c>
      <x:c r="H88" s="12" t="n">
        <x:v>-46031</x:v>
      </x:c>
      <x:c r="I88" s="12" t="n">
        <x:v>-48486</x:v>
      </x:c>
      <x:c r="J88" s="12" t="n">
        <x:v>-58876</x:v>
      </x:c>
      <x:c r="K88" s="12" t="n">
        <x:v>-43935</x:v>
      </x:c>
      <x:c r="L88" s="12" t="n">
        <x:v>-37757</x:v>
      </x:c>
      <x:c r="M88" s="12" t="n">
        <x:v>-51699</x:v>
      </x:c>
      <x:c r="N88" s="12" t="n">
        <x:v>-52546</x:v>
      </x:c>
      <x:c r="O88" s="11"/>
      <x:c r="P88" s="11"/>
      <x:c r="Q88" s="11"/>
      <x:c r="R88" s="11"/>
      <x:c r="S88" s="11"/>
      <x:c r="T88" s="2"/>
      <x:c r="U88" s="2"/>
    </x:row>
    <x:row r="89" ht="21" customHeight="1">
      <x:c r="A89" s="2"/>
      <x:c r="B89" s="2"/>
      <x:c r="C89" s="2" t="str">
        <x:v>capex</x:v>
      </x:c>
      <x:c r="D89" s="2"/>
      <x:c r="E89" s="12" t="n">
        <x:v>-8129</x:v>
      </x:c>
      <x:c r="F89" s="12" t="n">
        <x:v>-11632</x:v>
      </x:c>
      <x:c r="G89" s="12" t="n">
        <x:v>-13925</x:v>
      </x:c>
      <x:c r="H89" s="12" t="n">
        <x:v>-15441</x:v>
      </x:c>
      <x:c r="I89" s="12" t="n">
        <x:v>-20622</x:v>
      </x:c>
      <x:c r="J89" s="12" t="n">
        <x:v>-23886</x:v>
      </x:c>
      <x:c r="K89" s="12" t="n">
        <x:v>-28107</x:v>
      </x:c>
      <x:c r="L89" s="12" t="n">
        <x:v>-44477</x:v>
      </x:c>
      <x:c r="M89" s="12" t="n">
        <x:v>-64551</x:v>
      </x:c>
      <x:c r="N89" s="12" t="n">
        <x:v>-115948</x:v>
      </x:c>
      <x:c r="O89" s="11"/>
      <x:c r="P89" s="11"/>
      <x:c r="Q89" s="11"/>
      <x:c r="R89" s="11"/>
      <x:c r="S89" s="11"/>
      <x:c r="T89" s="2"/>
      <x:c r="U89" s="2"/>
    </x:row>
    <x:row r="90" ht="21" customHeight="1">
      <x:c r="A90" s="2"/>
      <x:c r="B90" s="2"/>
      <x:c r="C90" s="2" t="str">
        <x:v>acquisitions</x:v>
      </x:c>
      <x:c r="D90" s="2"/>
      <x:c r="E90" s="12" t="n">
        <x:v>-25944</x:v>
      </x:c>
      <x:c r="F90" s="12" t="n">
        <x:v>-888</x:v>
      </x:c>
      <x:c r="G90" s="12" t="n">
        <x:v>-2388</x:v>
      </x:c>
      <x:c r="H90" s="12" t="n">
        <x:v>-2521</x:v>
      </x:c>
      <x:c r="I90" s="12" t="n">
        <x:v>-8909</x:v>
      </x:c>
      <x:c r="J90" s="12" t="n">
        <x:v>-22038</x:v>
      </x:c>
      <x:c r="K90" s="12" t="n">
        <x:v>-1670</x:v>
      </x:c>
      <x:c r="L90" s="12" t="n">
        <x:v>-69132</x:v>
      </x:c>
      <x:c r="M90" s="12" t="n">
        <x:v>-5978</x:v>
      </x:c>
      <x:c r="N90" s="12" t="n">
        <x:v>-1743</x:v>
      </x:c>
      <x:c r="O90" s="11"/>
      <x:c r="P90" s="11"/>
      <x:c r="Q90" s="11"/>
      <x:c r="R90" s="11"/>
      <x:c r="S90" s="11"/>
      <x:c r="T90" s="2"/>
      <x:c r="U90" s="2"/>
    </x:row>
    <x:row r="91" ht="21" customHeight="1">
      <x:c r="A91" s="2"/>
      <x:c r="B91" s="2"/>
      <x:c r="C91" s="2" t="str">
        <x:v>investments purchased</x:v>
      </x:c>
      <x:c r="D91" s="2"/>
      <x:c r="E91" s="12" t="n">
        <x:v>-176905</x:v>
      </x:c>
      <x:c r="F91" s="12" t="n">
        <x:v>-137380</x:v>
      </x:c>
      <x:c r="G91" s="12" t="n">
        <x:v>-57697</x:v>
      </x:c>
      <x:c r="H91" s="12" t="n">
        <x:v>-77190</x:v>
      </x:c>
      <x:c r="I91" s="12" t="n">
        <x:v>-62924</x:v>
      </x:c>
      <x:c r="J91" s="12" t="n">
        <x:v>-26456</x:v>
      </x:c>
      <x:c r="K91" s="12" t="n">
        <x:v>-37651</x:v>
      </x:c>
      <x:c r="L91" s="12" t="n">
        <x:v>-17732</x:v>
      </x:c>
      <x:c r="M91" s="12" t="n">
        <x:v>-29775</x:v>
      </x:c>
      <x:c r="N91" s="12" t="n">
        <x:v>-58351</x:v>
      </x:c>
      <x:c r="O91" s="11"/>
      <x:c r="P91" s="11"/>
      <x:c r="Q91" s="11"/>
      <x:c r="R91" s="11"/>
      <x:c r="S91" s="11"/>
      <x:c r="T91" s="2"/>
      <x:c r="U91" s="2"/>
    </x:row>
    <x:row r="92" ht="21" customHeight="1">
      <x:c r="A92" s="2"/>
      <x:c r="B92" s="2"/>
      <x:c r="C92" s="2" t="str">
        <x:v>investments matured</x:v>
      </x:c>
      <x:c r="D92" s="2"/>
      <x:c r="E92" s="12" t="n">
        <x:v>28044</x:v>
      </x:c>
      <x:c r="F92" s="12" t="n">
        <x:v>26360</x:v>
      </x:c>
      <x:c r="G92" s="12" t="n">
        <x:v>20043</x:v>
      </x:c>
      <x:c r="H92" s="12" t="n">
        <x:v>66449</x:v>
      </x:c>
      <x:c r="I92" s="12" t="n">
        <x:v>51792</x:v>
      </x:c>
      <x:c r="J92" s="12" t="n">
        <x:v>16451</x:v>
      </x:c>
      <x:c r="K92" s="12" t="n">
        <x:v>33510</x:v>
      </x:c>
      <x:c r="L92" s="12" t="n">
        <x:v>24775</x:v>
      </x:c>
      <x:c r="M92" s="12" t="n">
        <x:v>16079</x:v>
      </x:c>
      <x:c r="N92" s="12" t="n">
        <x:v>34605</x:v>
      </x:c>
      <x:c r="O92" s="11"/>
      <x:c r="P92" s="11"/>
      <x:c r="Q92" s="11"/>
      <x:c r="R92" s="11"/>
      <x:c r="S92" s="11"/>
      <x:c r="T92" s="2"/>
      <x:c r="U92" s="2"/>
    </x:row>
    <x:row r="93" ht="21" customHeight="1">
      <x:c r="A93" s="2"/>
      <x:c r="B93" s="2"/>
      <x:c r="C93" s="2" t="str">
        <x:v>investments sold</x:v>
      </x:c>
      <x:c r="D93" s="2"/>
      <x:c r="E93" s="12" t="n">
        <x:v>136350</x:v>
      </x:c>
      <x:c r="F93" s="12" t="n">
        <x:v>117577</x:v>
      </x:c>
      <x:c r="G93" s="12" t="n">
        <x:v>38194</x:v>
      </x:c>
      <x:c r="H93" s="12" t="n">
        <x:v>17721</x:v>
      </x:c>
      <x:c r="I93" s="12" t="n">
        <x:v>14008</x:v>
      </x:c>
      <x:c r="J93" s="12" t="n">
        <x:v>28443</x:v>
      </x:c>
      <x:c r="K93" s="12" t="n">
        <x:v>14354</x:v>
      </x:c>
      <x:c r="L93" s="12" t="n">
        <x:v>10894</x:v>
      </x:c>
      <x:c r="M93" s="12" t="n">
        <x:v>9309</x:v>
      </x:c>
      <x:c r="N93" s="12" t="n">
        <x:v>21798</x:v>
      </x:c>
      <x:c r="O93" s="11"/>
      <x:c r="P93" s="11"/>
      <x:c r="Q93" s="11"/>
      <x:c r="R93" s="11"/>
      <x:c r="S93" s="11"/>
      <x:c r="T93" s="2"/>
      <x:c r="U93" s="2"/>
    </x:row>
    <x:row r="94" ht="21" customHeight="1">
      <x:c r="A94" s="2"/>
      <x:c r="B94" s="2"/>
      <x:c r="C94" s="2" t="str">
        <x:v>other investing</x:v>
      </x:c>
      <x:c r="D94" s="2"/>
      <x:c r="E94" s="12" t="n">
        <x:v>0</x:v>
      </x:c>
      <x:c r="F94" s="12" t="n">
        <x:v>-98</x:v>
      </x:c>
      <x:c r="G94" s="12" t="n">
        <x:v>0</x:v>
      </x:c>
      <x:c r="H94" s="12" t="n">
        <x:v>-1241</x:v>
      </x:c>
      <x:c r="I94" s="12" t="n">
        <x:v>-922</x:v>
      </x:c>
      <x:c r="J94" s="12" t="n">
        <x:v>-2825</x:v>
      </x:c>
      <x:c r="K94" s="12" t="n">
        <x:v>-3116</x:v>
      </x:c>
      <x:c r="L94" s="12" t="n">
        <x:v>-1298</x:v>
      </x:c>
      <x:c r="M94" s="12" t="n">
        <x:v>2317</x:v>
      </x:c>
      <x:c r="N94" s="12" t="n">
        <x:v>-19861</x:v>
      </x:c>
      <x:c r="O94" s="11"/>
      <x:c r="P94" s="11"/>
      <x:c r="Q94" s="11"/>
      <x:c r="R94" s="11"/>
      <x:c r="S94" s="11"/>
      <x:c r="T94" s="2"/>
      <x:c r="U94" s="2"/>
    </x:row>
    <x:row r="95" ht="21" customHeight="1">
      <x:c r="A95" s="2"/>
      <x:c r="B95" s="2"/>
      <x:c r="C95" s="2" t="str">
        <x:v>cfi</x:v>
      </x:c>
      <x:c r="D95" s="2"/>
      <x:c r="E95" s="12" t="n">
        <x:v>-46781</x:v>
      </x:c>
      <x:c r="F95" s="12" t="n">
        <x:v>-6061</x:v>
      </x:c>
      <x:c r="G95" s="12" t="n">
        <x:v>-15773</x:v>
      </x:c>
      <x:c r="H95" s="12" t="n">
        <x:v>-12223</x:v>
      </x:c>
      <x:c r="I95" s="12" t="n">
        <x:v>-27577</x:v>
      </x:c>
      <x:c r="J95" s="12" t="n">
        <x:v>-30311</x:v>
      </x:c>
      <x:c r="K95" s="12" t="n">
        <x:v>-22680</x:v>
      </x:c>
      <x:c r="L95" s="12" t="n">
        <x:v>-96970</x:v>
      </x:c>
      <x:c r="M95" s="12" t="n">
        <x:v>-72599</x:v>
      </x:c>
      <x:c r="N95" s="12" t="n">
        <x:v>-139500</x:v>
      </x:c>
      <x:c r="O95" s="11"/>
      <x:c r="P95" s="11"/>
      <x:c r="Q95" s="11"/>
      <x:c r="R95" s="11"/>
      <x:c r="S95" s="11"/>
      <x:c r="T95" s="2"/>
      <x:c r="U95" s="2"/>
    </x:row>
    <x:row r="96" ht="21" customHeight="1">
      <x:c r="A96" s="2"/>
      <x:c r="B96" s="2"/>
      <x:c r="C96" s="2" t="str">
        <x:v>fx cash</x:v>
      </x:c>
      <x:c r="D96" s="2"/>
      <x:c r="E96" s="12" t="n">
        <x:v>19</x:v>
      </x:c>
      <x:c r="F96" s="12" t="n">
        <x:v>50</x:v>
      </x:c>
      <x:c r="G96" s="12" t="n">
        <x:v>-115</x:v>
      </x:c>
      <x:c r="H96" s="12" t="n">
        <x:v>-201</x:v>
      </x:c>
      <x:c r="I96" s="12" t="n">
        <x:v>-29</x:v>
      </x:c>
      <x:c r="J96" s="12" t="n">
        <x:v>-141</x:v>
      </x:c>
      <x:c r="K96" s="12" t="n">
        <x:v>-194</x:v>
      </x:c>
      <x:c r="L96" s="12" t="n">
        <x:v>-210</x:v>
      </x:c>
      <x:c r="M96" s="12" t="n">
        <x:v>63</x:v>
      </x:c>
      <x:c r="N96" s="12" t="n">
        <x:v>-196</x:v>
      </x:c>
      <x:c r="O96" s="11"/>
      <x:c r="P96" s="11"/>
      <x:c r="Q96" s="11"/>
      <x:c r="R96" s="11"/>
      <x:c r="S96" s="11"/>
      <x:c r="T96" s="2"/>
      <x:c r="U96" s="2"/>
    </x:row>
    <x:row r="97" ht="21" customHeight="1">
      <x:c r="A97" s="2"/>
      <x:c r="B97" s="2"/>
      <x:c r="C97" s="2" t="str">
        <x:v>cash change</x:v>
      </x:c>
      <x:c r="D97" s="2"/>
      <x:c r="E97" s="12" t="n">
        <x:v>1153</x:v>
      </x:c>
      <x:c r="F97" s="12" t="n">
        <x:v>4283</x:v>
      </x:c>
      <x:c r="G97" s="12" t="n">
        <x:v>-590</x:v>
      </x:c>
      <x:c r="H97" s="12" t="n">
        <x:v>2220</x:v>
      </x:c>
      <x:c r="I97" s="12" t="n">
        <x:v>648</x:v>
      </x:c>
      <x:c r="J97" s="12" t="n">
        <x:v>-293</x:v>
      </x:c>
      <x:c r="K97" s="12" t="n">
        <x:v>20773</x:v>
      </x:c>
      <x:c r="L97" s="12" t="n">
        <x:v>-16389</x:v>
      </x:c>
      <x:c r="M97" s="12" t="n">
        <x:v>11927</x:v>
      </x:c>
      <x:c r="N97" s="12" t="n">
        <x:v>-9307</x:v>
      </x:c>
      <x:c r="O97" s="11"/>
      <x:c r="P97" s="11"/>
      <x:c r="Q97" s="11"/>
      <x:c r="R97" s="11"/>
      <x:c r="S97" s="11"/>
      <x:c r="T97" s="2"/>
      <x:c r="U97" s="2"/>
    </x:row>
    <x:row r="98" ht="21" customHeight="1">
      <x:c r="A98" s="2"/>
      <x:c r="B98" s="2"/>
      <x:c r="C98" s="2" t="str">
        <x:v>opening cash</x:v>
      </x:c>
      <x:c r="D98" s="2"/>
      <x:c r="E98" s="12" t="n">
        <x:v>6510</x:v>
      </x:c>
      <x:c r="F98" s="12" t="n">
        <x:v>7663</x:v>
      </x:c>
      <x:c r="G98" s="12" t="n">
        <x:v>11946</x:v>
      </x:c>
      <x:c r="H98" s="12" t="n">
        <x:v>11356</x:v>
      </x:c>
      <x:c r="I98" s="12" t="n">
        <x:v>13576</x:v>
      </x:c>
      <x:c r="J98" s="12" t="n">
        <x:v>14224</x:v>
      </x:c>
      <x:c r="K98" s="12" t="n">
        <x:v>13931</x:v>
      </x:c>
      <x:c r="L98" s="12" t="n">
        <x:v>34704</x:v>
      </x:c>
      <x:c r="M98" s="12" t="n">
        <x:v>18315</x:v>
      </x:c>
      <x:c r="N98" s="12" t="n">
        <x:v>30242</x:v>
      </x:c>
      <x:c r="O98" s="11"/>
      <x:c r="P98" s="11"/>
      <x:c r="Q98" s="11"/>
      <x:c r="R98" s="11"/>
      <x:c r="S98" s="11"/>
      <x:c r="T98" s="2"/>
      <x:c r="U98" s="2"/>
    </x:row>
    <x:row r="99" ht="21" customHeight="1">
      <x:c r="A99" s="2"/>
      <x:c r="B99" s="2"/>
      <x:c r="C99" s="2" t="str">
        <x:v>closing cash</x:v>
      </x:c>
      <x:c r="D99" s="2"/>
      <x:c r="E99" s="12" t="n">
        <x:v>7663</x:v>
      </x:c>
      <x:c r="F99" s="12" t="n">
        <x:v>11946</x:v>
      </x:c>
      <x:c r="G99" s="12" t="n">
        <x:v>11356</x:v>
      </x:c>
      <x:c r="H99" s="12" t="n">
        <x:v>13576</x:v>
      </x:c>
      <x:c r="I99" s="12" t="n">
        <x:v>14224</x:v>
      </x:c>
      <x:c r="J99" s="12" t="n">
        <x:v>13931</x:v>
      </x:c>
      <x:c r="K99" s="12" t="n">
        <x:v>34704</x:v>
      </x:c>
      <x:c r="L99" s="12" t="n">
        <x:v>18315</x:v>
      </x:c>
      <x:c r="M99" s="12" t="n">
        <x:v>30242</x:v>
      </x:c>
      <x:c r="N99" s="12" t="n">
        <x:v>20935</x:v>
      </x:c>
      <x:c r="O99" s="11"/>
      <x:c r="P99" s="11"/>
      <x:c r="Q99" s="11"/>
      <x:c r="R99" s="11"/>
      <x:c r="S99" s="11"/>
      <x:c r="T99" s="2"/>
      <x:c r="U99" s="2"/>
    </x:row>
    <x:row r="100" ht="21" customHeight="1">
      <x:c r="A100" s="2"/>
      <x:c r="B100" s="2"/>
      <x:c r="C100" s="2" t="str">
        <x:v>impairments</x:v>
      </x:c>
      <x:c r="D100" s="2"/>
      <x:c r="E100" s="12" t="n">
        <x:v>0</x:v>
      </x:c>
      <x:c r="F100" s="12" t="n">
        <x:v>0</x:v>
      </x:c>
      <x:c r="G100" s="12" t="n">
        <x:v>0</x:v>
      </x:c>
      <x:c r="H100" s="12" t="n">
        <x:v>0</x:v>
      </x:c>
      <x:c r="I100" s="12" t="n">
        <x:v>0</x:v>
      </x:c>
      <x:c r="J100" s="12" t="n">
        <x:v>0</x:v>
      </x:c>
      <x:c r="K100" s="12" t="n">
        <x:v>0</x:v>
      </x:c>
      <x:c r="L100" s="12" t="n">
        <x:v>0</x:v>
      </x:c>
      <x:c r="M100" s="12" t="n">
        <x:v>0</x:v>
      </x:c>
      <x:c r="N100" s="12" t="n">
        <x:v>0</x:v>
      </x:c>
      <x:c r="O100" s="11"/>
      <x:c r="P100" s="11"/>
      <x:c r="Q100" s="11"/>
      <x:c r="R100" s="11"/>
      <x:c r="S100" s="11"/>
      <x:c r="T100" s="2"/>
      <x:c r="U100" s="2"/>
    </x:row>
    <x:row r="101" ht="21" customHeight="1">
      <x:c r="A101" s="2"/>
      <x:c r="B101" s="2"/>
      <x:c r="C101" s="2" t="str">
        <x:v>securities lending cf</x:v>
      </x:c>
      <x:c r="D101" s="2"/>
      <x:c r="E101" s="12" t="n">
        <x:v>-197</x:v>
      </x:c>
      <x:c r="F101" s="12" t="n">
        <x:v>0</x:v>
      </x:c>
      <x:c r="G101" s="12" t="n">
        <x:v>0</x:v>
      </x:c>
      <x:c r="H101" s="12" t="n">
        <x:v>0</x:v>
      </x:c>
      <x:c r="I101" s="12" t="n">
        <x:v>0</x:v>
      </x:c>
      <x:c r="J101" s="12" t="n">
        <x:v>0</x:v>
      </x:c>
      <x:c r="K101" s="12" t="n">
        <x:v>0</x:v>
      </x:c>
      <x:c r="L101" s="12" t="n">
        <x:v>0</x:v>
      </x:c>
      <x:c r="M101" s="12" t="n">
        <x:v>0</x:v>
      </x:c>
      <x:c r="N101" s="12" t="n">
        <x:v>0</x:v>
      </x:c>
      <x:c r="O101" s="11"/>
      <x:c r="P101" s="11"/>
      <x:c r="Q101" s="11"/>
      <x:c r="R101" s="11"/>
      <x:c r="S101" s="11"/>
      <x:c r="T101" s="2"/>
      <x:c r="U101" s="2"/>
    </x:row>
    <x:row r="102" ht="21" customHeight="1">
      <x:c r="A102" s="2"/>
      <x:c r="B102" s="2"/>
      <x:c r="C102" s="2" t="str">
        <x:v>debt exchange cash premium</x:v>
      </x:c>
      <x:c r="D102" s="2"/>
      <x:c r="E102" s="12" t="n">
        <x:v>0</x:v>
      </x:c>
      <x:c r="F102" s="12" t="n">
        <x:v>0</x:v>
      </x:c>
      <x:c r="G102" s="12" t="n">
        <x:v>0</x:v>
      </x:c>
      <x:c r="H102" s="12" t="n">
        <x:v>-3417</x:v>
      </x:c>
      <x:c r="I102" s="12" t="n">
        <x:v>-1754</x:v>
      </x:c>
      <x:c r="J102" s="12" t="n">
        <x:v>0</x:v>
      </x:c>
      <x:c r="K102" s="12" t="n">
        <x:v>0</x:v>
      </x:c>
      <x:c r="L102" s="12" t="n">
        <x:v>0</x:v>
      </x:c>
      <x:c r="M102" s="12" t="n">
        <x:v>0</x:v>
      </x:c>
      <x:c r="N102" s="12" t="n">
        <x:v>0</x:v>
      </x:c>
      <x:c r="O102" s="11"/>
      <x:c r="P102" s="11"/>
      <x:c r="Q102" s="11"/>
      <x:c r="R102" s="11"/>
      <x:c r="S102" s="11"/>
      <x:c r="T102" s="2"/>
      <x:c r="U102" s="2"/>
    </x:row>
    <x:row r="103" ht="21" customHeight="1">
      <x:c r="A103" s="2"/>
      <x:c r="B103" s="2"/>
      <x:c r="C103" s="2" t="str">
        <x:v>other operating adjustments</x:v>
      </x:c>
      <x:c r="D103" s="2"/>
      <x:c r="E103" s="12" t="n">
        <x:v>0</x:v>
      </x:c>
      <x:c r="F103" s="12" t="n">
        <x:v>0</x:v>
      </x:c>
      <x:c r="G103" s="12" t="n">
        <x:v>0</x:v>
      </x:c>
      <x:c r="H103" s="12" t="n">
        <x:v>0</x:v>
      </x:c>
      <x:c r="I103" s="12" t="n">
        <x:v>0</x:v>
      </x:c>
      <x:c r="J103" s="12" t="n">
        <x:v>0</x:v>
      </x:c>
      <x:c r="K103" s="12" t="n">
        <x:v>0</x:v>
      </x:c>
      <x:c r="L103" s="12" t="n">
        <x:v>0</x:v>
      </x:c>
      <x:c r="M103" s="12" t="n">
        <x:v>0</x:v>
      </x:c>
      <x:c r="N103" s="12" t="n">
        <x:v>0</x:v>
      </x:c>
      <x:c r="O103" s="11"/>
      <x:c r="P103" s="11"/>
      <x:c r="Q103" s="11"/>
      <x:c r="R103" s="11"/>
      <x:c r="S103" s="11"/>
      <x:c r="T103" s="2"/>
      <x:c r="U103" s="2"/>
    </x:row>
    <x:row r="104" ht="21" customHeight="1">
      <x:c r="A104" s="2"/>
      <x:c r="B104" s="2"/>
      <x:c r="C104" s="2"/>
      <x:c r="D104" s="2"/>
      <x:c r="E104" s="2"/>
      <x:c r="F104" s="2"/>
      <x:c r="G104" s="2"/>
      <x:c r="H104" s="2"/>
      <x:c r="I104" s="2"/>
      <x:c r="J104" s="2"/>
      <x:c r="K104" s="2"/>
      <x:c r="L104" s="2"/>
      <x:c r="M104" s="2"/>
      <x:c r="N104" s="2"/>
      <x:c r="O104" s="2"/>
      <x:c r="P104" s="2"/>
      <x:c r="Q104" s="2"/>
      <x:c r="R104" s="2"/>
      <x:c r="S104" s="2"/>
      <x:c r="T104" s="2"/>
      <x:c r="U104" s="2"/>
    </x:row>
    <x:row r="105" ht="21" customHeight="1">
      <x:c r="A105" s="2"/>
      <x:c r="B105" s="2"/>
      <x:c r="C105" s="2"/>
      <x:c r="D105" s="2"/>
      <x:c r="E105" s="2"/>
      <x:c r="F105" s="2"/>
      <x:c r="G105" s="2"/>
      <x:c r="H105" s="2"/>
      <x:c r="I105" s="2"/>
      <x:c r="J105" s="2"/>
      <x:c r="K105" s="2"/>
      <x:c r="L105" s="2"/>
      <x:c r="M105" s="2"/>
      <x:c r="N105" s="2"/>
      <x:c r="O105" s="2"/>
      <x:c r="P105" s="2"/>
      <x:c r="Q105" s="2"/>
      <x:c r="R105" s="2"/>
      <x:c r="S105" s="2"/>
      <x:c r="T105" s="2"/>
      <x:c r="U105" s="2"/>
    </x:row>
    <x:row r="106" ht="21" customHeight="1">
      <x:c r="A106" s="2"/>
      <x:c r="B106" s="2"/>
      <x:c r="C106" s="2" t="str">
        <x:v>income source report year</x:v>
      </x:c>
      <x:c r="D106" s="2"/>
      <x:c r="E106" s="12" t="n">
        <x:v>2019</x:v>
      </x:c>
      <x:c r="F106" s="12" t="n">
        <x:v>2020</x:v>
      </x:c>
      <x:c r="G106" s="12" t="n">
        <x:v>2021</x:v>
      </x:c>
      <x:c r="H106" s="12" t="n">
        <x:v>2022</x:v>
      </x:c>
      <x:c r="I106" s="12" t="n">
        <x:v>2023</x:v>
      </x:c>
      <x:c r="J106" s="12" t="n">
        <x:v>2024</x:v>
      </x:c>
      <x:c r="K106" s="12" t="n">
        <x:v>2025</x:v>
      </x:c>
      <x:c r="L106" s="12" t="n">
        <x:v>2026</x:v>
      </x:c>
      <x:c r="M106" s="12" t="n">
        <x:v>2026</x:v>
      </x:c>
      <x:c r="N106" s="12" t="n">
        <x:v>2026</x:v>
      </x:c>
      <x:c r="O106" s="11"/>
      <x:c r="P106" s="11"/>
      <x:c r="Q106" s="11"/>
      <x:c r="R106" s="11"/>
      <x:c r="S106" s="11"/>
      <x:c r="T106" s="2"/>
      <x:c r="U106" s="2"/>
    </x:row>
    <x:row r="107" ht="21" customHeight="1">
      <x:c r="A107" s="2"/>
      <x:c r="B107" s="2"/>
      <x:c r="C107" s="2" t="str">
        <x:v>balance source report year</x:v>
      </x:c>
      <x:c r="D107" s="2"/>
      <x:c r="E107" s="12" t="n">
        <x:v>2018</x:v>
      </x:c>
      <x:c r="F107" s="12" t="n">
        <x:v>2019</x:v>
      </x:c>
      <x:c r="G107" s="12" t="n">
        <x:v>2020</x:v>
      </x:c>
      <x:c r="H107" s="12" t="n">
        <x:v>2021</x:v>
      </x:c>
      <x:c r="I107" s="12" t="n">
        <x:v>2022</x:v>
      </x:c>
      <x:c r="J107" s="12" t="n">
        <x:v>2023</x:v>
      </x:c>
      <x:c r="K107" s="12" t="n">
        <x:v>2024</x:v>
      </x:c>
      <x:c r="L107" s="12" t="n">
        <x:v>2025</x:v>
      </x:c>
      <x:c r="M107" s="12" t="n">
        <x:v>2026</x:v>
      </x:c>
      <x:c r="N107" s="12" t="n">
        <x:v>2026</x:v>
      </x:c>
      <x:c r="O107" s="11"/>
      <x:c r="P107" s="11"/>
      <x:c r="Q107" s="11"/>
      <x:c r="R107" s="11"/>
      <x:c r="S107" s="11"/>
      <x:c r="T107" s="2"/>
      <x:c r="U107" s="2"/>
    </x:row>
    <x:row r="108" ht="21" customHeight="1">
      <x:c r="A108" s="2"/>
      <x:c r="B108" s="2"/>
      <x:c r="C108" s="2" t="str">
        <x:v>cashflow source report year</x:v>
      </x:c>
      <x:c r="D108" s="2"/>
      <x:c r="E108" s="12" t="n">
        <x:v>2019</x:v>
      </x:c>
      <x:c r="F108" s="12" t="n">
        <x:v>2020</x:v>
      </x:c>
      <x:c r="G108" s="12" t="n">
        <x:v>2021</x:v>
      </x:c>
      <x:c r="H108" s="12" t="n">
        <x:v>2022</x:v>
      </x:c>
      <x:c r="I108" s="12" t="n">
        <x:v>2023</x:v>
      </x:c>
      <x:c r="J108" s="12" t="n">
        <x:v>2024</x:v>
      </x:c>
      <x:c r="K108" s="12" t="n">
        <x:v>2025</x:v>
      </x:c>
      <x:c r="L108" s="12" t="n">
        <x:v>2026</x:v>
      </x:c>
      <x:c r="M108" s="12" t="n">
        <x:v>2026</x:v>
      </x:c>
      <x:c r="N108" s="12" t="n">
        <x:v>2026</x:v>
      </x:c>
      <x:c r="O108" s="11"/>
      <x:c r="P108" s="11"/>
      <x:c r="Q108" s="11"/>
      <x:c r="R108" s="11"/>
      <x:c r="S108" s="11"/>
      <x:c r="T108" s="2"/>
      <x:c r="U108" s="2"/>
    </x:row>
    <x:row r="109" ht="21" customHeight="1">
      <x:c r="A109" s="2"/>
      <x:c r="B109" s="2"/>
      <x:c r="C109" s="2"/>
      <x:c r="D109" s="2"/>
      <x:c r="E109" s="2"/>
      <x:c r="F109" s="2"/>
      <x:c r="G109" s="2"/>
      <x:c r="H109" s="2"/>
      <x:c r="I109" s="2"/>
      <x:c r="J109" s="2"/>
      <x:c r="K109" s="2"/>
      <x:c r="L109" s="2"/>
      <x:c r="M109" s="2"/>
      <x:c r="N109" s="2"/>
      <x:c r="O109" s="2"/>
      <x:c r="P109" s="2"/>
      <x:c r="Q109" s="2"/>
      <x:c r="R109" s="2"/>
      <x:c r="S109" s="2"/>
      <x:c r="T109" s="2"/>
      <x:c r="U109" s="2"/>
    </x:row>
    <x:row r="110" ht="21" customHeight="1">
      <x:c r="A110" s="2"/>
      <x:c r="B110" s="2"/>
      <x:c r="C110" s="2"/>
      <x:c r="D110" s="2"/>
      <x:c r="E110" s="2"/>
      <x:c r="F110" s="2"/>
      <x:c r="G110" s="2"/>
      <x:c r="H110" s="2"/>
      <x:c r="I110" s="2"/>
      <x:c r="J110" s="2"/>
      <x:c r="K110" s="2"/>
      <x:c r="L110" s="2"/>
      <x:c r="M110" s="2"/>
      <x:c r="N110" s="2"/>
      <x:c r="O110" s="2"/>
      <x:c r="P110" s="2"/>
      <x:c r="Q110" s="2"/>
      <x:c r="R110" s="2"/>
      <x:c r="S110" s="2"/>
      <x:c r="T110" s="2"/>
      <x:c r="U110" s="2"/>
    </x:row>
    <x:row r="111" ht="25" customHeight="1">
      <x:c r="A111" s="2"/>
      <x:c r="B111" s="2"/>
      <x:c r="C111" s="10" t="str">
        <x:v>Primary source URLs</x:v>
      </x:c>
      <x:c r="D111" s="10"/>
      <x:c r="E111" s="10"/>
      <x:c r="F111" s="10"/>
      <x:c r="G111" s="10"/>
      <x:c r="H111" s="10"/>
      <x:c r="I111" s="10"/>
      <x:c r="J111" s="10"/>
      <x:c r="K111" s="10"/>
      <x:c r="L111" s="10"/>
      <x:c r="M111" s="10"/>
      <x:c r="N111" s="10"/>
      <x:c r="O111" s="10"/>
      <x:c r="P111" s="10"/>
      <x:c r="Q111" s="10"/>
      <x:c r="R111" s="10"/>
      <x:c r="S111" s="10"/>
      <x:c r="T111" s="2"/>
      <x:c r="U111" s="2"/>
    </x:row>
    <x:row r="112" ht="21" customHeight="1">
      <x:c r="A112" s="2"/>
      <x:c r="B112" s="2"/>
      <x:c r="C112" s="2" t="str">
        <x:v>FY2017 annual report</x:v>
      </x:c>
      <x:c r="D112" s="2"/>
      <x:c r="E112" s="2" t="str">
        <x:v>https://www.microsoft.com/investor/reports/ar19/index.html</x:v>
      </x:c>
      <x:c r="F112" s="2"/>
      <x:c r="G112" s="2"/>
      <x:c r="H112" s="2"/>
      <x:c r="I112" s="2"/>
      <x:c r="J112" s="2"/>
      <x:c r="K112" s="2"/>
      <x:c r="L112" s="2"/>
      <x:c r="M112" s="2"/>
      <x:c r="N112" s="2"/>
      <x:c r="O112" s="2"/>
      <x:c r="P112" s="2"/>
      <x:c r="Q112" s="2"/>
      <x:c r="R112" s="2"/>
      <x:c r="S112" s="2"/>
      <x:c r="T112" s="2"/>
      <x:c r="U112" s="2"/>
    </x:row>
    <x:row r="113" ht="21" customHeight="1">
      <x:c r="A113" s="2"/>
      <x:c r="B113" s="2"/>
      <x:c r="C113" s="2" t="str">
        <x:v>FY2018 annual report</x:v>
      </x:c>
      <x:c r="D113" s="2"/>
      <x:c r="E113" s="2" t="str">
        <x:v>https://www.microsoft.com/investor/reports/ar20/index.html</x:v>
      </x:c>
      <x:c r="F113" s="2"/>
      <x:c r="G113" s="2"/>
      <x:c r="H113" s="2"/>
      <x:c r="I113" s="2"/>
      <x:c r="J113" s="2"/>
      <x:c r="K113" s="2"/>
      <x:c r="L113" s="2"/>
      <x:c r="M113" s="2"/>
      <x:c r="N113" s="2"/>
      <x:c r="O113" s="2"/>
      <x:c r="P113" s="2"/>
      <x:c r="Q113" s="2"/>
      <x:c r="R113" s="2"/>
      <x:c r="S113" s="2"/>
      <x:c r="T113" s="2"/>
      <x:c r="U113" s="2"/>
    </x:row>
    <x:row r="114" ht="21" customHeight="1">
      <x:c r="A114" s="2"/>
      <x:c r="B114" s="2"/>
      <x:c r="C114" s="2" t="str">
        <x:v>FY2019 annual report</x:v>
      </x:c>
      <x:c r="D114" s="2"/>
      <x:c r="E114" s="2" t="str">
        <x:v>https://www.microsoft.com/investor/reports/ar21/index.html</x:v>
      </x:c>
      <x:c r="F114" s="2"/>
      <x:c r="G114" s="2"/>
      <x:c r="H114" s="2"/>
      <x:c r="I114" s="2"/>
      <x:c r="J114" s="2"/>
      <x:c r="K114" s="2"/>
      <x:c r="L114" s="2"/>
      <x:c r="M114" s="2"/>
      <x:c r="N114" s="2"/>
      <x:c r="O114" s="2"/>
      <x:c r="P114" s="2"/>
      <x:c r="Q114" s="2"/>
      <x:c r="R114" s="2"/>
      <x:c r="S114" s="2"/>
      <x:c r="T114" s="2"/>
      <x:c r="U114" s="2"/>
    </x:row>
    <x:row r="115" ht="21" customHeight="1">
      <x:c r="A115" s="2"/>
      <x:c r="B115" s="2"/>
      <x:c r="C115" s="2" t="str">
        <x:v>FY2020 annual report</x:v>
      </x:c>
      <x:c r="D115" s="2"/>
      <x:c r="E115" s="2" t="str">
        <x:v>https://www.microsoft.com/investor/reports/ar22/index.html</x:v>
      </x:c>
      <x:c r="F115" s="2"/>
      <x:c r="G115" s="2"/>
      <x:c r="H115" s="2"/>
      <x:c r="I115" s="2"/>
      <x:c r="J115" s="2"/>
      <x:c r="K115" s="2"/>
      <x:c r="L115" s="2"/>
      <x:c r="M115" s="2"/>
      <x:c r="N115" s="2"/>
      <x:c r="O115" s="2"/>
      <x:c r="P115" s="2"/>
      <x:c r="Q115" s="2"/>
      <x:c r="R115" s="2"/>
      <x:c r="S115" s="2"/>
      <x:c r="T115" s="2"/>
      <x:c r="U115" s="2"/>
    </x:row>
    <x:row r="116" ht="21" customHeight="1">
      <x:c r="A116" s="2"/>
      <x:c r="B116" s="2"/>
      <x:c r="C116" s="2" t="str">
        <x:v>FY2021 annual report</x:v>
      </x:c>
      <x:c r="D116" s="2"/>
      <x:c r="E116" s="2" t="str">
        <x:v>https://www.microsoft.com/investor/reports/ar23/index.html</x:v>
      </x:c>
      <x:c r="F116" s="2"/>
      <x:c r="G116" s="2"/>
      <x:c r="H116" s="2"/>
      <x:c r="I116" s="2"/>
      <x:c r="J116" s="2"/>
      <x:c r="K116" s="2"/>
      <x:c r="L116" s="2"/>
      <x:c r="M116" s="2"/>
      <x:c r="N116" s="2"/>
      <x:c r="O116" s="2"/>
      <x:c r="P116" s="2"/>
      <x:c r="Q116" s="2"/>
      <x:c r="R116" s="2"/>
      <x:c r="S116" s="2"/>
      <x:c r="T116" s="2"/>
      <x:c r="U116" s="2"/>
    </x:row>
    <x:row r="117" ht="21" customHeight="1">
      <x:c r="A117" s="2"/>
      <x:c r="B117" s="2"/>
      <x:c r="C117" s="2" t="str">
        <x:v>FY2022 annual report</x:v>
      </x:c>
      <x:c r="D117" s="2"/>
      <x:c r="E117" s="2" t="str">
        <x:v>https://www.microsoft.com/investor/reports/ar24/index.html</x:v>
      </x:c>
      <x:c r="F117" s="2"/>
      <x:c r="G117" s="2"/>
      <x:c r="H117" s="2"/>
      <x:c r="I117" s="2"/>
      <x:c r="J117" s="2"/>
      <x:c r="K117" s="2"/>
      <x:c r="L117" s="2"/>
      <x:c r="M117" s="2"/>
      <x:c r="N117" s="2"/>
      <x:c r="O117" s="2"/>
      <x:c r="P117" s="2"/>
      <x:c r="Q117" s="2"/>
      <x:c r="R117" s="2"/>
      <x:c r="S117" s="2"/>
      <x:c r="T117" s="2"/>
      <x:c r="U117" s="2"/>
    </x:row>
    <x:row r="118" ht="21" customHeight="1">
      <x:c r="A118" s="2"/>
      <x:c r="B118" s="2"/>
      <x:c r="C118" s="2" t="str">
        <x:v>FY2023 annual report</x:v>
      </x:c>
      <x:c r="D118" s="2"/>
      <x:c r="E118" s="2" t="str">
        <x:v>https://www.microsoft.com/investor/reports/ar25/index.html</x:v>
      </x:c>
      <x:c r="F118" s="2"/>
      <x:c r="G118" s="2"/>
      <x:c r="H118" s="2"/>
      <x:c r="I118" s="2"/>
      <x:c r="J118" s="2"/>
      <x:c r="K118" s="2"/>
      <x:c r="L118" s="2"/>
      <x:c r="M118" s="2"/>
      <x:c r="N118" s="2"/>
      <x:c r="O118" s="2"/>
      <x:c r="P118" s="2"/>
      <x:c r="Q118" s="2"/>
      <x:c r="R118" s="2"/>
      <x:c r="S118" s="2"/>
      <x:c r="T118" s="2"/>
      <x:c r="U118" s="2"/>
    </x:row>
    <x:row r="119" ht="21" customHeight="1">
      <x:c r="A119" s="2"/>
      <x:c r="B119" s="2"/>
      <x:c r="C119" s="2" t="str">
        <x:v>FY2024 annual report</x:v>
      </x:c>
      <x:c r="D119" s="2"/>
      <x:c r="E119" s="2" t="str">
        <x:v>https://www.sec.gov/Archives/edgar/data/789019/000119312526323660/msft-20260630.htm</x:v>
      </x:c>
      <x:c r="F119" s="2"/>
      <x:c r="G119" s="2"/>
      <x:c r="H119" s="2"/>
      <x:c r="I119" s="2"/>
      <x:c r="J119" s="2"/>
      <x:c r="K119" s="2"/>
      <x:c r="L119" s="2"/>
      <x:c r="M119" s="2"/>
      <x:c r="N119" s="2"/>
      <x:c r="O119" s="2"/>
      <x:c r="P119" s="2"/>
      <x:c r="Q119" s="2"/>
      <x:c r="R119" s="2"/>
      <x:c r="S119" s="2"/>
      <x:c r="T119" s="2"/>
      <x:c r="U119" s="2"/>
    </x:row>
    <x:row r="120" ht="21" customHeight="1">
      <x:c r="A120" s="2"/>
      <x:c r="B120" s="2"/>
      <x:c r="C120" s="2" t="str">
        <x:v>FY2025 annual report</x:v>
      </x:c>
      <x:c r="D120" s="2"/>
      <x:c r="E120" s="2" t="str">
        <x:v>https://www.sec.gov/Archives/edgar/data/789019/000119312526323660/msft-20260630.htm</x:v>
      </x:c>
      <x:c r="F120" s="2"/>
      <x:c r="G120" s="2"/>
      <x:c r="H120" s="2"/>
      <x:c r="I120" s="2"/>
      <x:c r="J120" s="2"/>
      <x:c r="K120" s="2"/>
      <x:c r="L120" s="2"/>
      <x:c r="M120" s="2"/>
      <x:c r="N120" s="2"/>
      <x:c r="O120" s="2"/>
      <x:c r="P120" s="2"/>
      <x:c r="Q120" s="2"/>
      <x:c r="R120" s="2"/>
      <x:c r="S120" s="2"/>
      <x:c r="T120" s="2"/>
      <x:c r="U120" s="2"/>
    </x:row>
    <x:row r="121" ht="21" customHeight="1">
      <x:c r="A121" s="2"/>
      <x:c r="B121" s="2"/>
      <x:c r="C121" s="2" t="str">
        <x:v>FY2026 annual report</x:v>
      </x:c>
      <x:c r="D121" s="2"/>
      <x:c r="E121" s="2" t="str">
        <x:v>https://www.sec.gov/Archives/edgar/data/789019/000119312526323660/msft-20260630.htm</x:v>
      </x:c>
      <x:c r="F121" s="2"/>
      <x:c r="G121" s="2"/>
      <x:c r="H121" s="2"/>
      <x:c r="I121" s="2"/>
      <x:c r="J121" s="2"/>
      <x:c r="K121" s="2"/>
      <x:c r="L121" s="2"/>
      <x:c r="M121" s="2"/>
      <x:c r="N121" s="2"/>
      <x:c r="O121" s="2"/>
      <x:c r="P121" s="2"/>
      <x:c r="Q121" s="2"/>
      <x:c r="R121" s="2"/>
      <x:c r="S121" s="2"/>
      <x:c r="T121" s="2"/>
      <x:c r="U121" s="2"/>
    </x:row>
    <x:row r="122" ht="21" customHeight="1">
      <x:c r="A122" s="2"/>
      <x:c r="B122" s="2"/>
      <x:c r="C122" s="2"/>
      <x:c r="D122" s="2"/>
      <x:c r="E122" s="2"/>
      <x:c r="F122" s="2"/>
      <x:c r="G122" s="2"/>
      <x:c r="H122" s="2"/>
      <x:c r="I122" s="2"/>
      <x:c r="J122" s="2"/>
      <x:c r="K122" s="2"/>
      <x:c r="L122" s="2"/>
      <x:c r="M122" s="2"/>
      <x:c r="N122" s="2"/>
      <x:c r="O122" s="2"/>
      <x:c r="P122" s="2"/>
      <x:c r="Q122" s="2"/>
      <x:c r="R122" s="2"/>
      <x:c r="S122" s="2"/>
      <x:c r="T122" s="2"/>
      <x:c r="U122" s="2"/>
    </x:row>
    <x:row r="123" ht="21" customHeight="1">
      <x:c r="A123" s="2"/>
      <x:c r="B123" s="2"/>
      <x:c r="C123" s="2"/>
      <x:c r="D123" s="2"/>
      <x:c r="E123" s="2"/>
      <x:c r="F123" s="2"/>
      <x:c r="G123" s="2"/>
      <x:c r="H123" s="2"/>
      <x:c r="I123" s="2"/>
      <x:c r="J123" s="2"/>
      <x:c r="K123" s="2"/>
      <x:c r="L123" s="2"/>
      <x:c r="M123" s="2"/>
      <x:c r="N123" s="2"/>
      <x:c r="O123" s="2"/>
      <x:c r="P123" s="2"/>
      <x:c r="Q123" s="2"/>
      <x:c r="R123" s="2"/>
      <x:c r="S123" s="2"/>
      <x:c r="T123" s="2"/>
      <x:c r="U123" s="2"/>
    </x:row>
    <x:row r="124" ht="21" customHeight="1">
      <x:c r="A124" s="2"/>
      <x:c r="B124" s="2"/>
      <x:c r="C124" s="2"/>
      <x:c r="D124" s="2"/>
      <x:c r="E124" s="2"/>
      <x:c r="F124" s="2"/>
      <x:c r="G124" s="2"/>
      <x:c r="H124" s="2"/>
      <x:c r="I124" s="2"/>
      <x:c r="J124" s="2"/>
      <x:c r="K124" s="2"/>
      <x:c r="L124" s="2"/>
      <x:c r="M124" s="2"/>
      <x:c r="N124" s="2"/>
      <x:c r="O124" s="2"/>
      <x:c r="P124" s="2"/>
      <x:c r="Q124" s="2"/>
      <x:c r="R124" s="2"/>
      <x:c r="S124" s="2"/>
      <x:c r="T124" s="2"/>
      <x:c r="U124" s="2"/>
    </x:row>
    <x:row r="125" ht="21" customHeight="1">
      <x:c r="A125" s="2"/>
      <x:c r="B125" s="2"/>
      <x:c r="C125" s="2"/>
      <x:c r="D125" s="2"/>
      <x:c r="E125" s="2"/>
      <x:c r="F125" s="2"/>
      <x:c r="G125" s="2"/>
      <x:c r="H125" s="2"/>
      <x:c r="I125" s="2"/>
      <x:c r="J125" s="2"/>
      <x:c r="K125" s="2"/>
      <x:c r="L125" s="2"/>
      <x:c r="M125" s="2"/>
      <x:c r="N125" s="2"/>
      <x:c r="O125" s="2"/>
      <x:c r="P125" s="2"/>
      <x:c r="Q125" s="2"/>
      <x:c r="R125" s="2"/>
      <x:c r="S125" s="2"/>
      <x:c r="T125" s="2"/>
      <x:c r="U125" s="2"/>
    </x:row>
    <x:row r="126" ht="21" customHeight="1">
      <x:c r="A126" s="2"/>
      <x:c r="B126" s="2"/>
      <x:c r="C126" s="2"/>
      <x:c r="D126" s="2"/>
      <x:c r="E126" s="2"/>
      <x:c r="F126" s="2"/>
      <x:c r="G126" s="2"/>
      <x:c r="H126" s="2"/>
      <x:c r="I126" s="2"/>
      <x:c r="J126" s="2"/>
      <x:c r="K126" s="2"/>
      <x:c r="L126" s="2"/>
      <x:c r="M126" s="2"/>
      <x:c r="N126" s="2"/>
      <x:c r="O126" s="2"/>
      <x:c r="P126" s="2"/>
      <x:c r="Q126" s="2"/>
      <x:c r="R126" s="2"/>
      <x:c r="S126" s="2"/>
      <x:c r="T126" s="2"/>
      <x:c r="U126" s="2"/>
    </x:row>
    <x:row r="127" ht="21" customHeight="1">
      <x:c r="A127" s="2"/>
      <x:c r="B127" s="2"/>
      <x:c r="C127" s="2"/>
      <x:c r="D127" s="2"/>
      <x:c r="E127" s="2"/>
      <x:c r="F127" s="2"/>
      <x:c r="G127" s="2"/>
      <x:c r="H127" s="2"/>
      <x:c r="I127" s="2"/>
      <x:c r="J127" s="2"/>
      <x:c r="K127" s="2"/>
      <x:c r="L127" s="2"/>
      <x:c r="M127" s="2"/>
      <x:c r="N127" s="2"/>
      <x:c r="O127" s="2"/>
      <x:c r="P127" s="2"/>
      <x:c r="Q127" s="2"/>
      <x:c r="R127" s="2"/>
      <x:c r="S127" s="2"/>
      <x:c r="T127" s="2"/>
      <x:c r="U127" s="2"/>
    </x:row>
    <x:row r="128" ht="21" customHeight="1">
      <x:c r="A128" s="2"/>
      <x:c r="B128" s="2"/>
      <x:c r="C128" s="2"/>
      <x:c r="D128" s="2"/>
      <x:c r="E128" s="2"/>
      <x:c r="F128" s="2"/>
      <x:c r="G128" s="2"/>
      <x:c r="H128" s="2"/>
      <x:c r="I128" s="2"/>
      <x:c r="J128" s="2"/>
      <x:c r="K128" s="2"/>
      <x:c r="L128" s="2"/>
      <x:c r="M128" s="2"/>
      <x:c r="N128" s="2"/>
      <x:c r="O128" s="2"/>
      <x:c r="P128" s="2"/>
      <x:c r="Q128" s="2"/>
      <x:c r="R128" s="2"/>
      <x:c r="S128" s="2"/>
      <x:c r="T128" s="2"/>
      <x:c r="U128" s="2"/>
    </x:row>
    <x:row r="129" ht="21" customHeight="1">
      <x:c r="A129" s="2"/>
      <x:c r="B129" s="2"/>
      <x:c r="C129" s="2"/>
      <x:c r="D129" s="2"/>
      <x:c r="E129" s="2"/>
      <x:c r="F129" s="2"/>
      <x:c r="G129" s="2"/>
      <x:c r="H129" s="2"/>
      <x:c r="I129" s="2"/>
      <x:c r="J129" s="2"/>
      <x:c r="K129" s="2"/>
      <x:c r="L129" s="2"/>
      <x:c r="M129" s="2"/>
      <x:c r="N129" s="2"/>
      <x:c r="O129" s="2"/>
      <x:c r="P129" s="2"/>
      <x:c r="Q129" s="2"/>
      <x:c r="R129" s="2"/>
      <x:c r="S129" s="2"/>
      <x:c r="T129" s="2"/>
      <x:c r="U129" s="2"/>
    </x:row>
    <x:row r="130" ht="21" customHeight="1">
      <x:c r="A130" s="2"/>
      <x:c r="B130" s="2"/>
      <x:c r="C130" s="2"/>
      <x:c r="D130" s="2"/>
      <x:c r="E130" s="2"/>
      <x:c r="F130" s="2"/>
      <x:c r="G130" s="2"/>
      <x:c r="H130" s="2"/>
      <x:c r="I130" s="2"/>
      <x:c r="J130" s="2"/>
      <x:c r="K130" s="2"/>
      <x:c r="L130" s="2"/>
      <x:c r="M130" s="2"/>
      <x:c r="N130" s="2"/>
      <x:c r="O130" s="2"/>
      <x:c r="P130" s="2"/>
      <x:c r="Q130" s="2"/>
      <x:c r="R130" s="2"/>
      <x:c r="S130" s="2"/>
      <x:c r="T130" s="2"/>
      <x:c r="U130" s="2"/>
    </x:row>
    <x:row r="131" ht="21" customHeight="1">
      <x:c r="A131" s="2"/>
      <x:c r="B131" s="2"/>
      <x:c r="C131" s="2"/>
      <x:c r="D131" s="2"/>
      <x:c r="E131" s="2"/>
      <x:c r="F131" s="2"/>
      <x:c r="G131" s="2"/>
      <x:c r="H131" s="2"/>
      <x:c r="I131" s="2"/>
      <x:c r="J131" s="2"/>
      <x:c r="K131" s="2"/>
      <x:c r="L131" s="2"/>
      <x:c r="M131" s="2"/>
      <x:c r="N131" s="2"/>
      <x:c r="O131" s="2"/>
      <x:c r="P131" s="2"/>
      <x:c r="Q131" s="2"/>
      <x:c r="R131" s="2"/>
      <x:c r="S131" s="2"/>
      <x:c r="T131" s="2"/>
      <x:c r="U131" s="2"/>
    </x:row>
    <x:row r="132" ht="21" customHeight="1">
      <x:c r="A132" s="2"/>
      <x:c r="B132" s="2"/>
      <x:c r="C132" s="2"/>
      <x:c r="D132" s="2"/>
      <x:c r="E132" s="2"/>
      <x:c r="F132" s="2"/>
      <x:c r="G132" s="2"/>
      <x:c r="H132" s="2"/>
      <x:c r="I132" s="2"/>
      <x:c r="J132" s="2"/>
      <x:c r="K132" s="2"/>
      <x:c r="L132" s="2"/>
      <x:c r="M132" s="2"/>
      <x:c r="N132" s="2"/>
      <x:c r="O132" s="2"/>
      <x:c r="P132" s="2"/>
      <x:c r="Q132" s="2"/>
      <x:c r="R132" s="2"/>
      <x:c r="S132" s="2"/>
      <x:c r="T132" s="2"/>
      <x:c r="U132" s="2"/>
    </x:row>
    <x:row r="133" ht="21" customHeight="1">
      <x:c r="A133" s="2"/>
      <x:c r="B133" s="2"/>
      <x:c r="C133" s="2"/>
      <x:c r="D133" s="2"/>
      <x:c r="E133" s="2"/>
      <x:c r="F133" s="2"/>
      <x:c r="G133" s="2"/>
      <x:c r="H133" s="2"/>
      <x:c r="I133" s="2"/>
      <x:c r="J133" s="2"/>
      <x:c r="K133" s="2"/>
      <x:c r="L133" s="2"/>
      <x:c r="M133" s="2"/>
      <x:c r="N133" s="2"/>
      <x:c r="O133" s="2"/>
      <x:c r="P133" s="2"/>
      <x:c r="Q133" s="2"/>
      <x:c r="R133" s="2"/>
      <x:c r="S133" s="2"/>
      <x:c r="T133" s="2"/>
      <x:c r="U133" s="2"/>
    </x:row>
    <x:row r="134" ht="21" customHeight="1">
      <x:c r="A134" s="2"/>
      <x:c r="B134" s="2"/>
      <x:c r="C134" s="2"/>
      <x:c r="D134" s="2"/>
      <x:c r="E134" s="2"/>
      <x:c r="F134" s="2"/>
      <x:c r="G134" s="2"/>
      <x:c r="H134" s="2"/>
      <x:c r="I134" s="2"/>
      <x:c r="J134" s="2"/>
      <x:c r="K134" s="2"/>
      <x:c r="L134" s="2"/>
      <x:c r="M134" s="2"/>
      <x:c r="N134" s="2"/>
      <x:c r="O134" s="2"/>
      <x:c r="P134" s="2"/>
      <x:c r="Q134" s="2"/>
      <x:c r="R134" s="2"/>
      <x:c r="S134" s="2"/>
      <x:c r="T134" s="2"/>
      <x:c r="U134" s="2"/>
    </x:row>
    <x:row r="135" ht="21" customHeight="1">
      <x:c r="A135" s="2"/>
      <x:c r="B135" s="2"/>
      <x:c r="C135" s="2"/>
      <x:c r="D135" s="2"/>
      <x:c r="E135" s="2"/>
      <x:c r="F135" s="2"/>
      <x:c r="G135" s="2"/>
      <x:c r="H135" s="2"/>
      <x:c r="I135" s="2"/>
      <x:c r="J135" s="2"/>
      <x:c r="K135" s="2"/>
      <x:c r="L135" s="2"/>
      <x:c r="M135" s="2"/>
      <x:c r="N135" s="2"/>
      <x:c r="O135" s="2"/>
      <x:c r="P135" s="2"/>
      <x:c r="Q135" s="2"/>
      <x:c r="R135" s="2"/>
      <x:c r="S135" s="2"/>
      <x:c r="T135" s="2"/>
      <x:c r="U135" s="2"/>
    </x:row>
    <x:row r="136" ht="21" customHeight="1">
      <x:c r="A136" s="2"/>
      <x:c r="B136" s="2"/>
      <x:c r="C136" s="2"/>
      <x:c r="D136" s="2"/>
      <x:c r="E136" s="2"/>
      <x:c r="F136" s="2"/>
      <x:c r="G136" s="2"/>
      <x:c r="H136" s="2"/>
      <x:c r="I136" s="2"/>
      <x:c r="J136" s="2"/>
      <x:c r="K136" s="2"/>
      <x:c r="L136" s="2"/>
      <x:c r="M136" s="2"/>
      <x:c r="N136" s="2"/>
      <x:c r="O136" s="2"/>
      <x:c r="P136" s="2"/>
      <x:c r="Q136" s="2"/>
      <x:c r="R136" s="2"/>
      <x:c r="S136" s="2"/>
      <x:c r="T136" s="2"/>
      <x:c r="U136" s="2"/>
    </x:row>
    <x:row r="137" ht="21" customHeight="1">
      <x:c r="A137" s="2"/>
      <x:c r="B137" s="2"/>
      <x:c r="C137" s="2"/>
      <x:c r="D137" s="2"/>
      <x:c r="E137" s="2"/>
      <x:c r="F137" s="2"/>
      <x:c r="G137" s="2"/>
      <x:c r="H137" s="2"/>
      <x:c r="I137" s="2"/>
      <x:c r="J137" s="2"/>
      <x:c r="K137" s="2"/>
      <x:c r="L137" s="2"/>
      <x:c r="M137" s="2"/>
      <x:c r="N137" s="2"/>
      <x:c r="O137" s="2"/>
      <x:c r="P137" s="2"/>
      <x:c r="Q137" s="2"/>
      <x:c r="R137" s="2"/>
      <x:c r="S137" s="2"/>
      <x:c r="T137" s="2"/>
      <x:c r="U137" s="2"/>
    </x:row>
    <x:row r="138" ht="21" customHeight="1">
      <x:c r="A138" s="2"/>
      <x:c r="B138" s="2"/>
      <x:c r="C138" s="2"/>
      <x:c r="D138" s="2"/>
      <x:c r="E138" s="2"/>
      <x:c r="F138" s="2"/>
      <x:c r="G138" s="2"/>
      <x:c r="H138" s="2"/>
      <x:c r="I138" s="2"/>
      <x:c r="J138" s="2"/>
      <x:c r="K138" s="2"/>
      <x:c r="L138" s="2"/>
      <x:c r="M138" s="2"/>
      <x:c r="N138" s="2"/>
      <x:c r="O138" s="2"/>
      <x:c r="P138" s="2"/>
      <x:c r="Q138" s="2"/>
      <x:c r="R138" s="2"/>
      <x:c r="S138" s="2"/>
      <x:c r="T138" s="2"/>
      <x:c r="U138" s="2"/>
    </x:row>
    <x:row r="139" ht="21" customHeight="1">
      <x:c r="A139" s="2"/>
      <x:c r="B139" s="2"/>
      <x:c r="C139" s="2"/>
      <x:c r="D139" s="2"/>
      <x:c r="E139" s="2"/>
      <x:c r="F139" s="2"/>
      <x:c r="G139" s="2"/>
      <x:c r="H139" s="2"/>
      <x:c r="I139" s="2"/>
      <x:c r="J139" s="2"/>
      <x:c r="K139" s="2"/>
      <x:c r="L139" s="2"/>
      <x:c r="M139" s="2"/>
      <x:c r="N139" s="2"/>
      <x:c r="O139" s="2"/>
      <x:c r="P139" s="2"/>
      <x:c r="Q139" s="2"/>
      <x:c r="R139" s="2"/>
      <x:c r="S139" s="2"/>
      <x:c r="T139" s="2"/>
      <x:c r="U139" s="2"/>
    </x:row>
    <x:row r="140" ht="21" customHeight="1">
      <x:c r="A140" s="2"/>
      <x:c r="B140" s="2"/>
      <x:c r="C140" s="2"/>
      <x:c r="D140" s="2"/>
      <x:c r="E140" s="2"/>
      <x:c r="F140" s="2"/>
      <x:c r="G140" s="2"/>
      <x:c r="H140" s="2"/>
      <x:c r="I140" s="2"/>
      <x:c r="J140" s="2"/>
      <x:c r="K140" s="2"/>
      <x:c r="L140" s="2"/>
      <x:c r="M140" s="2"/>
      <x:c r="N140" s="2"/>
      <x:c r="O140" s="2"/>
      <x:c r="P140" s="2"/>
      <x:c r="Q140" s="2"/>
      <x:c r="R140" s="2"/>
      <x:c r="S140" s="2"/>
      <x:c r="T140" s="2"/>
      <x:c r="U140" s="2"/>
    </x:row>
    <x:row r="141" ht="21" customHeight="1">
      <x:c r="A141" s="2"/>
      <x:c r="B141" s="2"/>
      <x:c r="C141" s="2"/>
      <x:c r="D141" s="2"/>
      <x:c r="E141" s="2"/>
      <x:c r="F141" s="2"/>
      <x:c r="G141" s="2"/>
      <x:c r="H141" s="2"/>
      <x:c r="I141" s="2"/>
      <x:c r="J141" s="2"/>
      <x:c r="K141" s="2"/>
      <x:c r="L141" s="2"/>
      <x:c r="M141" s="2"/>
      <x:c r="N141" s="2"/>
      <x:c r="O141" s="2"/>
      <x:c r="P141" s="2"/>
      <x:c r="Q141" s="2"/>
      <x:c r="R141" s="2"/>
      <x:c r="S141" s="2"/>
      <x:c r="T141" s="2"/>
      <x:c r="U141" s="2"/>
    </x:row>
    <x:row r="142" ht="21" customHeight="1">
      <x:c r="A142" s="2"/>
      <x:c r="B142" s="2"/>
      <x:c r="C142" s="2"/>
      <x:c r="D142" s="2"/>
      <x:c r="E142" s="2"/>
      <x:c r="F142" s="2"/>
      <x:c r="G142" s="2"/>
      <x:c r="H142" s="2"/>
      <x:c r="I142" s="2"/>
      <x:c r="J142" s="2"/>
      <x:c r="K142" s="2"/>
      <x:c r="L142" s="2"/>
      <x:c r="M142" s="2"/>
      <x:c r="N142" s="2"/>
      <x:c r="O142" s="2"/>
      <x:c r="P142" s="2"/>
      <x:c r="Q142" s="2"/>
      <x:c r="R142" s="2"/>
      <x:c r="S142" s="2"/>
      <x:c r="T142" s="2"/>
      <x:c r="U142" s="2"/>
    </x:row>
    <x:row r="143" ht="21" customHeight="1">
      <x:c r="A143" s="2"/>
      <x:c r="B143" s="2"/>
      <x:c r="C143" s="2"/>
      <x:c r="D143" s="2"/>
      <x:c r="E143" s="2"/>
      <x:c r="F143" s="2"/>
      <x:c r="G143" s="2"/>
      <x:c r="H143" s="2"/>
      <x:c r="I143" s="2"/>
      <x:c r="J143" s="2"/>
      <x:c r="K143" s="2"/>
      <x:c r="L143" s="2"/>
      <x:c r="M143" s="2"/>
      <x:c r="N143" s="2"/>
      <x:c r="O143" s="2"/>
      <x:c r="P143" s="2"/>
      <x:c r="Q143" s="2"/>
      <x:c r="R143" s="2"/>
      <x:c r="S143" s="2"/>
      <x:c r="T143" s="2"/>
      <x:c r="U143" s="2"/>
    </x:row>
    <x:row r="144" ht="21" customHeight="1">
      <x:c r="A144" s="2"/>
      <x:c r="B144" s="2"/>
      <x:c r="C144" s="2"/>
      <x:c r="D144" s="2"/>
      <x:c r="E144" s="2"/>
      <x:c r="F144" s="2"/>
      <x:c r="G144" s="2"/>
      <x:c r="H144" s="2"/>
      <x:c r="I144" s="2"/>
      <x:c r="J144" s="2"/>
      <x:c r="K144" s="2"/>
      <x:c r="L144" s="2"/>
      <x:c r="M144" s="2"/>
      <x:c r="N144" s="2"/>
      <x:c r="O144" s="2"/>
      <x:c r="P144" s="2"/>
      <x:c r="Q144" s="2"/>
      <x:c r="R144" s="2"/>
      <x:c r="S144" s="2"/>
      <x:c r="T144" s="2"/>
      <x:c r="U144" s="2"/>
    </x:row>
    <x:row r="145" ht="21" customHeight="1">
      <x:c r="A145" s="2"/>
      <x:c r="B145" s="2"/>
      <x:c r="C145" s="2"/>
      <x:c r="D145" s="2"/>
      <x:c r="E145" s="2"/>
      <x:c r="F145" s="2"/>
      <x:c r="G145" s="2"/>
      <x:c r="H145" s="2"/>
      <x:c r="I145" s="2"/>
      <x:c r="J145" s="2"/>
      <x:c r="K145" s="2"/>
      <x:c r="L145" s="2"/>
      <x:c r="M145" s="2"/>
      <x:c r="N145" s="2"/>
      <x:c r="O145" s="2"/>
      <x:c r="P145" s="2"/>
      <x:c r="Q145" s="2"/>
      <x:c r="R145" s="2"/>
      <x:c r="S145" s="2"/>
      <x:c r="T145" s="2"/>
      <x:c r="U145" s="2"/>
    </x:row>
    <x:row r="146" ht="21" customHeight="1">
      <x:c r="A146" s="2"/>
      <x:c r="B146" s="2"/>
      <x:c r="C146" s="2"/>
      <x:c r="D146" s="2"/>
      <x:c r="E146" s="2"/>
      <x:c r="F146" s="2"/>
      <x:c r="G146" s="2"/>
      <x:c r="H146" s="2"/>
      <x:c r="I146" s="2"/>
      <x:c r="J146" s="2"/>
      <x:c r="K146" s="2"/>
      <x:c r="L146" s="2"/>
      <x:c r="M146" s="2"/>
      <x:c r="N146" s="2"/>
      <x:c r="O146" s="2"/>
      <x:c r="P146" s="2"/>
      <x:c r="Q146" s="2"/>
      <x:c r="R146" s="2"/>
      <x:c r="S146" s="2"/>
      <x:c r="T146" s="2"/>
      <x:c r="U146" s="2"/>
    </x:row>
    <x:row r="147" ht="21" customHeight="1">
      <x:c r="A147" s="2"/>
      <x:c r="B147" s="2"/>
      <x:c r="C147" s="2"/>
      <x:c r="D147" s="2"/>
      <x:c r="E147" s="2"/>
      <x:c r="F147" s="2"/>
      <x:c r="G147" s="2"/>
      <x:c r="H147" s="2"/>
      <x:c r="I147" s="2"/>
      <x:c r="J147" s="2"/>
      <x:c r="K147" s="2"/>
      <x:c r="L147" s="2"/>
      <x:c r="M147" s="2"/>
      <x:c r="N147" s="2"/>
      <x:c r="O147" s="2"/>
      <x:c r="P147" s="2"/>
      <x:c r="Q147" s="2"/>
      <x:c r="R147" s="2"/>
      <x:c r="S147" s="2"/>
      <x:c r="T147" s="2"/>
      <x:c r="U147" s="2"/>
    </x:row>
    <x:row r="148" ht="21" customHeight="1">
      <x:c r="A148" s="2"/>
      <x:c r="B148" s="2"/>
      <x:c r="C148" s="2"/>
      <x:c r="D148" s="2"/>
      <x:c r="E148" s="2"/>
      <x:c r="F148" s="2"/>
      <x:c r="G148" s="2"/>
      <x:c r="H148" s="2"/>
      <x:c r="I148" s="2"/>
      <x:c r="J148" s="2"/>
      <x:c r="K148" s="2"/>
      <x:c r="L148" s="2"/>
      <x:c r="M148" s="2"/>
      <x:c r="N148" s="2"/>
      <x:c r="O148" s="2"/>
      <x:c r="P148" s="2"/>
      <x:c r="Q148" s="2"/>
      <x:c r="R148" s="2"/>
      <x:c r="S148" s="2"/>
      <x:c r="T148" s="2"/>
      <x:c r="U148" s="2"/>
    </x:row>
    <x:row r="149" ht="21" customHeight="1">
      <x:c r="A149" s="2"/>
      <x:c r="B149" s="2"/>
      <x:c r="C149" s="2"/>
      <x:c r="D149" s="2"/>
      <x:c r="E149" s="2"/>
      <x:c r="F149" s="2"/>
      <x:c r="G149" s="2"/>
      <x:c r="H149" s="2"/>
      <x:c r="I149" s="2"/>
      <x:c r="J149" s="2"/>
      <x:c r="K149" s="2"/>
      <x:c r="L149" s="2"/>
      <x:c r="M149" s="2"/>
      <x:c r="N149" s="2"/>
      <x:c r="O149" s="2"/>
      <x:c r="P149" s="2"/>
      <x:c r="Q149" s="2"/>
      <x:c r="R149" s="2"/>
      <x:c r="S149" s="2"/>
      <x:c r="T149" s="2"/>
      <x:c r="U149" s="2"/>
    </x:row>
    <x:row r="150" ht="21" customHeight="1">
      <x:c r="A150" s="2"/>
      <x:c r="B150" s="2"/>
      <x:c r="C150" s="2"/>
      <x:c r="D150" s="2"/>
      <x:c r="E150" s="2"/>
      <x:c r="F150" s="2"/>
      <x:c r="G150" s="2"/>
      <x:c r="H150" s="2"/>
      <x:c r="I150" s="2"/>
      <x:c r="J150" s="2"/>
      <x:c r="K150" s="2"/>
      <x:c r="L150" s="2"/>
      <x:c r="M150" s="2"/>
      <x:c r="N150" s="2"/>
      <x:c r="O150" s="2"/>
      <x:c r="P150" s="2"/>
      <x:c r="Q150" s="2"/>
      <x:c r="R150" s="2"/>
      <x:c r="S150" s="2"/>
      <x:c r="T150" s="2"/>
      <x:c r="U150" s="2"/>
    </x:row>
    <x:row r="151" ht="21" customHeight="1">
      <x:c r="A151" s="2"/>
      <x:c r="B151" s="2"/>
      <x:c r="C151" s="2"/>
      <x:c r="D151" s="2"/>
      <x:c r="E151" s="2"/>
      <x:c r="F151" s="2"/>
      <x:c r="G151" s="2"/>
      <x:c r="H151" s="2"/>
      <x:c r="I151" s="2"/>
      <x:c r="J151" s="2"/>
      <x:c r="K151" s="2"/>
      <x:c r="L151" s="2"/>
      <x:c r="M151" s="2"/>
      <x:c r="N151" s="2"/>
      <x:c r="O151" s="2"/>
      <x:c r="P151" s="2"/>
      <x:c r="Q151" s="2"/>
      <x:c r="R151" s="2"/>
      <x:c r="S151" s="2"/>
      <x:c r="T151" s="2"/>
      <x:c r="U151" s="2"/>
    </x:row>
    <x:row r="152" ht="21" customHeight="1">
      <x:c r="A152" s="2"/>
      <x:c r="B152" s="2"/>
      <x:c r="C152" s="2"/>
      <x:c r="D152" s="2"/>
      <x:c r="E152" s="2"/>
      <x:c r="F152" s="2"/>
      <x:c r="G152" s="2"/>
      <x:c r="H152" s="2"/>
      <x:c r="I152" s="2"/>
      <x:c r="J152" s="2"/>
      <x:c r="K152" s="2"/>
      <x:c r="L152" s="2"/>
      <x:c r="M152" s="2"/>
      <x:c r="N152" s="2"/>
      <x:c r="O152" s="2"/>
      <x:c r="P152" s="2"/>
      <x:c r="Q152" s="2"/>
      <x:c r="R152" s="2"/>
      <x:c r="S152" s="2"/>
      <x:c r="T152" s="2"/>
      <x:c r="U152" s="2"/>
    </x:row>
    <x:row r="153" ht="21" customHeight="1">
      <x:c r="A153" s="2"/>
      <x:c r="B153" s="2"/>
      <x:c r="C153" s="2"/>
      <x:c r="D153" s="2"/>
      <x:c r="E153" s="2"/>
      <x:c r="F153" s="2"/>
      <x:c r="G153" s="2"/>
      <x:c r="H153" s="2"/>
      <x:c r="I153" s="2"/>
      <x:c r="J153" s="2"/>
      <x:c r="K153" s="2"/>
      <x:c r="L153" s="2"/>
      <x:c r="M153" s="2"/>
      <x:c r="N153" s="2"/>
      <x:c r="O153" s="2"/>
      <x:c r="P153" s="2"/>
      <x:c r="Q153" s="2"/>
      <x:c r="R153" s="2"/>
      <x:c r="S153" s="2"/>
      <x:c r="T153" s="2"/>
      <x:c r="U153" s="2"/>
    </x:row>
    <x:row r="154" ht="21" customHeight="1">
      <x:c r="A154" s="2"/>
      <x:c r="B154" s="2"/>
      <x:c r="C154" s="2"/>
      <x:c r="D154" s="2"/>
      <x:c r="E154" s="2"/>
      <x:c r="F154" s="2"/>
      <x:c r="G154" s="2"/>
      <x:c r="H154" s="2"/>
      <x:c r="I154" s="2"/>
      <x:c r="J154" s="2"/>
      <x:c r="K154" s="2"/>
      <x:c r="L154" s="2"/>
      <x:c r="M154" s="2"/>
      <x:c r="N154" s="2"/>
      <x:c r="O154" s="2"/>
      <x:c r="P154" s="2"/>
      <x:c r="Q154" s="2"/>
      <x:c r="R154" s="2"/>
      <x:c r="S154" s="2"/>
      <x:c r="T154" s="2"/>
      <x:c r="U154" s="2"/>
    </x:row>
    <x:row r="155" ht="21" customHeight="1">
      <x:c r="A155" s="2"/>
      <x:c r="B155" s="2"/>
      <x:c r="C155" s="2"/>
      <x:c r="D155" s="2"/>
      <x:c r="E155" s="2"/>
      <x:c r="F155" s="2"/>
      <x:c r="G155" s="2"/>
      <x:c r="H155" s="2"/>
      <x:c r="I155" s="2"/>
      <x:c r="J155" s="2"/>
      <x:c r="K155" s="2"/>
      <x:c r="L155" s="2"/>
      <x:c r="M155" s="2"/>
      <x:c r="N155" s="2"/>
      <x:c r="O155" s="2"/>
      <x:c r="P155" s="2"/>
      <x:c r="Q155" s="2"/>
      <x:c r="R155" s="2"/>
      <x:c r="S155" s="2"/>
      <x:c r="T155" s="2"/>
      <x:c r="U155" s="2"/>
    </x:row>
    <x:row r="156" ht="21" customHeight="1">
      <x:c r="A156" s="2"/>
      <x:c r="B156" s="2"/>
      <x:c r="C156" s="2"/>
      <x:c r="D156" s="2"/>
      <x:c r="E156" s="2"/>
      <x:c r="F156" s="2"/>
      <x:c r="G156" s="2"/>
      <x:c r="H156" s="2"/>
      <x:c r="I156" s="2"/>
      <x:c r="J156" s="2"/>
      <x:c r="K156" s="2"/>
      <x:c r="L156" s="2"/>
      <x:c r="M156" s="2"/>
      <x:c r="N156" s="2"/>
      <x:c r="O156" s="2"/>
      <x:c r="P156" s="2"/>
      <x:c r="Q156" s="2"/>
      <x:c r="R156" s="2"/>
      <x:c r="S156" s="2"/>
      <x:c r="T156" s="2"/>
      <x:c r="U156" s="2"/>
    </x:row>
    <x:row r="157" ht="21" customHeight="1">
      <x:c r="A157" s="2"/>
      <x:c r="B157" s="2"/>
      <x:c r="C157" s="2"/>
      <x:c r="D157" s="2"/>
      <x:c r="E157" s="2"/>
      <x:c r="F157" s="2"/>
      <x:c r="G157" s="2"/>
      <x:c r="H157" s="2"/>
      <x:c r="I157" s="2"/>
      <x:c r="J157" s="2"/>
      <x:c r="K157" s="2"/>
      <x:c r="L157" s="2"/>
      <x:c r="M157" s="2"/>
      <x:c r="N157" s="2"/>
      <x:c r="O157" s="2"/>
      <x:c r="P157" s="2"/>
      <x:c r="Q157" s="2"/>
      <x:c r="R157" s="2"/>
      <x:c r="S157" s="2"/>
      <x:c r="T157" s="2"/>
      <x:c r="U157" s="2"/>
    </x:row>
    <x:row r="158" ht="21" customHeight="1">
      <x:c r="A158" s="2"/>
      <x:c r="B158" s="2"/>
      <x:c r="C158" s="2"/>
      <x:c r="D158" s="2"/>
      <x:c r="E158" s="2"/>
      <x:c r="F158" s="2"/>
      <x:c r="G158" s="2"/>
      <x:c r="H158" s="2"/>
      <x:c r="I158" s="2"/>
      <x:c r="J158" s="2"/>
      <x:c r="K158" s="2"/>
      <x:c r="L158" s="2"/>
      <x:c r="M158" s="2"/>
      <x:c r="N158" s="2"/>
      <x:c r="O158" s="2"/>
      <x:c r="P158" s="2"/>
      <x:c r="Q158" s="2"/>
      <x:c r="R158" s="2"/>
      <x:c r="S158" s="2"/>
      <x:c r="T158" s="2"/>
      <x:c r="U158" s="2"/>
    </x:row>
    <x:row r="159" ht="21" customHeight="1">
      <x:c r="A159" s="2"/>
      <x:c r="B159" s="2"/>
      <x:c r="C159" s="2"/>
      <x:c r="D159" s="2"/>
      <x:c r="E159" s="2"/>
      <x:c r="F159" s="2"/>
      <x:c r="G159" s="2"/>
      <x:c r="H159" s="2"/>
      <x:c r="I159" s="2"/>
      <x:c r="J159" s="2"/>
      <x:c r="K159" s="2"/>
      <x:c r="L159" s="2"/>
      <x:c r="M159" s="2"/>
      <x:c r="N159" s="2"/>
      <x:c r="O159" s="2"/>
      <x:c r="P159" s="2"/>
      <x:c r="Q159" s="2"/>
      <x:c r="R159" s="2"/>
      <x:c r="S159" s="2"/>
      <x:c r="T159" s="2"/>
      <x:c r="U159" s="2"/>
    </x:row>
    <x:row r="160" ht="21" customHeight="1">
      <x:c r="A160" s="2"/>
      <x:c r="B160" s="2"/>
      <x:c r="C160" s="2"/>
      <x:c r="D160" s="2"/>
      <x:c r="E160" s="2"/>
      <x:c r="F160" s="2"/>
      <x:c r="G160" s="2"/>
      <x:c r="H160" s="2"/>
      <x:c r="I160" s="2"/>
      <x:c r="J160" s="2"/>
      <x:c r="K160" s="2"/>
      <x:c r="L160" s="2"/>
      <x:c r="M160" s="2"/>
      <x:c r="N160" s="2"/>
      <x:c r="O160" s="2"/>
      <x:c r="P160" s="2"/>
      <x:c r="Q160" s="2"/>
      <x:c r="R160" s="2"/>
      <x:c r="S160" s="2"/>
      <x:c r="T160" s="2"/>
      <x:c r="U160" s="2"/>
    </x:row>
    <x:row r="161" ht="21" customHeight="1">
      <x:c r="A161" s="2"/>
      <x:c r="B161" s="2"/>
      <x:c r="C161" s="2"/>
      <x:c r="D161" s="2"/>
      <x:c r="E161" s="2"/>
      <x:c r="F161" s="2"/>
      <x:c r="G161" s="2"/>
      <x:c r="H161" s="2"/>
      <x:c r="I161" s="2"/>
      <x:c r="J161" s="2"/>
      <x:c r="K161" s="2"/>
      <x:c r="L161" s="2"/>
      <x:c r="M161" s="2"/>
      <x:c r="N161" s="2"/>
      <x:c r="O161" s="2"/>
      <x:c r="P161" s="2"/>
      <x:c r="Q161" s="2"/>
      <x:c r="R161" s="2"/>
      <x:c r="S161" s="2"/>
      <x:c r="T161" s="2"/>
      <x:c r="U161" s="2"/>
    </x:row>
    <x:row r="162" ht="21" customHeight="1">
      <x:c r="A162" s="2"/>
      <x:c r="B162" s="2"/>
      <x:c r="C162" s="2"/>
      <x:c r="D162" s="2"/>
      <x:c r="E162" s="2"/>
      <x:c r="F162" s="2"/>
      <x:c r="G162" s="2"/>
      <x:c r="H162" s="2"/>
      <x:c r="I162" s="2"/>
      <x:c r="J162" s="2"/>
      <x:c r="K162" s="2"/>
      <x:c r="L162" s="2"/>
      <x:c r="M162" s="2"/>
      <x:c r="N162" s="2"/>
      <x:c r="O162" s="2"/>
      <x:c r="P162" s="2"/>
      <x:c r="Q162" s="2"/>
      <x:c r="R162" s="2"/>
      <x:c r="S162" s="2"/>
      <x:c r="T162" s="2"/>
      <x:c r="U162" s="2"/>
    </x:row>
    <x:row r="163" ht="21" customHeight="1">
      <x:c r="A163" s="2"/>
      <x:c r="B163" s="2"/>
      <x:c r="C163" s="2"/>
      <x:c r="D163" s="2"/>
      <x:c r="E163" s="2"/>
      <x:c r="F163" s="2"/>
      <x:c r="G163" s="2"/>
      <x:c r="H163" s="2"/>
      <x:c r="I163" s="2"/>
      <x:c r="J163" s="2"/>
      <x:c r="K163" s="2"/>
      <x:c r="L163" s="2"/>
      <x:c r="M163" s="2"/>
      <x:c r="N163" s="2"/>
      <x:c r="O163" s="2"/>
      <x:c r="P163" s="2"/>
      <x:c r="Q163" s="2"/>
      <x:c r="R163" s="2"/>
      <x:c r="S163" s="2"/>
      <x:c r="T163" s="2"/>
      <x:c r="U163" s="2"/>
    </x:row>
    <x:row r="164" ht="21" customHeight="1">
      <x:c r="A164" s="2"/>
      <x:c r="B164" s="2"/>
      <x:c r="C164" s="2"/>
      <x:c r="D164" s="2"/>
      <x:c r="E164" s="2"/>
      <x:c r="F164" s="2"/>
      <x:c r="G164" s="2"/>
      <x:c r="H164" s="2"/>
      <x:c r="I164" s="2"/>
      <x:c r="J164" s="2"/>
      <x:c r="K164" s="2"/>
      <x:c r="L164" s="2"/>
      <x:c r="M164" s="2"/>
      <x:c r="N164" s="2"/>
      <x:c r="O164" s="2"/>
      <x:c r="P164" s="2"/>
      <x:c r="Q164" s="2"/>
      <x:c r="R164" s="2"/>
      <x:c r="S164" s="2"/>
      <x:c r="T164" s="2"/>
      <x:c r="U164" s="2"/>
    </x:row>
    <x:row r="165" ht="21" customHeight="1">
      <x:c r="A165" s="2"/>
      <x:c r="B165" s="2"/>
      <x:c r="C165" s="2"/>
      <x:c r="D165" s="2"/>
      <x:c r="E165" s="2"/>
      <x:c r="F165" s="2"/>
      <x:c r="G165" s="2"/>
      <x:c r="H165" s="2"/>
      <x:c r="I165" s="2"/>
      <x:c r="J165" s="2"/>
      <x:c r="K165" s="2"/>
      <x:c r="L165" s="2"/>
      <x:c r="M165" s="2"/>
      <x:c r="N165" s="2"/>
      <x:c r="O165" s="2"/>
      <x:c r="P165" s="2"/>
      <x:c r="Q165" s="2"/>
      <x:c r="R165" s="2"/>
      <x:c r="S165" s="2"/>
      <x:c r="T165" s="2"/>
      <x:c r="U165" s="2"/>
    </x:row>
    <x:row r="166" ht="21" customHeight="1">
      <x:c r="A166" s="2"/>
      <x:c r="B166" s="2"/>
      <x:c r="C166" s="2"/>
      <x:c r="D166" s="2"/>
      <x:c r="E166" s="2"/>
      <x:c r="F166" s="2"/>
      <x:c r="G166" s="2"/>
      <x:c r="H166" s="2"/>
      <x:c r="I166" s="2"/>
      <x:c r="J166" s="2"/>
      <x:c r="K166" s="2"/>
      <x:c r="L166" s="2"/>
      <x:c r="M166" s="2"/>
      <x:c r="N166" s="2"/>
      <x:c r="O166" s="2"/>
      <x:c r="P166" s="2"/>
      <x:c r="Q166" s="2"/>
      <x:c r="R166" s="2"/>
      <x:c r="S166" s="2"/>
      <x:c r="T166" s="2"/>
      <x:c r="U166" s="2"/>
    </x:row>
    <x:row r="167" ht="21" customHeight="1">
      <x:c r="A167" s="2"/>
      <x:c r="B167" s="2"/>
      <x:c r="C167" s="2"/>
      <x:c r="D167" s="2"/>
      <x:c r="E167" s="2"/>
      <x:c r="F167" s="2"/>
      <x:c r="G167" s="2"/>
      <x:c r="H167" s="2"/>
      <x:c r="I167" s="2"/>
      <x:c r="J167" s="2"/>
      <x:c r="K167" s="2"/>
      <x:c r="L167" s="2"/>
      <x:c r="M167" s="2"/>
      <x:c r="N167" s="2"/>
      <x:c r="O167" s="2"/>
      <x:c r="P167" s="2"/>
      <x:c r="Q167" s="2"/>
      <x:c r="R167" s="2"/>
      <x:c r="S167" s="2"/>
      <x:c r="T167" s="2"/>
      <x:c r="U167" s="2"/>
    </x:row>
    <x:row r="168" ht="21" customHeight="1">
      <x:c r="A168" s="2"/>
      <x:c r="B168" s="2"/>
      <x:c r="C168" s="2"/>
      <x:c r="D168" s="2"/>
      <x:c r="E168" s="2"/>
      <x:c r="F168" s="2"/>
      <x:c r="G168" s="2"/>
      <x:c r="H168" s="2"/>
      <x:c r="I168" s="2"/>
      <x:c r="J168" s="2"/>
      <x:c r="K168" s="2"/>
      <x:c r="L168" s="2"/>
      <x:c r="M168" s="2"/>
      <x:c r="N168" s="2"/>
      <x:c r="O168" s="2"/>
      <x:c r="P168" s="2"/>
      <x:c r="Q168" s="2"/>
      <x:c r="R168" s="2"/>
      <x:c r="S168" s="2"/>
      <x:c r="T168" s="2"/>
      <x:c r="U168" s="2"/>
    </x:row>
    <x:row r="169" ht="21" customHeight="1">
      <x:c r="A169" s="2"/>
      <x:c r="B169" s="2"/>
      <x:c r="C169" s="2"/>
      <x:c r="D169" s="2"/>
      <x:c r="E169" s="2"/>
      <x:c r="F169" s="2"/>
      <x:c r="G169" s="2"/>
      <x:c r="H169" s="2"/>
      <x:c r="I169" s="2"/>
      <x:c r="J169" s="2"/>
      <x:c r="K169" s="2"/>
      <x:c r="L169" s="2"/>
      <x:c r="M169" s="2"/>
      <x:c r="N169" s="2"/>
      <x:c r="O169" s="2"/>
      <x:c r="P169" s="2"/>
      <x:c r="Q169" s="2"/>
      <x:c r="R169" s="2"/>
      <x:c r="S169" s="2"/>
      <x:c r="T169" s="2"/>
      <x:c r="U169" s="2"/>
    </x:row>
    <x:row r="170" ht="21" customHeight="1">
      <x:c r="A170" s="2"/>
      <x:c r="B170" s="2"/>
      <x:c r="C170" s="2"/>
      <x:c r="D170" s="2"/>
      <x:c r="E170" s="2"/>
      <x:c r="F170" s="2"/>
      <x:c r="G170" s="2"/>
      <x:c r="H170" s="2"/>
      <x:c r="I170" s="2"/>
      <x:c r="J170" s="2"/>
      <x:c r="K170" s="2"/>
      <x:c r="L170" s="2"/>
      <x:c r="M170" s="2"/>
      <x:c r="N170" s="2"/>
      <x:c r="O170" s="2"/>
      <x:c r="P170" s="2"/>
      <x:c r="Q170" s="2"/>
      <x:c r="R170" s="2"/>
      <x:c r="S170" s="2"/>
      <x:c r="T170" s="2"/>
      <x:c r="U170" s="2"/>
    </x:row>
    <x:row r="171" ht="21" customHeight="1">
      <x:c r="A171" s="2"/>
      <x:c r="B171" s="2"/>
      <x:c r="C171" s="2"/>
      <x:c r="D171" s="2"/>
      <x:c r="E171" s="2"/>
      <x:c r="F171" s="2"/>
      <x:c r="G171" s="2"/>
      <x:c r="H171" s="2"/>
      <x:c r="I171" s="2"/>
      <x:c r="J171" s="2"/>
      <x:c r="K171" s="2"/>
      <x:c r="L171" s="2"/>
      <x:c r="M171" s="2"/>
      <x:c r="N171" s="2"/>
      <x:c r="O171" s="2"/>
      <x:c r="P171" s="2"/>
      <x:c r="Q171" s="2"/>
      <x:c r="R171" s="2"/>
      <x:c r="S171" s="2"/>
      <x:c r="T171" s="2"/>
      <x:c r="U171" s="2"/>
    </x:row>
    <x:row r="172" ht="21" customHeight="1">
      <x:c r="A172" s="2"/>
      <x:c r="B172" s="2"/>
      <x:c r="C172" s="2"/>
      <x:c r="D172" s="2"/>
      <x:c r="E172" s="2"/>
      <x:c r="F172" s="2"/>
      <x:c r="G172" s="2"/>
      <x:c r="H172" s="2"/>
      <x:c r="I172" s="2"/>
      <x:c r="J172" s="2"/>
      <x:c r="K172" s="2"/>
      <x:c r="L172" s="2"/>
      <x:c r="M172" s="2"/>
      <x:c r="N172" s="2"/>
      <x:c r="O172" s="2"/>
      <x:c r="P172" s="2"/>
      <x:c r="Q172" s="2"/>
      <x:c r="R172" s="2"/>
      <x:c r="S172" s="2"/>
      <x:c r="T172" s="2"/>
      <x:c r="U172" s="2"/>
    </x:row>
    <x:row r="173" ht="21" customHeight="1">
      <x:c r="A173" s="2"/>
      <x:c r="B173" s="2"/>
      <x:c r="C173" s="2"/>
      <x:c r="D173" s="2"/>
      <x:c r="E173" s="2"/>
      <x:c r="F173" s="2"/>
      <x:c r="G173" s="2"/>
      <x:c r="H173" s="2"/>
      <x:c r="I173" s="2"/>
      <x:c r="J173" s="2"/>
      <x:c r="K173" s="2"/>
      <x:c r="L173" s="2"/>
      <x:c r="M173" s="2"/>
      <x:c r="N173" s="2"/>
      <x:c r="O173" s="2"/>
      <x:c r="P173" s="2"/>
      <x:c r="Q173" s="2"/>
      <x:c r="R173" s="2"/>
      <x:c r="S173" s="2"/>
      <x:c r="T173" s="2"/>
      <x:c r="U173" s="2"/>
    </x:row>
    <x:row r="174" ht="21" customHeight="1">
      <x:c r="A174" s="2"/>
      <x:c r="B174" s="2"/>
      <x:c r="C174" s="2"/>
      <x:c r="D174" s="2"/>
      <x:c r="E174" s="2"/>
      <x:c r="F174" s="2"/>
      <x:c r="G174" s="2"/>
      <x:c r="H174" s="2"/>
      <x:c r="I174" s="2"/>
      <x:c r="J174" s="2"/>
      <x:c r="K174" s="2"/>
      <x:c r="L174" s="2"/>
      <x:c r="M174" s="2"/>
      <x:c r="N174" s="2"/>
      <x:c r="O174" s="2"/>
      <x:c r="P174" s="2"/>
      <x:c r="Q174" s="2"/>
      <x:c r="R174" s="2"/>
      <x:c r="S174" s="2"/>
      <x:c r="T174" s="2"/>
      <x:c r="U174" s="2"/>
    </x:row>
    <x:row r="175" ht="21" customHeight="1">
      <x:c r="A175" s="2"/>
      <x:c r="B175" s="2"/>
      <x:c r="C175" s="2"/>
      <x:c r="D175" s="2"/>
      <x:c r="E175" s="2"/>
      <x:c r="F175" s="2"/>
      <x:c r="G175" s="2"/>
      <x:c r="H175" s="2"/>
      <x:c r="I175" s="2"/>
      <x:c r="J175" s="2"/>
      <x:c r="K175" s="2"/>
      <x:c r="L175" s="2"/>
      <x:c r="M175" s="2"/>
      <x:c r="N175" s="2"/>
      <x:c r="O175" s="2"/>
      <x:c r="P175" s="2"/>
      <x:c r="Q175" s="2"/>
      <x:c r="R175" s="2"/>
      <x:c r="S175" s="2"/>
      <x:c r="T175" s="2"/>
      <x:c r="U175" s="2"/>
    </x:row>
  </x:sheetData>
  <x:pageMargins left="0.7" right="0.7" top="0.75" bottom="0.75" header="0.3" footer="0.3"/>
  <x:drawing xmlns:r="http://schemas.openxmlformats.org/officeDocument/2006/relationships" r:id="Ra024817da6424df6"/>
</x:worksheet>
</file>

<file path=xl/worksheets/sheet18.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Filing Notes</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ppe depreciation</x:v>
      </x:c>
      <x:c r="D8" s="2"/>
      <x:c r="E8" s="12" t="n">
        <x:v>6100</x:v>
      </x:c>
      <x:c r="F8" s="12" t="n">
        <x:v>7700</x:v>
      </x:c>
      <x:c r="G8" s="12" t="n">
        <x:v>9700</x:v>
      </x:c>
      <x:c r="H8" s="12" t="n">
        <x:v>10700</x:v>
      </x:c>
      <x:c r="I8" s="12" t="n">
        <x:v>9300</x:v>
      </x:c>
      <x:c r="J8" s="12" t="n">
        <x:v>12600</x:v>
      </x:c>
      <x:c r="K8" s="12" t="n">
        <x:v>11000</x:v>
      </x:c>
      <x:c r="L8" s="12" t="n">
        <x:v>15200</x:v>
      </x:c>
      <x:c r="M8" s="12" t="n">
        <x:v>22000</x:v>
      </x:c>
      <x:c r="N8" s="12" t="n">
        <x:v>34300</x:v>
      </x:c>
      <x:c r="O8" s="11"/>
      <x:c r="P8" s="11"/>
      <x:c r="Q8" s="11"/>
      <x:c r="R8" s="11"/>
      <x:c r="S8" s="11"/>
      <x:c r="T8" s="2"/>
      <x:c r="U8" s="2"/>
    </x:row>
    <x:row r="9" ht="21" customHeight="1">
      <x:c r="A9" s="2"/>
      <x:c r="B9" s="2"/>
      <x:c r="C9" s="2" t="str">
        <x:v>intangible amortization</x:v>
      </x:c>
      <x:c r="D9" s="2"/>
      <x:c r="E9" s="12" t="n">
        <x:v>1700</x:v>
      </x:c>
      <x:c r="F9" s="12" t="n">
        <x:v>2200</x:v>
      </x:c>
      <x:c r="G9" s="12" t="n">
        <x:v>1900</x:v>
      </x:c>
      <x:c r="H9" s="12" t="n">
        <x:v>1600</x:v>
      </x:c>
      <x:c r="I9" s="12" t="n">
        <x:v>1600</x:v>
      </x:c>
      <x:c r="J9" s="12" t="n">
        <x:v>2000</x:v>
      </x:c>
      <x:c r="K9" s="12" t="n">
        <x:v>2500</x:v>
      </x:c>
      <x:c r="L9" s="12" t="n">
        <x:v>4800</x:v>
      </x:c>
      <x:c r="M9" s="12" t="n">
        <x:v>6000</x:v>
      </x:c>
      <x:c r="N9" s="12" t="n">
        <x:v>4700</x:v>
      </x:c>
      <x:c r="O9" s="11"/>
      <x:c r="P9" s="11"/>
      <x:c r="Q9" s="11"/>
      <x:c r="R9" s="11"/>
      <x:c r="S9" s="11"/>
      <x:c r="T9" s="2"/>
      <x:c r="U9" s="2"/>
    </x:row>
    <x:row r="10" ht="21" customHeight="1">
      <x:c r="A10" s="2"/>
      <x:c r="B10" s="2"/>
      <x:c r="C10" s="2" t="str">
        <x:v>ppe gross</x:v>
      </x:c>
      <x:c r="D10" s="2"/>
      <x:c r="E10" s="12" t="n">
        <x:v>47913</x:v>
      </x:c>
      <x:c r="F10" s="12" t="n">
        <x:v>58683</x:v>
      </x:c>
      <x:c r="G10" s="12" t="n">
        <x:v>71807</x:v>
      </x:c>
      <x:c r="H10" s="12" t="n">
        <x:v>87348</x:v>
      </x:c>
      <x:c r="I10" s="12" t="n">
        <x:v>111066</x:v>
      </x:c>
      <x:c r="J10" s="12" t="n">
        <x:v>134058</x:v>
      </x:c>
      <x:c r="K10" s="12" t="n">
        <x:v>163892</x:v>
      </x:c>
      <x:c r="L10" s="12" t="n">
        <x:v>212012</x:v>
      </x:c>
      <x:c r="M10" s="12" t="n">
        <x:v>298619</x:v>
      </x:c>
      <x:c r="N10" s="12" t="n">
        <x:v>431767</x:v>
      </x:c>
      <x:c r="O10" s="11"/>
      <x:c r="P10" s="11"/>
      <x:c r="Q10" s="11"/>
      <x:c r="R10" s="11"/>
      <x:c r="S10" s="11"/>
      <x:c r="T10" s="2"/>
      <x:c r="U10" s="2"/>
    </x:row>
    <x:row r="11" ht="21" customHeight="1">
      <x:c r="A11" s="2"/>
      <x:c r="B11" s="2"/>
      <x:c r="C11" s="2" t="str">
        <x:v>accumulated depreciation</x:v>
      </x:c>
      <x:c r="D11" s="2"/>
      <x:c r="E11" s="12" t="n">
        <x:v>24179</x:v>
      </x:c>
      <x:c r="F11" s="12" t="n">
        <x:v>29223</x:v>
      </x:c>
      <x:c r="G11" s="12" t="n">
        <x:v>35330</x:v>
      </x:c>
      <x:c r="H11" s="12" t="n">
        <x:v>43197</x:v>
      </x:c>
      <x:c r="I11" s="12" t="n">
        <x:v>51351</x:v>
      </x:c>
      <x:c r="J11" s="12" t="n">
        <x:v>59660</x:v>
      </x:c>
      <x:c r="K11" s="12" t="n">
        <x:v>68251</x:v>
      </x:c>
      <x:c r="L11" s="12" t="n">
        <x:v>76421</x:v>
      </x:c>
      <x:c r="M11" s="12" t="n">
        <x:v>93653</x:v>
      </x:c>
      <x:c r="N11" s="12" t="n">
        <x:v>118691</x:v>
      </x:c>
      <x:c r="O11" s="11"/>
      <x:c r="P11" s="11"/>
      <x:c r="Q11" s="11"/>
      <x:c r="R11" s="11"/>
      <x:c r="S11" s="11"/>
      <x:c r="T11" s="2"/>
      <x:c r="U11" s="2"/>
    </x:row>
    <x:row r="12" ht="21" customHeight="1">
      <x:c r="A12" s="2"/>
      <x:c r="B12" s="2"/>
      <x:c r="C12" s="2" t="str">
        <x:v>finance lease liab</x:v>
      </x:c>
      <x:c r="D12" s="2"/>
      <x:c r="E12" s="12" t="n">
        <x:v>2538</x:v>
      </x:c>
      <x:c r="F12" s="12" t="n">
        <x:v>4301</x:v>
      </x:c>
      <x:c r="G12" s="12" t="n">
        <x:v>6574</x:v>
      </x:c>
      <x:c r="H12" s="12" t="n">
        <x:v>9496</x:v>
      </x:c>
      <x:c r="I12" s="12" t="n">
        <x:v>12541</x:v>
      </x:c>
      <x:c r="J12" s="12" t="n">
        <x:v>14902</x:v>
      </x:c>
      <x:c r="K12" s="12" t="n">
        <x:v>17067</x:v>
      </x:c>
      <x:c r="L12" s="12" t="n">
        <x:v>27145</x:v>
      </x:c>
      <x:c r="M12" s="12" t="n">
        <x:v>46172</x:v>
      </x:c>
      <x:c r="N12" s="12" t="n">
        <x:v>66594</x:v>
      </x:c>
      <x:c r="O12" s="11"/>
      <x:c r="P12" s="11"/>
      <x:c r="Q12" s="11"/>
      <x:c r="R12" s="11"/>
      <x:c r="S12" s="11"/>
      <x:c r="T12" s="2"/>
      <x:c r="U12" s="2"/>
    </x:row>
    <x:row r="13" ht="21" customHeight="1">
      <x:c r="A13" s="2"/>
      <x:c r="B13" s="2"/>
      <x:c r="C13" s="2" t="str">
        <x:v>finance lease principal</x:v>
      </x:c>
      <x:c r="D13" s="2"/>
      <x:c r="E13" s="12" t="n">
        <x:v>46</x:v>
      </x:c>
      <x:c r="F13" s="12" t="n">
        <x:v>144</x:v>
      </x:c>
      <x:c r="G13" s="12" t="n">
        <x:v>221</x:v>
      </x:c>
      <x:c r="H13" s="12" t="n">
        <x:v>409</x:v>
      </x:c>
      <x:c r="I13" s="12" t="n">
        <x:v>648</x:v>
      </x:c>
      <x:c r="J13" s="12" t="n">
        <x:v>896</x:v>
      </x:c>
      <x:c r="K13" s="12" t="n">
        <x:v>1056</x:v>
      </x:c>
      <x:c r="L13" s="12" t="n">
        <x:v>1286</x:v>
      </x:c>
      <x:c r="M13" s="12" t="n">
        <x:v>2283</x:v>
      </x:c>
      <x:c r="N13" s="12" t="n">
        <x:v>3101</x:v>
      </x:c>
      <x:c r="O13" s="11"/>
      <x:c r="P13" s="11"/>
      <x:c r="Q13" s="11"/>
      <x:c r="R13" s="11"/>
      <x:c r="S13" s="11"/>
      <x:c r="T13" s="2"/>
      <x:c r="U13" s="2"/>
    </x:row>
    <x:row r="14" ht="21" customHeight="1">
      <x:c r="A14" s="2"/>
      <x:c r="B14" s="2"/>
      <x:c r="C14" s="2" t="str">
        <x:v>finance lease additions</x:v>
      </x:c>
      <x:c r="D14" s="2"/>
      <x:c r="E14" s="12" t="n">
        <x:v>1773</x:v>
      </x:c>
      <x:c r="F14" s="12" t="n">
        <x:v>1933</x:v>
      </x:c>
      <x:c r="G14" s="12" t="n">
        <x:v>2532</x:v>
      </x:c>
      <x:c r="H14" s="12" t="n">
        <x:v>3467</x:v>
      </x:c>
      <x:c r="I14" s="12" t="n">
        <x:v>3290</x:v>
      </x:c>
      <x:c r="J14" s="12" t="n">
        <x:v>4234</x:v>
      </x:c>
      <x:c r="K14" s="12" t="n">
        <x:v>3128</x:v>
      </x:c>
      <x:c r="L14" s="12" t="n">
        <x:v>11633</x:v>
      </x:c>
      <x:c r="M14" s="12" t="n">
        <x:v>20511</x:v>
      </x:c>
      <x:c r="N14" s="12" t="n">
        <x:v>24608</x:v>
      </x:c>
      <x:c r="O14" s="11"/>
      <x:c r="P14" s="11"/>
      <x:c r="Q14" s="11"/>
      <x:c r="R14" s="11"/>
      <x:c r="S14" s="11"/>
      <x:c r="T14" s="2"/>
      <x:c r="U14" s="2"/>
    </x:row>
    <x:row r="15" ht="21" customHeight="1">
      <x:c r="A15" s="2"/>
      <x:c r="B15" s="2"/>
      <x:c r="C15" s="2" t="str">
        <x:v>operating lease liab</x:v>
      </x:c>
      <x:c r="D15" s="2"/>
      <x:c r="E15" s="12" t="n">
        <x:v>6795</x:v>
      </x:c>
      <x:c r="F15" s="12" t="n">
        <x:v>6967</x:v>
      </x:c>
      <x:c r="G15" s="12" t="n">
        <x:v>7703</x:v>
      </x:c>
      <x:c r="H15" s="12" t="n">
        <x:v>9287</x:v>
      </x:c>
      <x:c r="I15" s="12" t="n">
        <x:v>11591</x:v>
      </x:c>
      <x:c r="J15" s="12" t="n">
        <x:v>13717</x:v>
      </x:c>
      <x:c r="K15" s="12" t="n">
        <x:v>15137</x:v>
      </x:c>
      <x:c r="L15" s="12" t="n">
        <x:v>19077</x:v>
      </x:c>
      <x:c r="M15" s="12" t="n">
        <x:v>22861</x:v>
      </x:c>
      <x:c r="N15" s="12" t="n">
        <x:v>21925</x:v>
      </x:c>
      <x:c r="O15" s="11"/>
      <x:c r="P15" s="11"/>
      <x:c r="Q15" s="11"/>
      <x:c r="R15" s="11"/>
      <x:c r="S15" s="11"/>
      <x:c r="T15" s="2"/>
      <x:c r="U15" s="2"/>
    </x:row>
    <x:row r="16" ht="21" customHeight="1">
      <x:c r="A16" s="2"/>
      <x:c r="B16" s="2"/>
      <x:c r="C16" s="2" t="str">
        <x:v>operating lease additions</x:v>
      </x:c>
      <x:c r="D16" s="2"/>
      <x:c r="E16" s="12" t="n">
        <x:v>1270</x:v>
      </x:c>
      <x:c r="F16" s="12" t="n">
        <x:v>1571</x:v>
      </x:c>
      <x:c r="G16" s="12" t="n">
        <x:v>2303</x:v>
      </x:c>
      <x:c r="H16" s="12" t="n">
        <x:v>3677</x:v>
      </x:c>
      <x:c r="I16" s="12" t="n">
        <x:v>4380</x:v>
      </x:c>
      <x:c r="J16" s="12" t="n">
        <x:v>5268</x:v>
      </x:c>
      <x:c r="K16" s="12" t="n">
        <x:v>3514</x:v>
      </x:c>
      <x:c r="L16" s="12" t="n">
        <x:v>6703</x:v>
      </x:c>
      <x:c r="M16" s="12" t="n">
        <x:v>7826</x:v>
      </x:c>
      <x:c r="N16" s="12" t="n">
        <x:v>4555</x:v>
      </x:c>
      <x:c r="O16" s="11"/>
      <x:c r="P16" s="11"/>
      <x:c r="Q16" s="11"/>
      <x:c r="R16" s="11"/>
      <x:c r="S16" s="11"/>
      <x:c r="T16" s="2"/>
      <x:c r="U16" s="2"/>
    </x:row>
    <x:row r="17" ht="21" customHeight="1">
      <x:c r="A17" s="2"/>
      <x:c r="B17" s="2"/>
      <x:c r="C17" s="2" t="str">
        <x:v>operating lease cost</x:v>
      </x:c>
      <x:c r="D17" s="2"/>
      <x:c r="E17" s="12" t="n">
        <x:v>1412</x:v>
      </x:c>
      <x:c r="F17" s="12" t="n">
        <x:v>1585</x:v>
      </x:c>
      <x:c r="G17" s="12" t="n">
        <x:v>1707</x:v>
      </x:c>
      <x:c r="H17" s="12" t="n">
        <x:v>2043</x:v>
      </x:c>
      <x:c r="I17" s="12" t="n">
        <x:v>2127</x:v>
      </x:c>
      <x:c r="J17" s="12" t="n">
        <x:v>2461</x:v>
      </x:c>
      <x:c r="K17" s="12" t="n">
        <x:v>2875</x:v>
      </x:c>
      <x:c r="L17" s="12" t="n">
        <x:v>3555</x:v>
      </x:c>
      <x:c r="M17" s="12" t="n">
        <x:v>5524</x:v>
      </x:c>
      <x:c r="N17" s="12" t="n">
        <x:v>6968</x:v>
      </x:c>
      <x:c r="O17" s="11"/>
      <x:c r="P17" s="11"/>
      <x:c r="Q17" s="11"/>
      <x:c r="R17" s="11"/>
      <x:c r="S17" s="11"/>
      <x:c r="T17" s="2"/>
      <x:c r="U17" s="2"/>
    </x:row>
    <x:row r="18" ht="21" customHeight="1">
      <x:c r="A18" s="2"/>
      <x:c r="B18" s="2"/>
      <x:c r="C18" s="2" t="str">
        <x:v>interest expense</x:v>
      </x:c>
      <x:c r="D18" s="2"/>
      <x:c r="E18" s="17" t="str">
        <x:v>n.a.</x:v>
      </x:c>
      <x:c r="F18" s="17" t="str">
        <x:v>n.a.</x:v>
      </x:c>
      <x:c r="G18" s="17" t="str">
        <x:v>n.a.</x:v>
      </x:c>
      <x:c r="H18" s="17" t="str">
        <x:v>n.a.</x:v>
      </x:c>
      <x:c r="I18" s="17" t="str">
        <x:v>n.a.</x:v>
      </x:c>
      <x:c r="J18" s="17" t="str">
        <x:v>n.a.</x:v>
      </x:c>
      <x:c r="K18" s="12" t="n">
        <x:v>1968</x:v>
      </x:c>
      <x:c r="L18" s="12" t="n">
        <x:v>2935</x:v>
      </x:c>
      <x:c r="M18" s="12" t="n">
        <x:v>2385</x:v>
      </x:c>
      <x:c r="N18" s="12" t="n">
        <x:v>3051</x:v>
      </x:c>
      <x:c r="O18" s="11"/>
      <x:c r="P18" s="11"/>
      <x:c r="Q18" s="11"/>
      <x:c r="R18" s="11"/>
      <x:c r="S18" s="11"/>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5" customHeight="1">
      <x:c r="A21" s="2"/>
      <x:c r="B21" s="2"/>
      <x:c r="C21" s="10" t="str">
        <x:v>FY2026 additional disclosures</x:v>
      </x:c>
      <x:c r="D21" s="10"/>
      <x:c r="E21" s="10"/>
      <x:c r="F21" s="10"/>
      <x:c r="G21" s="10"/>
      <x:c r="H21" s="10"/>
      <x:c r="I21" s="10"/>
      <x:c r="J21" s="10"/>
      <x:c r="K21" s="10"/>
      <x:c r="L21" s="10"/>
      <x:c r="M21" s="10"/>
      <x:c r="N21" s="10"/>
      <x:c r="O21" s="10"/>
      <x:c r="P21" s="10"/>
      <x:c r="Q21" s="10"/>
      <x:c r="R21" s="10"/>
      <x:c r="S21" s="10"/>
      <x:c r="T21" s="2"/>
      <x:c r="U21" s="2"/>
    </x:row>
    <x:row r="22" ht="21" customHeight="1">
      <x:c r="A22" s="2"/>
      <x:c r="B22" s="2"/>
      <x:c r="C22" s="2" t="str">
        <x:v>land</x:v>
      </x:c>
      <x:c r="D22" s="2"/>
      <x:c r="E22" s="11"/>
      <x:c r="F22" s="11"/>
      <x:c r="G22" s="11"/>
      <x:c r="H22" s="11"/>
      <x:c r="I22" s="11"/>
      <x:c r="J22" s="11"/>
      <x:c r="K22" s="11"/>
      <x:c r="L22" s="11"/>
      <x:c r="M22" s="11"/>
      <x:c r="N22" s="12" t="n">
        <x:v>10546</x:v>
      </x:c>
      <x:c r="O22" s="11"/>
      <x:c r="P22" s="11"/>
      <x:c r="Q22" s="11"/>
      <x:c r="R22" s="11"/>
      <x:c r="S22" s="11"/>
      <x:c r="T22" s="2"/>
      <x:c r="U22" s="2"/>
    </x:row>
    <x:row r="23" ht="21" customHeight="1">
      <x:c r="A23" s="2"/>
      <x:c r="B23" s="2"/>
      <x:c r="C23" s="2" t="str">
        <x:v>capex payables</x:v>
      </x:c>
      <x:c r="D23" s="2"/>
      <x:c r="E23" s="11"/>
      <x:c r="F23" s="11"/>
      <x:c r="G23" s="11"/>
      <x:c r="H23" s="11"/>
      <x:c r="I23" s="11"/>
      <x:c r="J23" s="11"/>
      <x:c r="K23" s="11"/>
      <x:c r="L23" s="11"/>
      <x:c r="M23" s="11"/>
      <x:c r="N23" s="12" t="n">
        <x:v>26700</x:v>
      </x:c>
      <x:c r="O23" s="11"/>
      <x:c r="P23" s="11"/>
      <x:c r="Q23" s="11"/>
      <x:c r="R23" s="11"/>
      <x:c r="S23" s="11"/>
      <x:c r="T23" s="2"/>
      <x:c r="U23" s="2"/>
    </x:row>
    <x:row r="24" ht="21" customHeight="1">
      <x:c r="A24" s="2"/>
      <x:c r="B24" s="2"/>
      <x:c r="C24" s="2" t="str">
        <x:v>debt face</x:v>
      </x:c>
      <x:c r="D24" s="2"/>
      <x:c r="E24" s="11"/>
      <x:c r="F24" s="11"/>
      <x:c r="G24" s="11"/>
      <x:c r="H24" s="11"/>
      <x:c r="I24" s="11"/>
      <x:c r="J24" s="11"/>
      <x:c r="K24" s="11"/>
      <x:c r="L24" s="11"/>
      <x:c r="M24" s="11"/>
      <x:c r="N24" s="12" t="n">
        <x:v>46136</x:v>
      </x:c>
      <x:c r="O24" s="11"/>
      <x:c r="P24" s="11"/>
      <x:c r="Q24" s="11"/>
      <x:c r="R24" s="11"/>
      <x:c r="S24" s="11"/>
      <x:c r="T24" s="2"/>
      <x:c r="U24" s="2"/>
    </x:row>
    <x:row r="25" ht="21" customHeight="1">
      <x:c r="A25" s="2"/>
      <x:c r="B25" s="2"/>
      <x:c r="C25" s="2" t="str">
        <x:v>debt discount</x:v>
      </x:c>
      <x:c r="D25" s="2"/>
      <x:c r="E25" s="11"/>
      <x:c r="F25" s="11"/>
      <x:c r="G25" s="11"/>
      <x:c r="H25" s="11"/>
      <x:c r="I25" s="11"/>
      <x:c r="J25" s="11"/>
      <x:c r="K25" s="11"/>
      <x:c r="L25" s="11"/>
      <x:c r="M25" s="11"/>
      <x:c r="N25" s="12" t="n">
        <x:v>1081</x:v>
      </x:c>
      <x:c r="O25" s="11"/>
      <x:c r="P25" s="11"/>
      <x:c r="Q25" s="11"/>
      <x:c r="R25" s="11"/>
      <x:c r="S25" s="11"/>
      <x:c r="T25" s="2"/>
      <x:c r="U25" s="2"/>
    </x:row>
    <x:row r="26" ht="21" customHeight="1">
      <x:c r="A26" s="2"/>
      <x:c r="B26" s="2"/>
      <x:c r="C26" s="2" t="str">
        <x:v>debt hedge adjustment</x:v>
      </x:c>
      <x:c r="D26" s="2"/>
      <x:c r="E26" s="11"/>
      <x:c r="F26" s="11"/>
      <x:c r="G26" s="11"/>
      <x:c r="H26" s="11"/>
      <x:c r="I26" s="11"/>
      <x:c r="J26" s="11"/>
      <x:c r="K26" s="11"/>
      <x:c r="L26" s="11"/>
      <x:c r="M26" s="11"/>
      <x:c r="N26" s="12" t="n">
        <x:v>11</x:v>
      </x:c>
      <x:c r="O26" s="11"/>
      <x:c r="P26" s="11"/>
      <x:c r="Q26" s="11"/>
      <x:c r="R26" s="11"/>
      <x:c r="S26" s="11"/>
      <x:c r="T26" s="2"/>
      <x:c r="U26" s="2"/>
    </x:row>
    <x:row r="27" ht="21" customHeight="1">
      <x:c r="A27" s="2"/>
      <x:c r="B27" s="2"/>
      <x:c r="C27" s="2" t="str">
        <x:v>debt exchange premium</x:v>
      </x:c>
      <x:c r="D27" s="2"/>
      <x:c r="E27" s="11"/>
      <x:c r="F27" s="11"/>
      <x:c r="G27" s="11"/>
      <x:c r="H27" s="11"/>
      <x:c r="I27" s="11"/>
      <x:c r="J27" s="11"/>
      <x:c r="K27" s="11"/>
      <x:c r="L27" s="11"/>
      <x:c r="M27" s="11"/>
      <x:c r="N27" s="12" t="n">
        <x:v>4750</x:v>
      </x:c>
      <x:c r="O27" s="11"/>
      <x:c r="P27" s="11"/>
      <x:c r="Q27" s="11"/>
      <x:c r="R27" s="11"/>
      <x:c r="S27" s="11"/>
      <x:c r="T27" s="2"/>
      <x:c r="U27" s="2"/>
    </x:row>
    <x:row r="28" ht="21" customHeight="1">
      <x:c r="A28" s="2"/>
      <x:c r="B28" s="2"/>
      <x:c r="C28" s="2" t="str">
        <x:v>op lease current</x:v>
      </x:c>
      <x:c r="D28" s="2"/>
      <x:c r="E28" s="11"/>
      <x:c r="F28" s="11"/>
      <x:c r="G28" s="11"/>
      <x:c r="H28" s="11"/>
      <x:c r="I28" s="11"/>
      <x:c r="J28" s="11"/>
      <x:c r="K28" s="11"/>
      <x:c r="L28" s="11"/>
      <x:c r="M28" s="11"/>
      <x:c r="N28" s="12" t="n">
        <x:v>5393</x:v>
      </x:c>
      <x:c r="O28" s="11"/>
      <x:c r="P28" s="11"/>
      <x:c r="Q28" s="11"/>
      <x:c r="R28" s="11"/>
      <x:c r="S28" s="11"/>
      <x:c r="T28" s="2"/>
      <x:c r="U28" s="2"/>
    </x:row>
    <x:row r="29" ht="21" customHeight="1">
      <x:c r="A29" s="2"/>
      <x:c r="B29" s="2"/>
      <x:c r="C29" s="2" t="str">
        <x:v>finance lease current</x:v>
      </x:c>
      <x:c r="D29" s="2"/>
      <x:c r="E29" s="11"/>
      <x:c r="F29" s="11"/>
      <x:c r="G29" s="11"/>
      <x:c r="H29" s="11"/>
      <x:c r="I29" s="11"/>
      <x:c r="J29" s="11"/>
      <x:c r="K29" s="11"/>
      <x:c r="L29" s="11"/>
      <x:c r="M29" s="11"/>
      <x:c r="N29" s="12" t="n">
        <x:v>4290</x:v>
      </x:c>
      <x:c r="O29" s="11"/>
      <x:c r="P29" s="11"/>
      <x:c r="Q29" s="11"/>
      <x:c r="R29" s="11"/>
      <x:c r="S29" s="11"/>
      <x:c r="T29" s="2"/>
      <x:c r="U29" s="2"/>
    </x:row>
    <x:row r="30" ht="21" customHeight="1">
      <x:c r="A30" s="2"/>
      <x:c r="B30" s="2"/>
      <x:c r="C30" s="2" t="str">
        <x:v>finance lease long</x:v>
      </x:c>
      <x:c r="D30" s="2"/>
      <x:c r="E30" s="11"/>
      <x:c r="F30" s="11"/>
      <x:c r="G30" s="11"/>
      <x:c r="H30" s="11"/>
      <x:c r="I30" s="11"/>
      <x:c r="J30" s="11"/>
      <x:c r="K30" s="11"/>
      <x:c r="L30" s="11"/>
      <x:c r="M30" s="11"/>
      <x:c r="N30" s="12" t="n">
        <x:v>62304</x:v>
      </x:c>
      <x:c r="O30" s="11"/>
      <x:c r="P30" s="11"/>
      <x:c r="Q30" s="11"/>
      <x:c r="R30" s="11"/>
      <x:c r="S30" s="11"/>
      <x:c r="T30" s="2"/>
      <x:c r="U30" s="2"/>
    </x:row>
    <x:row r="31" ht="21" customHeight="1">
      <x:c r="A31" s="2"/>
      <x:c r="B31" s="2"/>
      <x:c r="C31" s="2" t="str">
        <x:v>construction commitments</x:v>
      </x:c>
      <x:c r="D31" s="2"/>
      <x:c r="E31" s="11"/>
      <x:c r="F31" s="11"/>
      <x:c r="G31" s="11"/>
      <x:c r="H31" s="11"/>
      <x:c r="I31" s="11"/>
      <x:c r="J31" s="11"/>
      <x:c r="K31" s="11"/>
      <x:c r="L31" s="11"/>
      <x:c r="M31" s="11"/>
      <x:c r="N31" s="12" t="n">
        <x:v>34566</x:v>
      </x:c>
      <x:c r="O31" s="11"/>
      <x:c r="P31" s="11"/>
      <x:c r="Q31" s="11"/>
      <x:c r="R31" s="11"/>
      <x:c r="S31" s="11"/>
      <x:c r="T31" s="2"/>
      <x:c r="U31" s="2"/>
    </x:row>
    <x:row r="32" ht="21" customHeight="1">
      <x:c r="A32" s="2"/>
      <x:c r="B32" s="2"/>
      <x:c r="C32" s="2" t="str">
        <x:v>cash debt interest</x:v>
      </x:c>
      <x:c r="D32" s="2"/>
      <x:c r="E32" s="11"/>
      <x:c r="F32" s="11"/>
      <x:c r="G32" s="11"/>
      <x:c r="H32" s="11"/>
      <x:c r="I32" s="11"/>
      <x:c r="J32" s="11"/>
      <x:c r="K32" s="11"/>
      <x:c r="L32" s="11"/>
      <x:c r="M32" s="11"/>
      <x:c r="N32" s="12" t="n">
        <x:v>1500</x:v>
      </x:c>
      <x:c r="O32" s="11"/>
      <x:c r="P32" s="11"/>
      <x:c r="Q32" s="11"/>
      <x:c r="R32" s="11"/>
      <x:c r="S32" s="11"/>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5" customHeight="1">
      <x:c r="A35" s="2"/>
      <x:c r="B35" s="2"/>
      <x:c r="C35" s="10" t="str">
        <x:v>Contractual and disclosed expected payments</x:v>
      </x:c>
      <x:c r="D35" s="10"/>
      <x:c r="E35" s="10"/>
      <x:c r="F35" s="10"/>
      <x:c r="G35" s="10"/>
      <x:c r="H35" s="10"/>
      <x:c r="I35" s="10"/>
      <x:c r="J35" s="10"/>
      <x:c r="K35" s="10"/>
      <x:c r="L35" s="10"/>
      <x:c r="M35" s="10"/>
      <x:c r="N35" s="10"/>
      <x:c r="O35" s="10"/>
      <x:c r="P35" s="10"/>
      <x:c r="Q35" s="10"/>
      <x:c r="R35" s="10"/>
      <x:c r="S35" s="10"/>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t="str">
        <x:v>debt maturities</x:v>
      </x:c>
      <x:c r="D37" s="2"/>
      <x:c r="E37" s="11"/>
      <x:c r="F37" s="11"/>
      <x:c r="G37" s="11"/>
      <x:c r="H37" s="11"/>
      <x:c r="I37" s="11"/>
      <x:c r="J37" s="11"/>
      <x:c r="K37" s="11"/>
      <x:c r="L37" s="11"/>
      <x:c r="M37" s="11"/>
      <x:c r="N37" s="11"/>
      <x:c r="O37" s="12" t="n">
        <x:v>9250</x:v>
      </x:c>
      <x:c r="P37" s="12" t="n">
        <x:v>0</x:v>
      </x:c>
      <x:c r="Q37" s="12" t="n">
        <x:v>2001</x:v>
      </x:c>
      <x:c r="R37" s="12" t="n">
        <x:v>0</x:v>
      </x:c>
      <x:c r="S37" s="12" t="n">
        <x:v>500</x:v>
      </x:c>
      <x:c r="T37" s="2"/>
      <x:c r="U37" s="2"/>
    </x:row>
    <x:row r="38" ht="21" customHeight="1">
      <x:c r="A38" s="2"/>
      <x:c r="B38" s="2"/>
      <x:c r="C38" s="2" t="str">
        <x:v>intangible amortization schedule</x:v>
      </x:c>
      <x:c r="D38" s="2"/>
      <x:c r="E38" s="11"/>
      <x:c r="F38" s="11"/>
      <x:c r="G38" s="11"/>
      <x:c r="H38" s="11"/>
      <x:c r="I38" s="11"/>
      <x:c r="J38" s="11"/>
      <x:c r="K38" s="11"/>
      <x:c r="L38" s="11"/>
      <x:c r="M38" s="11"/>
      <x:c r="N38" s="11"/>
      <x:c r="O38" s="12" t="n">
        <x:v>3097</x:v>
      </x:c>
      <x:c r="P38" s="12" t="n">
        <x:v>2141</x:v>
      </x:c>
      <x:c r="Q38" s="12" t="n">
        <x:v>1944</x:v>
      </x:c>
      <x:c r="R38" s="12" t="n">
        <x:v>1477</x:v>
      </x:c>
      <x:c r="S38" s="12" t="n">
        <x:v>1128</x:v>
      </x:c>
      <x:c r="T38" s="2"/>
      <x:c r="U38" s="2"/>
    </x:row>
    <x:row r="39" ht="21" customHeight="1">
      <x:c r="A39" s="2"/>
      <x:c r="B39" s="2"/>
      <x:c r="C39" s="2" t="str">
        <x:v>op lease payments</x:v>
      </x:c>
      <x:c r="D39" s="2"/>
      <x:c r="E39" s="11"/>
      <x:c r="F39" s="11"/>
      <x:c r="G39" s="11"/>
      <x:c r="H39" s="11"/>
      <x:c r="I39" s="11"/>
      <x:c r="J39" s="11"/>
      <x:c r="K39" s="11"/>
      <x:c r="L39" s="11"/>
      <x:c r="M39" s="11"/>
      <x:c r="N39" s="11"/>
      <x:c r="O39" s="12" t="n">
        <x:v>6082</x:v>
      </x:c>
      <x:c r="P39" s="12" t="n">
        <x:v>4334</x:v>
      </x:c>
      <x:c r="Q39" s="12" t="n">
        <x:v>3146</x:v>
      </x:c>
      <x:c r="R39" s="12" t="n">
        <x:v>2612</x:v>
      </x:c>
      <x:c r="S39" s="12" t="n">
        <x:v>2316</x:v>
      </x:c>
      <x:c r="T39" s="2"/>
      <x:c r="U39" s="2"/>
    </x:row>
    <x:row r="40" ht="21" customHeight="1">
      <x:c r="A40" s="2"/>
      <x:c r="B40" s="2"/>
      <x:c r="C40" s="2" t="str">
        <x:v>finance lease payments</x:v>
      </x:c>
      <x:c r="D40" s="2"/>
      <x:c r="E40" s="11"/>
      <x:c r="F40" s="11"/>
      <x:c r="G40" s="11"/>
      <x:c r="H40" s="11"/>
      <x:c r="I40" s="11"/>
      <x:c r="J40" s="11"/>
      <x:c r="K40" s="11"/>
      <x:c r="L40" s="11"/>
      <x:c r="M40" s="11"/>
      <x:c r="N40" s="11"/>
      <x:c r="O40" s="12" t="n">
        <x:v>7121</x:v>
      </x:c>
      <x:c r="P40" s="12" t="n">
        <x:v>7294</x:v>
      </x:c>
      <x:c r="Q40" s="12" t="n">
        <x:v>6668</x:v>
      </x:c>
      <x:c r="R40" s="12" t="n">
        <x:v>6570</x:v>
      </x:c>
      <x:c r="S40" s="12" t="n">
        <x:v>6543</x:v>
      </x:c>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t="str">
        <x:v>Debt thereafter face principal</x:v>
      </x:c>
      <x:c r="D42" s="2"/>
      <x:c r="E42" s="11"/>
      <x:c r="F42" s="11"/>
      <x:c r="G42" s="11"/>
      <x:c r="H42" s="11"/>
      <x:c r="I42" s="11"/>
      <x:c r="J42" s="11"/>
      <x:c r="K42" s="11"/>
      <x:c r="L42" s="11"/>
      <x:c r="M42" s="11"/>
      <x:c r="N42" s="12" t="n">
        <x:v>34385</x:v>
      </x:c>
      <x:c r="O42" s="11"/>
      <x:c r="P42" s="11"/>
      <x:c r="Q42" s="11"/>
      <x:c r="R42" s="11"/>
      <x:c r="S42" s="11"/>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18" t="str">
        <x:v>Current debt accounting adjustment ratio</x:v>
      </x:c>
      <x:c r="D44" s="18"/>
      <x:c r="E44" s="19"/>
      <x:c r="F44" s="19"/>
      <x:c r="G44" s="19"/>
      <x:c r="H44" s="19"/>
      <x:c r="I44" s="19"/>
      <x:c r="J44" s="19"/>
      <x:c r="K44" s="19"/>
      <x:c r="L44" s="19"/>
      <x:c r="M44" s="19"/>
      <x:c r="N44" s="20" t="n">
        <x:f>('Filing Notes'!O37-'Historical Inputs'!N43)/'Filing Notes'!O37</x:f>
        <x:v>0.0024864864864864865</x:v>
      </x:c>
      <x:c r="O44" s="19"/>
      <x:c r="P44" s="19"/>
      <x:c r="Q44" s="19"/>
      <x:c r="R44" s="19"/>
      <x:c r="S44" s="19"/>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t="str">
        <x:v>FY2026 notes 6, 9, 10 and 13</x:v>
      </x:c>
      <x:c r="D47" s="2"/>
      <x:c r="E47" s="2" t="str">
        <x:v>https://www.sec.gov/Archives/edgar/data/789019/000119312526323660/msft-20260630.htm</x:v>
      </x:c>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pageMargins left="0.7" right="0.7" top="0.75" bottom="0.75" header="0.3" footer="0.3"/>
  <x:drawing xmlns:r="http://schemas.openxmlformats.org/officeDocument/2006/relationships" r:id="Rbb3a958e7d2f4d39"/>
</x:worksheet>
</file>

<file path=xl/worksheets/sheet19.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Audit</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t="str">
        <x:v>Case Selected:</x:v>
      </x:c>
      <x:c r="D4" s="2"/>
      <x:c r="E4" s="5" t="str">
        <x:f>'Assumptions'!$G$4</x:f>
        <x:v>Base</x:v>
      </x:c>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7" customHeight="1">
      <x:c r="A7" s="2"/>
      <x:c r="B7" s="2"/>
      <x:c r="C7" s="7" t="str">
        <x:v>Metric</x:v>
      </x:c>
      <x:c r="D7" s="7"/>
      <x:c r="E7" s="8" t="str">
        <x:v>FY:17 A</x:v>
      </x:c>
      <x:c r="F7" s="8" t="str">
        <x:v>FY:18 A</x:v>
      </x:c>
      <x:c r="G7" s="8" t="str">
        <x:v>FY:19 A</x:v>
      </x:c>
      <x:c r="H7" s="8" t="str">
        <x:v>FY:20 A</x:v>
      </x:c>
      <x:c r="I7" s="8" t="str">
        <x:v>FY:21 A</x:v>
      </x:c>
      <x:c r="J7" s="8" t="str">
        <x:v>FY:22 A</x:v>
      </x:c>
      <x:c r="K7" s="8" t="str">
        <x:v>FY:23 A</x:v>
      </x:c>
      <x:c r="L7" s="8" t="str">
        <x:v>FY:24 A</x:v>
      </x:c>
      <x:c r="M7" s="8" t="str">
        <x:v>FY:25 A</x:v>
      </x:c>
      <x:c r="N7" s="8" t="str">
        <x:v>FY:26 A</x:v>
      </x:c>
      <x:c r="O7" s="8" t="str">
        <x:v>FY:27 E</x:v>
      </x:c>
      <x:c r="P7" s="8" t="str">
        <x:v>FY:28 E</x:v>
      </x:c>
      <x:c r="Q7" s="8" t="str">
        <x:v>FY:29 E</x:v>
      </x:c>
      <x:c r="R7" s="8" t="str">
        <x:v>FY:30 E</x:v>
      </x:c>
      <x:c r="S7" s="8" t="str">
        <x:v>FY:31 E</x:v>
      </x:c>
      <x:c r="T7" s="2"/>
      <x:c r="U7" s="2"/>
    </x:row>
    <x:row r="8" ht="21" customHeight="1">
      <x:c r="A8" s="2"/>
      <x:c r="B8" s="2"/>
      <x:c r="C8" s="2" t="str">
        <x:v>Assets less liabilities and equity</x:v>
      </x:c>
      <x:c r="D8" s="2"/>
      <x:c r="E8" s="76" t="n">
        <x:f>ROUND('Balance Sheet'!E22-'Balance Sheet'!E47,6)</x:f>
        <x:v>0</x:v>
      </x:c>
      <x:c r="F8" s="76" t="n">
        <x:f>ROUND('Balance Sheet'!F22-'Balance Sheet'!F47,6)</x:f>
        <x:v>0</x:v>
      </x:c>
      <x:c r="G8" s="76" t="n">
        <x:f>ROUND('Balance Sheet'!G22-'Balance Sheet'!G47,6)</x:f>
        <x:v>0</x:v>
      </x:c>
      <x:c r="H8" s="76" t="n">
        <x:f>ROUND('Balance Sheet'!H22-'Balance Sheet'!H47,6)</x:f>
        <x:v>0</x:v>
      </x:c>
      <x:c r="I8" s="76" t="n">
        <x:f>ROUND('Balance Sheet'!I22-'Balance Sheet'!I47,6)</x:f>
        <x:v>0</x:v>
      </x:c>
      <x:c r="J8" s="76" t="n">
        <x:f>ROUND('Balance Sheet'!J22-'Balance Sheet'!J47,6)</x:f>
        <x:v>0</x:v>
      </x:c>
      <x:c r="K8" s="76" t="n">
        <x:f>ROUND('Balance Sheet'!K22-'Balance Sheet'!K47,6)</x:f>
        <x:v>0</x:v>
      </x:c>
      <x:c r="L8" s="76" t="n">
        <x:f>ROUND('Balance Sheet'!L22-'Balance Sheet'!L47,6)</x:f>
        <x:v>0</x:v>
      </x:c>
      <x:c r="M8" s="76" t="n">
        <x:f>ROUND('Balance Sheet'!M22-'Balance Sheet'!M47,6)</x:f>
        <x:v>0</x:v>
      </x:c>
      <x:c r="N8" s="76" t="n">
        <x:f>ROUND('Balance Sheet'!N22-'Balance Sheet'!N47,6)</x:f>
        <x:v>0</x:v>
      </x:c>
      <x:c r="O8" s="76" t="n">
        <x:f>ROUND('Balance Sheet'!O22-'Balance Sheet'!O47,6)</x:f>
        <x:v>0</x:v>
      </x:c>
      <x:c r="P8" s="76" t="n">
        <x:f>ROUND('Balance Sheet'!P22-'Balance Sheet'!P47,6)</x:f>
        <x:v>0</x:v>
      </x:c>
      <x:c r="Q8" s="76" t="n">
        <x:f>ROUND('Balance Sheet'!Q22-'Balance Sheet'!Q47,6)</x:f>
        <x:v>0</x:v>
      </x:c>
      <x:c r="R8" s="76" t="n">
        <x:f>ROUND('Balance Sheet'!R22-'Balance Sheet'!R47,6)</x:f>
        <x:v>0</x:v>
      </x:c>
      <x:c r="S8" s="76" t="n">
        <x:f>ROUND('Balance Sheet'!S22-'Balance Sheet'!S47,6)</x:f>
        <x:v>0</x:v>
      </x:c>
      <x:c r="T8" s="2"/>
      <x:c r="U8" s="2"/>
    </x:row>
    <x:row r="9" ht="21" customHeight="1">
      <x:c r="A9" s="2"/>
      <x:c r="B9" s="2"/>
      <x:c r="C9" s="2" t="str">
        <x:v>Cash flow ending cash less balance sheet cash</x:v>
      </x:c>
      <x:c r="D9" s="2"/>
      <x:c r="E9" s="76" t="n">
        <x:f>ROUND('Cash Flow'!E54-'Balance Sheet'!E8,6)</x:f>
        <x:v>0</x:v>
      </x:c>
      <x:c r="F9" s="76" t="n">
        <x:f>ROUND('Cash Flow'!F54-'Balance Sheet'!F8,6)</x:f>
        <x:v>0</x:v>
      </x:c>
      <x:c r="G9" s="76" t="n">
        <x:f>ROUND('Cash Flow'!G54-'Balance Sheet'!G8,6)</x:f>
        <x:v>0</x:v>
      </x:c>
      <x:c r="H9" s="76" t="n">
        <x:f>ROUND('Cash Flow'!H54-'Balance Sheet'!H8,6)</x:f>
        <x:v>0</x:v>
      </x:c>
      <x:c r="I9" s="76" t="n">
        <x:f>ROUND('Cash Flow'!I54-'Balance Sheet'!I8,6)</x:f>
        <x:v>0</x:v>
      </x:c>
      <x:c r="J9" s="76" t="n">
        <x:f>ROUND('Cash Flow'!J54-'Balance Sheet'!J8,6)</x:f>
        <x:v>0</x:v>
      </x:c>
      <x:c r="K9" s="76" t="n">
        <x:f>ROUND('Cash Flow'!K54-'Balance Sheet'!K8,6)</x:f>
        <x:v>0</x:v>
      </x:c>
      <x:c r="L9" s="76" t="n">
        <x:f>ROUND('Cash Flow'!L54-'Balance Sheet'!L8,6)</x:f>
        <x:v>0</x:v>
      </x:c>
      <x:c r="M9" s="76" t="n">
        <x:f>ROUND('Cash Flow'!M54-'Balance Sheet'!M8,6)</x:f>
        <x:v>0</x:v>
      </x:c>
      <x:c r="N9" s="76" t="n">
        <x:f>ROUND('Cash Flow'!N54-'Balance Sheet'!N8,6)</x:f>
        <x:v>0</x:v>
      </x:c>
      <x:c r="O9" s="76" t="n">
        <x:f>ROUND('Cash Flow'!O54-'Balance Sheet'!O8,6)</x:f>
        <x:v>0</x:v>
      </x:c>
      <x:c r="P9" s="76" t="n">
        <x:f>ROUND('Cash Flow'!P54-'Balance Sheet'!P8,6)</x:f>
        <x:v>0</x:v>
      </x:c>
      <x:c r="Q9" s="76" t="n">
        <x:f>ROUND('Cash Flow'!Q54-'Balance Sheet'!Q8,6)</x:f>
        <x:v>0</x:v>
      </x:c>
      <x:c r="R9" s="76" t="n">
        <x:f>ROUND('Cash Flow'!R54-'Balance Sheet'!R8,6)</x:f>
        <x:v>0</x:v>
      </x:c>
      <x:c r="S9" s="76" t="n">
        <x:f>ROUND('Cash Flow'!S54-'Balance Sheet'!S8,6)</x:f>
        <x:v>0</x:v>
      </x:c>
      <x:c r="T9" s="2"/>
      <x:c r="U9" s="2"/>
    </x:row>
    <x:row r="10" ht="21" customHeight="1">
      <x:c r="A10" s="2"/>
      <x:c r="B10" s="2"/>
      <x:c r="C10" s="2" t="str">
        <x:v>Segment revenue less income statement revenue</x:v>
      </x:c>
      <x:c r="D10" s="2"/>
      <x:c r="E10" s="76" t="n">
        <x:f>ROUND('Segments'!E51-'Income Statement'!E8,6)</x:f>
        <x:v>0</x:v>
      </x:c>
      <x:c r="F10" s="76" t="n">
        <x:f>ROUND('Segments'!F51-'Income Statement'!F8,6)</x:f>
        <x:v>0</x:v>
      </x:c>
      <x:c r="G10" s="76" t="n">
        <x:f>ROUND('Segments'!G51-'Income Statement'!G8,6)</x:f>
        <x:v>0</x:v>
      </x:c>
      <x:c r="H10" s="76" t="n">
        <x:f>ROUND('Segments'!H51-'Income Statement'!H8,6)</x:f>
        <x:v>0</x:v>
      </x:c>
      <x:c r="I10" s="76" t="n">
        <x:f>ROUND('Segments'!I51-'Income Statement'!I8,6)</x:f>
        <x:v>0</x:v>
      </x:c>
      <x:c r="J10" s="76" t="n">
        <x:f>ROUND('Segments'!J51-'Income Statement'!J8,6)</x:f>
        <x:v>0</x:v>
      </x:c>
      <x:c r="K10" s="76" t="n">
        <x:f>ROUND('Segments'!K51-'Income Statement'!K8,6)</x:f>
        <x:v>0</x:v>
      </x:c>
      <x:c r="L10" s="76" t="n">
        <x:f>ROUND('Segments'!L51-'Income Statement'!L8,6)</x:f>
        <x:v>0</x:v>
      </x:c>
      <x:c r="M10" s="76" t="n">
        <x:f>ROUND('Segments'!M51-'Income Statement'!M8,6)</x:f>
        <x:v>0</x:v>
      </x:c>
      <x:c r="N10" s="76" t="n">
        <x:f>ROUND('Segments'!N51-'Income Statement'!N8,6)</x:f>
        <x:v>0</x:v>
      </x:c>
      <x:c r="O10" s="76" t="n">
        <x:f>ROUND('Segments'!O51-'Income Statement'!O8,6)</x:f>
        <x:v>0</x:v>
      </x:c>
      <x:c r="P10" s="76" t="n">
        <x:f>ROUND('Segments'!P51-'Income Statement'!P8,6)</x:f>
        <x:v>0</x:v>
      </x:c>
      <x:c r="Q10" s="76" t="n">
        <x:f>ROUND('Segments'!Q51-'Income Statement'!Q8,6)</x:f>
        <x:v>0</x:v>
      </x:c>
      <x:c r="R10" s="76" t="n">
        <x:f>ROUND('Segments'!R51-'Income Statement'!R8,6)</x:f>
        <x:v>0</x:v>
      </x:c>
      <x:c r="S10" s="76" t="n">
        <x:f>ROUND('Segments'!S51-'Income Statement'!S8,6)</x:f>
        <x:v>0</x:v>
      </x:c>
      <x:c r="T10" s="2"/>
      <x:c r="U10" s="2"/>
    </x:row>
    <x:row r="11" ht="32" customHeight="1">
      <x:c r="A11" s="2"/>
      <x:c r="B11" s="2"/>
      <x:c r="C11" s="23" t="str">
        <x:v>Segment income after corporate expense less total income</x:v>
      </x:c>
      <x:c r="D11" s="2"/>
      <x:c r="E11" s="76" t="n">
        <x:f>ROUND('Segments'!E55-'Income Statement'!E19,6)</x:f>
        <x:v>0</x:v>
      </x:c>
      <x:c r="F11" s="76" t="n">
        <x:f>ROUND('Segments'!F55-'Income Statement'!F19,6)</x:f>
        <x:v>0</x:v>
      </x:c>
      <x:c r="G11" s="76" t="n">
        <x:f>ROUND('Segments'!G55-'Income Statement'!G19,6)</x:f>
        <x:v>0</x:v>
      </x:c>
      <x:c r="H11" s="76" t="n">
        <x:f>ROUND('Segments'!H55-'Income Statement'!H19,6)</x:f>
        <x:v>0</x:v>
      </x:c>
      <x:c r="I11" s="76" t="n">
        <x:f>ROUND('Segments'!I55-'Income Statement'!I19,6)</x:f>
        <x:v>0</x:v>
      </x:c>
      <x:c r="J11" s="76" t="n">
        <x:f>ROUND('Segments'!J55-'Income Statement'!J19,6)</x:f>
        <x:v>0</x:v>
      </x:c>
      <x:c r="K11" s="76" t="n">
        <x:f>ROUND('Segments'!K55-'Income Statement'!K19,6)</x:f>
        <x:v>0</x:v>
      </x:c>
      <x:c r="L11" s="76" t="n">
        <x:f>ROUND('Segments'!L55-'Income Statement'!L19,6)</x:f>
        <x:v>0</x:v>
      </x:c>
      <x:c r="M11" s="76" t="n">
        <x:f>ROUND('Segments'!M55-'Income Statement'!M19,6)</x:f>
        <x:v>0</x:v>
      </x:c>
      <x:c r="N11" s="76" t="n">
        <x:f>ROUND('Segments'!N55-'Income Statement'!N19,6)</x:f>
        <x:v>0</x:v>
      </x:c>
      <x:c r="O11" s="76" t="n">
        <x:f>ROUND('Segments'!O55-'Income Statement'!O19,6)</x:f>
        <x:v>0</x:v>
      </x:c>
      <x:c r="P11" s="76" t="n">
        <x:f>ROUND('Segments'!P55-'Income Statement'!P19,6)</x:f>
        <x:v>0</x:v>
      </x:c>
      <x:c r="Q11" s="76" t="n">
        <x:f>ROUND('Segments'!Q55-'Income Statement'!Q19,6)</x:f>
        <x:v>0</x:v>
      </x:c>
      <x:c r="R11" s="76" t="n">
        <x:f>ROUND('Segments'!R55-'Income Statement'!R19,6)</x:f>
        <x:v>0</x:v>
      </x:c>
      <x:c r="S11" s="76" t="n">
        <x:f>ROUND('Segments'!S55-'Income Statement'!S19,6)</x:f>
        <x:v>0</x:v>
      </x:c>
      <x:c r="T11" s="2"/>
      <x:c r="U11" s="2"/>
    </x:row>
    <x:row r="12" ht="21" customHeight="1">
      <x:c r="A12" s="2"/>
      <x:c r="B12" s="2"/>
      <x:c r="C12" s="2" t="str">
        <x:v>Income statement operating income reconciliation</x:v>
      </x:c>
      <x:c r="D12" s="2"/>
      <x:c r="E12" s="76" t="n">
        <x:f>ROUND('Income Statement'!E8-'Income Statement'!E10-'Income Statement'!E18-'Income Statement'!E19,6)</x:f>
        <x:v>0</x:v>
      </x:c>
      <x:c r="F12" s="76" t="n">
        <x:f>ROUND('Income Statement'!F8-'Income Statement'!F10-'Income Statement'!F18-'Income Statement'!F19,6)</x:f>
        <x:v>0</x:v>
      </x:c>
      <x:c r="G12" s="76" t="n">
        <x:f>ROUND('Income Statement'!G8-'Income Statement'!G10-'Income Statement'!G18-'Income Statement'!G19,6)</x:f>
        <x:v>0</x:v>
      </x:c>
      <x:c r="H12" s="76" t="n">
        <x:f>ROUND('Income Statement'!H8-'Income Statement'!H10-'Income Statement'!H18-'Income Statement'!H19,6)</x:f>
        <x:v>0</x:v>
      </x:c>
      <x:c r="I12" s="76" t="n">
        <x:f>ROUND('Income Statement'!I8-'Income Statement'!I10-'Income Statement'!I18-'Income Statement'!I19,6)</x:f>
        <x:v>0</x:v>
      </x:c>
      <x:c r="J12" s="76" t="n">
        <x:f>ROUND('Income Statement'!J8-'Income Statement'!J10-'Income Statement'!J18-'Income Statement'!J19,6)</x:f>
        <x:v>0</x:v>
      </x:c>
      <x:c r="K12" s="76" t="n">
        <x:f>ROUND('Income Statement'!K8-'Income Statement'!K10-'Income Statement'!K18-'Income Statement'!K19,6)</x:f>
        <x:v>0</x:v>
      </x:c>
      <x:c r="L12" s="76" t="n">
        <x:f>ROUND('Income Statement'!L8-'Income Statement'!L10-'Income Statement'!L18-'Income Statement'!L19,6)</x:f>
        <x:v>0</x:v>
      </x:c>
      <x:c r="M12" s="76" t="n">
        <x:f>ROUND('Income Statement'!M8-'Income Statement'!M10-'Income Statement'!M18-'Income Statement'!M19,6)</x:f>
        <x:v>0</x:v>
      </x:c>
      <x:c r="N12" s="76" t="n">
        <x:f>ROUND('Income Statement'!N8-'Income Statement'!N10-'Income Statement'!N18-'Income Statement'!N19,6)</x:f>
        <x:v>0</x:v>
      </x:c>
      <x:c r="O12" s="76" t="n">
        <x:f>ROUND('Income Statement'!O8-'Income Statement'!O10-'Income Statement'!O18-'Income Statement'!O19,6)</x:f>
        <x:v>0</x:v>
      </x:c>
      <x:c r="P12" s="76" t="n">
        <x:f>ROUND('Income Statement'!P8-'Income Statement'!P10-'Income Statement'!P18-'Income Statement'!P19,6)</x:f>
        <x:v>0</x:v>
      </x:c>
      <x:c r="Q12" s="76" t="n">
        <x:f>ROUND('Income Statement'!Q8-'Income Statement'!Q10-'Income Statement'!Q18-'Income Statement'!Q19,6)</x:f>
        <x:v>0</x:v>
      </x:c>
      <x:c r="R12" s="76" t="n">
        <x:f>ROUND('Income Statement'!R8-'Income Statement'!R10-'Income Statement'!R18-'Income Statement'!R19,6)</x:f>
        <x:v>0</x:v>
      </x:c>
      <x:c r="S12" s="76" t="n">
        <x:f>ROUND('Income Statement'!S8-'Income Statement'!S10-'Income Statement'!S18-'Income Statement'!S19,6)</x:f>
        <x:v>0</x:v>
      </x:c>
      <x:c r="T12" s="2"/>
      <x:c r="U12" s="2"/>
    </x:row>
    <x:row r="13" ht="21" customHeight="1">
      <x:c r="A13" s="2"/>
      <x:c r="B13" s="2"/>
      <x:c r="C13" s="2" t="str">
        <x:v>Historical revenue source control</x:v>
      </x:c>
      <x:c r="D13" s="2"/>
      <x:c r="E13" s="76" t="n">
        <x:f>ROUND('Income Statement'!E8-'Historical Inputs'!E9,6)</x:f>
        <x:v>0</x:v>
      </x:c>
      <x:c r="F13" s="76" t="n">
        <x:f>ROUND('Income Statement'!F8-'Historical Inputs'!F9,6)</x:f>
        <x:v>0</x:v>
      </x:c>
      <x:c r="G13" s="76" t="n">
        <x:f>ROUND('Income Statement'!G8-'Historical Inputs'!G9,6)</x:f>
        <x:v>0</x:v>
      </x:c>
      <x:c r="H13" s="76" t="n">
        <x:f>ROUND('Income Statement'!H8-'Historical Inputs'!H9,6)</x:f>
        <x:v>0</x:v>
      </x:c>
      <x:c r="I13" s="76" t="n">
        <x:f>ROUND('Income Statement'!I8-'Historical Inputs'!I9,6)</x:f>
        <x:v>0</x:v>
      </x:c>
      <x:c r="J13" s="76" t="n">
        <x:f>ROUND('Income Statement'!J8-'Historical Inputs'!J9,6)</x:f>
        <x:v>0</x:v>
      </x:c>
      <x:c r="K13" s="76" t="n">
        <x:f>ROUND('Income Statement'!K8-'Historical Inputs'!K9,6)</x:f>
        <x:v>0</x:v>
      </x:c>
      <x:c r="L13" s="76" t="n">
        <x:f>ROUND('Income Statement'!L8-'Historical Inputs'!L9,6)</x:f>
        <x:v>0</x:v>
      </x:c>
      <x:c r="M13" s="76" t="n">
        <x:f>ROUND('Income Statement'!M8-'Historical Inputs'!M9,6)</x:f>
        <x:v>0</x:v>
      </x:c>
      <x:c r="N13" s="76" t="n">
        <x:f>ROUND('Income Statement'!N8-'Historical Inputs'!N9,6)</x:f>
        <x:v>0</x:v>
      </x:c>
      <x:c r="O13" s="76" t="str">
        <x:f>"n.a."</x:f>
        <x:v>n.a.</x:v>
      </x:c>
      <x:c r="P13" s="76" t="str">
        <x:f>"n.a."</x:f>
        <x:v>n.a.</x:v>
      </x:c>
      <x:c r="Q13" s="76" t="str">
        <x:f>"n.a."</x:f>
        <x:v>n.a.</x:v>
      </x:c>
      <x:c r="R13" s="76" t="str">
        <x:f>"n.a."</x:f>
        <x:v>n.a.</x:v>
      </x:c>
      <x:c r="S13" s="76" t="str">
        <x:f>"n.a."</x:f>
        <x:v>n.a.</x:v>
      </x:c>
      <x:c r="T13" s="2"/>
      <x:c r="U13" s="2"/>
    </x:row>
    <x:row r="14" ht="21" customHeight="1">
      <x:c r="A14" s="2"/>
      <x:c r="B14" s="2"/>
      <x:c r="C14" s="2" t="str">
        <x:v>Historical net income source control</x:v>
      </x:c>
      <x:c r="D14" s="2"/>
      <x:c r="E14" s="76" t="n">
        <x:f>ROUND('Income Statement'!E28-'Historical Inputs'!E19,6)</x:f>
        <x:v>0</x:v>
      </x:c>
      <x:c r="F14" s="76" t="n">
        <x:f>ROUND('Income Statement'!F28-'Historical Inputs'!F19,6)</x:f>
        <x:v>0</x:v>
      </x:c>
      <x:c r="G14" s="76" t="n">
        <x:f>ROUND('Income Statement'!G28-'Historical Inputs'!G19,6)</x:f>
        <x:v>0</x:v>
      </x:c>
      <x:c r="H14" s="76" t="n">
        <x:f>ROUND('Income Statement'!H28-'Historical Inputs'!H19,6)</x:f>
        <x:v>0</x:v>
      </x:c>
      <x:c r="I14" s="76" t="n">
        <x:f>ROUND('Income Statement'!I28-'Historical Inputs'!I19,6)</x:f>
        <x:v>0</x:v>
      </x:c>
      <x:c r="J14" s="76" t="n">
        <x:f>ROUND('Income Statement'!J28-'Historical Inputs'!J19,6)</x:f>
        <x:v>0</x:v>
      </x:c>
      <x:c r="K14" s="76" t="n">
        <x:f>ROUND('Income Statement'!K28-'Historical Inputs'!K19,6)</x:f>
        <x:v>0</x:v>
      </x:c>
      <x:c r="L14" s="76" t="n">
        <x:f>ROUND('Income Statement'!L28-'Historical Inputs'!L19,6)</x:f>
        <x:v>0</x:v>
      </x:c>
      <x:c r="M14" s="76" t="n">
        <x:f>ROUND('Income Statement'!M28-'Historical Inputs'!M19,6)</x:f>
        <x:v>0</x:v>
      </x:c>
      <x:c r="N14" s="76" t="n">
        <x:f>ROUND('Income Statement'!N28-'Historical Inputs'!N19,6)</x:f>
        <x:v>0</x:v>
      </x:c>
      <x:c r="O14" s="76" t="str">
        <x:f>"n.a."</x:f>
        <x:v>n.a.</x:v>
      </x:c>
      <x:c r="P14" s="76" t="str">
        <x:f>"n.a."</x:f>
        <x:v>n.a.</x:v>
      </x:c>
      <x:c r="Q14" s="76" t="str">
        <x:f>"n.a."</x:f>
        <x:v>n.a.</x:v>
      </x:c>
      <x:c r="R14" s="76" t="str">
        <x:f>"n.a."</x:f>
        <x:v>n.a.</x:v>
      </x:c>
      <x:c r="S14" s="76" t="str">
        <x:f>"n.a."</x:f>
        <x:v>n.a.</x:v>
      </x:c>
      <x:c r="T14" s="2"/>
      <x:c r="U14" s="2"/>
    </x:row>
    <x:row r="15" ht="21" customHeight="1">
      <x:c r="A15" s="2"/>
      <x:c r="B15" s="2"/>
      <x:c r="C15" s="2" t="str">
        <x:v>Historical CFO source control</x:v>
      </x:c>
      <x:c r="D15" s="2"/>
      <x:c r="E15" s="76" t="n">
        <x:f>ROUND('Cash Flow'!E28-'Historical Inputs'!E80,6)</x:f>
        <x:v>0</x:v>
      </x:c>
      <x:c r="F15" s="76" t="n">
        <x:f>ROUND('Cash Flow'!F28-'Historical Inputs'!F80,6)</x:f>
        <x:v>0</x:v>
      </x:c>
      <x:c r="G15" s="76" t="n">
        <x:f>ROUND('Cash Flow'!G28-'Historical Inputs'!G80,6)</x:f>
        <x:v>0</x:v>
      </x:c>
      <x:c r="H15" s="76" t="n">
        <x:f>ROUND('Cash Flow'!H28-'Historical Inputs'!H80,6)</x:f>
        <x:v>0</x:v>
      </x:c>
      <x:c r="I15" s="76" t="n">
        <x:f>ROUND('Cash Flow'!I28-'Historical Inputs'!I80,6)</x:f>
        <x:v>0</x:v>
      </x:c>
      <x:c r="J15" s="76" t="n">
        <x:f>ROUND('Cash Flow'!J28-'Historical Inputs'!J80,6)</x:f>
        <x:v>0</x:v>
      </x:c>
      <x:c r="K15" s="76" t="n">
        <x:f>ROUND('Cash Flow'!K28-'Historical Inputs'!K80,6)</x:f>
        <x:v>0</x:v>
      </x:c>
      <x:c r="L15" s="76" t="n">
        <x:f>ROUND('Cash Flow'!L28-'Historical Inputs'!L80,6)</x:f>
        <x:v>0</x:v>
      </x:c>
      <x:c r="M15" s="76" t="n">
        <x:f>ROUND('Cash Flow'!M28-'Historical Inputs'!M80,6)</x:f>
        <x:v>0</x:v>
      </x:c>
      <x:c r="N15" s="76" t="n">
        <x:f>ROUND('Cash Flow'!N28-'Historical Inputs'!N80,6)</x:f>
        <x:v>0</x:v>
      </x:c>
      <x:c r="O15" s="76" t="str">
        <x:f>"n.a."</x:f>
        <x:v>n.a.</x:v>
      </x:c>
      <x:c r="P15" s="76" t="str">
        <x:f>"n.a."</x:f>
        <x:v>n.a.</x:v>
      </x:c>
      <x:c r="Q15" s="76" t="str">
        <x:f>"n.a."</x:f>
        <x:v>n.a.</x:v>
      </x:c>
      <x:c r="R15" s="76" t="str">
        <x:f>"n.a."</x:f>
        <x:v>n.a.</x:v>
      </x:c>
      <x:c r="S15" s="76" t="str">
        <x:f>"n.a."</x:f>
        <x:v>n.a.</x:v>
      </x:c>
      <x:c r="T15" s="2"/>
      <x:c r="U15" s="2"/>
    </x:row>
    <x:row r="16" ht="21" customHeight="1">
      <x:c r="A16" s="2"/>
      <x:c r="B16" s="2"/>
      <x:c r="C16" s="2" t="str">
        <x:v>PPE cohort carrying value reconciliation</x:v>
      </x:c>
      <x:c r="D16" s="2"/>
      <x:c r="E16" s="76" t="str">
        <x:f>"n.a."</x:f>
        <x:v>n.a.</x:v>
      </x:c>
      <x:c r="F16" s="76" t="str">
        <x:f>"n.a."</x:f>
        <x:v>n.a.</x:v>
      </x:c>
      <x:c r="G16" s="76" t="str">
        <x:f>"n.a."</x:f>
        <x:v>n.a.</x:v>
      </x:c>
      <x:c r="H16" s="76" t="str">
        <x:f>"n.a."</x:f>
        <x:v>n.a.</x:v>
      </x:c>
      <x:c r="I16" s="76" t="str">
        <x:f>"n.a."</x:f>
        <x:v>n.a.</x:v>
      </x:c>
      <x:c r="J16" s="76" t="str">
        <x:f>"n.a."</x:f>
        <x:v>n.a.</x:v>
      </x:c>
      <x:c r="K16" s="76" t="str">
        <x:f>"n.a."</x:f>
        <x:v>n.a.</x:v>
      </x:c>
      <x:c r="L16" s="76" t="str">
        <x:f>"n.a."</x:f>
        <x:v>n.a.</x:v>
      </x:c>
      <x:c r="M16" s="76" t="str">
        <x:f>"n.a."</x:f>
        <x:v>n.a.</x:v>
      </x:c>
      <x:c r="N16" s="76" t="str">
        <x:f>"n.a."</x:f>
        <x:v>n.a.</x:v>
      </x:c>
      <x:c r="O16" s="76" t="n">
        <x:f>ROUND('PPE and Intangibles'!O28+'PPE and Intangibles'!O30+SUM('PPE and Intangibles'!O32:O36)-'Balance Sheet'!O16,6)</x:f>
        <x:v>0</x:v>
      </x:c>
      <x:c r="P16" s="76" t="n">
        <x:f>ROUND('PPE and Intangibles'!P28+'PPE and Intangibles'!P30+SUM('PPE and Intangibles'!P32:P36)-'Balance Sheet'!P16,6)</x:f>
        <x:v>0</x:v>
      </x:c>
      <x:c r="Q16" s="76" t="n">
        <x:f>ROUND('PPE and Intangibles'!Q28+'PPE and Intangibles'!Q30+SUM('PPE and Intangibles'!Q32:Q36)-'Balance Sheet'!Q16,6)</x:f>
        <x:v>0</x:v>
      </x:c>
      <x:c r="R16" s="76" t="n">
        <x:f>ROUND('PPE and Intangibles'!R28+'PPE and Intangibles'!R30+SUM('PPE and Intangibles'!R32:R36)-'Balance Sheet'!R16,6)</x:f>
        <x:v>0</x:v>
      </x:c>
      <x:c r="S16" s="76" t="n">
        <x:f>ROUND('PPE and Intangibles'!S28+'PPE and Intangibles'!S30+SUM('PPE and Intangibles'!S32:S36)-'Balance Sheet'!S16,6)</x:f>
        <x:v>0</x:v>
      </x:c>
      <x:c r="T16" s="2"/>
      <x:c r="U16" s="2"/>
    </x:row>
    <x:row r="17" ht="21" customHeight="1">
      <x:c r="A17" s="2"/>
      <x:c r="B17" s="2"/>
      <x:c r="C17" s="2" t="str">
        <x:v>Debt face-to-book reconciliation</x:v>
      </x:c>
      <x:c r="D17" s="2"/>
      <x:c r="E17" s="76" t="str">
        <x:f>"n.a."</x:f>
        <x:v>n.a.</x:v>
      </x:c>
      <x:c r="F17" s="76" t="str">
        <x:f>"n.a."</x:f>
        <x:v>n.a.</x:v>
      </x:c>
      <x:c r="G17" s="76" t="str">
        <x:f>"n.a."</x:f>
        <x:v>n.a.</x:v>
      </x:c>
      <x:c r="H17" s="76" t="str">
        <x:f>"n.a."</x:f>
        <x:v>n.a.</x:v>
      </x:c>
      <x:c r="I17" s="76" t="str">
        <x:f>"n.a."</x:f>
        <x:v>n.a.</x:v>
      </x:c>
      <x:c r="J17" s="76" t="str">
        <x:f>"n.a."</x:f>
        <x:v>n.a.</x:v>
      </x:c>
      <x:c r="K17" s="76" t="str">
        <x:f>"n.a."</x:f>
        <x:v>n.a.</x:v>
      </x:c>
      <x:c r="L17" s="76" t="str">
        <x:f>"n.a."</x:f>
        <x:v>n.a.</x:v>
      </x:c>
      <x:c r="M17" s="76" t="str">
        <x:f>"n.a."</x:f>
        <x:v>n.a.</x:v>
      </x:c>
      <x:c r="N17" s="76" t="str">
        <x:f>"n.a."</x:f>
        <x:v>n.a.</x:v>
      </x:c>
      <x:c r="O17" s="76" t="n">
        <x:f>ROUND('Debt and Leases'!O12-'Debt and Leases'!O16-'Debt and Leases'!O18,6)</x:f>
        <x:v>0</x:v>
      </x:c>
      <x:c r="P17" s="76" t="n">
        <x:f>ROUND('Debt and Leases'!P12-'Debt and Leases'!P16-'Debt and Leases'!P18,6)</x:f>
        <x:v>0</x:v>
      </x:c>
      <x:c r="Q17" s="76" t="n">
        <x:f>ROUND('Debt and Leases'!Q12-'Debt and Leases'!Q16-'Debt and Leases'!Q18,6)</x:f>
        <x:v>0</x:v>
      </x:c>
      <x:c r="R17" s="76" t="n">
        <x:f>ROUND('Debt and Leases'!R12-'Debt and Leases'!R16-'Debt and Leases'!R18,6)</x:f>
        <x:v>0</x:v>
      </x:c>
      <x:c r="S17" s="76" t="n">
        <x:f>ROUND('Debt and Leases'!S12-'Debt and Leases'!S16-'Debt and Leases'!S18,6)</x:f>
        <x:v>0</x:v>
      </x:c>
      <x:c r="T17" s="2"/>
      <x:c r="U17" s="2"/>
    </x:row>
    <x:row r="18" ht="21" customHeight="1">
      <x:c r="A18" s="2"/>
      <x:c r="B18" s="2"/>
      <x:c r="C18" s="2" t="str">
        <x:v>Equity rollforward reconciliation</x:v>
      </x:c>
      <x:c r="D18" s="2"/>
      <x:c r="E18" s="76" t="str">
        <x:f>"n.a."</x:f>
        <x:v>n.a.</x:v>
      </x:c>
      <x:c r="F18" s="76" t="str">
        <x:f>"n.a."</x:f>
        <x:v>n.a.</x:v>
      </x:c>
      <x:c r="G18" s="76" t="str">
        <x:f>"n.a."</x:f>
        <x:v>n.a.</x:v>
      </x:c>
      <x:c r="H18" s="76" t="str">
        <x:f>"n.a."</x:f>
        <x:v>n.a.</x:v>
      </x:c>
      <x:c r="I18" s="76" t="str">
        <x:f>"n.a."</x:f>
        <x:v>n.a.</x:v>
      </x:c>
      <x:c r="J18" s="76" t="str">
        <x:f>"n.a."</x:f>
        <x:v>n.a.</x:v>
      </x:c>
      <x:c r="K18" s="76" t="str">
        <x:f>"n.a."</x:f>
        <x:v>n.a.</x:v>
      </x:c>
      <x:c r="L18" s="76" t="str">
        <x:f>"n.a."</x:f>
        <x:v>n.a.</x:v>
      </x:c>
      <x:c r="M18" s="76" t="str">
        <x:f>"n.a."</x:f>
        <x:v>n.a.</x:v>
      </x:c>
      <x:c r="N18" s="76" t="str">
        <x:f>"n.a."</x:f>
        <x:v>n.a.</x:v>
      </x:c>
      <x:c r="O18" s="76" t="n">
        <x:f>ROUND('Balance Sheet'!N45+'Income Statement'!O28+'Tax and Equity'!O16+'Tax and Equity'!O17-'Tax and Equity'!O18-'Tax and Equity'!O19-'Balance Sheet'!O45,6)</x:f>
        <x:v>0</x:v>
      </x:c>
      <x:c r="P18" s="76" t="n">
        <x:f>ROUND('Balance Sheet'!O45+'Income Statement'!P28+'Tax and Equity'!P16+'Tax and Equity'!P17-'Tax and Equity'!P18-'Tax and Equity'!P19-'Balance Sheet'!P45,6)</x:f>
        <x:v>0</x:v>
      </x:c>
      <x:c r="Q18" s="76" t="n">
        <x:f>ROUND('Balance Sheet'!P45+'Income Statement'!Q28+'Tax and Equity'!Q16+'Tax and Equity'!Q17-'Tax and Equity'!Q18-'Tax and Equity'!Q19-'Balance Sheet'!Q45,6)</x:f>
        <x:v>0</x:v>
      </x:c>
      <x:c r="R18" s="76" t="n">
        <x:f>ROUND('Balance Sheet'!Q45+'Income Statement'!R28+'Tax and Equity'!R16+'Tax and Equity'!R17-'Tax and Equity'!R18-'Tax and Equity'!R19-'Balance Sheet'!R45,6)</x:f>
        <x:v>0</x:v>
      </x:c>
      <x:c r="S18" s="76" t="n">
        <x:f>ROUND('Balance Sheet'!R45+'Income Statement'!S28+'Tax and Equity'!S16+'Tax and Equity'!S17-'Tax and Equity'!S18-'Tax and Equity'!S19-'Balance Sheet'!S45,6)</x:f>
        <x:v>0</x:v>
      </x:c>
      <x:c r="T18" s="2"/>
      <x:c r="U18" s="2"/>
    </x:row>
    <x:row r="19" ht="21" customHeight="1">
      <x:c r="A19" s="2"/>
      <x:c r="B19" s="2"/>
      <x:c r="C19" s="2" t="str">
        <x:v>Cash rollforward reconciliation</x:v>
      </x:c>
      <x:c r="D19" s="2"/>
      <x:c r="E19" s="76" t="n">
        <x:f>ROUND('Cash Flow'!E53+'Cash Flow'!E28+'Cash Flow'!E37+'Cash Flow'!E48+'Cash Flow'!E50-'Balance Sheet'!E8,6)</x:f>
        <x:v>0</x:v>
      </x:c>
      <x:c r="F19" s="76" t="n">
        <x:f>ROUND('Cash Flow'!F53+'Cash Flow'!F28+'Cash Flow'!F37+'Cash Flow'!F48+'Cash Flow'!F50-'Balance Sheet'!F8,6)</x:f>
        <x:v>0</x:v>
      </x:c>
      <x:c r="G19" s="76" t="n">
        <x:f>ROUND('Cash Flow'!G53+'Cash Flow'!G28+'Cash Flow'!G37+'Cash Flow'!G48+'Cash Flow'!G50-'Balance Sheet'!G8,6)</x:f>
        <x:v>0</x:v>
      </x:c>
      <x:c r="H19" s="76" t="n">
        <x:f>ROUND('Cash Flow'!H53+'Cash Flow'!H28+'Cash Flow'!H37+'Cash Flow'!H48+'Cash Flow'!H50-'Balance Sheet'!H8,6)</x:f>
        <x:v>0</x:v>
      </x:c>
      <x:c r="I19" s="76" t="n">
        <x:f>ROUND('Cash Flow'!I53+'Cash Flow'!I28+'Cash Flow'!I37+'Cash Flow'!I48+'Cash Flow'!I50-'Balance Sheet'!I8,6)</x:f>
        <x:v>0</x:v>
      </x:c>
      <x:c r="J19" s="76" t="n">
        <x:f>ROUND('Cash Flow'!J53+'Cash Flow'!J28+'Cash Flow'!J37+'Cash Flow'!J48+'Cash Flow'!J50-'Balance Sheet'!J8,6)</x:f>
        <x:v>0</x:v>
      </x:c>
      <x:c r="K19" s="76" t="n">
        <x:f>ROUND('Cash Flow'!K53+'Cash Flow'!K28+'Cash Flow'!K37+'Cash Flow'!K48+'Cash Flow'!K50-'Balance Sheet'!K8,6)</x:f>
        <x:v>0</x:v>
      </x:c>
      <x:c r="L19" s="76" t="n">
        <x:f>ROUND('Cash Flow'!L53+'Cash Flow'!L28+'Cash Flow'!L37+'Cash Flow'!L48+'Cash Flow'!L50-'Balance Sheet'!L8,6)</x:f>
        <x:v>0</x:v>
      </x:c>
      <x:c r="M19" s="76" t="n">
        <x:f>ROUND('Cash Flow'!M53+'Cash Flow'!M28+'Cash Flow'!M37+'Cash Flow'!M48+'Cash Flow'!M50-'Balance Sheet'!M8,6)</x:f>
        <x:v>0</x:v>
      </x:c>
      <x:c r="N19" s="76" t="n">
        <x:f>ROUND('Cash Flow'!N53+'Cash Flow'!N28+'Cash Flow'!N37+'Cash Flow'!N48+'Cash Flow'!N50-'Balance Sheet'!N8,6)</x:f>
        <x:v>0</x:v>
      </x:c>
      <x:c r="O19" s="76" t="n">
        <x:f>ROUND('Cash Flow'!O53+'Cash Flow'!O28+'Cash Flow'!O37+'Cash Flow'!O48+'Cash Flow'!O50-'Balance Sheet'!O8,6)</x:f>
        <x:v>0</x:v>
      </x:c>
      <x:c r="P19" s="76" t="n">
        <x:f>ROUND('Cash Flow'!P53+'Cash Flow'!P28+'Cash Flow'!P37+'Cash Flow'!P48+'Cash Flow'!P50-'Balance Sheet'!P8,6)</x:f>
        <x:v>0</x:v>
      </x:c>
      <x:c r="Q19" s="76" t="n">
        <x:f>ROUND('Cash Flow'!Q53+'Cash Flow'!Q28+'Cash Flow'!Q37+'Cash Flow'!Q48+'Cash Flow'!Q50-'Balance Sheet'!Q8,6)</x:f>
        <x:v>0</x:v>
      </x:c>
      <x:c r="R19" s="76" t="n">
        <x:f>ROUND('Cash Flow'!R53+'Cash Flow'!R28+'Cash Flow'!R37+'Cash Flow'!R48+'Cash Flow'!R50-'Balance Sheet'!R8,6)</x:f>
        <x:v>0</x:v>
      </x:c>
      <x:c r="S19" s="76" t="n">
        <x:f>ROUND('Cash Flow'!S53+'Cash Flow'!S28+'Cash Flow'!S37+'Cash Flow'!S48+'Cash Flow'!S50-'Balance Sheet'!S8,6)</x:f>
        <x:v>0</x:v>
      </x:c>
      <x:c r="T19" s="2"/>
      <x:c r="U19" s="2"/>
    </x:row>
    <x:row r="20" ht="21" customHeight="1">
      <x:c r="A20" s="2"/>
      <x:c r="B20" s="2"/>
      <x:c r="C20" s="2" t="str">
        <x:v>Cash balance below policy minimum</x:v>
      </x:c>
      <x:c r="D20" s="2"/>
      <x:c r="E20" s="76" t="str">
        <x:f>"n.a."</x:f>
        <x:v>n.a.</x:v>
      </x:c>
      <x:c r="F20" s="76" t="str">
        <x:f>"n.a."</x:f>
        <x:v>n.a.</x:v>
      </x:c>
      <x:c r="G20" s="76" t="str">
        <x:f>"n.a."</x:f>
        <x:v>n.a.</x:v>
      </x:c>
      <x:c r="H20" s="76" t="str">
        <x:f>"n.a."</x:f>
        <x:v>n.a.</x:v>
      </x:c>
      <x:c r="I20" s="76" t="str">
        <x:f>"n.a."</x:f>
        <x:v>n.a.</x:v>
      </x:c>
      <x:c r="J20" s="76" t="str">
        <x:f>"n.a."</x:f>
        <x:v>n.a.</x:v>
      </x:c>
      <x:c r="K20" s="76" t="str">
        <x:f>"n.a."</x:f>
        <x:v>n.a.</x:v>
      </x:c>
      <x:c r="L20" s="76" t="str">
        <x:f>"n.a."</x:f>
        <x:v>n.a.</x:v>
      </x:c>
      <x:c r="M20" s="76" t="str">
        <x:f>"n.a."</x:f>
        <x:v>n.a.</x:v>
      </x:c>
      <x:c r="N20" s="76" t="str">
        <x:f>"n.a."</x:f>
        <x:v>n.a.</x:v>
      </x:c>
      <x:c r="O20" s="76" t="n">
        <x:f>ROUND(MIN(0,'Balance Sheet'!O8-'Assumptions'!O117),6)</x:f>
        <x:v>0</x:v>
      </x:c>
      <x:c r="P20" s="76" t="n">
        <x:f>ROUND(MIN(0,'Balance Sheet'!P8-'Assumptions'!P117),6)</x:f>
        <x:v>0</x:v>
      </x:c>
      <x:c r="Q20" s="76" t="n">
        <x:f>ROUND(MIN(0,'Balance Sheet'!Q8-'Assumptions'!Q117),6)</x:f>
        <x:v>0</x:v>
      </x:c>
      <x:c r="R20" s="76" t="n">
        <x:f>ROUND(MIN(0,'Balance Sheet'!R8-'Assumptions'!R117),6)</x:f>
        <x:v>0</x:v>
      </x:c>
      <x:c r="S20" s="76" t="n">
        <x:f>ROUND(MIN(0,'Balance Sheet'!S8-'Assumptions'!S117),6)</x:f>
        <x:v>0</x:v>
      </x:c>
      <x:c r="T20" s="2"/>
      <x:c r="U20" s="2"/>
    </x:row>
    <x:row r="21" ht="21" customHeight="1">
      <x:c r="A21" s="2"/>
      <x:c r="B21" s="2"/>
      <x:c r="C21" s="2" t="str">
        <x:v>Investment reserve below minimum</x:v>
      </x:c>
      <x:c r="D21" s="2"/>
      <x:c r="E21" s="76" t="str">
        <x:f>"n.a."</x:f>
        <x:v>n.a.</x:v>
      </x:c>
      <x:c r="F21" s="76" t="str">
        <x:f>"n.a."</x:f>
        <x:v>n.a.</x:v>
      </x:c>
      <x:c r="G21" s="76" t="str">
        <x:f>"n.a."</x:f>
        <x:v>n.a.</x:v>
      </x:c>
      <x:c r="H21" s="76" t="str">
        <x:f>"n.a."</x:f>
        <x:v>n.a.</x:v>
      </x:c>
      <x:c r="I21" s="76" t="str">
        <x:f>"n.a."</x:f>
        <x:v>n.a.</x:v>
      </x:c>
      <x:c r="J21" s="76" t="str">
        <x:f>"n.a."</x:f>
        <x:v>n.a.</x:v>
      </x:c>
      <x:c r="K21" s="76" t="str">
        <x:f>"n.a."</x:f>
        <x:v>n.a.</x:v>
      </x:c>
      <x:c r="L21" s="76" t="str">
        <x:f>"n.a."</x:f>
        <x:v>n.a.</x:v>
      </x:c>
      <x:c r="M21" s="76" t="str">
        <x:f>"n.a."</x:f>
        <x:v>n.a.</x:v>
      </x:c>
      <x:c r="N21" s="76" t="str">
        <x:f>"n.a."</x:f>
        <x:v>n.a.</x:v>
      </x:c>
      <x:c r="O21" s="76" t="n">
        <x:f>ROUND(MIN(0,'Balance Sheet'!O9-'Assumptions'!O121),6)</x:f>
        <x:v>0</x:v>
      </x:c>
      <x:c r="P21" s="76" t="n">
        <x:f>ROUND(MIN(0,'Balance Sheet'!P9-'Assumptions'!P121),6)</x:f>
        <x:v>0</x:v>
      </x:c>
      <x:c r="Q21" s="76" t="n">
        <x:f>ROUND(MIN(0,'Balance Sheet'!Q9-'Assumptions'!Q121),6)</x:f>
        <x:v>0</x:v>
      </x:c>
      <x:c r="R21" s="76" t="n">
        <x:f>ROUND(MIN(0,'Balance Sheet'!R9-'Assumptions'!R121),6)</x:f>
        <x:v>0</x:v>
      </x:c>
      <x:c r="S21" s="76" t="n">
        <x:f>ROUND(MIN(0,'Balance Sheet'!S9-'Assumptions'!S121),6)</x:f>
        <x:v>0</x:v>
      </x:c>
      <x:c r="T21" s="2"/>
      <x:c r="U21" s="2"/>
    </x:row>
    <x:row r="22" ht="21" customHeight="1">
      <x:c r="A22" s="2"/>
      <x:c r="B22" s="2"/>
      <x:c r="C22" s="2" t="str">
        <x:v>FP&amp;A operating income bridge</x:v>
      </x:c>
      <x:c r="D22" s="2"/>
      <x:c r="E22" s="76" t="str">
        <x:f>"n.a."</x:f>
        <x:v>n.a.</x:v>
      </x:c>
      <x:c r="F22" s="76" t="str">
        <x:f>"n.a."</x:f>
        <x:v>n.a.</x:v>
      </x:c>
      <x:c r="G22" s="76" t="str">
        <x:f>"n.a."</x:f>
        <x:v>n.a.</x:v>
      </x:c>
      <x:c r="H22" s="76" t="str">
        <x:f>"n.a."</x:f>
        <x:v>n.a.</x:v>
      </x:c>
      <x:c r="I22" s="76" t="str">
        <x:f>"n.a."</x:f>
        <x:v>n.a.</x:v>
      </x:c>
      <x:c r="J22" s="76" t="str">
        <x:f>"n.a."</x:f>
        <x:v>n.a.</x:v>
      </x:c>
      <x:c r="K22" s="76" t="str">
        <x:f>"n.a."</x:f>
        <x:v>n.a.</x:v>
      </x:c>
      <x:c r="L22" s="76" t="str">
        <x:f>"n.a."</x:f>
        <x:v>n.a.</x:v>
      </x:c>
      <x:c r="M22" s="76" t="str">
        <x:f>"n.a."</x:f>
        <x:v>n.a.</x:v>
      </x:c>
      <x:c r="N22" s="76" t="str">
        <x:f>"n.a."</x:f>
        <x:v>n.a.</x:v>
      </x:c>
      <x:c r="O22" s="76" t="n">
        <x:f>ROUND('FP&amp;A'!F39-'Income Statement'!O19,6)</x:f>
        <x:v>0</x:v>
      </x:c>
      <x:c r="P22" s="76" t="str">
        <x:f>"n.a."</x:f>
        <x:v>n.a.</x:v>
      </x:c>
      <x:c r="Q22" s="76" t="str">
        <x:f>"n.a."</x:f>
        <x:v>n.a.</x:v>
      </x:c>
      <x:c r="R22" s="76" t="str">
        <x:f>"n.a."</x:f>
        <x:v>n.a.</x:v>
      </x:c>
      <x:c r="S22" s="76" t="str">
        <x:f>"n.a."</x:f>
        <x:v>n.a.</x:v>
      </x:c>
      <x:c r="T22" s="2"/>
      <x:c r="U22" s="2"/>
    </x:row>
    <x:row r="23" ht="21" customHeight="1">
      <x:c r="A23" s="2"/>
      <x:c r="B23" s="2"/>
      <x:c r="C23" s="2"/>
      <x:c r="D23" s="2"/>
      <x:c r="E23" s="76"/>
      <x:c r="F23" s="76"/>
      <x:c r="G23" s="76"/>
      <x:c r="H23" s="76"/>
      <x:c r="I23" s="76"/>
      <x:c r="J23" s="76"/>
      <x:c r="K23" s="76"/>
      <x:c r="L23" s="76"/>
      <x:c r="M23" s="76"/>
      <x:c r="N23" s="76"/>
      <x:c r="O23" s="76"/>
      <x:c r="P23" s="76"/>
      <x:c r="Q23" s="76"/>
      <x:c r="R23" s="76"/>
      <x:c r="S23" s="76"/>
      <x:c r="T23" s="2"/>
      <x:c r="U23" s="2"/>
    </x:row>
    <x:row r="24" ht="21" customHeight="1">
      <x:c r="A24" s="2"/>
      <x:c r="B24" s="2"/>
      <x:c r="C24" s="2"/>
      <x:c r="D24" s="2"/>
      <x:c r="E24" s="76"/>
      <x:c r="F24" s="76"/>
      <x:c r="G24" s="76"/>
      <x:c r="H24" s="76"/>
      <x:c r="I24" s="76"/>
      <x:c r="J24" s="76"/>
      <x:c r="K24" s="76"/>
      <x:c r="L24" s="76"/>
      <x:c r="M24" s="76"/>
      <x:c r="N24" s="76"/>
      <x:c r="O24" s="76"/>
      <x:c r="P24" s="76"/>
      <x:c r="Q24" s="76"/>
      <x:c r="R24" s="76"/>
      <x:c r="S24" s="76"/>
      <x:c r="T24" s="2"/>
      <x:c r="U24" s="2"/>
    </x:row>
    <x:row r="25" ht="21" customHeight="1">
      <x:c r="A25" s="2"/>
      <x:c r="B25" s="2"/>
      <x:c r="C25" s="2"/>
      <x:c r="D25" s="2"/>
      <x:c r="E25" s="76"/>
      <x:c r="F25" s="76"/>
      <x:c r="G25" s="76"/>
      <x:c r="H25" s="76"/>
      <x:c r="I25" s="76"/>
      <x:c r="J25" s="76"/>
      <x:c r="K25" s="76"/>
      <x:c r="L25" s="76"/>
      <x:c r="M25" s="76"/>
      <x:c r="N25" s="76"/>
      <x:c r="O25" s="76"/>
      <x:c r="P25" s="76"/>
      <x:c r="Q25" s="76"/>
      <x:c r="R25" s="76"/>
      <x:c r="S25" s="76"/>
      <x:c r="T25" s="2"/>
      <x:c r="U25" s="2"/>
    </x:row>
    <x:row r="26" ht="21" customHeight="1">
      <x:c r="A26" s="2"/>
      <x:c r="B26" s="2"/>
      <x:c r="C26" s="2" t="str">
        <x:v>ppe allocation sum less 100%</x:v>
      </x:c>
      <x:c r="D26" s="2"/>
      <x:c r="E26" s="76" t="n">
        <x:f>SUM('Assumptions'!E205:H205)-1</x:f>
        <x:v>0</x:v>
      </x:c>
      <x:c r="F26" s="76"/>
      <x:c r="G26" s="76"/>
      <x:c r="H26" s="76"/>
      <x:c r="I26" s="76"/>
      <x:c r="J26" s="76"/>
      <x:c r="K26" s="76"/>
      <x:c r="L26" s="76"/>
      <x:c r="M26" s="76"/>
      <x:c r="N26" s="76"/>
      <x:c r="O26" s="76"/>
      <x:c r="P26" s="76"/>
      <x:c r="Q26" s="76"/>
      <x:c r="R26" s="76"/>
      <x:c r="S26" s="76"/>
      <x:c r="T26" s="2"/>
      <x:c r="U26" s="2"/>
    </x:row>
    <x:row r="27" ht="21" customHeight="1">
      <x:c r="A27" s="2"/>
      <x:c r="B27" s="2"/>
      <x:c r="C27" s="2" t="str">
        <x:v>intangibles allocation sum less 100%</x:v>
      </x:c>
      <x:c r="D27" s="2"/>
      <x:c r="E27" s="76" t="n">
        <x:f>SUM('Assumptions'!E206:H206)-1</x:f>
        <x:v>0</x:v>
      </x:c>
      <x:c r="F27" s="76"/>
      <x:c r="G27" s="76"/>
      <x:c r="H27" s="76"/>
      <x:c r="I27" s="76"/>
      <x:c r="J27" s="76"/>
      <x:c r="K27" s="76"/>
      <x:c r="L27" s="76"/>
      <x:c r="M27" s="76"/>
      <x:c r="N27" s="76"/>
      <x:c r="O27" s="76"/>
      <x:c r="P27" s="76"/>
      <x:c r="Q27" s="76"/>
      <x:c r="R27" s="76"/>
      <x:c r="S27" s="76"/>
      <x:c r="T27" s="2"/>
      <x:c r="U27" s="2"/>
    </x:row>
    <x:row r="28" ht="21" customHeight="1">
      <x:c r="A28" s="2"/>
      <x:c r="B28" s="2"/>
      <x:c r="C28" s="2" t="str">
        <x:v>operating_leases allocation sum less 100%</x:v>
      </x:c>
      <x:c r="D28" s="2"/>
      <x:c r="E28" s="76" t="n">
        <x:f>SUM('Assumptions'!E207:H207)-1</x:f>
        <x:v>0</x:v>
      </x:c>
      <x:c r="F28" s="76"/>
      <x:c r="G28" s="76"/>
      <x:c r="H28" s="76"/>
      <x:c r="I28" s="76"/>
      <x:c r="J28" s="76"/>
      <x:c r="K28" s="76"/>
      <x:c r="L28" s="76"/>
      <x:c r="M28" s="76"/>
      <x:c r="N28" s="76"/>
      <x:c r="O28" s="76"/>
      <x:c r="P28" s="76"/>
      <x:c r="Q28" s="76"/>
      <x:c r="R28" s="76"/>
      <x:c r="S28" s="76"/>
      <x:c r="T28" s="2"/>
      <x:c r="U28" s="2"/>
    </x:row>
    <x:row r="29" ht="21" customHeight="1">
      <x:c r="A29" s="2"/>
      <x:c r="B29" s="2"/>
      <x:c r="C29" s="2" t="str">
        <x:v>opex allocation sum less 100%</x:v>
      </x:c>
      <x:c r="D29" s="2"/>
      <x:c r="E29" s="76" t="n">
        <x:f>SUM('Assumptions'!E208:H208)-1</x:f>
        <x:v>0</x:v>
      </x:c>
      <x:c r="F29" s="76"/>
      <x:c r="G29" s="76"/>
      <x:c r="H29" s="76"/>
      <x:c r="I29" s="76"/>
      <x:c r="J29" s="76"/>
      <x:c r="K29" s="76"/>
      <x:c r="L29" s="76"/>
      <x:c r="M29" s="76"/>
      <x:c r="N29" s="76"/>
      <x:c r="O29" s="76"/>
      <x:c r="P29" s="76"/>
      <x:c r="Q29" s="76"/>
      <x:c r="R29" s="76"/>
      <x:c r="S29" s="76"/>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row r="77" ht="21" customHeight="1">
      <x:c r="A77" s="2"/>
      <x:c r="B77" s="2"/>
      <x:c r="C77" s="2"/>
      <x:c r="D77" s="2"/>
      <x:c r="E77" s="2"/>
      <x:c r="F77" s="2"/>
      <x:c r="G77" s="2"/>
      <x:c r="H77" s="2"/>
      <x:c r="I77" s="2"/>
      <x:c r="J77" s="2"/>
      <x:c r="K77" s="2"/>
      <x:c r="L77" s="2"/>
      <x:c r="M77" s="2"/>
      <x:c r="N77" s="2"/>
      <x:c r="O77" s="2"/>
      <x:c r="P77" s="2"/>
      <x:c r="Q77" s="2"/>
      <x:c r="R77" s="2"/>
      <x:c r="S77" s="2"/>
      <x:c r="T77" s="2"/>
      <x:c r="U77" s="2"/>
    </x:row>
    <x:row r="78" ht="21" customHeight="1">
      <x:c r="A78" s="2"/>
      <x:c r="B78" s="2"/>
      <x:c r="C78" s="2"/>
      <x:c r="D78" s="2"/>
      <x:c r="E78" s="2"/>
      <x:c r="F78" s="2"/>
      <x:c r="G78" s="2"/>
      <x:c r="H78" s="2"/>
      <x:c r="I78" s="2"/>
      <x:c r="J78" s="2"/>
      <x:c r="K78" s="2"/>
      <x:c r="L78" s="2"/>
      <x:c r="M78" s="2"/>
      <x:c r="N78" s="2"/>
      <x:c r="O78" s="2"/>
      <x:c r="P78" s="2"/>
      <x:c r="Q78" s="2"/>
      <x:c r="R78" s="2"/>
      <x:c r="S78" s="2"/>
      <x:c r="T78" s="2"/>
      <x:c r="U78" s="2"/>
    </x:row>
    <x:row r="79" ht="21" customHeight="1">
      <x:c r="A79" s="2"/>
      <x:c r="B79" s="2"/>
      <x:c r="C79" s="2"/>
      <x:c r="D79" s="2"/>
      <x:c r="E79" s="2"/>
      <x:c r="F79" s="2"/>
      <x:c r="G79" s="2"/>
      <x:c r="H79" s="2"/>
      <x:c r="I79" s="2"/>
      <x:c r="J79" s="2"/>
      <x:c r="K79" s="2"/>
      <x:c r="L79" s="2"/>
      <x:c r="M79" s="2"/>
      <x:c r="N79" s="2"/>
      <x:c r="O79" s="2"/>
      <x:c r="P79" s="2"/>
      <x:c r="Q79" s="2"/>
      <x:c r="R79" s="2"/>
      <x:c r="S79" s="2"/>
      <x:c r="T79" s="2"/>
      <x:c r="U79" s="2"/>
    </x:row>
    <x:row r="80" ht="21" customHeight="1">
      <x:c r="A80" s="2"/>
      <x:c r="B80" s="2"/>
      <x:c r="C80" s="2"/>
      <x:c r="D80" s="2"/>
      <x:c r="E80" s="2"/>
      <x:c r="F80" s="2"/>
      <x:c r="G80" s="2"/>
      <x:c r="H80" s="2"/>
      <x:c r="I80" s="2"/>
      <x:c r="J80" s="2"/>
      <x:c r="K80" s="2"/>
      <x:c r="L80" s="2"/>
      <x:c r="M80" s="2"/>
      <x:c r="N80" s="2"/>
      <x:c r="O80" s="2"/>
      <x:c r="P80" s="2"/>
      <x:c r="Q80" s="2"/>
      <x:c r="R80" s="2"/>
      <x:c r="S80" s="2"/>
      <x:c r="T80" s="2"/>
      <x:c r="U80" s="2"/>
    </x:row>
    <x:row r="81" ht="21" customHeight="1">
      <x:c r="A81" s="2"/>
      <x:c r="B81" s="2"/>
      <x:c r="C81" s="2"/>
      <x:c r="D81" s="2"/>
      <x:c r="E81" s="2"/>
      <x:c r="F81" s="2"/>
      <x:c r="G81" s="2"/>
      <x:c r="H81" s="2"/>
      <x:c r="I81" s="2"/>
      <x:c r="J81" s="2"/>
      <x:c r="K81" s="2"/>
      <x:c r="L81" s="2"/>
      <x:c r="M81" s="2"/>
      <x:c r="N81" s="2"/>
      <x:c r="O81" s="2"/>
      <x:c r="P81" s="2"/>
      <x:c r="Q81" s="2"/>
      <x:c r="R81" s="2"/>
      <x:c r="S81" s="2"/>
      <x:c r="T81" s="2"/>
      <x:c r="U81" s="2"/>
    </x:row>
    <x:row r="82" ht="21" customHeight="1">
      <x:c r="A82" s="2"/>
      <x:c r="B82" s="2"/>
      <x:c r="C82" s="2"/>
      <x:c r="D82" s="2"/>
      <x:c r="E82" s="2"/>
      <x:c r="F82" s="2"/>
      <x:c r="G82" s="2"/>
      <x:c r="H82" s="2"/>
      <x:c r="I82" s="2"/>
      <x:c r="J82" s="2"/>
      <x:c r="K82" s="2"/>
      <x:c r="L82" s="2"/>
      <x:c r="M82" s="2"/>
      <x:c r="N82" s="2"/>
      <x:c r="O82" s="2"/>
      <x:c r="P82" s="2"/>
      <x:c r="Q82" s="2"/>
      <x:c r="R82" s="2"/>
      <x:c r="S82" s="2"/>
      <x:c r="T82" s="2"/>
      <x:c r="U82" s="2"/>
    </x:row>
    <x:row r="83" ht="21" customHeight="1">
      <x:c r="A83" s="2"/>
      <x:c r="B83" s="2"/>
      <x:c r="C83" s="2"/>
      <x:c r="D83" s="2"/>
      <x:c r="E83" s="2"/>
      <x:c r="F83" s="2"/>
      <x:c r="G83" s="2"/>
      <x:c r="H83" s="2"/>
      <x:c r="I83" s="2"/>
      <x:c r="J83" s="2"/>
      <x:c r="K83" s="2"/>
      <x:c r="L83" s="2"/>
      <x:c r="M83" s="2"/>
      <x:c r="N83" s="2"/>
      <x:c r="O83" s="2"/>
      <x:c r="P83" s="2"/>
      <x:c r="Q83" s="2"/>
      <x:c r="R83" s="2"/>
      <x:c r="S83" s="2"/>
      <x:c r="T83" s="2"/>
      <x:c r="U83" s="2"/>
    </x:row>
    <x:row r="84" ht="21" customHeight="1">
      <x:c r="A84" s="2"/>
      <x:c r="B84" s="2"/>
      <x:c r="C84" s="2"/>
      <x:c r="D84" s="2"/>
      <x:c r="E84" s="2"/>
      <x:c r="F84" s="2"/>
      <x:c r="G84" s="2"/>
      <x:c r="H84" s="2"/>
      <x:c r="I84" s="2"/>
      <x:c r="J84" s="2"/>
      <x:c r="K84" s="2"/>
      <x:c r="L84" s="2"/>
      <x:c r="M84" s="2"/>
      <x:c r="N84" s="2"/>
      <x:c r="O84" s="2"/>
      <x:c r="P84" s="2"/>
      <x:c r="Q84" s="2"/>
      <x:c r="R84" s="2"/>
      <x:c r="S84" s="2"/>
      <x:c r="T84" s="2"/>
      <x:c r="U84" s="2"/>
    </x:row>
    <x:row r="85" ht="21" customHeight="1">
      <x:c r="A85" s="2"/>
      <x:c r="B85" s="2"/>
      <x:c r="C85" s="2"/>
      <x:c r="D85" s="2"/>
      <x:c r="E85" s="2"/>
      <x:c r="F85" s="2"/>
      <x:c r="G85" s="2"/>
      <x:c r="H85" s="2"/>
      <x:c r="I85" s="2"/>
      <x:c r="J85" s="2"/>
      <x:c r="K85" s="2"/>
      <x:c r="L85" s="2"/>
      <x:c r="M85" s="2"/>
      <x:c r="N85" s="2"/>
      <x:c r="O85" s="2"/>
      <x:c r="P85" s="2"/>
      <x:c r="Q85" s="2"/>
      <x:c r="R85" s="2"/>
      <x:c r="S85" s="2"/>
      <x:c r="T85" s="2"/>
      <x:c r="U85" s="2"/>
    </x:row>
    <x:row r="86" ht="21" customHeight="1">
      <x:c r="A86" s="2"/>
      <x:c r="B86" s="2"/>
      <x:c r="C86" s="2"/>
      <x:c r="D86" s="2"/>
      <x:c r="E86" s="2"/>
      <x:c r="F86" s="2"/>
      <x:c r="G86" s="2"/>
      <x:c r="H86" s="2"/>
      <x:c r="I86" s="2"/>
      <x:c r="J86" s="2"/>
      <x:c r="K86" s="2"/>
      <x:c r="L86" s="2"/>
      <x:c r="M86" s="2"/>
      <x:c r="N86" s="2"/>
      <x:c r="O86" s="2"/>
      <x:c r="P86" s="2"/>
      <x:c r="Q86" s="2"/>
      <x:c r="R86" s="2"/>
      <x:c r="S86" s="2"/>
      <x:c r="T86" s="2"/>
      <x:c r="U86" s="2"/>
    </x:row>
    <x:row r="87" ht="21" customHeight="1">
      <x:c r="A87" s="2"/>
      <x:c r="B87" s="2"/>
      <x:c r="C87" s="2"/>
      <x:c r="D87" s="2"/>
      <x:c r="E87" s="2"/>
      <x:c r="F87" s="2"/>
      <x:c r="G87" s="2"/>
      <x:c r="H87" s="2"/>
      <x:c r="I87" s="2"/>
      <x:c r="J87" s="2"/>
      <x:c r="K87" s="2"/>
      <x:c r="L87" s="2"/>
      <x:c r="M87" s="2"/>
      <x:c r="N87" s="2"/>
      <x:c r="O87" s="2"/>
      <x:c r="P87" s="2"/>
      <x:c r="Q87" s="2"/>
      <x:c r="R87" s="2"/>
      <x:c r="S87" s="2"/>
      <x:c r="T87" s="2"/>
      <x:c r="U87" s="2"/>
    </x:row>
    <x:row r="88" ht="21" customHeight="1">
      <x:c r="A88" s="2"/>
      <x:c r="B88" s="2"/>
      <x:c r="C88" s="2"/>
      <x:c r="D88" s="2"/>
      <x:c r="E88" s="2"/>
      <x:c r="F88" s="2"/>
      <x:c r="G88" s="2"/>
      <x:c r="H88" s="2"/>
      <x:c r="I88" s="2"/>
      <x:c r="J88" s="2"/>
      <x:c r="K88" s="2"/>
      <x:c r="L88" s="2"/>
      <x:c r="M88" s="2"/>
      <x:c r="N88" s="2"/>
      <x:c r="O88" s="2"/>
      <x:c r="P88" s="2"/>
      <x:c r="Q88" s="2"/>
      <x:c r="R88" s="2"/>
      <x:c r="S88" s="2"/>
      <x:c r="T88" s="2"/>
      <x:c r="U88" s="2"/>
    </x:row>
    <x:row r="89" ht="21" customHeight="1">
      <x:c r="A89" s="2"/>
      <x:c r="B89" s="2"/>
      <x:c r="C89" s="2"/>
      <x:c r="D89" s="2"/>
      <x:c r="E89" s="2"/>
      <x:c r="F89" s="2"/>
      <x:c r="G89" s="2"/>
      <x:c r="H89" s="2"/>
      <x:c r="I89" s="2"/>
      <x:c r="J89" s="2"/>
      <x:c r="K89" s="2"/>
      <x:c r="L89" s="2"/>
      <x:c r="M89" s="2"/>
      <x:c r="N89" s="2"/>
      <x:c r="O89" s="2"/>
      <x:c r="P89" s="2"/>
      <x:c r="Q89" s="2"/>
      <x:c r="R89" s="2"/>
      <x:c r="S89" s="2"/>
      <x:c r="T89" s="2"/>
      <x:c r="U89" s="2"/>
    </x:row>
    <x:row r="90" ht="21" customHeight="1">
      <x:c r="A90" s="2"/>
      <x:c r="B90" s="2"/>
      <x:c r="C90" s="2"/>
      <x:c r="D90" s="2"/>
      <x:c r="E90" s="2"/>
      <x:c r="F90" s="2"/>
      <x:c r="G90" s="2"/>
      <x:c r="H90" s="2"/>
      <x:c r="I90" s="2"/>
      <x:c r="J90" s="2"/>
      <x:c r="K90" s="2"/>
      <x:c r="L90" s="2"/>
      <x:c r="M90" s="2"/>
      <x:c r="N90" s="2"/>
      <x:c r="O90" s="2"/>
      <x:c r="P90" s="2"/>
      <x:c r="Q90" s="2"/>
      <x:c r="R90" s="2"/>
      <x:c r="S90" s="2"/>
      <x:c r="T90" s="2"/>
      <x:c r="U90" s="2"/>
    </x:row>
    <x:row r="91" ht="21" customHeight="1">
      <x:c r="A91" s="2"/>
      <x:c r="B91" s="2"/>
      <x:c r="C91" s="2"/>
      <x:c r="D91" s="2"/>
      <x:c r="E91" s="2"/>
      <x:c r="F91" s="2"/>
      <x:c r="G91" s="2"/>
      <x:c r="H91" s="2"/>
      <x:c r="I91" s="2"/>
      <x:c r="J91" s="2"/>
      <x:c r="K91" s="2"/>
      <x:c r="L91" s="2"/>
      <x:c r="M91" s="2"/>
      <x:c r="N91" s="2"/>
      <x:c r="O91" s="2"/>
      <x:c r="P91" s="2"/>
      <x:c r="Q91" s="2"/>
      <x:c r="R91" s="2"/>
      <x:c r="S91" s="2"/>
      <x:c r="T91" s="2"/>
      <x:c r="U91" s="2"/>
    </x:row>
    <x:row r="92" ht="21" customHeight="1">
      <x:c r="A92" s="2"/>
      <x:c r="B92" s="2"/>
      <x:c r="C92" s="2"/>
      <x:c r="D92" s="2"/>
      <x:c r="E92" s="2"/>
      <x:c r="F92" s="2"/>
      <x:c r="G92" s="2"/>
      <x:c r="H92" s="2"/>
      <x:c r="I92" s="2"/>
      <x:c r="J92" s="2"/>
      <x:c r="K92" s="2"/>
      <x:c r="L92" s="2"/>
      <x:c r="M92" s="2"/>
      <x:c r="N92" s="2"/>
      <x:c r="O92" s="2"/>
      <x:c r="P92" s="2"/>
      <x:c r="Q92" s="2"/>
      <x:c r="R92" s="2"/>
      <x:c r="S92" s="2"/>
      <x:c r="T92" s="2"/>
      <x:c r="U92" s="2"/>
    </x:row>
    <x:row r="93" ht="21" customHeight="1">
      <x:c r="A93" s="2"/>
      <x:c r="B93" s="2"/>
      <x:c r="C93" s="2"/>
      <x:c r="D93" s="2"/>
      <x:c r="E93" s="2"/>
      <x:c r="F93" s="2"/>
      <x:c r="G93" s="2"/>
      <x:c r="H93" s="2"/>
      <x:c r="I93" s="2"/>
      <x:c r="J93" s="2"/>
      <x:c r="K93" s="2"/>
      <x:c r="L93" s="2"/>
      <x:c r="M93" s="2"/>
      <x:c r="N93" s="2"/>
      <x:c r="O93" s="2"/>
      <x:c r="P93" s="2"/>
      <x:c r="Q93" s="2"/>
      <x:c r="R93" s="2"/>
      <x:c r="S93" s="2"/>
      <x:c r="T93" s="2"/>
      <x:c r="U93" s="2"/>
    </x:row>
    <x:row r="94" ht="21" customHeight="1">
      <x:c r="A94" s="2"/>
      <x:c r="B94" s="2"/>
      <x:c r="C94" s="2"/>
      <x:c r="D94" s="2"/>
      <x:c r="E94" s="2"/>
      <x:c r="F94" s="2"/>
      <x:c r="G94" s="2"/>
      <x:c r="H94" s="2"/>
      <x:c r="I94" s="2"/>
      <x:c r="J94" s="2"/>
      <x:c r="K94" s="2"/>
      <x:c r="L94" s="2"/>
      <x:c r="M94" s="2"/>
      <x:c r="N94" s="2"/>
      <x:c r="O94" s="2"/>
      <x:c r="P94" s="2"/>
      <x:c r="Q94" s="2"/>
      <x:c r="R94" s="2"/>
      <x:c r="S94" s="2"/>
      <x:c r="T94" s="2"/>
      <x:c r="U94" s="2"/>
    </x:row>
    <x:row r="95" ht="21" customHeight="1">
      <x:c r="A95" s="2"/>
      <x:c r="B95" s="2"/>
      <x:c r="C95" s="2"/>
      <x:c r="D95" s="2"/>
      <x:c r="E95" s="2"/>
      <x:c r="F95" s="2"/>
      <x:c r="G95" s="2"/>
      <x:c r="H95" s="2"/>
      <x:c r="I95" s="2"/>
      <x:c r="J95" s="2"/>
      <x:c r="K95" s="2"/>
      <x:c r="L95" s="2"/>
      <x:c r="M95" s="2"/>
      <x:c r="N95" s="2"/>
      <x:c r="O95" s="2"/>
      <x:c r="P95" s="2"/>
      <x:c r="Q95" s="2"/>
      <x:c r="R95" s="2"/>
      <x:c r="S95" s="2"/>
      <x:c r="T95" s="2"/>
      <x:c r="U95" s="2"/>
    </x:row>
  </x:sheetData>
  <x:conditionalFormatting sqref="E8:S29">
    <x:cfRule type="expression" dxfId="0" priority="1">
      <x:formula>AND(ISNUMBER(E8),ABS(E8)&gt;0.01)</x:formula>
    </x:cfRule>
  </x:conditionalFormatting>
  <x:pageMargins left="0.7" right="0.7" top="0.75" bottom="0.75" header="0.3" footer="0.3"/>
  <x:drawing xmlns:r="http://schemas.openxmlformats.org/officeDocument/2006/relationships" r:id="Rdc16cf5c829d4645"/>
</x:worksheet>
</file>

<file path=xl/worksheets/sheet20.xml><?xml version="1.0" encoding="utf-8"?>
<x:worksheet xmlns:x="http://schemas.openxmlformats.org/spreadsheetml/2006/main">
  <x:sheetPr>
    <x:tabColor rgb="FFAAA499"/>
  </x:sheetPr>
  <x:sheetViews>
    <x:sheetView showGridLines="0" workbookViewId="0"/>
  </x:sheetViews>
  <x:sheetFormatPr defaultRowHeight="15"/>
  <x:cols>
    <x:col min="1" max="1" width="2" hidden="0" customWidth="1"/>
    <x:col min="2" max="2" width="2" hidden="0" customWidth="1"/>
    <x:col min="3" max="3" width="54" hidden="0" customWidth="1"/>
    <x:col min="4" max="4" width="2" hidden="0" customWidth="1"/>
    <x:col min="5" max="5" width="13" hidden="0" customWidth="1"/>
    <x:col min="6" max="6" width="13" hidden="0" customWidth="1"/>
    <x:col min="7" max="7" width="13" hidden="0" customWidth="1"/>
    <x:col min="8" max="8" width="13" hidden="0" customWidth="1"/>
    <x:col min="9" max="9" width="13" hidden="0" customWidth="1"/>
    <x:col min="10" max="10" width="13"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13" hidden="0" customWidth="1"/>
    <x:col min="18" max="18" width="13" hidden="0" customWidth="1"/>
    <x:col min="19" max="19" width="13" hidden="0" customWidth="1"/>
  </x:cols>
  <x:sheetData>
    <x:row r="1" ht="21" customHeight="1">
      <x:c r="A1" s="2"/>
      <x:c r="B1" s="2"/>
      <x:c r="C1" s="2"/>
      <x:c r="D1" s="2"/>
      <x:c r="E1" s="2"/>
      <x:c r="F1" s="2"/>
      <x:c r="G1" s="2"/>
      <x:c r="H1" s="2"/>
      <x:c r="I1" s="2"/>
      <x:c r="J1" s="2"/>
      <x:c r="K1" s="2"/>
      <x:c r="L1" s="2"/>
      <x:c r="M1" s="2"/>
      <x:c r="N1" s="2"/>
      <x:c r="O1" s="2"/>
      <x:c r="P1" s="2"/>
      <x:c r="Q1" s="2"/>
      <x:c r="R1" s="2"/>
      <x:c r="S1" s="2"/>
      <x:c r="T1" s="2"/>
      <x:c r="U1" s="2"/>
    </x:row>
    <x:row r="2" ht="30" customHeight="1">
      <x:c r="A2" s="2"/>
      <x:c r="B2" s="2"/>
      <x:c r="C2" s="3" t="str">
        <x:v>Model Guide</x:v>
      </x:c>
      <x:c r="D2" s="2"/>
      <x:c r="E2" s="2"/>
      <x:c r="F2" s="2"/>
      <x:c r="G2" s="2"/>
      <x:c r="H2" s="2"/>
      <x:c r="I2" s="2"/>
      <x:c r="J2" s="2"/>
      <x:c r="K2" s="2"/>
      <x:c r="L2" s="2"/>
      <x:c r="M2" s="2"/>
      <x:c r="N2" s="2"/>
      <x:c r="O2" s="2"/>
      <x:c r="P2" s="2"/>
      <x:c r="Q2" s="2"/>
      <x:c r="R2" s="2"/>
      <x:c r="S2" s="2"/>
      <x:c r="T2" s="2"/>
      <x:c r="U2" s="2"/>
    </x:row>
    <x:row r="3" ht="21" customHeight="1">
      <x:c r="A3" s="2"/>
      <x:c r="B3" s="2"/>
      <x:c r="C3" s="4" t="str">
        <x:v>USD millions except per-share data and ratios. Fiscal year ends 30 June.</x:v>
      </x:c>
      <x:c r="D3" s="2"/>
      <x:c r="E3" s="2"/>
      <x:c r="F3" s="2"/>
      <x:c r="G3" s="2"/>
      <x:c r="H3" s="2"/>
      <x:c r="I3" s="2"/>
      <x:c r="J3" s="2"/>
      <x:c r="K3" s="2"/>
      <x:c r="L3" s="2"/>
      <x:c r="M3" s="2"/>
      <x:c r="N3" s="2"/>
      <x:c r="O3" s="2"/>
      <x:c r="P3" s="2"/>
      <x:c r="Q3" s="2"/>
      <x:c r="R3" s="2"/>
      <x:c r="S3" s="2"/>
      <x:c r="T3" s="2"/>
      <x:c r="U3" s="2"/>
    </x:row>
    <x:row r="4" ht="21" customHeight="1">
      <x:c r="A4" s="2"/>
      <x:c r="B4" s="2"/>
      <x:c r="C4" s="2"/>
      <x:c r="D4" s="2"/>
      <x:c r="E4" s="2"/>
      <x:c r="F4" s="2"/>
      <x:c r="G4" s="2"/>
      <x:c r="H4" s="2"/>
      <x:c r="I4" s="2"/>
      <x:c r="J4" s="2"/>
      <x:c r="K4" s="2"/>
      <x:c r="L4" s="2"/>
      <x:c r="M4" s="2"/>
      <x:c r="N4" s="2"/>
      <x:c r="O4" s="2"/>
      <x:c r="P4" s="2"/>
      <x:c r="Q4" s="2"/>
      <x:c r="R4" s="2"/>
      <x:c r="S4" s="2"/>
      <x:c r="T4" s="2"/>
      <x:c r="U4" s="2"/>
    </x:row>
    <x:row r="5" ht="21" customHeight="1">
      <x:c r="A5" s="2"/>
      <x:c r="B5" s="2"/>
      <x:c r="C5" s="2"/>
      <x:c r="D5" s="2"/>
      <x:c r="E5" s="2"/>
      <x:c r="F5" s="2"/>
      <x:c r="G5" s="2"/>
      <x:c r="H5" s="2"/>
      <x:c r="I5" s="2"/>
      <x:c r="J5" s="2"/>
      <x:c r="K5" s="2"/>
      <x:c r="L5" s="2"/>
      <x:c r="M5" s="2"/>
      <x:c r="N5" s="2"/>
      <x:c r="O5" s="2"/>
      <x:c r="P5" s="2"/>
      <x:c r="Q5" s="2"/>
      <x:c r="R5" s="2"/>
      <x:c r="S5" s="2"/>
      <x:c r="T5" s="2"/>
      <x:c r="U5" s="2"/>
    </x:row>
    <x:row r="6" ht="21" customHeight="1">
      <x:c r="A6" s="2"/>
      <x:c r="B6" s="2"/>
      <x:c r="C6" s="2"/>
      <x:c r="D6" s="2"/>
      <x:c r="E6" s="2"/>
      <x:c r="F6" s="2"/>
      <x:c r="G6" s="2"/>
      <x:c r="H6" s="2"/>
      <x:c r="I6" s="2"/>
      <x:c r="J6" s="2"/>
      <x:c r="K6" s="2"/>
      <x:c r="L6" s="2"/>
      <x:c r="M6" s="2"/>
      <x:c r="N6" s="2"/>
      <x:c r="O6" s="2"/>
      <x:c r="P6" s="2"/>
      <x:c r="Q6" s="2"/>
      <x:c r="R6" s="2"/>
      <x:c r="S6" s="2"/>
      <x:c r="T6" s="2"/>
      <x:c r="U6" s="2"/>
    </x:row>
    <x:row r="7" ht="21" customHeight="1">
      <x:c r="A7" s="2"/>
      <x:c r="B7" s="2"/>
      <x:c r="C7" s="2"/>
      <x:c r="D7" s="2"/>
      <x:c r="E7" s="2"/>
      <x:c r="F7" s="2"/>
      <x:c r="G7" s="2"/>
      <x:c r="H7" s="2"/>
      <x:c r="I7" s="2"/>
      <x:c r="J7" s="2"/>
      <x:c r="K7" s="2"/>
      <x:c r="L7" s="2"/>
      <x:c r="M7" s="2"/>
      <x:c r="N7" s="2"/>
      <x:c r="O7" s="2"/>
      <x:c r="P7" s="2"/>
      <x:c r="Q7" s="2"/>
      <x:c r="R7" s="2"/>
      <x:c r="S7" s="2"/>
      <x:c r="T7" s="2"/>
      <x:c r="U7" s="2"/>
    </x:row>
    <x:row r="8" ht="21" customHeight="1">
      <x:c r="A8" s="2"/>
      <x:c r="B8" s="2"/>
      <x:c r="C8" s="2"/>
      <x:c r="D8" s="2"/>
      <x:c r="E8" s="2"/>
      <x:c r="F8" s="2"/>
      <x:c r="G8" s="2"/>
      <x:c r="H8" s="2"/>
      <x:c r="I8" s="2"/>
      <x:c r="J8" s="2"/>
      <x:c r="K8" s="2"/>
      <x:c r="L8" s="2"/>
      <x:c r="M8" s="2"/>
      <x:c r="N8" s="2"/>
      <x:c r="O8" s="2"/>
      <x:c r="P8" s="2"/>
      <x:c r="Q8" s="2"/>
      <x:c r="R8" s="2"/>
      <x:c r="S8" s="2"/>
      <x:c r="T8" s="2"/>
      <x:c r="U8" s="2"/>
    </x:row>
    <x:row r="9" ht="21" customHeight="1">
      <x:c r="A9" s="2"/>
      <x:c r="B9" s="2"/>
      <x:c r="C9" s="2"/>
      <x:c r="D9" s="2"/>
      <x:c r="E9" s="2"/>
      <x:c r="F9" s="2"/>
      <x:c r="G9" s="2"/>
      <x:c r="H9" s="2"/>
      <x:c r="I9" s="2"/>
      <x:c r="J9" s="2"/>
      <x:c r="K9" s="2"/>
      <x:c r="L9" s="2"/>
      <x:c r="M9" s="2"/>
      <x:c r="N9" s="2"/>
      <x:c r="O9" s="2"/>
      <x:c r="P9" s="2"/>
      <x:c r="Q9" s="2"/>
      <x:c r="R9" s="2"/>
      <x:c r="S9" s="2"/>
      <x:c r="T9" s="2"/>
      <x:c r="U9" s="2"/>
    </x:row>
    <x:row r="10" ht="21" customHeight="1">
      <x:c r="A10" s="2"/>
      <x:c r="B10" s="2"/>
      <x:c r="C10" s="2"/>
      <x:c r="D10" s="2"/>
      <x:c r="E10" s="2"/>
      <x:c r="F10" s="2"/>
      <x:c r="G10" s="2"/>
      <x:c r="H10" s="2"/>
      <x:c r="I10" s="2"/>
      <x:c r="J10" s="2"/>
      <x:c r="K10" s="2"/>
      <x:c r="L10" s="2"/>
      <x:c r="M10" s="2"/>
      <x:c r="N10" s="2"/>
      <x:c r="O10" s="2"/>
      <x:c r="P10" s="2"/>
      <x:c r="Q10" s="2"/>
      <x:c r="R10" s="2"/>
      <x:c r="S10" s="2"/>
      <x:c r="T10" s="2"/>
      <x:c r="U10" s="2"/>
    </x:row>
    <x:row r="11" ht="21" customHeight="1">
      <x:c r="A11" s="2"/>
      <x:c r="B11" s="2"/>
      <x:c r="C11" s="2"/>
      <x:c r="D11" s="2"/>
      <x:c r="E11" s="2"/>
      <x:c r="F11" s="2"/>
      <x:c r="G11" s="2"/>
      <x:c r="H11" s="2"/>
      <x:c r="I11" s="2"/>
      <x:c r="J11" s="2"/>
      <x:c r="K11" s="2"/>
      <x:c r="L11" s="2"/>
      <x:c r="M11" s="2"/>
      <x:c r="N11" s="2"/>
      <x:c r="O11" s="2"/>
      <x:c r="P11" s="2"/>
      <x:c r="Q11" s="2"/>
      <x:c r="R11" s="2"/>
      <x:c r="S11" s="2"/>
      <x:c r="T11" s="2"/>
      <x:c r="U11" s="2"/>
    </x:row>
    <x:row r="12" ht="21" customHeight="1">
      <x:c r="A12" s="2"/>
      <x:c r="B12" s="2"/>
      <x:c r="C12" s="2"/>
      <x:c r="D12" s="2"/>
      <x:c r="E12" s="2"/>
      <x:c r="F12" s="2"/>
      <x:c r="G12" s="2"/>
      <x:c r="H12" s="2"/>
      <x:c r="I12" s="2"/>
      <x:c r="J12" s="2"/>
      <x:c r="K12" s="2"/>
      <x:c r="L12" s="2"/>
      <x:c r="M12" s="2"/>
      <x:c r="N12" s="2"/>
      <x:c r="O12" s="2"/>
      <x:c r="P12" s="2"/>
      <x:c r="Q12" s="2"/>
      <x:c r="R12" s="2"/>
      <x:c r="S12" s="2"/>
      <x:c r="T12" s="2"/>
      <x:c r="U12" s="2"/>
    </x:row>
    <x:row r="13" ht="21" customHeight="1">
      <x:c r="A13" s="2"/>
      <x:c r="B13" s="2"/>
      <x:c r="C13" s="2"/>
      <x:c r="D13" s="2"/>
      <x:c r="E13" s="2"/>
      <x:c r="F13" s="2"/>
      <x:c r="G13" s="2"/>
      <x:c r="H13" s="2"/>
      <x:c r="I13" s="2"/>
      <x:c r="J13" s="2"/>
      <x:c r="K13" s="2"/>
      <x:c r="L13" s="2"/>
      <x:c r="M13" s="2"/>
      <x:c r="N13" s="2"/>
      <x:c r="O13" s="2"/>
      <x:c r="P13" s="2"/>
      <x:c r="Q13" s="2"/>
      <x:c r="R13" s="2"/>
      <x:c r="S13" s="2"/>
      <x:c r="T13" s="2"/>
      <x:c r="U13" s="2"/>
    </x:row>
    <x:row r="14" ht="21" customHeight="1">
      <x:c r="A14" s="2"/>
      <x:c r="B14" s="2"/>
      <x:c r="C14" s="2"/>
      <x:c r="D14" s="2"/>
      <x:c r="E14" s="2"/>
      <x:c r="F14" s="2"/>
      <x:c r="G14" s="2"/>
      <x:c r="H14" s="2"/>
      <x:c r="I14" s="2"/>
      <x:c r="J14" s="2"/>
      <x:c r="K14" s="2"/>
      <x:c r="L14" s="2"/>
      <x:c r="M14" s="2"/>
      <x:c r="N14" s="2"/>
      <x:c r="O14" s="2"/>
      <x:c r="P14" s="2"/>
      <x:c r="Q14" s="2"/>
      <x:c r="R14" s="2"/>
      <x:c r="S14" s="2"/>
      <x:c r="T14" s="2"/>
      <x:c r="U14" s="2"/>
    </x:row>
    <x:row r="15" ht="21" customHeight="1">
      <x:c r="A15" s="2"/>
      <x:c r="B15" s="2"/>
      <x:c r="C15" s="2"/>
      <x:c r="D15" s="2"/>
      <x:c r="E15" s="2"/>
      <x:c r="F15" s="2"/>
      <x:c r="G15" s="2"/>
      <x:c r="H15" s="2"/>
      <x:c r="I15" s="2"/>
      <x:c r="J15" s="2"/>
      <x:c r="K15" s="2"/>
      <x:c r="L15" s="2"/>
      <x:c r="M15" s="2"/>
      <x:c r="N15" s="2"/>
      <x:c r="O15" s="2"/>
      <x:c r="P15" s="2"/>
      <x:c r="Q15" s="2"/>
      <x:c r="R15" s="2"/>
      <x:c r="S15" s="2"/>
      <x:c r="T15" s="2"/>
      <x:c r="U15" s="2"/>
    </x:row>
    <x:row r="16" ht="21" customHeight="1">
      <x:c r="A16" s="2"/>
      <x:c r="B16" s="2"/>
      <x:c r="C16" s="2"/>
      <x:c r="D16" s="2"/>
      <x:c r="E16" s="2"/>
      <x:c r="F16" s="2"/>
      <x:c r="G16" s="2"/>
      <x:c r="H16" s="2"/>
      <x:c r="I16" s="2"/>
      <x:c r="J16" s="2"/>
      <x:c r="K16" s="2"/>
      <x:c r="L16" s="2"/>
      <x:c r="M16" s="2"/>
      <x:c r="N16" s="2"/>
      <x:c r="O16" s="2"/>
      <x:c r="P16" s="2"/>
      <x:c r="Q16" s="2"/>
      <x:c r="R16" s="2"/>
      <x:c r="S16" s="2"/>
      <x:c r="T16" s="2"/>
      <x:c r="U16" s="2"/>
    </x:row>
    <x:row r="17" ht="21" customHeight="1">
      <x:c r="A17" s="2"/>
      <x:c r="B17" s="2"/>
      <x:c r="C17" s="2"/>
      <x:c r="D17" s="2"/>
      <x:c r="E17" s="2"/>
      <x:c r="F17" s="2"/>
      <x:c r="G17" s="2"/>
      <x:c r="H17" s="2"/>
      <x:c r="I17" s="2"/>
      <x:c r="J17" s="2"/>
      <x:c r="K17" s="2"/>
      <x:c r="L17" s="2"/>
      <x:c r="M17" s="2"/>
      <x:c r="N17" s="2"/>
      <x:c r="O17" s="2"/>
      <x:c r="P17" s="2"/>
      <x:c r="Q17" s="2"/>
      <x:c r="R17" s="2"/>
      <x:c r="S17" s="2"/>
      <x:c r="T17" s="2"/>
      <x:c r="U17" s="2"/>
    </x:row>
    <x:row r="18" ht="21" customHeight="1">
      <x:c r="A18" s="2"/>
      <x:c r="B18" s="2"/>
      <x:c r="C18" s="2"/>
      <x:c r="D18" s="2"/>
      <x:c r="E18" s="2"/>
      <x:c r="F18" s="2"/>
      <x:c r="G18" s="2"/>
      <x:c r="H18" s="2"/>
      <x:c r="I18" s="2"/>
      <x:c r="J18" s="2"/>
      <x:c r="K18" s="2"/>
      <x:c r="L18" s="2"/>
      <x:c r="M18" s="2"/>
      <x:c r="N18" s="2"/>
      <x:c r="O18" s="2"/>
      <x:c r="P18" s="2"/>
      <x:c r="Q18" s="2"/>
      <x:c r="R18" s="2"/>
      <x:c r="S18" s="2"/>
      <x:c r="T18" s="2"/>
      <x:c r="U18" s="2"/>
    </x:row>
    <x:row r="19" ht="21" customHeight="1">
      <x:c r="A19" s="2"/>
      <x:c r="B19" s="2"/>
      <x:c r="C19" s="2"/>
      <x:c r="D19" s="2"/>
      <x:c r="E19" s="2"/>
      <x:c r="F19" s="2"/>
      <x:c r="G19" s="2"/>
      <x:c r="H19" s="2"/>
      <x:c r="I19" s="2"/>
      <x:c r="J19" s="2"/>
      <x:c r="K19" s="2"/>
      <x:c r="L19" s="2"/>
      <x:c r="M19" s="2"/>
      <x:c r="N19" s="2"/>
      <x:c r="O19" s="2"/>
      <x:c r="P19" s="2"/>
      <x:c r="Q19" s="2"/>
      <x:c r="R19" s="2"/>
      <x:c r="S19" s="2"/>
      <x:c r="T19" s="2"/>
      <x:c r="U19" s="2"/>
    </x:row>
    <x:row r="20" ht="21" customHeight="1">
      <x:c r="A20" s="2"/>
      <x:c r="B20" s="2"/>
      <x:c r="C20" s="2"/>
      <x:c r="D20" s="2"/>
      <x:c r="E20" s="2"/>
      <x:c r="F20" s="2"/>
      <x:c r="G20" s="2"/>
      <x:c r="H20" s="2"/>
      <x:c r="I20" s="2"/>
      <x:c r="J20" s="2"/>
      <x:c r="K20" s="2"/>
      <x:c r="L20" s="2"/>
      <x:c r="M20" s="2"/>
      <x:c r="N20" s="2"/>
      <x:c r="O20" s="2"/>
      <x:c r="P20" s="2"/>
      <x:c r="Q20" s="2"/>
      <x:c r="R20" s="2"/>
      <x:c r="S20" s="2"/>
      <x:c r="T20" s="2"/>
      <x:c r="U20" s="2"/>
    </x:row>
    <x:row r="21" ht="21" customHeight="1">
      <x:c r="A21" s="2"/>
      <x:c r="B21" s="2"/>
      <x:c r="C21" s="2"/>
      <x:c r="D21" s="2"/>
      <x:c r="E21" s="2"/>
      <x:c r="F21" s="2"/>
      <x:c r="G21" s="2"/>
      <x:c r="H21" s="2"/>
      <x:c r="I21" s="2"/>
      <x:c r="J21" s="2"/>
      <x:c r="K21" s="2"/>
      <x:c r="L21" s="2"/>
      <x:c r="M21" s="2"/>
      <x:c r="N21" s="2"/>
      <x:c r="O21" s="2"/>
      <x:c r="P21" s="2"/>
      <x:c r="Q21" s="2"/>
      <x:c r="R21" s="2"/>
      <x:c r="S21" s="2"/>
      <x:c r="T21" s="2"/>
      <x:c r="U21" s="2"/>
    </x:row>
    <x:row r="22" ht="21" customHeight="1">
      <x:c r="A22" s="2"/>
      <x:c r="B22" s="2"/>
      <x:c r="C22" s="2"/>
      <x:c r="D22" s="2"/>
      <x:c r="E22" s="2"/>
      <x:c r="F22" s="2"/>
      <x:c r="G22" s="2"/>
      <x:c r="H22" s="2"/>
      <x:c r="I22" s="2"/>
      <x:c r="J22" s="2"/>
      <x:c r="K22" s="2"/>
      <x:c r="L22" s="2"/>
      <x:c r="M22" s="2"/>
      <x:c r="N22" s="2"/>
      <x:c r="O22" s="2"/>
      <x:c r="P22" s="2"/>
      <x:c r="Q22" s="2"/>
      <x:c r="R22" s="2"/>
      <x:c r="S22" s="2"/>
      <x:c r="T22" s="2"/>
      <x:c r="U22" s="2"/>
    </x:row>
    <x:row r="23" ht="21" customHeight="1">
      <x:c r="A23" s="2"/>
      <x:c r="B23" s="2"/>
      <x:c r="C23" s="2"/>
      <x:c r="D23" s="2"/>
      <x:c r="E23" s="2"/>
      <x:c r="F23" s="2"/>
      <x:c r="G23" s="2"/>
      <x:c r="H23" s="2"/>
      <x:c r="I23" s="2"/>
      <x:c r="J23" s="2"/>
      <x:c r="K23" s="2"/>
      <x:c r="L23" s="2"/>
      <x:c r="M23" s="2"/>
      <x:c r="N23" s="2"/>
      <x:c r="O23" s="2"/>
      <x:c r="P23" s="2"/>
      <x:c r="Q23" s="2"/>
      <x:c r="R23" s="2"/>
      <x:c r="S23" s="2"/>
      <x:c r="T23" s="2"/>
      <x:c r="U23" s="2"/>
    </x:row>
    <x:row r="24" ht="21" customHeight="1">
      <x:c r="A24" s="2"/>
      <x:c r="B24" s="2"/>
      <x:c r="C24" s="2"/>
      <x:c r="D24" s="2"/>
      <x:c r="E24" s="2"/>
      <x:c r="F24" s="2"/>
      <x:c r="G24" s="2"/>
      <x:c r="H24" s="2"/>
      <x:c r="I24" s="2"/>
      <x:c r="J24" s="2"/>
      <x:c r="K24" s="2"/>
      <x:c r="L24" s="2"/>
      <x:c r="M24" s="2"/>
      <x:c r="N24" s="2"/>
      <x:c r="O24" s="2"/>
      <x:c r="P24" s="2"/>
      <x:c r="Q24" s="2"/>
      <x:c r="R24" s="2"/>
      <x:c r="S24" s="2"/>
      <x:c r="T24" s="2"/>
      <x:c r="U24" s="2"/>
    </x:row>
    <x:row r="25" ht="21" customHeight="1">
      <x:c r="A25" s="2"/>
      <x:c r="B25" s="2"/>
      <x:c r="C25" s="2"/>
      <x:c r="D25" s="2"/>
      <x:c r="E25" s="2"/>
      <x:c r="F25" s="2"/>
      <x:c r="G25" s="2"/>
      <x:c r="H25" s="2"/>
      <x:c r="I25" s="2"/>
      <x:c r="J25" s="2"/>
      <x:c r="K25" s="2"/>
      <x:c r="L25" s="2"/>
      <x:c r="M25" s="2"/>
      <x:c r="N25" s="2"/>
      <x:c r="O25" s="2"/>
      <x:c r="P25" s="2"/>
      <x:c r="Q25" s="2"/>
      <x:c r="R25" s="2"/>
      <x:c r="S25" s="2"/>
      <x:c r="T25" s="2"/>
      <x:c r="U25" s="2"/>
    </x:row>
    <x:row r="26" ht="21" customHeight="1">
      <x:c r="A26" s="2"/>
      <x:c r="B26" s="2"/>
      <x:c r="C26" s="2"/>
      <x:c r="D26" s="2"/>
      <x:c r="E26" s="2"/>
      <x:c r="F26" s="2"/>
      <x:c r="G26" s="2"/>
      <x:c r="H26" s="2"/>
      <x:c r="I26" s="2"/>
      <x:c r="J26" s="2"/>
      <x:c r="K26" s="2"/>
      <x:c r="L26" s="2"/>
      <x:c r="M26" s="2"/>
      <x:c r="N26" s="2"/>
      <x:c r="O26" s="2"/>
      <x:c r="P26" s="2"/>
      <x:c r="Q26" s="2"/>
      <x:c r="R26" s="2"/>
      <x:c r="S26" s="2"/>
      <x:c r="T26" s="2"/>
      <x:c r="U26" s="2"/>
    </x:row>
    <x:row r="27" ht="21" customHeight="1">
      <x:c r="A27" s="2"/>
      <x:c r="B27" s="2"/>
      <x:c r="C27" s="2"/>
      <x:c r="D27" s="2"/>
      <x:c r="E27" s="2"/>
      <x:c r="F27" s="2"/>
      <x:c r="G27" s="2"/>
      <x:c r="H27" s="2"/>
      <x:c r="I27" s="2"/>
      <x:c r="J27" s="2"/>
      <x:c r="K27" s="2"/>
      <x:c r="L27" s="2"/>
      <x:c r="M27" s="2"/>
      <x:c r="N27" s="2"/>
      <x:c r="O27" s="2"/>
      <x:c r="P27" s="2"/>
      <x:c r="Q27" s="2"/>
      <x:c r="R27" s="2"/>
      <x:c r="S27" s="2"/>
      <x:c r="T27" s="2"/>
      <x:c r="U27" s="2"/>
    </x:row>
    <x:row r="28" ht="21" customHeight="1">
      <x:c r="A28" s="2"/>
      <x:c r="B28" s="2"/>
      <x:c r="C28" s="2"/>
      <x:c r="D28" s="2"/>
      <x:c r="E28" s="2"/>
      <x:c r="F28" s="2"/>
      <x:c r="G28" s="2"/>
      <x:c r="H28" s="2"/>
      <x:c r="I28" s="2"/>
      <x:c r="J28" s="2"/>
      <x:c r="K28" s="2"/>
      <x:c r="L28" s="2"/>
      <x:c r="M28" s="2"/>
      <x:c r="N28" s="2"/>
      <x:c r="O28" s="2"/>
      <x:c r="P28" s="2"/>
      <x:c r="Q28" s="2"/>
      <x:c r="R28" s="2"/>
      <x:c r="S28" s="2"/>
      <x:c r="T28" s="2"/>
      <x:c r="U28" s="2"/>
    </x:row>
    <x:row r="29" ht="21" customHeight="1">
      <x:c r="A29" s="2"/>
      <x:c r="B29" s="2"/>
      <x:c r="C29" s="2"/>
      <x:c r="D29" s="2"/>
      <x:c r="E29" s="2"/>
      <x:c r="F29" s="2"/>
      <x:c r="G29" s="2"/>
      <x:c r="H29" s="2"/>
      <x:c r="I29" s="2"/>
      <x:c r="J29" s="2"/>
      <x:c r="K29" s="2"/>
      <x:c r="L29" s="2"/>
      <x:c r="M29" s="2"/>
      <x:c r="N29" s="2"/>
      <x:c r="O29" s="2"/>
      <x:c r="P29" s="2"/>
      <x:c r="Q29" s="2"/>
      <x:c r="R29" s="2"/>
      <x:c r="S29" s="2"/>
      <x:c r="T29" s="2"/>
      <x:c r="U29" s="2"/>
    </x:row>
    <x:row r="30" ht="21" customHeight="1">
      <x:c r="A30" s="2"/>
      <x:c r="B30" s="2"/>
      <x:c r="C30" s="2"/>
      <x:c r="D30" s="2"/>
      <x:c r="E30" s="2"/>
      <x:c r="F30" s="2"/>
      <x:c r="G30" s="2"/>
      <x:c r="H30" s="2"/>
      <x:c r="I30" s="2"/>
      <x:c r="J30" s="2"/>
      <x:c r="K30" s="2"/>
      <x:c r="L30" s="2"/>
      <x:c r="M30" s="2"/>
      <x:c r="N30" s="2"/>
      <x:c r="O30" s="2"/>
      <x:c r="P30" s="2"/>
      <x:c r="Q30" s="2"/>
      <x:c r="R30" s="2"/>
      <x:c r="S30" s="2"/>
      <x:c r="T30" s="2"/>
      <x:c r="U30" s="2"/>
    </x:row>
    <x:row r="31" ht="21" customHeight="1">
      <x:c r="A31" s="2"/>
      <x:c r="B31" s="2"/>
      <x:c r="C31" s="2"/>
      <x:c r="D31" s="2"/>
      <x:c r="E31" s="2"/>
      <x:c r="F31" s="2"/>
      <x:c r="G31" s="2"/>
      <x:c r="H31" s="2"/>
      <x:c r="I31" s="2"/>
      <x:c r="J31" s="2"/>
      <x:c r="K31" s="2"/>
      <x:c r="L31" s="2"/>
      <x:c r="M31" s="2"/>
      <x:c r="N31" s="2"/>
      <x:c r="O31" s="2"/>
      <x:c r="P31" s="2"/>
      <x:c r="Q31" s="2"/>
      <x:c r="R31" s="2"/>
      <x:c r="S31" s="2"/>
      <x:c r="T31" s="2"/>
      <x:c r="U31" s="2"/>
    </x:row>
    <x:row r="32" ht="21" customHeight="1">
      <x:c r="A32" s="2"/>
      <x:c r="B32" s="2"/>
      <x:c r="C32" s="2"/>
      <x:c r="D32" s="2"/>
      <x:c r="E32" s="2"/>
      <x:c r="F32" s="2"/>
      <x:c r="G32" s="2"/>
      <x:c r="H32" s="2"/>
      <x:c r="I32" s="2"/>
      <x:c r="J32" s="2"/>
      <x:c r="K32" s="2"/>
      <x:c r="L32" s="2"/>
      <x:c r="M32" s="2"/>
      <x:c r="N32" s="2"/>
      <x:c r="O32" s="2"/>
      <x:c r="P32" s="2"/>
      <x:c r="Q32" s="2"/>
      <x:c r="R32" s="2"/>
      <x:c r="S32" s="2"/>
      <x:c r="T32" s="2"/>
      <x:c r="U32" s="2"/>
    </x:row>
    <x:row r="33" ht="21" customHeight="1">
      <x:c r="A33" s="2"/>
      <x:c r="B33" s="2"/>
      <x:c r="C33" s="2"/>
      <x:c r="D33" s="2"/>
      <x:c r="E33" s="2"/>
      <x:c r="F33" s="2"/>
      <x:c r="G33" s="2"/>
      <x:c r="H33" s="2"/>
      <x:c r="I33" s="2"/>
      <x:c r="J33" s="2"/>
      <x:c r="K33" s="2"/>
      <x:c r="L33" s="2"/>
      <x:c r="M33" s="2"/>
      <x:c r="N33" s="2"/>
      <x:c r="O33" s="2"/>
      <x:c r="P33" s="2"/>
      <x:c r="Q33" s="2"/>
      <x:c r="R33" s="2"/>
      <x:c r="S33" s="2"/>
      <x:c r="T33" s="2"/>
      <x:c r="U33" s="2"/>
    </x:row>
    <x:row r="34" ht="21" customHeight="1">
      <x:c r="A34" s="2"/>
      <x:c r="B34" s="2"/>
      <x:c r="C34" s="2"/>
      <x:c r="D34" s="2"/>
      <x:c r="E34" s="2"/>
      <x:c r="F34" s="2"/>
      <x:c r="G34" s="2"/>
      <x:c r="H34" s="2"/>
      <x:c r="I34" s="2"/>
      <x:c r="J34" s="2"/>
      <x:c r="K34" s="2"/>
      <x:c r="L34" s="2"/>
      <x:c r="M34" s="2"/>
      <x:c r="N34" s="2"/>
      <x:c r="O34" s="2"/>
      <x:c r="P34" s="2"/>
      <x:c r="Q34" s="2"/>
      <x:c r="R34" s="2"/>
      <x:c r="S34" s="2"/>
      <x:c r="T34" s="2"/>
      <x:c r="U34" s="2"/>
    </x:row>
    <x:row r="35" ht="21" customHeight="1">
      <x:c r="A35" s="2"/>
      <x:c r="B35" s="2"/>
      <x:c r="C35" s="2"/>
      <x:c r="D35" s="2"/>
      <x:c r="E35" s="2"/>
      <x:c r="F35" s="2"/>
      <x:c r="G35" s="2"/>
      <x:c r="H35" s="2"/>
      <x:c r="I35" s="2"/>
      <x:c r="J35" s="2"/>
      <x:c r="K35" s="2"/>
      <x:c r="L35" s="2"/>
      <x:c r="M35" s="2"/>
      <x:c r="N35" s="2"/>
      <x:c r="O35" s="2"/>
      <x:c r="P35" s="2"/>
      <x:c r="Q35" s="2"/>
      <x:c r="R35" s="2"/>
      <x:c r="S35" s="2"/>
      <x:c r="T35" s="2"/>
      <x:c r="U35" s="2"/>
    </x:row>
    <x:row r="36" ht="21" customHeight="1">
      <x:c r="A36" s="2"/>
      <x:c r="B36" s="2"/>
      <x:c r="C36" s="2"/>
      <x:c r="D36" s="2"/>
      <x:c r="E36" s="2"/>
      <x:c r="F36" s="2"/>
      <x:c r="G36" s="2"/>
      <x:c r="H36" s="2"/>
      <x:c r="I36" s="2"/>
      <x:c r="J36" s="2"/>
      <x:c r="K36" s="2"/>
      <x:c r="L36" s="2"/>
      <x:c r="M36" s="2"/>
      <x:c r="N36" s="2"/>
      <x:c r="O36" s="2"/>
      <x:c r="P36" s="2"/>
      <x:c r="Q36" s="2"/>
      <x:c r="R36" s="2"/>
      <x:c r="S36" s="2"/>
      <x:c r="T36" s="2"/>
      <x:c r="U36" s="2"/>
    </x:row>
    <x:row r="37" ht="21" customHeight="1">
      <x:c r="A37" s="2"/>
      <x:c r="B37" s="2"/>
      <x:c r="C37" s="2"/>
      <x:c r="D37" s="2"/>
      <x:c r="E37" s="2"/>
      <x:c r="F37" s="2"/>
      <x:c r="G37" s="2"/>
      <x:c r="H37" s="2"/>
      <x:c r="I37" s="2"/>
      <x:c r="J37" s="2"/>
      <x:c r="K37" s="2"/>
      <x:c r="L37" s="2"/>
      <x:c r="M37" s="2"/>
      <x:c r="N37" s="2"/>
      <x:c r="O37" s="2"/>
      <x:c r="P37" s="2"/>
      <x:c r="Q37" s="2"/>
      <x:c r="R37" s="2"/>
      <x:c r="S37" s="2"/>
      <x:c r="T37" s="2"/>
      <x:c r="U37" s="2"/>
    </x:row>
    <x:row r="38" ht="21" customHeight="1">
      <x:c r="A38" s="2"/>
      <x:c r="B38" s="2"/>
      <x:c r="C38" s="2"/>
      <x:c r="D38" s="2"/>
      <x:c r="E38" s="2"/>
      <x:c r="F38" s="2"/>
      <x:c r="G38" s="2"/>
      <x:c r="H38" s="2"/>
      <x:c r="I38" s="2"/>
      <x:c r="J38" s="2"/>
      <x:c r="K38" s="2"/>
      <x:c r="L38" s="2"/>
      <x:c r="M38" s="2"/>
      <x:c r="N38" s="2"/>
      <x:c r="O38" s="2"/>
      <x:c r="P38" s="2"/>
      <x:c r="Q38" s="2"/>
      <x:c r="R38" s="2"/>
      <x:c r="S38" s="2"/>
      <x:c r="T38" s="2"/>
      <x:c r="U38" s="2"/>
    </x:row>
    <x:row r="39" ht="21" customHeight="1">
      <x:c r="A39" s="2"/>
      <x:c r="B39" s="2"/>
      <x:c r="C39" s="2"/>
      <x:c r="D39" s="2"/>
      <x:c r="E39" s="2"/>
      <x:c r="F39" s="2"/>
      <x:c r="G39" s="2"/>
      <x:c r="H39" s="2"/>
      <x:c r="I39" s="2"/>
      <x:c r="J39" s="2"/>
      <x:c r="K39" s="2"/>
      <x:c r="L39" s="2"/>
      <x:c r="M39" s="2"/>
      <x:c r="N39" s="2"/>
      <x:c r="O39" s="2"/>
      <x:c r="P39" s="2"/>
      <x:c r="Q39" s="2"/>
      <x:c r="R39" s="2"/>
      <x:c r="S39" s="2"/>
      <x:c r="T39" s="2"/>
      <x:c r="U39" s="2"/>
    </x:row>
    <x:row r="40" ht="21" customHeight="1">
      <x:c r="A40" s="2"/>
      <x:c r="B40" s="2"/>
      <x:c r="C40" s="2"/>
      <x:c r="D40" s="2"/>
      <x:c r="E40" s="2"/>
      <x:c r="F40" s="2"/>
      <x:c r="G40" s="2"/>
      <x:c r="H40" s="2"/>
      <x:c r="I40" s="2"/>
      <x:c r="J40" s="2"/>
      <x:c r="K40" s="2"/>
      <x:c r="L40" s="2"/>
      <x:c r="M40" s="2"/>
      <x:c r="N40" s="2"/>
      <x:c r="O40" s="2"/>
      <x:c r="P40" s="2"/>
      <x:c r="Q40" s="2"/>
      <x:c r="R40" s="2"/>
      <x:c r="S40" s="2"/>
      <x:c r="T40" s="2"/>
      <x:c r="U40" s="2"/>
    </x:row>
    <x:row r="41" ht="21" customHeight="1">
      <x:c r="A41" s="2"/>
      <x:c r="B41" s="2"/>
      <x:c r="C41" s="2"/>
      <x:c r="D41" s="2"/>
      <x:c r="E41" s="2"/>
      <x:c r="F41" s="2"/>
      <x:c r="G41" s="2"/>
      <x:c r="H41" s="2"/>
      <x:c r="I41" s="2"/>
      <x:c r="J41" s="2"/>
      <x:c r="K41" s="2"/>
      <x:c r="L41" s="2"/>
      <x:c r="M41" s="2"/>
      <x:c r="N41" s="2"/>
      <x:c r="O41" s="2"/>
      <x:c r="P41" s="2"/>
      <x:c r="Q41" s="2"/>
      <x:c r="R41" s="2"/>
      <x:c r="S41" s="2"/>
      <x:c r="T41" s="2"/>
      <x:c r="U41" s="2"/>
    </x:row>
    <x:row r="42" ht="21" customHeight="1">
      <x:c r="A42" s="2"/>
      <x:c r="B42" s="2"/>
      <x:c r="C42" s="2"/>
      <x:c r="D42" s="2"/>
      <x:c r="E42" s="2"/>
      <x:c r="F42" s="2"/>
      <x:c r="G42" s="2"/>
      <x:c r="H42" s="2"/>
      <x:c r="I42" s="2"/>
      <x:c r="J42" s="2"/>
      <x:c r="K42" s="2"/>
      <x:c r="L42" s="2"/>
      <x:c r="M42" s="2"/>
      <x:c r="N42" s="2"/>
      <x:c r="O42" s="2"/>
      <x:c r="P42" s="2"/>
      <x:c r="Q42" s="2"/>
      <x:c r="R42" s="2"/>
      <x:c r="S42" s="2"/>
      <x:c r="T42" s="2"/>
      <x:c r="U42" s="2"/>
    </x:row>
    <x:row r="43" ht="21" customHeight="1">
      <x:c r="A43" s="2"/>
      <x:c r="B43" s="2"/>
      <x:c r="C43" s="2"/>
      <x:c r="D43" s="2"/>
      <x:c r="E43" s="2"/>
      <x:c r="F43" s="2"/>
      <x:c r="G43" s="2"/>
      <x:c r="H43" s="2"/>
      <x:c r="I43" s="2"/>
      <x:c r="J43" s="2"/>
      <x:c r="K43" s="2"/>
      <x:c r="L43" s="2"/>
      <x:c r="M43" s="2"/>
      <x:c r="N43" s="2"/>
      <x:c r="O43" s="2"/>
      <x:c r="P43" s="2"/>
      <x:c r="Q43" s="2"/>
      <x:c r="R43" s="2"/>
      <x:c r="S43" s="2"/>
      <x:c r="T43" s="2"/>
      <x:c r="U43" s="2"/>
    </x:row>
    <x:row r="44" ht="21" customHeight="1">
      <x:c r="A44" s="2"/>
      <x:c r="B44" s="2"/>
      <x:c r="C44" s="2"/>
      <x:c r="D44" s="2"/>
      <x:c r="E44" s="2"/>
      <x:c r="F44" s="2"/>
      <x:c r="G44" s="2"/>
      <x:c r="H44" s="2"/>
      <x:c r="I44" s="2"/>
      <x:c r="J44" s="2"/>
      <x:c r="K44" s="2"/>
      <x:c r="L44" s="2"/>
      <x:c r="M44" s="2"/>
      <x:c r="N44" s="2"/>
      <x:c r="O44" s="2"/>
      <x:c r="P44" s="2"/>
      <x:c r="Q44" s="2"/>
      <x:c r="R44" s="2"/>
      <x:c r="S44" s="2"/>
      <x:c r="T44" s="2"/>
      <x:c r="U44" s="2"/>
    </x:row>
    <x:row r="45" ht="21" customHeight="1">
      <x:c r="A45" s="2"/>
      <x:c r="B45" s="2"/>
      <x:c r="C45" s="2"/>
      <x:c r="D45" s="2"/>
      <x:c r="E45" s="2"/>
      <x:c r="F45" s="2"/>
      <x:c r="G45" s="2"/>
      <x:c r="H45" s="2"/>
      <x:c r="I45" s="2"/>
      <x:c r="J45" s="2"/>
      <x:c r="K45" s="2"/>
      <x:c r="L45" s="2"/>
      <x:c r="M45" s="2"/>
      <x:c r="N45" s="2"/>
      <x:c r="O45" s="2"/>
      <x:c r="P45" s="2"/>
      <x:c r="Q45" s="2"/>
      <x:c r="R45" s="2"/>
      <x:c r="S45" s="2"/>
      <x:c r="T45" s="2"/>
      <x:c r="U45" s="2"/>
    </x:row>
    <x:row r="46" ht="21" customHeight="1">
      <x:c r="A46" s="2"/>
      <x:c r="B46" s="2"/>
      <x:c r="C46" s="2"/>
      <x:c r="D46" s="2"/>
      <x:c r="E46" s="2"/>
      <x:c r="F46" s="2"/>
      <x:c r="G46" s="2"/>
      <x:c r="H46" s="2"/>
      <x:c r="I46" s="2"/>
      <x:c r="J46" s="2"/>
      <x:c r="K46" s="2"/>
      <x:c r="L46" s="2"/>
      <x:c r="M46" s="2"/>
      <x:c r="N46" s="2"/>
      <x:c r="O46" s="2"/>
      <x:c r="P46" s="2"/>
      <x:c r="Q46" s="2"/>
      <x:c r="R46" s="2"/>
      <x:c r="S46" s="2"/>
      <x:c r="T46" s="2"/>
      <x:c r="U46" s="2"/>
    </x:row>
    <x:row r="47" ht="21" customHeight="1">
      <x:c r="A47" s="2"/>
      <x:c r="B47" s="2"/>
      <x:c r="C47" s="2"/>
      <x:c r="D47" s="2"/>
      <x:c r="E47" s="2"/>
      <x:c r="F47" s="2"/>
      <x:c r="G47" s="2"/>
      <x:c r="H47" s="2"/>
      <x:c r="I47" s="2"/>
      <x:c r="J47" s="2"/>
      <x:c r="K47" s="2"/>
      <x:c r="L47" s="2"/>
      <x:c r="M47" s="2"/>
      <x:c r="N47" s="2"/>
      <x:c r="O47" s="2"/>
      <x:c r="P47" s="2"/>
      <x:c r="Q47" s="2"/>
      <x:c r="R47" s="2"/>
      <x:c r="S47" s="2"/>
      <x:c r="T47" s="2"/>
      <x:c r="U47" s="2"/>
    </x:row>
    <x:row r="48" ht="21" customHeight="1">
      <x:c r="A48" s="2"/>
      <x:c r="B48" s="2"/>
      <x:c r="C48" s="2"/>
      <x:c r="D48" s="2"/>
      <x:c r="E48" s="2"/>
      <x:c r="F48" s="2"/>
      <x:c r="G48" s="2"/>
      <x:c r="H48" s="2"/>
      <x:c r="I48" s="2"/>
      <x:c r="J48" s="2"/>
      <x:c r="K48" s="2"/>
      <x:c r="L48" s="2"/>
      <x:c r="M48" s="2"/>
      <x:c r="N48" s="2"/>
      <x:c r="O48" s="2"/>
      <x:c r="P48" s="2"/>
      <x:c r="Q48" s="2"/>
      <x:c r="R48" s="2"/>
      <x:c r="S48" s="2"/>
      <x:c r="T48" s="2"/>
      <x:c r="U48" s="2"/>
    </x:row>
    <x:row r="49" ht="21" customHeight="1">
      <x:c r="A49" s="2"/>
      <x:c r="B49" s="2"/>
      <x:c r="C49" s="2"/>
      <x:c r="D49" s="2"/>
      <x:c r="E49" s="2"/>
      <x:c r="F49" s="2"/>
      <x:c r="G49" s="2"/>
      <x:c r="H49" s="2"/>
      <x:c r="I49" s="2"/>
      <x:c r="J49" s="2"/>
      <x:c r="K49" s="2"/>
      <x:c r="L49" s="2"/>
      <x:c r="M49" s="2"/>
      <x:c r="N49" s="2"/>
      <x:c r="O49" s="2"/>
      <x:c r="P49" s="2"/>
      <x:c r="Q49" s="2"/>
      <x:c r="R49" s="2"/>
      <x:c r="S49" s="2"/>
      <x:c r="T49" s="2"/>
      <x:c r="U49" s="2"/>
    </x:row>
    <x:row r="50" ht="21" customHeight="1">
      <x:c r="A50" s="2"/>
      <x:c r="B50" s="2"/>
      <x:c r="C50" s="2"/>
      <x:c r="D50" s="2"/>
      <x:c r="E50" s="2"/>
      <x:c r="F50" s="2"/>
      <x:c r="G50" s="2"/>
      <x:c r="H50" s="2"/>
      <x:c r="I50" s="2"/>
      <x:c r="J50" s="2"/>
      <x:c r="K50" s="2"/>
      <x:c r="L50" s="2"/>
      <x:c r="M50" s="2"/>
      <x:c r="N50" s="2"/>
      <x:c r="O50" s="2"/>
      <x:c r="P50" s="2"/>
      <x:c r="Q50" s="2"/>
      <x:c r="R50" s="2"/>
      <x:c r="S50" s="2"/>
      <x:c r="T50" s="2"/>
      <x:c r="U50" s="2"/>
    </x:row>
    <x:row r="51" ht="21" customHeight="1">
      <x:c r="A51" s="2"/>
      <x:c r="B51" s="2"/>
      <x:c r="C51" s="2"/>
      <x:c r="D51" s="2"/>
      <x:c r="E51" s="2"/>
      <x:c r="F51" s="2"/>
      <x:c r="G51" s="2"/>
      <x:c r="H51" s="2"/>
      <x:c r="I51" s="2"/>
      <x:c r="J51" s="2"/>
      <x:c r="K51" s="2"/>
      <x:c r="L51" s="2"/>
      <x:c r="M51" s="2"/>
      <x:c r="N51" s="2"/>
      <x:c r="O51" s="2"/>
      <x:c r="P51" s="2"/>
      <x:c r="Q51" s="2"/>
      <x:c r="R51" s="2"/>
      <x:c r="S51" s="2"/>
      <x:c r="T51" s="2"/>
      <x:c r="U51" s="2"/>
    </x:row>
    <x:row r="52" ht="21" customHeight="1">
      <x:c r="A52" s="2"/>
      <x:c r="B52" s="2"/>
      <x:c r="C52" s="2"/>
      <x:c r="D52" s="2"/>
      <x:c r="E52" s="2"/>
      <x:c r="F52" s="2"/>
      <x:c r="G52" s="2"/>
      <x:c r="H52" s="2"/>
      <x:c r="I52" s="2"/>
      <x:c r="J52" s="2"/>
      <x:c r="K52" s="2"/>
      <x:c r="L52" s="2"/>
      <x:c r="M52" s="2"/>
      <x:c r="N52" s="2"/>
      <x:c r="O52" s="2"/>
      <x:c r="P52" s="2"/>
      <x:c r="Q52" s="2"/>
      <x:c r="R52" s="2"/>
      <x:c r="S52" s="2"/>
      <x:c r="T52" s="2"/>
      <x:c r="U52" s="2"/>
    </x:row>
    <x:row r="53" ht="21" customHeight="1">
      <x:c r="A53" s="2"/>
      <x:c r="B53" s="2"/>
      <x:c r="C53" s="2"/>
      <x:c r="D53" s="2"/>
      <x:c r="E53" s="2"/>
      <x:c r="F53" s="2"/>
      <x:c r="G53" s="2"/>
      <x:c r="H53" s="2"/>
      <x:c r="I53" s="2"/>
      <x:c r="J53" s="2"/>
      <x:c r="K53" s="2"/>
      <x:c r="L53" s="2"/>
      <x:c r="M53" s="2"/>
      <x:c r="N53" s="2"/>
      <x:c r="O53" s="2"/>
      <x:c r="P53" s="2"/>
      <x:c r="Q53" s="2"/>
      <x:c r="R53" s="2"/>
      <x:c r="S53" s="2"/>
      <x:c r="T53" s="2"/>
      <x:c r="U53" s="2"/>
    </x:row>
    <x:row r="54" ht="21" customHeight="1">
      <x:c r="A54" s="2"/>
      <x:c r="B54" s="2"/>
      <x:c r="C54" s="2"/>
      <x:c r="D54" s="2"/>
      <x:c r="E54" s="2"/>
      <x:c r="F54" s="2"/>
      <x:c r="G54" s="2"/>
      <x:c r="H54" s="2"/>
      <x:c r="I54" s="2"/>
      <x:c r="J54" s="2"/>
      <x:c r="K54" s="2"/>
      <x:c r="L54" s="2"/>
      <x:c r="M54" s="2"/>
      <x:c r="N54" s="2"/>
      <x:c r="O54" s="2"/>
      <x:c r="P54" s="2"/>
      <x:c r="Q54" s="2"/>
      <x:c r="R54" s="2"/>
      <x:c r="S54" s="2"/>
      <x:c r="T54" s="2"/>
      <x:c r="U54" s="2"/>
    </x:row>
    <x:row r="55" ht="21" customHeight="1">
      <x:c r="A55" s="2"/>
      <x:c r="B55" s="2"/>
      <x:c r="C55" s="2"/>
      <x:c r="D55" s="2"/>
      <x:c r="E55" s="2"/>
      <x:c r="F55" s="2"/>
      <x:c r="G55" s="2"/>
      <x:c r="H55" s="2"/>
      <x:c r="I55" s="2"/>
      <x:c r="J55" s="2"/>
      <x:c r="K55" s="2"/>
      <x:c r="L55" s="2"/>
      <x:c r="M55" s="2"/>
      <x:c r="N55" s="2"/>
      <x:c r="O55" s="2"/>
      <x:c r="P55" s="2"/>
      <x:c r="Q55" s="2"/>
      <x:c r="R55" s="2"/>
      <x:c r="S55" s="2"/>
      <x:c r="T55" s="2"/>
      <x:c r="U55" s="2"/>
    </x:row>
    <x:row r="56" ht="21" customHeight="1">
      <x:c r="A56" s="2"/>
      <x:c r="B56" s="2"/>
      <x:c r="C56" s="2"/>
      <x:c r="D56" s="2"/>
      <x:c r="E56" s="2"/>
      <x:c r="F56" s="2"/>
      <x:c r="G56" s="2"/>
      <x:c r="H56" s="2"/>
      <x:c r="I56" s="2"/>
      <x:c r="J56" s="2"/>
      <x:c r="K56" s="2"/>
      <x:c r="L56" s="2"/>
      <x:c r="M56" s="2"/>
      <x:c r="N56" s="2"/>
      <x:c r="O56" s="2"/>
      <x:c r="P56" s="2"/>
      <x:c r="Q56" s="2"/>
      <x:c r="R56" s="2"/>
      <x:c r="S56" s="2"/>
      <x:c r="T56" s="2"/>
      <x:c r="U56" s="2"/>
    </x:row>
    <x:row r="57" ht="21" customHeight="1">
      <x:c r="A57" s="2"/>
      <x:c r="B57" s="2"/>
      <x:c r="C57" s="2"/>
      <x:c r="D57" s="2"/>
      <x:c r="E57" s="2"/>
      <x:c r="F57" s="2"/>
      <x:c r="G57" s="2"/>
      <x:c r="H57" s="2"/>
      <x:c r="I57" s="2"/>
      <x:c r="J57" s="2"/>
      <x:c r="K57" s="2"/>
      <x:c r="L57" s="2"/>
      <x:c r="M57" s="2"/>
      <x:c r="N57" s="2"/>
      <x:c r="O57" s="2"/>
      <x:c r="P57" s="2"/>
      <x:c r="Q57" s="2"/>
      <x:c r="R57" s="2"/>
      <x:c r="S57" s="2"/>
      <x:c r="T57" s="2"/>
      <x:c r="U57" s="2"/>
    </x:row>
    <x:row r="58" ht="21" customHeight="1">
      <x:c r="A58" s="2"/>
      <x:c r="B58" s="2"/>
      <x:c r="C58" s="2"/>
      <x:c r="D58" s="2"/>
      <x:c r="E58" s="2"/>
      <x:c r="F58" s="2"/>
      <x:c r="G58" s="2"/>
      <x:c r="H58" s="2"/>
      <x:c r="I58" s="2"/>
      <x:c r="J58" s="2"/>
      <x:c r="K58" s="2"/>
      <x:c r="L58" s="2"/>
      <x:c r="M58" s="2"/>
      <x:c r="N58" s="2"/>
      <x:c r="O58" s="2"/>
      <x:c r="P58" s="2"/>
      <x:c r="Q58" s="2"/>
      <x:c r="R58" s="2"/>
      <x:c r="S58" s="2"/>
      <x:c r="T58" s="2"/>
      <x:c r="U58" s="2"/>
    </x:row>
    <x:row r="59" ht="21" customHeight="1">
      <x:c r="A59" s="2"/>
      <x:c r="B59" s="2"/>
      <x:c r="C59" s="2"/>
      <x:c r="D59" s="2"/>
      <x:c r="E59" s="2"/>
      <x:c r="F59" s="2"/>
      <x:c r="G59" s="2"/>
      <x:c r="H59" s="2"/>
      <x:c r="I59" s="2"/>
      <x:c r="J59" s="2"/>
      <x:c r="K59" s="2"/>
      <x:c r="L59" s="2"/>
      <x:c r="M59" s="2"/>
      <x:c r="N59" s="2"/>
      <x:c r="O59" s="2"/>
      <x:c r="P59" s="2"/>
      <x:c r="Q59" s="2"/>
      <x:c r="R59" s="2"/>
      <x:c r="S59" s="2"/>
      <x:c r="T59" s="2"/>
      <x:c r="U59" s="2"/>
    </x:row>
    <x:row r="60" ht="21" customHeight="1">
      <x:c r="A60" s="2"/>
      <x:c r="B60" s="2"/>
      <x:c r="C60" s="2"/>
      <x:c r="D60" s="2"/>
      <x:c r="E60" s="2"/>
      <x:c r="F60" s="2"/>
      <x:c r="G60" s="2"/>
      <x:c r="H60" s="2"/>
      <x:c r="I60" s="2"/>
      <x:c r="J60" s="2"/>
      <x:c r="K60" s="2"/>
      <x:c r="L60" s="2"/>
      <x:c r="M60" s="2"/>
      <x:c r="N60" s="2"/>
      <x:c r="O60" s="2"/>
      <x:c r="P60" s="2"/>
      <x:c r="Q60" s="2"/>
      <x:c r="R60" s="2"/>
      <x:c r="S60" s="2"/>
      <x:c r="T60" s="2"/>
      <x:c r="U60" s="2"/>
    </x:row>
    <x:row r="61" ht="21" customHeight="1">
      <x:c r="A61" s="2"/>
      <x:c r="B61" s="2"/>
      <x:c r="C61" s="2"/>
      <x:c r="D61" s="2"/>
      <x:c r="E61" s="2"/>
      <x:c r="F61" s="2"/>
      <x:c r="G61" s="2"/>
      <x:c r="H61" s="2"/>
      <x:c r="I61" s="2"/>
      <x:c r="J61" s="2"/>
      <x:c r="K61" s="2"/>
      <x:c r="L61" s="2"/>
      <x:c r="M61" s="2"/>
      <x:c r="N61" s="2"/>
      <x:c r="O61" s="2"/>
      <x:c r="P61" s="2"/>
      <x:c r="Q61" s="2"/>
      <x:c r="R61" s="2"/>
      <x:c r="S61" s="2"/>
      <x:c r="T61" s="2"/>
      <x:c r="U61" s="2"/>
    </x:row>
    <x:row r="62" ht="21" customHeight="1">
      <x:c r="A62" s="2"/>
      <x:c r="B62" s="2"/>
      <x:c r="C62" s="2"/>
      <x:c r="D62" s="2"/>
      <x:c r="E62" s="2"/>
      <x:c r="F62" s="2"/>
      <x:c r="G62" s="2"/>
      <x:c r="H62" s="2"/>
      <x:c r="I62" s="2"/>
      <x:c r="J62" s="2"/>
      <x:c r="K62" s="2"/>
      <x:c r="L62" s="2"/>
      <x:c r="M62" s="2"/>
      <x:c r="N62" s="2"/>
      <x:c r="O62" s="2"/>
      <x:c r="P62" s="2"/>
      <x:c r="Q62" s="2"/>
      <x:c r="R62" s="2"/>
      <x:c r="S62" s="2"/>
      <x:c r="T62" s="2"/>
      <x:c r="U62" s="2"/>
    </x:row>
    <x:row r="63" ht="21" customHeight="1">
      <x:c r="A63" s="2"/>
      <x:c r="B63" s="2"/>
      <x:c r="C63" s="2"/>
      <x:c r="D63" s="2"/>
      <x:c r="E63" s="2"/>
      <x:c r="F63" s="2"/>
      <x:c r="G63" s="2"/>
      <x:c r="H63" s="2"/>
      <x:c r="I63" s="2"/>
      <x:c r="J63" s="2"/>
      <x:c r="K63" s="2"/>
      <x:c r="L63" s="2"/>
      <x:c r="M63" s="2"/>
      <x:c r="N63" s="2"/>
      <x:c r="O63" s="2"/>
      <x:c r="P63" s="2"/>
      <x:c r="Q63" s="2"/>
      <x:c r="R63" s="2"/>
      <x:c r="S63" s="2"/>
      <x:c r="T63" s="2"/>
      <x:c r="U63" s="2"/>
    </x:row>
    <x:row r="64" ht="21" customHeight="1">
      <x:c r="A64" s="2"/>
      <x:c r="B64" s="2"/>
      <x:c r="C64" s="2"/>
      <x:c r="D64" s="2"/>
      <x:c r="E64" s="2"/>
      <x:c r="F64" s="2"/>
      <x:c r="G64" s="2"/>
      <x:c r="H64" s="2"/>
      <x:c r="I64" s="2"/>
      <x:c r="J64" s="2"/>
      <x:c r="K64" s="2"/>
      <x:c r="L64" s="2"/>
      <x:c r="M64" s="2"/>
      <x:c r="N64" s="2"/>
      <x:c r="O64" s="2"/>
      <x:c r="P64" s="2"/>
      <x:c r="Q64" s="2"/>
      <x:c r="R64" s="2"/>
      <x:c r="S64" s="2"/>
      <x:c r="T64" s="2"/>
      <x:c r="U64" s="2"/>
    </x:row>
    <x:row r="65" ht="21" customHeight="1">
      <x:c r="A65" s="2"/>
      <x:c r="B65" s="2"/>
      <x:c r="C65" s="2"/>
      <x:c r="D65" s="2"/>
      <x:c r="E65" s="2"/>
      <x:c r="F65" s="2"/>
      <x:c r="G65" s="2"/>
      <x:c r="H65" s="2"/>
      <x:c r="I65" s="2"/>
      <x:c r="J65" s="2"/>
      <x:c r="K65" s="2"/>
      <x:c r="L65" s="2"/>
      <x:c r="M65" s="2"/>
      <x:c r="N65" s="2"/>
      <x:c r="O65" s="2"/>
      <x:c r="P65" s="2"/>
      <x:c r="Q65" s="2"/>
      <x:c r="R65" s="2"/>
      <x:c r="S65" s="2"/>
      <x:c r="T65" s="2"/>
      <x:c r="U65" s="2"/>
    </x:row>
    <x:row r="66" ht="21" customHeight="1">
      <x:c r="A66" s="2"/>
      <x:c r="B66" s="2"/>
      <x:c r="C66" s="2"/>
      <x:c r="D66" s="2"/>
      <x:c r="E66" s="2"/>
      <x:c r="F66" s="2"/>
      <x:c r="G66" s="2"/>
      <x:c r="H66" s="2"/>
      <x:c r="I66" s="2"/>
      <x:c r="J66" s="2"/>
      <x:c r="K66" s="2"/>
      <x:c r="L66" s="2"/>
      <x:c r="M66" s="2"/>
      <x:c r="N66" s="2"/>
      <x:c r="O66" s="2"/>
      <x:c r="P66" s="2"/>
      <x:c r="Q66" s="2"/>
      <x:c r="R66" s="2"/>
      <x:c r="S66" s="2"/>
      <x:c r="T66" s="2"/>
      <x:c r="U66" s="2"/>
    </x:row>
    <x:row r="67" ht="21" customHeight="1">
      <x:c r="A67" s="2"/>
      <x:c r="B67" s="2"/>
      <x:c r="C67" s="2"/>
      <x:c r="D67" s="2"/>
      <x:c r="E67" s="2"/>
      <x:c r="F67" s="2"/>
      <x:c r="G67" s="2"/>
      <x:c r="H67" s="2"/>
      <x:c r="I67" s="2"/>
      <x:c r="J67" s="2"/>
      <x:c r="K67" s="2"/>
      <x:c r="L67" s="2"/>
      <x:c r="M67" s="2"/>
      <x:c r="N67" s="2"/>
      <x:c r="O67" s="2"/>
      <x:c r="P67" s="2"/>
      <x:c r="Q67" s="2"/>
      <x:c r="R67" s="2"/>
      <x:c r="S67" s="2"/>
      <x:c r="T67" s="2"/>
      <x:c r="U67" s="2"/>
    </x:row>
    <x:row r="68" ht="21" customHeight="1">
      <x:c r="A68" s="2"/>
      <x:c r="B68" s="2"/>
      <x:c r="C68" s="2"/>
      <x:c r="D68" s="2"/>
      <x:c r="E68" s="2"/>
      <x:c r="F68" s="2"/>
      <x:c r="G68" s="2"/>
      <x:c r="H68" s="2"/>
      <x:c r="I68" s="2"/>
      <x:c r="J68" s="2"/>
      <x:c r="K68" s="2"/>
      <x:c r="L68" s="2"/>
      <x:c r="M68" s="2"/>
      <x:c r="N68" s="2"/>
      <x:c r="O68" s="2"/>
      <x:c r="P68" s="2"/>
      <x:c r="Q68" s="2"/>
      <x:c r="R68" s="2"/>
      <x:c r="S68" s="2"/>
      <x:c r="T68" s="2"/>
      <x:c r="U68" s="2"/>
    </x:row>
    <x:row r="69" ht="21" customHeight="1">
      <x:c r="A69" s="2"/>
      <x:c r="B69" s="2"/>
      <x:c r="C69" s="2"/>
      <x:c r="D69" s="2"/>
      <x:c r="E69" s="2"/>
      <x:c r="F69" s="2"/>
      <x:c r="G69" s="2"/>
      <x:c r="H69" s="2"/>
      <x:c r="I69" s="2"/>
      <x:c r="J69" s="2"/>
      <x:c r="K69" s="2"/>
      <x:c r="L69" s="2"/>
      <x:c r="M69" s="2"/>
      <x:c r="N69" s="2"/>
      <x:c r="O69" s="2"/>
      <x:c r="P69" s="2"/>
      <x:c r="Q69" s="2"/>
      <x:c r="R69" s="2"/>
      <x:c r="S69" s="2"/>
      <x:c r="T69" s="2"/>
      <x:c r="U69" s="2"/>
    </x:row>
    <x:row r="70" ht="21" customHeight="1">
      <x:c r="A70" s="2"/>
      <x:c r="B70" s="2"/>
      <x:c r="C70" s="2"/>
      <x:c r="D70" s="2"/>
      <x:c r="E70" s="2"/>
      <x:c r="F70" s="2"/>
      <x:c r="G70" s="2"/>
      <x:c r="H70" s="2"/>
      <x:c r="I70" s="2"/>
      <x:c r="J70" s="2"/>
      <x:c r="K70" s="2"/>
      <x:c r="L70" s="2"/>
      <x:c r="M70" s="2"/>
      <x:c r="N70" s="2"/>
      <x:c r="O70" s="2"/>
      <x:c r="P70" s="2"/>
      <x:c r="Q70" s="2"/>
      <x:c r="R70" s="2"/>
      <x:c r="S70" s="2"/>
      <x:c r="T70" s="2"/>
      <x:c r="U70" s="2"/>
    </x:row>
    <x:row r="71" ht="21" customHeight="1">
      <x:c r="A71" s="2"/>
      <x:c r="B71" s="2"/>
      <x:c r="C71" s="2"/>
      <x:c r="D71" s="2"/>
      <x:c r="E71" s="2"/>
      <x:c r="F71" s="2"/>
      <x:c r="G71" s="2"/>
      <x:c r="H71" s="2"/>
      <x:c r="I71" s="2"/>
      <x:c r="J71" s="2"/>
      <x:c r="K71" s="2"/>
      <x:c r="L71" s="2"/>
      <x:c r="M71" s="2"/>
      <x:c r="N71" s="2"/>
      <x:c r="O71" s="2"/>
      <x:c r="P71" s="2"/>
      <x:c r="Q71" s="2"/>
      <x:c r="R71" s="2"/>
      <x:c r="S71" s="2"/>
      <x:c r="T71" s="2"/>
      <x:c r="U71" s="2"/>
    </x:row>
    <x:row r="72" ht="21" customHeight="1">
      <x:c r="A72" s="2"/>
      <x:c r="B72" s="2"/>
      <x:c r="C72" s="2"/>
      <x:c r="D72" s="2"/>
      <x:c r="E72" s="2"/>
      <x:c r="F72" s="2"/>
      <x:c r="G72" s="2"/>
      <x:c r="H72" s="2"/>
      <x:c r="I72" s="2"/>
      <x:c r="J72" s="2"/>
      <x:c r="K72" s="2"/>
      <x:c r="L72" s="2"/>
      <x:c r="M72" s="2"/>
      <x:c r="N72" s="2"/>
      <x:c r="O72" s="2"/>
      <x:c r="P72" s="2"/>
      <x:c r="Q72" s="2"/>
      <x:c r="R72" s="2"/>
      <x:c r="S72" s="2"/>
      <x:c r="T72" s="2"/>
      <x:c r="U72" s="2"/>
    </x:row>
    <x:row r="73" ht="21" customHeight="1">
      <x:c r="A73" s="2"/>
      <x:c r="B73" s="2"/>
      <x:c r="C73" s="2"/>
      <x:c r="D73" s="2"/>
      <x:c r="E73" s="2"/>
      <x:c r="F73" s="2"/>
      <x:c r="G73" s="2"/>
      <x:c r="H73" s="2"/>
      <x:c r="I73" s="2"/>
      <x:c r="J73" s="2"/>
      <x:c r="K73" s="2"/>
      <x:c r="L73" s="2"/>
      <x:c r="M73" s="2"/>
      <x:c r="N73" s="2"/>
      <x:c r="O73" s="2"/>
      <x:c r="P73" s="2"/>
      <x:c r="Q73" s="2"/>
      <x:c r="R73" s="2"/>
      <x:c r="S73" s="2"/>
      <x:c r="T73" s="2"/>
      <x:c r="U73" s="2"/>
    </x:row>
    <x:row r="74" ht="21" customHeight="1">
      <x:c r="A74" s="2"/>
      <x:c r="B74" s="2"/>
      <x:c r="C74" s="2"/>
      <x:c r="D74" s="2"/>
      <x:c r="E74" s="2"/>
      <x:c r="F74" s="2"/>
      <x:c r="G74" s="2"/>
      <x:c r="H74" s="2"/>
      <x:c r="I74" s="2"/>
      <x:c r="J74" s="2"/>
      <x:c r="K74" s="2"/>
      <x:c r="L74" s="2"/>
      <x:c r="M74" s="2"/>
      <x:c r="N74" s="2"/>
      <x:c r="O74" s="2"/>
      <x:c r="P74" s="2"/>
      <x:c r="Q74" s="2"/>
      <x:c r="R74" s="2"/>
      <x:c r="S74" s="2"/>
      <x:c r="T74" s="2"/>
      <x:c r="U74" s="2"/>
    </x:row>
    <x:row r="75" ht="21" customHeight="1">
      <x:c r="A75" s="2"/>
      <x:c r="B75" s="2"/>
      <x:c r="C75" s="2"/>
      <x:c r="D75" s="2"/>
      <x:c r="E75" s="2"/>
      <x:c r="F75" s="2"/>
      <x:c r="G75" s="2"/>
      <x:c r="H75" s="2"/>
      <x:c r="I75" s="2"/>
      <x:c r="J75" s="2"/>
      <x:c r="K75" s="2"/>
      <x:c r="L75" s="2"/>
      <x:c r="M75" s="2"/>
      <x:c r="N75" s="2"/>
      <x:c r="O75" s="2"/>
      <x:c r="P75" s="2"/>
      <x:c r="Q75" s="2"/>
      <x:c r="R75" s="2"/>
      <x:c r="S75" s="2"/>
      <x:c r="T75" s="2"/>
      <x:c r="U75" s="2"/>
    </x:row>
    <x:row r="76" ht="21" customHeight="1">
      <x:c r="A76" s="2"/>
      <x:c r="B76" s="2"/>
      <x:c r="C76" s="2"/>
      <x:c r="D76" s="2"/>
      <x:c r="E76" s="2"/>
      <x:c r="F76" s="2"/>
      <x:c r="G76" s="2"/>
      <x:c r="H76" s="2"/>
      <x:c r="I76" s="2"/>
      <x:c r="J76" s="2"/>
      <x:c r="K76" s="2"/>
      <x:c r="L76" s="2"/>
      <x:c r="M76" s="2"/>
      <x:c r="N76" s="2"/>
      <x:c r="O76" s="2"/>
      <x:c r="P76" s="2"/>
      <x:c r="Q76" s="2"/>
      <x:c r="R76" s="2"/>
      <x:c r="S76" s="2"/>
      <x:c r="T76" s="2"/>
      <x:c r="U76" s="2"/>
    </x:row>
  </x:sheetData>
  <x:pageMargins left="0.7" right="0.7" top="0.75" bottom="0.75" header="0.3" footer="0.3"/>
  <x:drawing xmlns:r="http://schemas.openxmlformats.org/officeDocument/2006/relationships" r:id="R81b86b4799c44487"/>
</x:worksheet>
</file>
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comments2.xml" ContentType="application/vnd.openxmlformats-officedocument.spreadsheetml.comments+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comments3.xml" ContentType="application/vnd.openxmlformats-officedocument.spreadsheetml.comments+xml"/>
  <Override PartName="/xl/drawings/drawing3.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worksheets/sheet4.xml" ContentType="application/vnd.openxmlformats-officedocument.spreadsheetml.worksheet+xml"/>
  <Override PartName="/xl/comments4.xml" ContentType="application/vnd.openxmlformats-officedocument.spreadsheetml.comments+xml"/>
  <Override PartName="/xl/drawings/drawing4.xml" ContentType="application/vnd.openxmlformats-officedocument.drawing+xml"/>
  <Override PartName="/xl/drawings/charts/chart7.xml" ContentType="application/vnd.openxmlformats-officedocument.drawingml.chart+xml"/>
  <Override PartName="/xl/drawings/charts/chart8.xml" ContentType="application/vnd.openxmlformats-officedocument.drawingml.chart+xml"/>
  <Override PartName="/xl/worksheets/sheet5.xml" ContentType="application/vnd.openxmlformats-officedocument.spreadsheetml.worksheet+xml"/>
  <Override PartName="/xl/comments5.xml" ContentType="application/vnd.openxmlformats-officedocument.spreadsheetml.comments+xml"/>
  <Override PartName="/xl/drawings/drawing5.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worksheets/sheet6.xml" ContentType="application/vnd.openxmlformats-officedocument.spreadsheetml.worksheet+xml"/>
  <Override PartName="/xl/comments6.xml" ContentType="application/vnd.openxmlformats-officedocument.spreadsheetml.comments+xml"/>
  <Override PartName="/xl/drawings/drawing6.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worksheets/sheet7.xml" ContentType="application/vnd.openxmlformats-officedocument.spreadsheetml.worksheet+xml"/>
  <Override PartName="/xl/comments7.xml" ContentType="application/vnd.openxmlformats-officedocument.spreadsheetml.comments+xml"/>
  <Override PartName="/xl/drawings/drawing7.xml" ContentType="application/vnd.openxmlformats-officedocument.drawing+xml"/>
  <Override PartName="/xl/drawings/charts/chart13.xml" ContentType="application/vnd.openxmlformats-officedocument.drawingml.chart+xml"/>
  <Override PartName="/xl/drawings/charts/chart14.xml" ContentType="application/vnd.openxmlformats-officedocument.drawingml.chart+xml"/>
  <Override PartName="/xl/worksheets/sheet8.xml" ContentType="application/vnd.openxmlformats-officedocument.spreadsheetml.worksheet+xml"/>
  <Override PartName="/xl/comments8.xml" ContentType="application/vnd.openxmlformats-officedocument.spreadsheetml.comments+xml"/>
  <Override PartName="/xl/drawings/drawing8.xml" ContentType="application/vnd.openxmlformats-officedocument.drawing+xml"/>
  <Override PartName="/xl/drawings/charts/chart15.xml" ContentType="application/vnd.openxmlformats-officedocument.drawingml.chart+xml"/>
  <Override PartName="/xl/drawings/charts/chart16.xml" ContentType="application/vnd.openxmlformats-officedocument.drawingml.chart+xml"/>
  <Override PartName="/xl/worksheets/sheet9.xml" ContentType="application/vnd.openxmlformats-officedocument.spreadsheetml.worksheet+xml"/>
  <Override PartName="/xl/comments9.xml" ContentType="application/vnd.openxmlformats-officedocument.spreadsheetml.comments+xml"/>
  <Override PartName="/xl/drawings/drawing9.xml" ContentType="application/vnd.openxmlformats-officedocument.drawing+xml"/>
  <Override PartName="/xl/drawings/charts/chart17.xml" ContentType="application/vnd.openxmlformats-officedocument.drawingml.chart+xml"/>
  <Override PartName="/xl/drawings/charts/chart18.xml" ContentType="application/vnd.openxmlformats-officedocument.drawingml.chart+xml"/>
  <Override PartName="/xl/worksheets/sheet10.xml" ContentType="application/vnd.openxmlformats-officedocument.spreadsheetml.worksheet+xml"/>
  <Override PartName="/xl/comments10.xml" ContentType="application/vnd.openxmlformats-officedocument.spreadsheetml.comments+xml"/>
  <Override PartName="/xl/drawings/drawing10.xml" ContentType="application/vnd.openxmlformats-officedocument.drawing+xml"/>
  <Override PartName="/xl/drawings/charts/chart19.xml" ContentType="application/vnd.openxmlformats-officedocument.drawingml.chart+xml"/>
  <Override PartName="/xl/drawings/charts/chart20.xml" ContentType="application/vnd.openxmlformats-officedocument.drawingml.chart+xml"/>
  <Override PartName="/xl/worksheets/sheet11.xml" ContentType="application/vnd.openxmlformats-officedocument.spreadsheetml.worksheet+xml"/>
  <Override PartName="/xl/comments11.xml" ContentType="application/vnd.openxmlformats-officedocument.spreadsheetml.comments+xml"/>
  <Override PartName="/xl/drawings/drawing11.xml" ContentType="application/vnd.openxmlformats-officedocument.drawing+xml"/>
  <Override PartName="/xl/drawings/charts/chart21.xml" ContentType="application/vnd.openxmlformats-officedocument.drawingml.chart+xml"/>
  <Override PartName="/xl/drawings/charts/chart22.xml" ContentType="application/vnd.openxmlformats-officedocument.drawingml.chart+xml"/>
  <Override PartName="/xl/worksheets/sheet12.xml" ContentType="application/vnd.openxmlformats-officedocument.spreadsheetml.worksheet+xml"/>
  <Override PartName="/xl/comments12.xml" ContentType="application/vnd.openxmlformats-officedocument.spreadsheetml.comments+xml"/>
  <Override PartName="/xl/drawings/drawing12.xml" ContentType="application/vnd.openxmlformats-officedocument.drawing+xml"/>
  <Override PartName="/xl/drawings/charts/chart23.xml" ContentType="application/vnd.openxmlformats-officedocument.drawingml.chart+xml"/>
  <Override PartName="/xl/drawings/charts/chart24.xml" ContentType="application/vnd.openxmlformats-officedocument.drawingml.chart+xml"/>
  <Override PartName="/xl/worksheets/sheet13.xml" ContentType="application/vnd.openxmlformats-officedocument.spreadsheetml.worksheet+xml"/>
  <Override PartName="/xl/comments13.xml" ContentType="application/vnd.openxmlformats-officedocument.spreadsheetml.comments+xml"/>
  <Override PartName="/xl/drawings/drawing13.xml" ContentType="application/vnd.openxmlformats-officedocument.drawing+xml"/>
  <Override PartName="/xl/drawings/charts/chart25.xml" ContentType="application/vnd.openxmlformats-officedocument.drawingml.chart+xml"/>
  <Override PartName="/xl/drawings/charts/chart26.xml" ContentType="application/vnd.openxmlformats-officedocument.drawingml.chart+xml"/>
  <Override PartName="/xl/worksheets/sheet14.xml" ContentType="application/vnd.openxmlformats-officedocument.spreadsheetml.worksheet+xml"/>
  <Override PartName="/xl/comments14.xml" ContentType="application/vnd.openxmlformats-officedocument.spreadsheetml.comments+xml"/>
  <Override PartName="/xl/drawings/drawing14.xml" ContentType="application/vnd.openxmlformats-officedocument.drawing+xml"/>
  <Override PartName="/xl/drawings/charts/chart27.xml" ContentType="application/vnd.openxmlformats-officedocument.drawingml.chart+xml"/>
  <Override PartName="/xl/drawings/charts/chart28.xml" ContentType="application/vnd.openxmlformats-officedocument.drawingml.chart+xml"/>
  <Override PartName="/xl/worksheets/sheet15.xml" ContentType="application/vnd.openxmlformats-officedocument.spreadsheetml.worksheet+xml"/>
  <Override PartName="/xl/comments15.xml" ContentType="application/vnd.openxmlformats-officedocument.spreadsheetml.comments+xml"/>
  <Override PartName="/xl/drawings/drawing15.xml" ContentType="application/vnd.openxmlformats-officedocument.drawing+xml"/>
  <Override PartName="/xl/drawings/charts/chart29.xml" ContentType="application/vnd.openxmlformats-officedocument.drawingml.chart+xml"/>
  <Override PartName="/xl/drawings/charts/chart30.xml" ContentType="application/vnd.openxmlformats-officedocument.drawingml.chart+xml"/>
  <Override PartName="/xl/worksheets/sheet16.xml" ContentType="application/vnd.openxmlformats-officedocument.spreadsheetml.worksheet+xml"/>
  <Override PartName="/xl/comments16.xml" ContentType="application/vnd.openxmlformats-officedocument.spreadsheetml.comments+xml"/>
  <Override PartName="/xl/drawings/drawing16.xml" ContentType="application/vnd.openxmlformats-officedocument.drawing+xml"/>
  <Override PartName="/xl/worksheets/sheet17.xml" ContentType="application/vnd.openxmlformats-officedocument.spreadsheetml.worksheet+xml"/>
  <Override PartName="/xl/comments17.xml" ContentType="application/vnd.openxmlformats-officedocument.spreadsheetml.comments+xml"/>
  <Override PartName="/xl/drawings/drawing17.xml" ContentType="application/vnd.openxmlformats-officedocument.drawing+xml"/>
  <Override PartName="/xl/drawings/charts/chart31.xml" ContentType="application/vnd.openxmlformats-officedocument.drawingml.chart+xml"/>
  <Override PartName="/xl/worksheets/sheet18.xml" ContentType="application/vnd.openxmlformats-officedocument.spreadsheetml.worksheet+xml"/>
  <Override PartName="/xl/comments18.xml" ContentType="application/vnd.openxmlformats-officedocument.spreadsheetml.comments+xml"/>
  <Override PartName="/xl/drawings/drawing18.xml" ContentType="application/vnd.openxmlformats-officedocument.drawing+xml"/>
  <Override PartName="/xl/drawings/charts/chart32.xml" ContentType="application/vnd.openxmlformats-officedocument.drawingml.chart+xml"/>
  <Override PartName="/xl/drawings/charts/chart33.xml" ContentType="application/vnd.openxmlformats-officedocument.drawingml.chart+xml"/>
  <Override PartName="/xl/worksheets/sheet19.xml" ContentType="application/vnd.openxmlformats-officedocument.spreadsheetml.worksheet+xml"/>
  <Override PartName="/xl/comments19.xml" ContentType="application/vnd.openxmlformats-officedocument.spreadsheetml.comments+xml"/>
  <Override PartName="/xl/drawings/drawing19.xml" ContentType="application/vnd.openxmlformats-officedocument.drawing+xml"/>
  <Override PartName="/xl/worksheets/sheet20.xml" ContentType="application/vnd.openxmlformats-officedocument.spreadsheetml.worksheet+xml"/>
  <Override PartName="/xl/comments20.xml" ContentType="application/vnd.openxmlformats-officedocument.spreadsheetml.comments+xml"/>
  <Override PartName="/xl/drawings/drawing20.xml" ContentType="application/vnd.openxmlformats-officedocument.drawing+xml"/>
  <Override PartName="/xl/worksheets/sheet21.xml" ContentType="application/vnd.openxmlformats-officedocument.spreadsheetml.worksheet+xml"/>
  <Override PartName="/xl/comments21.xml" ContentType="application/vnd.openxmlformats-officedocument.spreadsheetml.comments+xml"/>
  <Override PartName="/xl/drawings/drawing21.xml" ContentType="application/vnd.openxmlformats-officedocument.drawing+xml"/>
  <Override PartName="/xl/drawings/charts/chart34.xml" ContentType="application/vnd.openxmlformats-officedocument.drawingml.chart+xml"/>
  <Override PartName="/xl/drawings/charts/chart35.xml" ContentType="application/vnd.openxmlformats-officedocument.drawingml.chart+xml"/>
  <Override PartName="/xl/drawings/charts/chart36.xml" ContentType="application/vnd.openxmlformats-officedocument.drawingml.chart+xml"/>
  <Override PartName="/xl/drawings/charts/chart37.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6b7c378e9ca45a5" /></Relationships>
</file>

<file path=xl/workbook.xml><?xml version="1.0" encoding="utf-8"?>
<x:workbook xmlns:x="http://schemas.openxmlformats.org/spreadsheetml/2006/main">
  <x:sheets>
    <x:sheet xmlns:r="http://schemas.openxmlformats.org/officeDocument/2006/relationships" name="Overview" sheetId="1" r:id="R0db7b88a9a76418b"/>
    <x:sheet xmlns:r="http://schemas.openxmlformats.org/officeDocument/2006/relationships" name="Equity Research" sheetId="2" r:id="R7b0d4616592e41f3"/>
    <x:sheet xmlns:r="http://schemas.openxmlformats.org/officeDocument/2006/relationships" name="Investment Banking" sheetId="3" r:id="Re23d62bad23b4916"/>
    <x:sheet xmlns:r="http://schemas.openxmlformats.org/officeDocument/2006/relationships" name="Private Equity" sheetId="4" r:id="R96cc42d763424028"/>
    <x:sheet xmlns:r="http://schemas.openxmlformats.org/officeDocument/2006/relationships" name="FP&amp;A" sheetId="5" r:id="Ra80ab8472cb945d3"/>
    <x:sheet xmlns:r="http://schemas.openxmlformats.org/officeDocument/2006/relationships" name="Assumptions" sheetId="6" r:id="Rb0933f202b0d4f0c"/>
    <x:sheet xmlns:r="http://schemas.openxmlformats.org/officeDocument/2006/relationships" name="Income Statement" sheetId="7" r:id="Rc30b73cb6eac4fd1"/>
    <x:sheet xmlns:r="http://schemas.openxmlformats.org/officeDocument/2006/relationships" name="Balance Sheet" sheetId="8" r:id="R0ff9fd2c27ca4037"/>
    <x:sheet xmlns:r="http://schemas.openxmlformats.org/officeDocument/2006/relationships" name="Cash Flow" sheetId="9" r:id="Rdbe81aa3ceba4942"/>
    <x:sheet xmlns:r="http://schemas.openxmlformats.org/officeDocument/2006/relationships" name="Segments" sheetId="10" r:id="R70d6bcb382b44534"/>
    <x:sheet xmlns:r="http://schemas.openxmlformats.org/officeDocument/2006/relationships" name="Expense Plan" sheetId="11" r:id="Rfe691cb0fe1d449f"/>
    <x:sheet xmlns:r="http://schemas.openxmlformats.org/officeDocument/2006/relationships" name="Working Capital" sheetId="12" r:id="Rfcd2463c13f348ca"/>
    <x:sheet xmlns:r="http://schemas.openxmlformats.org/officeDocument/2006/relationships" name="PPE and Intangibles" sheetId="13" r:id="R64ee5e88d0254295"/>
    <x:sheet xmlns:r="http://schemas.openxmlformats.org/officeDocument/2006/relationships" name="Debt and Leases" sheetId="14" r:id="Re46bb78578e147d7"/>
    <x:sheet xmlns:r="http://schemas.openxmlformats.org/officeDocument/2006/relationships" name="Tax and Equity" sheetId="15" r:id="R9c7fd24dd53f4b33"/>
    <x:sheet xmlns:r="http://schemas.openxmlformats.org/officeDocument/2006/relationships" name="Data &gt;&gt;" sheetId="16" r:id="Rc4561c0dac9e4ec0"/>
    <x:sheet xmlns:r="http://schemas.openxmlformats.org/officeDocument/2006/relationships" name="Historical Inputs" sheetId="17" r:id="Rc081e795c4254207"/>
    <x:sheet xmlns:r="http://schemas.openxmlformats.org/officeDocument/2006/relationships" name="Filing Notes" sheetId="18" r:id="Ra5653a73413a4a0e"/>
    <x:sheet xmlns:r="http://schemas.openxmlformats.org/officeDocument/2006/relationships" name="Audit" sheetId="19" r:id="Rc349fb8de6e9422f"/>
    <x:sheet xmlns:r="http://schemas.openxmlformats.org/officeDocument/2006/relationships" name="Model Guide" sheetId="20" r:id="Rd3448e55544541bc"/>
    <x:sheet xmlns:r="http://schemas.openxmlformats.org/officeDocument/2006/relationships" name="Financial Modeling" sheetId="21" r:id="R8aec620c8ed64422"/>
  </x:sheets>
</x:workbook>
</file>

<file path=xl/comments1.xml><?xml version="1.0" encoding="utf-8"?>
<x:comments xmlns:x="http://schemas.openxmlformats.org/spreadsheetml/2006/main">
  <x:authors>
    <x:author>Goran Brkich</x:author>
  </x:authors>
  <x:commentList>
    <x:comment ref="C2" authorId="0">
      <x:text>
        <x:r>
          <x:t>Overview.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Recognized sales from products and services. Consolidated forecast revenue is the sum of the three segment forecasts. Revenue is different from cash collected.</x:t>
        </x:r>
      </x:text>
    </x:comment>
    <x:comment ref="E8" authorId="0">
      <x:text>
        <x:r>
          <x:t>Revenue (FY2026 actual).
Recognized sales from products and services. Consolidated forecast revenue is the sum of the three segment forecasts. Revenue is different from cash collected.
Formula: ='Income Statement'!N8
Cross-sheet references identify the owning schedule. Same-sheet references identify intermediate calculations.</x:t>
        </x:r>
      </x:text>
    </x:comment>
    <x:comment ref="G8" authorId="0">
      <x:text>
        <x:r>
          <x:t>Revenue (FY2031 forecast).
Recognized sales from products and services. Consolidated forecast revenue is the sum of the three segment forecasts. Revenue is different from cash collected.
Formula: ='Income Statement'!S8
Cross-sheet references identify the owning schedule. Same-sheet references identify intermediate calculations.</x:t>
        </x:r>
      </x:text>
    </x:comment>
    <x:comment ref="C9" authorId="0">
      <x:text>
        <x:r>
          <x:t>Gross profit less research and development, sales and marketing, general and administrative costs, and other operating expenses. It excludes nonoperating items and income tax.</x:t>
        </x:r>
      </x:text>
    </x:comment>
    <x:comment ref="E9" authorId="0">
      <x:text>
        <x:r>
          <x:t>Operating income (FY2026 actual).
Gross profit less research and development, sales and marketing, general and administrative costs, and other operating expenses. It excludes nonoperating items and income tax.
Formula: ='Income Statement'!N19
Cross-sheet references identify the owning schedule. Same-sheet references identify intermediate calculations.</x:t>
        </x:r>
      </x:text>
    </x:comment>
    <x:comment ref="G9" authorId="0">
      <x:text>
        <x:r>
          <x:t>Operating income (FY2031 forecast).
Gross profit less research and development, sales and marketing, general and administrative costs, and other operating expenses. It excludes nonoperating items and income tax.
Formula: ='Income Statement'!S19
Cross-sheet references identify the owning schedule. Same-sheet references identify intermediate calculations.</x:t>
        </x:r>
      </x:text>
    </x:comment>
    <x:comment ref="C10" authorId="0">
      <x:text>
        <x:r>
          <x:t>Operating income divided by revenue for the same fiscal year. A declining margin can reflect infrastructure depreciation and operating cost assumptions.</x:t>
        </x:r>
      </x:text>
    </x:comment>
    <x:comment ref="E10" authorId="0">
      <x:text>
        <x:r>
          <x:t>Operating margin (FY2026 actual).
Operating income divided by revenue for the same fiscal year. A declining margin can reflect infrastructure depreciation and operating cost assumptions.
Formula: ='Income Statement'!N20
Cross-sheet references identify the owning schedule. Same-sheet references identify intermediate calculations.</x:t>
        </x:r>
      </x:text>
    </x:comment>
    <x:comment ref="G10" authorId="0">
      <x:text>
        <x:r>
          <x:t>Operating margin (FY2031 forecast).
Operating income divided by revenue for the same fiscal year. A declining margin can reflect infrastructure depreciation and operating cost assumptions.
Formula: ='Income Statement'!S20
Cross-sheet references identify the owning schedule. Same-sheet references identify intermediate calculations.</x:t>
        </x:r>
      </x:text>
    </x:comment>
    <x:comment ref="C11" authorId="0">
      <x:text>
        <x:r>
          <x:t>Income before taxes less income tax expense. It includes noncash items, so it differs from operating cash flow.</x:t>
        </x:r>
      </x:text>
    </x:comment>
    <x:comment ref="E11" authorId="0">
      <x:text>
        <x:r>
          <x:t>Net income (FY2026 actual).
Income before taxes less income tax expense. It includes noncash items, so it differs from operating cash flow.
Formula: ='Income Statement'!N28
Cross-sheet references identify the owning schedule. Same-sheet references identify intermediate calculations.</x:t>
        </x:r>
      </x:text>
    </x:comment>
    <x:comment ref="G11" authorId="0">
      <x:text>
        <x:r>
          <x:t>Net income (FY2031 forecast).
Income before taxes less income tax expense. It includes noncash items, so it differs from operating cash flow.
Formula: ='Income Statement'!S28
Cross-sheet references identify the owning schedule. Same-sheet references identify intermediate calculations.</x:t>
        </x:r>
      </x:text>
    </x:comment>
    <x:comment ref="C12" authorId="0">
      <x:text>
        <x:r>
          <x:t>Net income divided by diluted weighted average shares. The forecast share count has its own driver and does not mechanically follow buyback cash.</x:t>
        </x:r>
      </x:text>
    </x:comment>
    <x:comment ref="E12" authorId="0">
      <x:text>
        <x:r>
          <x:t>Diluted EPS (FY2026 actual).
Net income divided by diluted weighted average shares. The forecast share count has its own driver and does not mechanically follow buyback cash.
Formula: ='Income Statement'!N33
Cross-sheet references identify the owning schedule. Same-sheet references identify intermediate calculations.</x:t>
        </x:r>
      </x:text>
    </x:comment>
    <x:comment ref="G12" authorId="0">
      <x:text>
        <x:r>
          <x:t>Diluted EPS (FY2031 forecast).
Net income divided by diluted weighted average shares. The forecast share count has its own driver and does not mechanically follow buyback cash.
Formula: ='Income Statement'!S33
Cross-sheet references identify the owning schedule. Same-sheet references identify intermediate calculations.</x:t>
        </x:r>
      </x:text>
    </x:comment>
    <x:comment ref="C13" authorId="0">
      <x:text>
        <x:r>
          <x:t>Operating cash flow less cash capital expenditure. Cash capex is negative in the cash-flow statement, so the worksheet adds that signed amount to CFO. This measure excludes finance lease principal.</x:t>
        </x:r>
      </x:text>
    </x:comment>
    <x:comment ref="E13" authorId="0">
      <x:text>
        <x:r>
          <x:t>Free cash flow (FY2026 actual).
Operating cash flow less cash capital expenditure. Cash capex is negative in the cash-flow statement, so the worksheet adds that signed amount to CFO. This measure excludes finance lease principal.
Formula: ='Cash Flow'!N56
Cross-sheet references identify the owning schedule. Same-sheet references identify intermediate calculations.</x:t>
        </x:r>
      </x:text>
    </x:comment>
    <x:comment ref="G13" authorId="0">
      <x:text>
        <x:r>
          <x:t>Free cash flow (FY2031 forecast).
Operating cash flow less cash capital expenditure. Cash capex is negative in the cash-flow statement, so the worksheet adds that signed amount to CFO. This measure excludes finance lease principal.
Formula: ='Cash Flow'!S56
Cross-sheet references identify the owning schedule. Same-sheet references identify intermediate calculations.</x:t>
        </x:r>
      </x:text>
    </x:comment>
    <x:comment ref="C14" authorId="0">
      <x:text>
        <x:r>
          <x:t>Cash spent on capital assets, including modeled capitalized cash interest. It excludes newly recognized noncash finance lease assets.</x:t>
        </x:r>
      </x:text>
    </x:comment>
    <x:comment ref="E14" authorId="0">
      <x:text>
        <x:r>
          <x:t>Cash capex (FY2026 actual).
Cash spent on capital assets, including modeled capitalized cash interest. It excludes newly recognized noncash finance lease assets.
Formula: =-'Cash Flow'!N30
Cross-sheet references identify the owning schedule. Same-sheet references identify intermediate calculations.</x:t>
        </x:r>
      </x:text>
    </x:comment>
    <x:comment ref="G14" authorId="0">
      <x:text>
        <x:r>
          <x:t>Cash capex (FY2031 forecast).
Cash spent on capital assets, including modeled capitalized cash interest. It excludes newly recognized noncash finance lease assets.
Formula: =-'Cash Flow'!S30
Cross-sheet references identify the owning schedule. Same-sheet references identify intermediate calculations.</x:t>
        </x:r>
      </x:text>
    </x:comment>
    <x:comment ref="C15" authorId="0">
      <x:text>
        <x:r>
          <x:t>Debt face principal adjusted for discounts, issuance costs, hedge accounting and exchange premiums. Finance lease liabilities are reported separately.</x:t>
        </x:r>
      </x:text>
    </x:comment>
    <x:comment ref="E15" authorId="0">
      <x:text>
        <x:r>
          <x:t>Debt carrying amount (FY2026 actual).
Debt face principal adjusted for discounts, issuance costs, hedge accounting and exchange premiums. Finance lease liabilities are reported separately.
Formula: ='Debt and Leases'!N18
Cross-sheet references identify the owning schedule. Same-sheet references identify intermediate calculations.</x:t>
        </x:r>
      </x:text>
    </x:comment>
    <x:comment ref="G15" authorId="0">
      <x:text>
        <x:r>
          <x:t>Debt carrying amount (FY2031 forecast).
Debt face principal adjusted for discounts, issuance costs, hedge accounting and exchange premiums. Finance lease liabilities are reported separately.
Formula: ='Debt and Leases'!S18
Cross-sheet references identify the owning schedule. Same-sheet references identify intermediate calculations.</x:t>
        </x:r>
      </x:text>
    </x:comment>
    <x:comment ref="C16" authorId="0">
      <x:text>
        <x:r>
          <x:t>Outstanding finance lease obligations, including current and noncurrent portions. Additions recognize an asset and liability without immediate cash capex.</x:t>
        </x:r>
      </x:text>
    </x:comment>
    <x:comment ref="E16" authorId="0">
      <x:text>
        <x:r>
          <x:t>Finance lease liabilities (FY2026 actual).
Outstanding finance lease obligations, including current and noncurrent portions. Additions recognize an asset and liability without immediate cash capex.
Formula: ='Debt and Leases'!N42
Cross-sheet references identify the owning schedule. Same-sheet references identify intermediate calculations.</x:t>
        </x:r>
      </x:text>
    </x:comment>
    <x:comment ref="G16" authorId="0">
      <x:text>
        <x:r>
          <x:t>Finance lease liabilities (FY2031 forecast).
Outstanding finance lease obligations, including current and noncurrent portions. Additions recognize an asset and liability without immediate cash capex.
Formula: ='Debt and Leases'!S42
Cross-sheet references identify the owning schedule. Same-sheet references identify intermediate calculations.</x:t>
        </x:r>
      </x:text>
    </x:comment>
    <x:comment ref="C17" authorId="0">
      <x:text>
        <x:r>
          <x:t>Cash and cash equivalents plus short-term investments. This is a liquidity measure, not total corporate cash resources.</x:t>
        </x:r>
      </x:text>
    </x:comment>
    <x:comment ref="E17" authorId="0">
      <x:text>
        <x:r>
          <x:t>Cash and short-term investments (FY2026 actual).
Cash and cash equivalents plus short-term investments. This is a liquidity measure, not total corporate cash resources.
Formula: ='Balance Sheet'!N10
Cross-sheet references identify the owning schedule. Same-sheet references identify intermediate calculations.</x:t>
        </x:r>
      </x:text>
    </x:comment>
    <x:comment ref="G17" authorId="0">
      <x:text>
        <x:r>
          <x:t>Cash and short-term investments (FY2031 forecast).
Cash and cash equivalents plus short-term investments. This is a liquidity measure, not total corporate cash resources.
Formula: ='Balance Sheet'!S10
Cross-sheet references identify the owning schedule. Same-sheet references identify intermediate calculations.</x:t>
        </x:r>
      </x:text>
    </x:comment>
    <x:comment ref="C24" authorId="0">
      <x:text>
        <x:r>
          <x:t>Fiscal year. This line belongs to the Overview calculation. Read its formula to trace the referenced inputs and intermediate totals.</x:t>
        </x:r>
      </x:text>
    </x:comment>
    <x:comment ref="D24" authorId="0">
      <x:text>
        <x:r>
          <x:t>Fiscal year.
Fiscal year. This line belongs to the Overview calculation. Read its formula to trace the referenced inputs and intermediate totals.
Stored input or primary source observation. It is not calculated in this cell.</x:t>
        </x:r>
      </x:text>
    </x:comment>
    <x:comment ref="E24" authorId="0">
      <x:text>
        <x:r>
          <x:t>Fiscal year (FY2026 actual).
Fiscal year. This line belongs to the Overview calculation. Read its formula to trace the referenced inputs and intermediate totals.
Stored input or primary source observation. It is not calculated in this cell.</x:t>
        </x:r>
      </x:text>
    </x:comment>
    <x:comment ref="F24" authorId="0">
      <x:text>
        <x:r>
          <x:t>Fiscal year.
Fiscal year. This line belongs to the Overview calculation. Read its formula to trace the referenced inputs and intermediate totals.
Stored input or primary source observation. It is not calculated in this cell.</x:t>
        </x:r>
      </x:text>
    </x:comment>
    <x:comment ref="G24" authorId="0">
      <x:text>
        <x:r>
          <x:t>Fiscal year (FY2031 forecast).
Fiscal year. This line belongs to the Overview calculation. Read its formula to trace the referenced inputs and intermediate totals.
Stored input or primary source observation. It is not calculated in this cell.</x:t>
        </x:r>
      </x:text>
    </x:comment>
    <x:comment ref="C25" authorId="0">
      <x:text>
        <x:r>
          <x:t>FY2022 A. This line belongs to the Overview calculation. Read its formula to trace the referenced inputs and intermediate totals.</x:t>
        </x:r>
      </x:text>
    </x:comment>
    <x:comment ref="D25" authorId="0">
      <x:text>
        <x:r>
          <x:t>FY2022 A.
FY2022 A. This line belongs to the Overview calculation. Read its formula to trace the referenced inputs and intermediate totals.
Formula: ='Income Statement'!J8
Cross-sheet references identify the owning schedule. Same-sheet references identify intermediate calculations.</x:t>
        </x:r>
      </x:text>
    </x:comment>
    <x:comment ref="E25" authorId="0">
      <x:text>
        <x:r>
          <x:t>FY2022 A (FY2026 actual).
FY2022 A. This line belongs to the Overview calculation. Read its formula to trace the referenced inputs and intermediate totals.
Formula: ='Income Statement'!J19
Cross-sheet references identify the owning schedule. Same-sheet references identify intermediate calculations.</x:t>
        </x:r>
      </x:text>
    </x:comment>
    <x:comment ref="F25" authorId="0">
      <x:text>
        <x:r>
          <x:t>FY2022 A.
FY2022 A. This line belongs to the Overview calculation. Read its formula to trace the referenced inputs and intermediate totals.
Formula: =-'Cash Flow'!J30
Cross-sheet references identify the owning schedule. Same-sheet references identify intermediate calculations.</x:t>
        </x:r>
      </x:text>
    </x:comment>
    <x:comment ref="G25" authorId="0">
      <x:text>
        <x:r>
          <x:t>FY2022 A (FY2031 forecast).
FY2022 A. This line belongs to the Overview calculation. Read its formula to trace the referenced inputs and intermediate totals.
Formula: ='Cash Flow'!J56
Cross-sheet references identify the owning schedule. Same-sheet references identify intermediate calculations.</x:t>
        </x:r>
      </x:text>
    </x:comment>
    <x:comment ref="C26" authorId="0">
      <x:text>
        <x:r>
          <x:t>FY2023 A. This line belongs to the Overview calculation. Read its formula to trace the referenced inputs and intermediate totals.</x:t>
        </x:r>
      </x:text>
    </x:comment>
    <x:comment ref="D26" authorId="0">
      <x:text>
        <x:r>
          <x:t>FY2023 A.
FY2023 A. This line belongs to the Overview calculation. Read its formula to trace the referenced inputs and intermediate totals.
Formula: ='Income Statement'!K8
Cross-sheet references identify the owning schedule. Same-sheet references identify intermediate calculations.</x:t>
        </x:r>
      </x:text>
    </x:comment>
    <x:comment ref="E26" authorId="0">
      <x:text>
        <x:r>
          <x:t>FY2023 A (FY2026 actual).
FY2023 A. This line belongs to the Overview calculation. Read its formula to trace the referenced inputs and intermediate totals.
Formula: ='Income Statement'!K19
Cross-sheet references identify the owning schedule. Same-sheet references identify intermediate calculations.</x:t>
        </x:r>
      </x:text>
    </x:comment>
    <x:comment ref="F26" authorId="0">
      <x:text>
        <x:r>
          <x:t>FY2023 A.
FY2023 A. This line belongs to the Overview calculation. Read its formula to trace the referenced inputs and intermediate totals.
Formula: =-'Cash Flow'!K30
Cross-sheet references identify the owning schedule. Same-sheet references identify intermediate calculations.</x:t>
        </x:r>
      </x:text>
    </x:comment>
    <x:comment ref="G26" authorId="0">
      <x:text>
        <x:r>
          <x:t>FY2023 A (FY2031 forecast).
FY2023 A. This line belongs to the Overview calculation. Read its formula to trace the referenced inputs and intermediate totals.
Formula: ='Cash Flow'!K56
Cross-sheet references identify the owning schedule. Same-sheet references identify intermediate calculations.</x:t>
        </x:r>
      </x:text>
    </x:comment>
    <x:comment ref="C27" authorId="0">
      <x:text>
        <x:r>
          <x:t>FY2024 A. This line belongs to the Overview calculation. Read its formula to trace the referenced inputs and intermediate totals.</x:t>
        </x:r>
      </x:text>
    </x:comment>
    <x:comment ref="D27" authorId="0">
      <x:text>
        <x:r>
          <x:t>FY2024 A.
FY2024 A. This line belongs to the Overview calculation. Read its formula to trace the referenced inputs and intermediate totals.
Formula: ='Income Statement'!L8
Cross-sheet references identify the owning schedule. Same-sheet references identify intermediate calculations.</x:t>
        </x:r>
      </x:text>
    </x:comment>
    <x:comment ref="E27" authorId="0">
      <x:text>
        <x:r>
          <x:t>FY2024 A (FY2026 actual).
FY2024 A. This line belongs to the Overview calculation. Read its formula to trace the referenced inputs and intermediate totals.
Formula: ='Income Statement'!L19
Cross-sheet references identify the owning schedule. Same-sheet references identify intermediate calculations.</x:t>
        </x:r>
      </x:text>
    </x:comment>
    <x:comment ref="F27" authorId="0">
      <x:text>
        <x:r>
          <x:t>FY2024 A.
FY2024 A. This line belongs to the Overview calculation. Read its formula to trace the referenced inputs and intermediate totals.
Formula: =-'Cash Flow'!L30
Cross-sheet references identify the owning schedule. Same-sheet references identify intermediate calculations.</x:t>
        </x:r>
      </x:text>
    </x:comment>
    <x:comment ref="G27" authorId="0">
      <x:text>
        <x:r>
          <x:t>FY2024 A (FY2031 forecast).
FY2024 A. This line belongs to the Overview calculation. Read its formula to trace the referenced inputs and intermediate totals.
Formula: ='Cash Flow'!L56
Cross-sheet references identify the owning schedule. Same-sheet references identify intermediate calculations.</x:t>
        </x:r>
      </x:text>
    </x:comment>
    <x:comment ref="C28" authorId="0">
      <x:text>
        <x:r>
          <x:t>FY2025 A. This line belongs to the Overview calculation. Read its formula to trace the referenced inputs and intermediate totals.</x:t>
        </x:r>
      </x:text>
    </x:comment>
    <x:comment ref="D28" authorId="0">
      <x:text>
        <x:r>
          <x:t>FY2025 A.
FY2025 A. This line belongs to the Overview calculation. Read its formula to trace the referenced inputs and intermediate totals.
Formula: ='Income Statement'!M8
Cross-sheet references identify the owning schedule. Same-sheet references identify intermediate calculations.</x:t>
        </x:r>
      </x:text>
    </x:comment>
    <x:comment ref="E28" authorId="0">
      <x:text>
        <x:r>
          <x:t>FY2025 A (FY2026 actual).
FY2025 A. This line belongs to the Overview calculation. Read its formula to trace the referenced inputs and intermediate totals.
Formula: ='Income Statement'!M19
Cross-sheet references identify the owning schedule. Same-sheet references identify intermediate calculations.</x:t>
        </x:r>
      </x:text>
    </x:comment>
    <x:comment ref="F28" authorId="0">
      <x:text>
        <x:r>
          <x:t>FY2025 A.
FY2025 A. This line belongs to the Overview calculation. Read its formula to trace the referenced inputs and intermediate totals.
Formula: =-'Cash Flow'!M30
Cross-sheet references identify the owning schedule. Same-sheet references identify intermediate calculations.</x:t>
        </x:r>
      </x:text>
    </x:comment>
    <x:comment ref="G28" authorId="0">
      <x:text>
        <x:r>
          <x:t>FY2025 A (FY2031 forecast).
FY2025 A. This line belongs to the Overview calculation. Read its formula to trace the referenced inputs and intermediate totals.
Formula: ='Cash Flow'!M56
Cross-sheet references identify the owning schedule. Same-sheet references identify intermediate calculations.</x:t>
        </x:r>
      </x:text>
    </x:comment>
    <x:comment ref="C29" authorId="0">
      <x:text>
        <x:r>
          <x:t>FY2026 A. This line belongs to the Overview calculation. Read its formula to trace the referenced inputs and intermediate totals.</x:t>
        </x:r>
      </x:text>
    </x:comment>
    <x:comment ref="D29" authorId="0">
      <x:text>
        <x:r>
          <x:t>FY2026 A.
FY2026 A. This line belongs to the Overview calculation. Read its formula to trace the referenced inputs and intermediate totals.
Formula: ='Income Statement'!N8
Cross-sheet references identify the owning schedule. Same-sheet references identify intermediate calculations.</x:t>
        </x:r>
      </x:text>
    </x:comment>
    <x:comment ref="E29" authorId="0">
      <x:text>
        <x:r>
          <x:t>FY2026 A (FY2026 actual).
FY2026 A. This line belongs to the Overview calculation. Read its formula to trace the referenced inputs and intermediate totals.
Formula: ='Income Statement'!N19
Cross-sheet references identify the owning schedule. Same-sheet references identify intermediate calculations.</x:t>
        </x:r>
      </x:text>
    </x:comment>
    <x:comment ref="F29" authorId="0">
      <x:text>
        <x:r>
          <x:t>FY2026 A.
FY2026 A. This line belongs to the Overview calculation. Read its formula to trace the referenced inputs and intermediate totals.
Formula: =-'Cash Flow'!N30
Cross-sheet references identify the owning schedule. Same-sheet references identify intermediate calculations.</x:t>
        </x:r>
      </x:text>
    </x:comment>
    <x:comment ref="G29" authorId="0">
      <x:text>
        <x:r>
          <x:t>FY2026 A (FY2031 forecast).
FY2026 A. This line belongs to the Overview calculation. Read its formula to trace the referenced inputs and intermediate totals.
Formula: ='Cash Flow'!N56
Cross-sheet references identify the owning schedule. Same-sheet references identify intermediate calculations.</x:t>
        </x:r>
      </x:text>
    </x:comment>
    <x:comment ref="C30" authorId="0">
      <x:text>
        <x:r>
          <x:t>FY2027 E. This line belongs to the Overview calculation. Read its formula to trace the referenced inputs and intermediate totals.</x:t>
        </x:r>
      </x:text>
    </x:comment>
    <x:comment ref="D30" authorId="0">
      <x:text>
        <x:r>
          <x:t>FY2027 E.
FY2027 E. This line belongs to the Overview calculation. Read its formula to trace the referenced inputs and intermediate totals.
Formula: ='Income Statement'!O8
Cross-sheet references identify the owning schedule. Same-sheet references identify intermediate calculations.</x:t>
        </x:r>
      </x:text>
    </x:comment>
    <x:comment ref="E30" authorId="0">
      <x:text>
        <x:r>
          <x:t>FY2027 E (FY2026 actual).
FY2027 E. This line belongs to the Overview calculation. Read its formula to trace the referenced inputs and intermediate totals.
Formula: ='Income Statement'!O19
Cross-sheet references identify the owning schedule. Same-sheet references identify intermediate calculations.</x:t>
        </x:r>
      </x:text>
    </x:comment>
    <x:comment ref="F30" authorId="0">
      <x:text>
        <x:r>
          <x:t>FY2027 E.
FY2027 E. This line belongs to the Overview calculation. Read its formula to trace the referenced inputs and intermediate totals.
Formula: =-'Cash Flow'!O30
Cross-sheet references identify the owning schedule. Same-sheet references identify intermediate calculations.</x:t>
        </x:r>
      </x:text>
    </x:comment>
    <x:comment ref="G30" authorId="0">
      <x:text>
        <x:r>
          <x:t>FY2027 E (FY2031 forecast).
FY2027 E. This line belongs to the Overview calculation. Read its formula to trace the referenced inputs and intermediate totals.
Formula: ='Cash Flow'!O56
Cross-sheet references identify the owning schedule. Same-sheet references identify intermediate calculations.</x:t>
        </x:r>
      </x:text>
    </x:comment>
    <x:comment ref="C31" authorId="0">
      <x:text>
        <x:r>
          <x:t>FY2028 E. This line belongs to the Overview calculation. Read its formula to trace the referenced inputs and intermediate totals.</x:t>
        </x:r>
      </x:text>
    </x:comment>
    <x:comment ref="D31" authorId="0">
      <x:text>
        <x:r>
          <x:t>FY2028 E.
FY2028 E. This line belongs to the Overview calculation. Read its formula to trace the referenced inputs and intermediate totals.
Formula: ='Income Statement'!P8
Cross-sheet references identify the owning schedule. Same-sheet references identify intermediate calculations.</x:t>
        </x:r>
      </x:text>
    </x:comment>
    <x:comment ref="E31" authorId="0">
      <x:text>
        <x:r>
          <x:t>FY2028 E (FY2026 actual).
FY2028 E. This line belongs to the Overview calculation. Read its formula to trace the referenced inputs and intermediate totals.
Formula: ='Income Statement'!P19
Cross-sheet references identify the owning schedule. Same-sheet references identify intermediate calculations.</x:t>
        </x:r>
      </x:text>
    </x:comment>
    <x:comment ref="F31" authorId="0">
      <x:text>
        <x:r>
          <x:t>FY2028 E.
FY2028 E. This line belongs to the Overview calculation. Read its formula to trace the referenced inputs and intermediate totals.
Formula: =-'Cash Flow'!P30
Cross-sheet references identify the owning schedule. Same-sheet references identify intermediate calculations.</x:t>
        </x:r>
      </x:text>
    </x:comment>
    <x:comment ref="G31" authorId="0">
      <x:text>
        <x:r>
          <x:t>FY2028 E (FY2031 forecast).
FY2028 E. This line belongs to the Overview calculation. Read its formula to trace the referenced inputs and intermediate totals.
Formula: ='Cash Flow'!P56
Cross-sheet references identify the owning schedule. Same-sheet references identify intermediate calculations.</x:t>
        </x:r>
      </x:text>
    </x:comment>
    <x:comment ref="C32" authorId="0">
      <x:text>
        <x:r>
          <x:t>FY2029 E. This line belongs to the Overview calculation. Read its formula to trace the referenced inputs and intermediate totals.</x:t>
        </x:r>
      </x:text>
    </x:comment>
    <x:comment ref="D32" authorId="0">
      <x:text>
        <x:r>
          <x:t>FY2029 E.
FY2029 E. This line belongs to the Overview calculation. Read its formula to trace the referenced inputs and intermediate totals.
Formula: ='Income Statement'!Q8
Cross-sheet references identify the owning schedule. Same-sheet references identify intermediate calculations.</x:t>
        </x:r>
      </x:text>
    </x:comment>
    <x:comment ref="E32" authorId="0">
      <x:text>
        <x:r>
          <x:t>FY2029 E (FY2026 actual).
FY2029 E. This line belongs to the Overview calculation. Read its formula to trace the referenced inputs and intermediate totals.
Formula: ='Income Statement'!Q19
Cross-sheet references identify the owning schedule. Same-sheet references identify intermediate calculations.</x:t>
        </x:r>
      </x:text>
    </x:comment>
    <x:comment ref="F32" authorId="0">
      <x:text>
        <x:r>
          <x:t>FY2029 E.
FY2029 E. This line belongs to the Overview calculation. Read its formula to trace the referenced inputs and intermediate totals.
Formula: =-'Cash Flow'!Q30
Cross-sheet references identify the owning schedule. Same-sheet references identify intermediate calculations.</x:t>
        </x:r>
      </x:text>
    </x:comment>
    <x:comment ref="G32" authorId="0">
      <x:text>
        <x:r>
          <x:t>FY2029 E (FY2031 forecast).
FY2029 E. This line belongs to the Overview calculation. Read its formula to trace the referenced inputs and intermediate totals.
Formula: ='Cash Flow'!Q56
Cross-sheet references identify the owning schedule. Same-sheet references identify intermediate calculations.</x:t>
        </x:r>
      </x:text>
    </x:comment>
    <x:comment ref="C33" authorId="0">
      <x:text>
        <x:r>
          <x:t>FY2030 E. This line belongs to the Overview calculation. Read its formula to trace the referenced inputs and intermediate totals.</x:t>
        </x:r>
      </x:text>
    </x:comment>
    <x:comment ref="D33" authorId="0">
      <x:text>
        <x:r>
          <x:t>FY2030 E.
FY2030 E. This line belongs to the Overview calculation. Read its formula to trace the referenced inputs and intermediate totals.
Formula: ='Income Statement'!R8
Cross-sheet references identify the owning schedule. Same-sheet references identify intermediate calculations.</x:t>
        </x:r>
      </x:text>
    </x:comment>
    <x:comment ref="E33" authorId="0">
      <x:text>
        <x:r>
          <x:t>FY2030 E (FY2026 actual).
FY2030 E. This line belongs to the Overview calculation. Read its formula to trace the referenced inputs and intermediate totals.
Formula: ='Income Statement'!R19
Cross-sheet references identify the owning schedule. Same-sheet references identify intermediate calculations.</x:t>
        </x:r>
      </x:text>
    </x:comment>
    <x:comment ref="F33" authorId="0">
      <x:text>
        <x:r>
          <x:t>FY2030 E.
FY2030 E. This line belongs to the Overview calculation. Read its formula to trace the referenced inputs and intermediate totals.
Formula: =-'Cash Flow'!R30
Cross-sheet references identify the owning schedule. Same-sheet references identify intermediate calculations.</x:t>
        </x:r>
      </x:text>
    </x:comment>
    <x:comment ref="G33" authorId="0">
      <x:text>
        <x:r>
          <x:t>FY2030 E (FY2031 forecast).
FY2030 E. This line belongs to the Overview calculation. Read its formula to trace the referenced inputs and intermediate totals.
Formula: ='Cash Flow'!R56
Cross-sheet references identify the owning schedule. Same-sheet references identify intermediate calculations.</x:t>
        </x:r>
      </x:text>
    </x:comment>
    <x:comment ref="C34" authorId="0">
      <x:text>
        <x:r>
          <x:t>FY2031 E. This line belongs to the Overview calculation. Read its formula to trace the referenced inputs and intermediate totals.</x:t>
        </x:r>
      </x:text>
    </x:comment>
    <x:comment ref="D34" authorId="0">
      <x:text>
        <x:r>
          <x:t>FY2031 E.
FY2031 E. This line belongs to the Overview calculation. Read its formula to trace the referenced inputs and intermediate totals.
Formula: ='Income Statement'!S8
Cross-sheet references identify the owning schedule. Same-sheet references identify intermediate calculations.</x:t>
        </x:r>
      </x:text>
    </x:comment>
    <x:comment ref="E34" authorId="0">
      <x:text>
        <x:r>
          <x:t>FY2031 E (FY2026 actual).
FY2031 E. This line belongs to the Overview calculation. Read its formula to trace the referenced inputs and intermediate totals.
Formula: ='Income Statement'!S19
Cross-sheet references identify the owning schedule. Same-sheet references identify intermediate calculations.</x:t>
        </x:r>
      </x:text>
    </x:comment>
    <x:comment ref="F34" authorId="0">
      <x:text>
        <x:r>
          <x:t>FY2031 E.
FY2031 E. This line belongs to the Overview calculation. Read its formula to trace the referenced inputs and intermediate totals.
Formula: =-'Cash Flow'!S30
Cross-sheet references identify the owning schedule. Same-sheet references identify intermediate calculations.</x:t>
        </x:r>
      </x:text>
    </x:comment>
    <x:comment ref="G34" authorId="0">
      <x:text>
        <x:r>
          <x:t>FY2031 E (FY2031 forecast).
FY2031 E. This line belongs to the Overview calculation. Read its formula to trace the referenced inputs and intermediate totals.
Formula: ='Cash Flow'!S56
Cross-sheet references identify the owning schedule. Same-sheet references identify intermediate calculations.</x:t>
        </x:r>
      </x:text>
    </x:comment>
    <x:comment ref="C59" authorId="0">
      <x:text>
        <x:r>
          <x:t>Live analytical observation. This formula reads the existing statement or schedule and updates with the selected case. ="Selected "&amp;Assumptions!G4&amp;" case: FY2031 revenue is "&amp;FIXED('Income Statement'!S8/1000,1,TRUE)&amp;"bn and operating margin is "&amp;(FIXED(('Income Statement'!S20)*100,1,TRUE)&amp;"%")&amp;"."</x:t>
        </x:r>
      </x:text>
    </x:comment>
    <x:comment ref="C60" authorId="0">
      <x:text>
        <x:r>
          <x:t>Live analytical observation. This formula reads the existing statement or schedule and updates with the selected case. ="Cash capex falls from "&amp;(FIXED((-'Cash Flow'!N30/'Income Statement'!N8)*100,1,TRUE)&amp;"%")&amp;" of revenue in FY2026 to "&amp;(FIXED((-'Cash Flow'!S30/'Income Statement'!S8)*100,1,TRUE)&amp;"%")&amp;" in FY2031."</x:t>
        </x:r>
      </x:text>
    </x:comment>
    <x:comment ref="C61" authorId="0">
      <x:text>
        <x:r>
          <x:t>Live analytical observation. This formula reads the existing statement or schedule and updates with the selected case. ="FY2031 FCF is "&amp;FIXED('Cash Flow'!S56/1000,1,TRUE)&amp;"bn; after finance lease principal it is "&amp;FIXED('Cash Flow'!S57/1000,1,TRUE)&amp;"bn."</x:t>
        </x:r>
      </x:text>
    </x:comment>
  </x:commentList>
</x:comments>
</file>

<file path=xl/comments2.xml><?xml version="1.0" encoding="utf-8"?>
<x:comments xmlns:x="http://schemas.openxmlformats.org/spreadsheetml/2006/main">
  <x:authors>
    <x:author>Goran Brkich</x:author>
  </x:authors>
  <x:commentList>
    <x:comment ref="C2" authorId="0">
      <x:text>
        <x:r>
          <x:t>Equity Research.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Recognized sales from products and services. Consolidated forecast revenue is the sum of the three segment forecasts. Revenue is different from cash collected.</x:t>
        </x:r>
      </x:text>
    </x:comment>
    <x:comment ref="E8" authorId="0">
      <x:text>
        <x:r>
          <x:t>Revenue (FY:22 A).
Recognized sales from products and services. Consolidated forecast revenue is the sum of the three segment forecasts. Revenue is different from cash collected.
Formula: ='Income Statement'!J8
Cross-sheet references identify the owning schedule. Same-sheet references identify intermediate calculations.</x:t>
        </x:r>
      </x:text>
    </x:comment>
    <x:comment ref="F8" authorId="0">
      <x:text>
        <x:r>
          <x:t>Revenue (FY:23 A).
Recognized sales from products and services. Consolidated forecast revenue is the sum of the three segment forecasts. Revenue is different from cash collected.
Formula: ='Income Statement'!K8
Cross-sheet references identify the owning schedule. Same-sheet references identify intermediate calculations.</x:t>
        </x:r>
      </x:text>
    </x:comment>
    <x:comment ref="G8" authorId="0">
      <x:text>
        <x:r>
          <x:t>Revenue (FY:24 A).
Recognized sales from products and services. Consolidated forecast revenue is the sum of the three segment forecasts. Revenue is different from cash collected.
Formula: ='Income Statement'!L8
Cross-sheet references identify the owning schedule. Same-sheet references identify intermediate calculations.</x:t>
        </x:r>
      </x:text>
    </x:comment>
    <x:comment ref="H8" authorId="0">
      <x:text>
        <x:r>
          <x:t>Revenue (FY:25 A).
Recognized sales from products and services. Consolidated forecast revenue is the sum of the three segment forecasts. Revenue is different from cash collected.
Formula: ='Income Statement'!M8
Cross-sheet references identify the owning schedule. Same-sheet references identify intermediate calculations.</x:t>
        </x:r>
      </x:text>
    </x:comment>
    <x:comment ref="I8" authorId="0">
      <x:text>
        <x:r>
          <x:t>Revenue (FY:26 A).
Recognized sales from products and services. Consolidated forecast revenue is the sum of the three segment forecasts. Revenue is different from cash collected.
Formula: ='Income Statement'!N8
Cross-sheet references identify the owning schedule. Same-sheet references identify intermediate calculations.</x:t>
        </x:r>
      </x:text>
    </x:comment>
    <x:comment ref="J8" authorId="0">
      <x:text>
        <x:r>
          <x:t>Revenue (FY:27 E).
Recognized sales from products and services. Consolidated forecast revenue is the sum of the three segment forecasts. Revenue is different from cash collected.
Formula: ='Income Statement'!O8
Cross-sheet references identify the owning schedule. Same-sheet references identify intermediate calculations.</x:t>
        </x:r>
      </x:text>
    </x:comment>
    <x:comment ref="K8" authorId="0">
      <x:text>
        <x:r>
          <x:t>Revenue (FY:28 E).
Recognized sales from products and services. Consolidated forecast revenue is the sum of the three segment forecasts. Revenue is different from cash collected.
Formula: ='Income Statement'!P8
Cross-sheet references identify the owning schedule. Same-sheet references identify intermediate calculations.</x:t>
        </x:r>
      </x:text>
    </x:comment>
    <x:comment ref="L8" authorId="0">
      <x:text>
        <x:r>
          <x:t>Revenue (FY:29 E).
Recognized sales from products and services. Consolidated forecast revenue is the sum of the three segment forecasts. Revenue is different from cash collected.
Formula: ='Income Statement'!Q8
Cross-sheet references identify the owning schedule. Same-sheet references identify intermediate calculations.</x:t>
        </x:r>
      </x:text>
    </x:comment>
    <x:comment ref="M8" authorId="0">
      <x:text>
        <x:r>
          <x:t>Revenue (FY:30 E).
Recognized sales from products and services. Consolidated forecast revenue is the sum of the three segment forecasts. Revenue is different from cash collected.
Formula: ='Income Statement'!R8
Cross-sheet references identify the owning schedule. Same-sheet references identify intermediate calculations.</x:t>
        </x:r>
      </x:text>
    </x:comment>
    <x:comment ref="N8" authorId="0">
      <x:text>
        <x:r>
          <x:t>Revenue (FY:31 E).
Recognized sales from products and services. Consolidated forecast revenue is the sum of the three segment forecasts. Revenue is different from cash collected.
Formula: ='Income Statement'!S8
Cross-sheet references identify the owning schedule. Same-sheet references identify intermediate calculations.</x:t>
        </x:r>
      </x:text>
    </x:comment>
    <x:comment ref="C9" authorId="0">
      <x:text>
        <x:r>
          <x:t>Current-year revenue divided by prior-year revenue less one. Growth across a segment definition change is unavailable.</x:t>
        </x:r>
      </x:text>
    </x:comment>
    <x:comment ref="E9" authorId="0">
      <x:text>
        <x:r>
          <x:t>Revenue growth (FY:22 A).
Current-year revenue divided by prior-year revenue less one. Growth across a segment definition change is unavailable.
Formula: ='Income Statement'!J9
Cross-sheet references identify the owning schedule. Same-sheet references identify intermediate calculations.</x:t>
        </x:r>
      </x:text>
    </x:comment>
    <x:comment ref="F9" authorId="0">
      <x:text>
        <x:r>
          <x:t>Revenue growth (FY:23 A).
Current-year revenue divided by prior-year revenue less one. Growth across a segment definition change is unavailable.
Formula: ='Income Statement'!K9
Cross-sheet references identify the owning schedule. Same-sheet references identify intermediate calculations.</x:t>
        </x:r>
      </x:text>
    </x:comment>
    <x:comment ref="G9" authorId="0">
      <x:text>
        <x:r>
          <x:t>Revenue growth (FY:24 A).
Current-year revenue divided by prior-year revenue less one. Growth across a segment definition change is unavailable.
Formula: ='Income Statement'!L9
Cross-sheet references identify the owning schedule. Same-sheet references identify intermediate calculations.</x:t>
        </x:r>
      </x:text>
    </x:comment>
    <x:comment ref="H9" authorId="0">
      <x:text>
        <x:r>
          <x:t>Revenue growth (FY:25 A).
Current-year revenue divided by prior-year revenue less one. Growth across a segment definition change is unavailable.
Formula: ='Income Statement'!M9
Cross-sheet references identify the owning schedule. Same-sheet references identify intermediate calculations.</x:t>
        </x:r>
      </x:text>
    </x:comment>
    <x:comment ref="I9" authorId="0">
      <x:text>
        <x:r>
          <x:t>Revenue growth (FY:26 A).
Current-year revenue divided by prior-year revenue less one. Growth across a segment definition change is unavailable.
Formula: ='Income Statement'!N9
Cross-sheet references identify the owning schedule. Same-sheet references identify intermediate calculations.</x:t>
        </x:r>
      </x:text>
    </x:comment>
    <x:comment ref="J9" authorId="0">
      <x:text>
        <x:r>
          <x:t>Revenue growth (FY:27 E).
Current-year revenue divided by prior-year revenue less one. Growth across a segment definition change is unavailable.
Formula: ='Income Statement'!O9
Cross-sheet references identify the owning schedule. Same-sheet references identify intermediate calculations.</x:t>
        </x:r>
      </x:text>
    </x:comment>
    <x:comment ref="K9" authorId="0">
      <x:text>
        <x:r>
          <x:t>Revenue growth (FY:28 E).
Current-year revenue divided by prior-year revenue less one. Growth across a segment definition change is unavailable.
Formula: ='Income Statement'!P9
Cross-sheet references identify the owning schedule. Same-sheet references identify intermediate calculations.</x:t>
        </x:r>
      </x:text>
    </x:comment>
    <x:comment ref="L9" authorId="0">
      <x:text>
        <x:r>
          <x:t>Revenue growth (FY:29 E).
Current-year revenue divided by prior-year revenue less one. Growth across a segment definition change is unavailable.
Formula: ='Income Statement'!Q9
Cross-sheet references identify the owning schedule. Same-sheet references identify intermediate calculations.</x:t>
        </x:r>
      </x:text>
    </x:comment>
    <x:comment ref="M9" authorId="0">
      <x:text>
        <x:r>
          <x:t>Revenue growth (FY:30 E).
Current-year revenue divided by prior-year revenue less one. Growth across a segment definition change is unavailable.
Formula: ='Income Statement'!R9
Cross-sheet references identify the owning schedule. Same-sheet references identify intermediate calculations.</x:t>
        </x:r>
      </x:text>
    </x:comment>
    <x:comment ref="N9" authorId="0">
      <x:text>
        <x:r>
          <x:t>Revenue growth (FY:31 E).
Current-year revenue divided by prior-year revenue less one. Growth across a segment definition change is unavailable.
Formula: ='Income Statement'!S9
Cross-sheet references identify the owning schedule. Same-sheet references identify intermediate calculations.</x:t>
        </x:r>
      </x:text>
    </x:comment>
    <x:comment ref="C11" authorId="0">
      <x:text>
        <x:r>
          <x:t>Gross profit less research and development, sales and marketing, general and administrative costs, and other operating expenses. It excludes nonoperating items and income tax.</x:t>
        </x:r>
      </x:text>
    </x:comment>
    <x:comment ref="E11" authorId="0">
      <x:text>
        <x:r>
          <x:t>Operating income (FY:22 A).
Gross profit less research and development, sales and marketing, general and administrative costs, and other operating expenses. It excludes nonoperating items and income tax.
Formula: ='Income Statement'!J19
Cross-sheet references identify the owning schedule. Same-sheet references identify intermediate calculations.</x:t>
        </x:r>
      </x:text>
    </x:comment>
    <x:comment ref="F11" authorId="0">
      <x:text>
        <x:r>
          <x:t>Operating income (FY:23 A).
Gross profit less research and development, sales and marketing, general and administrative costs, and other operating expenses. It excludes nonoperating items and income tax.
Formula: ='Income Statement'!K19
Cross-sheet references identify the owning schedule. Same-sheet references identify intermediate calculations.</x:t>
        </x:r>
      </x:text>
    </x:comment>
    <x:comment ref="G11" authorId="0">
      <x:text>
        <x:r>
          <x:t>Operating income (FY:24 A).
Gross profit less research and development, sales and marketing, general and administrative costs, and other operating expenses. It excludes nonoperating items and income tax.
Formula: ='Income Statement'!L19
Cross-sheet references identify the owning schedule. Same-sheet references identify intermediate calculations.</x:t>
        </x:r>
      </x:text>
    </x:comment>
    <x:comment ref="H11" authorId="0">
      <x:text>
        <x:r>
          <x:t>Operating income (FY:25 A).
Gross profit less research and development, sales and marketing, general and administrative costs, and other operating expenses. It excludes nonoperating items and income tax.
Formula: ='Income Statement'!M19
Cross-sheet references identify the owning schedule. Same-sheet references identify intermediate calculations.</x:t>
        </x:r>
      </x:text>
    </x:comment>
    <x:comment ref="I11" authorId="0">
      <x:text>
        <x:r>
          <x:t>Operating income (FY:26 A).
Gross profit less research and development, sales and marketing, general and administrative costs, and other operating expenses. It excludes nonoperating items and income tax.
Formula: ='Income Statement'!N19
Cross-sheet references identify the owning schedule. Same-sheet references identify intermediate calculations.</x:t>
        </x:r>
      </x:text>
    </x:comment>
    <x:comment ref="J11" authorId="0">
      <x:text>
        <x:r>
          <x:t>Operating income (FY:27 E).
Gross profit less research and development, sales and marketing, general and administrative costs, and other operating expenses. It excludes nonoperating items and income tax.
Formula: ='Income Statement'!O19
Cross-sheet references identify the owning schedule. Same-sheet references identify intermediate calculations.</x:t>
        </x:r>
      </x:text>
    </x:comment>
    <x:comment ref="K11" authorId="0">
      <x:text>
        <x:r>
          <x:t>Operating income (FY:28 E).
Gross profit less research and development, sales and marketing, general and administrative costs, and other operating expenses. It excludes nonoperating items and income tax.
Formula: ='Income Statement'!P19
Cross-sheet references identify the owning schedule. Same-sheet references identify intermediate calculations.</x:t>
        </x:r>
      </x:text>
    </x:comment>
    <x:comment ref="L11" authorId="0">
      <x:text>
        <x:r>
          <x:t>Operating income (FY:29 E).
Gross profit less research and development, sales and marketing, general and administrative costs, and other operating expenses. It excludes nonoperating items and income tax.
Formula: ='Income Statement'!Q19
Cross-sheet references identify the owning schedule. Same-sheet references identify intermediate calculations.</x:t>
        </x:r>
      </x:text>
    </x:comment>
    <x:comment ref="M11" authorId="0">
      <x:text>
        <x:r>
          <x:t>Operating income (FY:30 E).
Gross profit less research and development, sales and marketing, general and administrative costs, and other operating expenses. It excludes nonoperating items and income tax.
Formula: ='Income Statement'!R19
Cross-sheet references identify the owning schedule. Same-sheet references identify intermediate calculations.</x:t>
        </x:r>
      </x:text>
    </x:comment>
    <x:comment ref="N11" authorId="0">
      <x:text>
        <x:r>
          <x:t>Operating income (FY:31 E).
Gross profit less research and development, sales and marketing, general and administrative costs, and other operating expenses. It excludes nonoperating items and income tax.
Formula: ='Income Statement'!S19
Cross-sheet references identify the owning schedule. Same-sheet references identify intermediate calculations.</x:t>
        </x:r>
      </x:text>
    </x:comment>
    <x:comment ref="C12" authorId="0">
      <x:text>
        <x:r>
          <x:t>Operating income divided by revenue for the same fiscal year. A declining margin can reflect infrastructure depreciation and operating cost assumptions.</x:t>
        </x:r>
      </x:text>
    </x:comment>
    <x:comment ref="E12" authorId="0">
      <x:text>
        <x:r>
          <x:t>Operating margin (FY:22 A).
Operating income divided by revenue for the same fiscal year. A declining margin can reflect infrastructure depreciation and operating cost assumptions.
Formula: ='Income Statement'!J20
Cross-sheet references identify the owning schedule. Same-sheet references identify intermediate calculations.</x:t>
        </x:r>
      </x:text>
    </x:comment>
    <x:comment ref="F12" authorId="0">
      <x:text>
        <x:r>
          <x:t>Operating margin (FY:23 A).
Operating income divided by revenue for the same fiscal year. A declining margin can reflect infrastructure depreciation and operating cost assumptions.
Formula: ='Income Statement'!K20
Cross-sheet references identify the owning schedule. Same-sheet references identify intermediate calculations.</x:t>
        </x:r>
      </x:text>
    </x:comment>
    <x:comment ref="G12" authorId="0">
      <x:text>
        <x:r>
          <x:t>Operating margin (FY:24 A).
Operating income divided by revenue for the same fiscal year. A declining margin can reflect infrastructure depreciation and operating cost assumptions.
Formula: ='Income Statement'!L20
Cross-sheet references identify the owning schedule. Same-sheet references identify intermediate calculations.</x:t>
        </x:r>
      </x:text>
    </x:comment>
    <x:comment ref="H12" authorId="0">
      <x:text>
        <x:r>
          <x:t>Operating margin (FY:25 A).
Operating income divided by revenue for the same fiscal year. A declining margin can reflect infrastructure depreciation and operating cost assumptions.
Formula: ='Income Statement'!M20
Cross-sheet references identify the owning schedule. Same-sheet references identify intermediate calculations.</x:t>
        </x:r>
      </x:text>
    </x:comment>
    <x:comment ref="I12" authorId="0">
      <x:text>
        <x:r>
          <x:t>Operating margin (FY:26 A).
Operating income divided by revenue for the same fiscal year. A declining margin can reflect infrastructure depreciation and operating cost assumptions.
Formula: ='Income Statement'!N20
Cross-sheet references identify the owning schedule. Same-sheet references identify intermediate calculations.</x:t>
        </x:r>
      </x:text>
    </x:comment>
    <x:comment ref="J12" authorId="0">
      <x:text>
        <x:r>
          <x:t>Operating margin (FY:27 E).
Operating income divided by revenue for the same fiscal year. A declining margin can reflect infrastructure depreciation and operating cost assumptions.
Formula: ='Income Statement'!O20
Cross-sheet references identify the owning schedule. Same-sheet references identify intermediate calculations.</x:t>
        </x:r>
      </x:text>
    </x:comment>
    <x:comment ref="K12" authorId="0">
      <x:text>
        <x:r>
          <x:t>Operating margin (FY:28 E).
Operating income divided by revenue for the same fiscal year. A declining margin can reflect infrastructure depreciation and operating cost assumptions.
Formula: ='Income Statement'!P20
Cross-sheet references identify the owning schedule. Same-sheet references identify intermediate calculations.</x:t>
        </x:r>
      </x:text>
    </x:comment>
    <x:comment ref="L12" authorId="0">
      <x:text>
        <x:r>
          <x:t>Operating margin (FY:29 E).
Operating income divided by revenue for the same fiscal year. A declining margin can reflect infrastructure depreciation and operating cost assumptions.
Formula: ='Income Statement'!Q20
Cross-sheet references identify the owning schedule. Same-sheet references identify intermediate calculations.</x:t>
        </x:r>
      </x:text>
    </x:comment>
    <x:comment ref="M12" authorId="0">
      <x:text>
        <x:r>
          <x:t>Operating margin (FY:30 E).
Operating income divided by revenue for the same fiscal year. A declining margin can reflect infrastructure depreciation and operating cost assumptions.
Formula: ='Income Statement'!R20
Cross-sheet references identify the owning schedule. Same-sheet references identify intermediate calculations.</x:t>
        </x:r>
      </x:text>
    </x:comment>
    <x:comment ref="N12" authorId="0">
      <x:text>
        <x:r>
          <x:t>Operating margin (FY:31 E).
Operating income divided by revenue for the same fiscal year. A declining margin can reflect infrastructure depreciation and operating cost assumptions.
Formula: ='Income Statement'!S20
Cross-sheet references identify the owning schedule. Same-sheet references identify intermediate calculations.</x:t>
        </x:r>
      </x:text>
    </x:comment>
    <x:comment ref="C14" authorId="0">
      <x:text>
        <x:r>
          <x:t>Income before taxes less income tax expense. It includes noncash items, so it differs from operating cash flow.</x:t>
        </x:r>
      </x:text>
    </x:comment>
    <x:comment ref="E14" authorId="0">
      <x:text>
        <x:r>
          <x:t>Net income (FY:22 A).
Income before taxes less income tax expense. It includes noncash items, so it differs from operating cash flow.
Formula: ='Income Statement'!J28
Cross-sheet references identify the owning schedule. Same-sheet references identify intermediate calculations.</x:t>
        </x:r>
      </x:text>
    </x:comment>
    <x:comment ref="F14" authorId="0">
      <x:text>
        <x:r>
          <x:t>Net income (FY:23 A).
Income before taxes less income tax expense. It includes noncash items, so it differs from operating cash flow.
Formula: ='Income Statement'!K28
Cross-sheet references identify the owning schedule. Same-sheet references identify intermediate calculations.</x:t>
        </x:r>
      </x:text>
    </x:comment>
    <x:comment ref="G14" authorId="0">
      <x:text>
        <x:r>
          <x:t>Net income (FY:24 A).
Income before taxes less income tax expense. It includes noncash items, so it differs from operating cash flow.
Formula: ='Income Statement'!L28
Cross-sheet references identify the owning schedule. Same-sheet references identify intermediate calculations.</x:t>
        </x:r>
      </x:text>
    </x:comment>
    <x:comment ref="H14" authorId="0">
      <x:text>
        <x:r>
          <x:t>Net income (FY:25 A).
Income before taxes less income tax expense. It includes noncash items, so it differs from operating cash flow.
Formula: ='Income Statement'!M28
Cross-sheet references identify the owning schedule. Same-sheet references identify intermediate calculations.</x:t>
        </x:r>
      </x:text>
    </x:comment>
    <x:comment ref="I14" authorId="0">
      <x:text>
        <x:r>
          <x:t>Net income (FY:26 A).
Income before taxes less income tax expense. It includes noncash items, so it differs from operating cash flow.
Formula: ='Income Statement'!N28
Cross-sheet references identify the owning schedule. Same-sheet references identify intermediate calculations.</x:t>
        </x:r>
      </x:text>
    </x:comment>
    <x:comment ref="J14" authorId="0">
      <x:text>
        <x:r>
          <x:t>Net income (FY:27 E).
Income before taxes less income tax expense. It includes noncash items, so it differs from operating cash flow.
Formula: ='Income Statement'!O28
Cross-sheet references identify the owning schedule. Same-sheet references identify intermediate calculations.</x:t>
        </x:r>
      </x:text>
    </x:comment>
    <x:comment ref="K14" authorId="0">
      <x:text>
        <x:r>
          <x:t>Net income (FY:28 E).
Income before taxes less income tax expense. It includes noncash items, so it differs from operating cash flow.
Formula: ='Income Statement'!P28
Cross-sheet references identify the owning schedule. Same-sheet references identify intermediate calculations.</x:t>
        </x:r>
      </x:text>
    </x:comment>
    <x:comment ref="L14" authorId="0">
      <x:text>
        <x:r>
          <x:t>Net income (FY:29 E).
Income before taxes less income tax expense. It includes noncash items, so it differs from operating cash flow.
Formula: ='Income Statement'!Q28
Cross-sheet references identify the owning schedule. Same-sheet references identify intermediate calculations.</x:t>
        </x:r>
      </x:text>
    </x:comment>
    <x:comment ref="M14" authorId="0">
      <x:text>
        <x:r>
          <x:t>Net income (FY:30 E).
Income before taxes less income tax expense. It includes noncash items, so it differs from operating cash flow.
Formula: ='Income Statement'!R28
Cross-sheet references identify the owning schedule. Same-sheet references identify intermediate calculations.</x:t>
        </x:r>
      </x:text>
    </x:comment>
    <x:comment ref="N14" authorId="0">
      <x:text>
        <x:r>
          <x:t>Net income (FY:31 E).
Income before taxes less income tax expense. It includes noncash items, so it differs from operating cash flow.
Formula: ='Income Statement'!S28
Cross-sheet references identify the owning schedule. Same-sheet references identify intermediate calculations.</x:t>
        </x:r>
      </x:text>
    </x:comment>
    <x:comment ref="C15" authorId="0">
      <x:text>
        <x:r>
          <x:t>Net income divided by diluted weighted average shares. Both numerator and shares are in millions, producing dollars per share.</x:t>
        </x:r>
      </x:text>
    </x:comment>
    <x:comment ref="E15" authorId="0">
      <x:text>
        <x:r>
          <x:t>Diluted earnings per share (FY:22 A).
Net income divided by diluted weighted average shares. Both numerator and shares are in millions, producing dollars per share.
Formula: ='Income Statement'!J33
Cross-sheet references identify the owning schedule. Same-sheet references identify intermediate calculations.</x:t>
        </x:r>
      </x:text>
    </x:comment>
    <x:comment ref="F15" authorId="0">
      <x:text>
        <x:r>
          <x:t>Diluted earnings per share (FY:23 A).
Net income divided by diluted weighted average shares. Both numerator and shares are in millions, producing dollars per share.
Formula: ='Income Statement'!K33
Cross-sheet references identify the owning schedule. Same-sheet references identify intermediate calculations.</x:t>
        </x:r>
      </x:text>
    </x:comment>
    <x:comment ref="G15" authorId="0">
      <x:text>
        <x:r>
          <x:t>Diluted earnings per share (FY:24 A).
Net income divided by diluted weighted average shares. Both numerator and shares are in millions, producing dollars per share.
Formula: ='Income Statement'!L33
Cross-sheet references identify the owning schedule. Same-sheet references identify intermediate calculations.</x:t>
        </x:r>
      </x:text>
    </x:comment>
    <x:comment ref="H15" authorId="0">
      <x:text>
        <x:r>
          <x:t>Diluted earnings per share (FY:25 A).
Net income divided by diluted weighted average shares. Both numerator and shares are in millions, producing dollars per share.
Formula: ='Income Statement'!M33
Cross-sheet references identify the owning schedule. Same-sheet references identify intermediate calculations.</x:t>
        </x:r>
      </x:text>
    </x:comment>
    <x:comment ref="I15" authorId="0">
      <x:text>
        <x:r>
          <x:t>Diluted earnings per share (FY:26 A).
Net income divided by diluted weighted average shares. Both numerator and shares are in millions, producing dollars per share.
Formula: ='Income Statement'!N33
Cross-sheet references identify the owning schedule. Same-sheet references identify intermediate calculations.</x:t>
        </x:r>
      </x:text>
    </x:comment>
    <x:comment ref="J15" authorId="0">
      <x:text>
        <x:r>
          <x:t>Diluted earnings per share (FY:27 E).
Net income divided by diluted weighted average shares. Both numerator and shares are in millions, producing dollars per share.
Formula: ='Income Statement'!O33
Cross-sheet references identify the owning schedule. Same-sheet references identify intermediate calculations.</x:t>
        </x:r>
      </x:text>
    </x:comment>
    <x:comment ref="K15" authorId="0">
      <x:text>
        <x:r>
          <x:t>Diluted earnings per share (FY:28 E).
Net income divided by diluted weighted average shares. Both numerator and shares are in millions, producing dollars per share.
Formula: ='Income Statement'!P33
Cross-sheet references identify the owning schedule. Same-sheet references identify intermediate calculations.</x:t>
        </x:r>
      </x:text>
    </x:comment>
    <x:comment ref="L15" authorId="0">
      <x:text>
        <x:r>
          <x:t>Diluted earnings per share (FY:29 E).
Net income divided by diluted weighted average shares. Both numerator and shares are in millions, producing dollars per share.
Formula: ='Income Statement'!Q33
Cross-sheet references identify the owning schedule. Same-sheet references identify intermediate calculations.</x:t>
        </x:r>
      </x:text>
    </x:comment>
    <x:comment ref="M15" authorId="0">
      <x:text>
        <x:r>
          <x:t>Diluted earnings per share (FY:30 E).
Net income divided by diluted weighted average shares. Both numerator and shares are in millions, producing dollars per share.
Formula: ='Income Statement'!R33
Cross-sheet references identify the owning schedule. Same-sheet references identify intermediate calculations.</x:t>
        </x:r>
      </x:text>
    </x:comment>
    <x:comment ref="N15" authorId="0">
      <x:text>
        <x:r>
          <x:t>Diluted earnings per share (FY:31 E).
Net income divided by diluted weighted average shares. Both numerator and shares are in millions, producing dollars per share.
Formula: ='Income Statement'!S33
Cross-sheet references identify the owning schedule. Same-sheet references identify intermediate calculations.</x:t>
        </x:r>
      </x:text>
    </x:comment>
    <x:comment ref="C17" authorId="0">
      <x:text>
        <x:r>
          <x:t>Cash generated by operations after noncash adjustments and changes in operating assets and liabilities. It excludes cash capital expenditure.</x:t>
        </x:r>
      </x:text>
    </x:comment>
    <x:comment ref="E17" authorId="0">
      <x:text>
        <x:r>
          <x:t>Operating cash flow (FY:22 A).
Cash generated by operations after noncash adjustments and changes in operating assets and liabilities. It excludes cash capital expenditure.
Formula: ='Cash Flow'!J28
Cross-sheet references identify the owning schedule. Same-sheet references identify intermediate calculations.</x:t>
        </x:r>
      </x:text>
    </x:comment>
    <x:comment ref="F17" authorId="0">
      <x:text>
        <x:r>
          <x:t>Operating cash flow (FY:23 A).
Cash generated by operations after noncash adjustments and changes in operating assets and liabilities. It excludes cash capital expenditure.
Formula: ='Cash Flow'!K28
Cross-sheet references identify the owning schedule. Same-sheet references identify intermediate calculations.</x:t>
        </x:r>
      </x:text>
    </x:comment>
    <x:comment ref="G17" authorId="0">
      <x:text>
        <x:r>
          <x:t>Operating cash flow (FY:24 A).
Cash generated by operations after noncash adjustments and changes in operating assets and liabilities. It excludes cash capital expenditure.
Formula: ='Cash Flow'!L28
Cross-sheet references identify the owning schedule. Same-sheet references identify intermediate calculations.</x:t>
        </x:r>
      </x:text>
    </x:comment>
    <x:comment ref="H17" authorId="0">
      <x:text>
        <x:r>
          <x:t>Operating cash flow (FY:25 A).
Cash generated by operations after noncash adjustments and changes in operating assets and liabilities. It excludes cash capital expenditure.
Formula: ='Cash Flow'!M28
Cross-sheet references identify the owning schedule. Same-sheet references identify intermediate calculations.</x:t>
        </x:r>
      </x:text>
    </x:comment>
    <x:comment ref="I17" authorId="0">
      <x:text>
        <x:r>
          <x:t>Operating cash flow (FY:26 A).
Cash generated by operations after noncash adjustments and changes in operating assets and liabilities. It excludes cash capital expenditure.
Formula: ='Cash Flow'!N28
Cross-sheet references identify the owning schedule. Same-sheet references identify intermediate calculations.</x:t>
        </x:r>
      </x:text>
    </x:comment>
    <x:comment ref="J17" authorId="0">
      <x:text>
        <x:r>
          <x:t>Operating cash flow (FY:27 E).
Cash generated by operations after noncash adjustments and changes in operating assets and liabilities. It excludes cash capital expenditure.
Formula: ='Cash Flow'!O28
Cross-sheet references identify the owning schedule. Same-sheet references identify intermediate calculations.</x:t>
        </x:r>
      </x:text>
    </x:comment>
    <x:comment ref="K17" authorId="0">
      <x:text>
        <x:r>
          <x:t>Operating cash flow (FY:28 E).
Cash generated by operations after noncash adjustments and changes in operating assets and liabilities. It excludes cash capital expenditure.
Formula: ='Cash Flow'!P28
Cross-sheet references identify the owning schedule. Same-sheet references identify intermediate calculations.</x:t>
        </x:r>
      </x:text>
    </x:comment>
    <x:comment ref="L17" authorId="0">
      <x:text>
        <x:r>
          <x:t>Operating cash flow (FY:29 E).
Cash generated by operations after noncash adjustments and changes in operating assets and liabilities. It excludes cash capital expenditure.
Formula: ='Cash Flow'!Q28
Cross-sheet references identify the owning schedule. Same-sheet references identify intermediate calculations.</x:t>
        </x:r>
      </x:text>
    </x:comment>
    <x:comment ref="M17" authorId="0">
      <x:text>
        <x:r>
          <x:t>Operating cash flow (FY:30 E).
Cash generated by operations after noncash adjustments and changes in operating assets and liabilities. It excludes cash capital expenditure.
Formula: ='Cash Flow'!R28
Cross-sheet references identify the owning schedule. Same-sheet references identify intermediate calculations.</x:t>
        </x:r>
      </x:text>
    </x:comment>
    <x:comment ref="N17" authorId="0">
      <x:text>
        <x:r>
          <x:t>Operating cash flow (FY:31 E).
Cash generated by operations after noncash adjustments and changes in operating assets and liabilities. It excludes cash capital expenditure.
Formula: ='Cash Flow'!S28
Cross-sheet references identify the owning schedule. Same-sheet references identify intermediate calculations.</x:t>
        </x:r>
      </x:text>
    </x:comment>
    <x:comment ref="C18" authorId="0">
      <x:text>
        <x:r>
          <x:t>Operating cash flow less cash capital expenditure. Cash capex is negative in the cash-flow statement, so the worksheet adds that signed amount to CFO. This measure excludes finance lease principal.</x:t>
        </x:r>
      </x:text>
    </x:comment>
    <x:comment ref="E18" authorId="0">
      <x:text>
        <x:r>
          <x:t>Free cash flow (FY:22 A).
Operating cash flow less cash capital expenditure. Cash capex is negative in the cash-flow statement, so the worksheet adds that signed amount to CFO. This measure excludes finance lease principal.
Formula: ='Cash Flow'!J56
Cross-sheet references identify the owning schedule. Same-sheet references identify intermediate calculations.</x:t>
        </x:r>
      </x:text>
    </x:comment>
    <x:comment ref="F18" authorId="0">
      <x:text>
        <x:r>
          <x:t>Free cash flow (FY:23 A).
Operating cash flow less cash capital expenditure. Cash capex is negative in the cash-flow statement, so the worksheet adds that signed amount to CFO. This measure excludes finance lease principal.
Formula: ='Cash Flow'!K56
Cross-sheet references identify the owning schedule. Same-sheet references identify intermediate calculations.</x:t>
        </x:r>
      </x:text>
    </x:comment>
    <x:comment ref="G18" authorId="0">
      <x:text>
        <x:r>
          <x:t>Free cash flow (FY:24 A).
Operating cash flow less cash capital expenditure. Cash capex is negative in the cash-flow statement, so the worksheet adds that signed amount to CFO. This measure excludes finance lease principal.
Formula: ='Cash Flow'!L56
Cross-sheet references identify the owning schedule. Same-sheet references identify intermediate calculations.</x:t>
        </x:r>
      </x:text>
    </x:comment>
    <x:comment ref="H18" authorId="0">
      <x:text>
        <x:r>
          <x:t>Free cash flow (FY:25 A).
Operating cash flow less cash capital expenditure. Cash capex is negative in the cash-flow statement, so the worksheet adds that signed amount to CFO. This measure excludes finance lease principal.
Formula: ='Cash Flow'!M56
Cross-sheet references identify the owning schedule. Same-sheet references identify intermediate calculations.</x:t>
        </x:r>
      </x:text>
    </x:comment>
    <x:comment ref="I18" authorId="0">
      <x:text>
        <x:r>
          <x:t>Free cash flow (FY:26 A).
Operating cash flow less cash capital expenditure. Cash capex is negative in the cash-flow statement, so the worksheet adds that signed amount to CFO. This measure excludes finance lease principal.
Formula: ='Cash Flow'!N56
Cross-sheet references identify the owning schedule. Same-sheet references identify intermediate calculations.</x:t>
        </x:r>
      </x:text>
    </x:comment>
    <x:comment ref="J18" authorId="0">
      <x:text>
        <x:r>
          <x:t>Free cash flow (FY:27 E).
Operating cash flow less cash capital expenditure. Cash capex is negative in the cash-flow statement, so the worksheet adds that signed amount to CFO. This measure excludes finance lease principal.
Formula: ='Cash Flow'!O56
Cross-sheet references identify the owning schedule. Same-sheet references identify intermediate calculations.</x:t>
        </x:r>
      </x:text>
    </x:comment>
    <x:comment ref="K18" authorId="0">
      <x:text>
        <x:r>
          <x:t>Free cash flow (FY:28 E).
Operating cash flow less cash capital expenditure. Cash capex is negative in the cash-flow statement, so the worksheet adds that signed amount to CFO. This measure excludes finance lease principal.
Formula: ='Cash Flow'!P56
Cross-sheet references identify the owning schedule. Same-sheet references identify intermediate calculations.</x:t>
        </x:r>
      </x:text>
    </x:comment>
    <x:comment ref="L18" authorId="0">
      <x:text>
        <x:r>
          <x:t>Free cash flow (FY:29 E).
Operating cash flow less cash capital expenditure. Cash capex is negative in the cash-flow statement, so the worksheet adds that signed amount to CFO. This measure excludes finance lease principal.
Formula: ='Cash Flow'!Q56
Cross-sheet references identify the owning schedule. Same-sheet references identify intermediate calculations.</x:t>
        </x:r>
      </x:text>
    </x:comment>
    <x:comment ref="M18" authorId="0">
      <x:text>
        <x:r>
          <x:t>Free cash flow (FY:30 E).
Operating cash flow less cash capital expenditure. Cash capex is negative in the cash-flow statement, so the worksheet adds that signed amount to CFO. This measure excludes finance lease principal.
Formula: ='Cash Flow'!R56
Cross-sheet references identify the owning schedule. Same-sheet references identify intermediate calculations.</x:t>
        </x:r>
      </x:text>
    </x:comment>
    <x:comment ref="N18" authorId="0">
      <x:text>
        <x:r>
          <x:t>Free cash flow (FY:31 E).
Operating cash flow less cash capital expenditure. Cash capex is negative in the cash-flow statement, so the worksheet adds that signed amount to CFO. This measure excludes finance lease principal.
Formula: ='Cash Flow'!S56
Cross-sheet references identify the owning schedule. Same-sheet references identify intermediate calculations.</x:t>
        </x:r>
      </x:text>
    </x:comment>
    <x:comment ref="C19" authorId="0">
      <x:text>
        <x:r>
          <x:t>Free cash flow less cash finance lease principal payments. It makes the financing cash burden of leased assets visible.</x:t>
        </x:r>
      </x:text>
    </x:comment>
    <x:comment ref="E19" authorId="0">
      <x:text>
        <x:r>
          <x:t>FCF after finance lease principal (FY:22 A).
Free cash flow less cash finance lease principal payments. It makes the financing cash burden of leased assets visible.
Formula: ='Cash Flow'!J57
Cross-sheet references identify the owning schedule. Same-sheet references identify intermediate calculations.</x:t>
        </x:r>
      </x:text>
    </x:comment>
    <x:comment ref="F19" authorId="0">
      <x:text>
        <x:r>
          <x:t>FCF after finance lease principal (FY:23 A).
Free cash flow less cash finance lease principal payments. It makes the financing cash burden of leased assets visible.
Formula: ='Cash Flow'!K57
Cross-sheet references identify the owning schedule. Same-sheet references identify intermediate calculations.</x:t>
        </x:r>
      </x:text>
    </x:comment>
    <x:comment ref="G19" authorId="0">
      <x:text>
        <x:r>
          <x:t>FCF after finance lease principal (FY:24 A).
Free cash flow less cash finance lease principal payments. It makes the financing cash burden of leased assets visible.
Formula: ='Cash Flow'!L57
Cross-sheet references identify the owning schedule. Same-sheet references identify intermediate calculations.</x:t>
        </x:r>
      </x:text>
    </x:comment>
    <x:comment ref="H19" authorId="0">
      <x:text>
        <x:r>
          <x:t>FCF after finance lease principal (FY:25 A).
Free cash flow less cash finance lease principal payments. It makes the financing cash burden of leased assets visible.
Formula: ='Cash Flow'!M57
Cross-sheet references identify the owning schedule. Same-sheet references identify intermediate calculations.</x:t>
        </x:r>
      </x:text>
    </x:comment>
    <x:comment ref="I19" authorId="0">
      <x:text>
        <x:r>
          <x:t>FCF after finance lease principal (FY:26 A).
Free cash flow less cash finance lease principal payments. It makes the financing cash burden of leased assets visible.
Formula: ='Cash Flow'!N57
Cross-sheet references identify the owning schedule. Same-sheet references identify intermediate calculations.</x:t>
        </x:r>
      </x:text>
    </x:comment>
    <x:comment ref="J19" authorId="0">
      <x:text>
        <x:r>
          <x:t>FCF after finance lease principal (FY:27 E).
Free cash flow less cash finance lease principal payments. It makes the financing cash burden of leased assets visible.
Formula: ='Cash Flow'!O57
Cross-sheet references identify the owning schedule. Same-sheet references identify intermediate calculations.</x:t>
        </x:r>
      </x:text>
    </x:comment>
    <x:comment ref="K19" authorId="0">
      <x:text>
        <x:r>
          <x:t>FCF after finance lease principal (FY:28 E).
Free cash flow less cash finance lease principal payments. It makes the financing cash burden of leased assets visible.
Formula: ='Cash Flow'!P57
Cross-sheet references identify the owning schedule. Same-sheet references identify intermediate calculations.</x:t>
        </x:r>
      </x:text>
    </x:comment>
    <x:comment ref="L19" authorId="0">
      <x:text>
        <x:r>
          <x:t>FCF after finance lease principal (FY:29 E).
Free cash flow less cash finance lease principal payments. It makes the financing cash burden of leased assets visible.
Formula: ='Cash Flow'!Q57
Cross-sheet references identify the owning schedule. Same-sheet references identify intermediate calculations.</x:t>
        </x:r>
      </x:text>
    </x:comment>
    <x:comment ref="M19" authorId="0">
      <x:text>
        <x:r>
          <x:t>FCF after finance lease principal (FY:30 E).
Free cash flow less cash finance lease principal payments. It makes the financing cash burden of leased assets visible.
Formula: ='Cash Flow'!R57
Cross-sheet references identify the owning schedule. Same-sheet references identify intermediate calculations.</x:t>
        </x:r>
      </x:text>
    </x:comment>
    <x:comment ref="N19" authorId="0">
      <x:text>
        <x:r>
          <x:t>FCF after finance lease principal (FY:31 E).
Free cash flow less cash finance lease principal payments. It makes the financing cash burden of leased assets visible.
Formula: ='Cash Flow'!S57
Cross-sheet references identify the owning schedule. Same-sheet references identify intermediate calculations.</x:t>
        </x:r>
      </x:text>
    </x:comment>
    <x:comment ref="C21" authorId="0">
      <x:text>
        <x:r>
          <x:t>Cash capital expenditure divided by the named revenue or earnings denominator in the same year. The capex numerator excludes noncash finance lease additions.</x:t>
        </x:r>
      </x:text>
    </x:comment>
    <x:comment ref="E21" authorId="0">
      <x:text>
        <x:r>
          <x:t>Cash capex / revenue (FY:22 A).
Cash capital expenditure divided by the named revenue or earnings denominator in the same year. The capex numerator excludes noncash finance lease additions.
Formula: =-'Cash Flow'!J30/'Income Statement'!J8
Cross-sheet references identify the owning schedule. Same-sheet references identify intermediate calculations.</x:t>
        </x:r>
      </x:text>
    </x:comment>
    <x:comment ref="F21" authorId="0">
      <x:text>
        <x:r>
          <x:t>Cash capex / revenue (FY:23 A).
Cash capital expenditure divided by the named revenue or earnings denominator in the same year. The capex numerator excludes noncash finance lease additions.
Formula: =-'Cash Flow'!K30/'Income Statement'!K8
Cross-sheet references identify the owning schedule. Same-sheet references identify intermediate calculations.</x:t>
        </x:r>
      </x:text>
    </x:comment>
    <x:comment ref="G21" authorId="0">
      <x:text>
        <x:r>
          <x:t>Cash capex / revenue (FY:24 A).
Cash capital expenditure divided by the named revenue or earnings denominator in the same year. The capex numerator excludes noncash finance lease additions.
Formula: =-'Cash Flow'!L30/'Income Statement'!L8
Cross-sheet references identify the owning schedule. Same-sheet references identify intermediate calculations.</x:t>
        </x:r>
      </x:text>
    </x:comment>
    <x:comment ref="H21" authorId="0">
      <x:text>
        <x:r>
          <x:t>Cash capex / revenue (FY:25 A).
Cash capital expenditure divided by the named revenue or earnings denominator in the same year. The capex numerator excludes noncash finance lease additions.
Formula: =-'Cash Flow'!M30/'Income Statement'!M8
Cross-sheet references identify the owning schedule. Same-sheet references identify intermediate calculations.</x:t>
        </x:r>
      </x:text>
    </x:comment>
    <x:comment ref="I21" authorId="0">
      <x:text>
        <x:r>
          <x:t>Cash capex / revenue (FY:26 A).
Cash capital expenditure divided by the named revenue or earnings denominator in the same year. The capex numerator excludes noncash finance lease additions.
Formula: =-'Cash Flow'!N30/'Income Statement'!N8
Cross-sheet references identify the owning schedule. Same-sheet references identify intermediate calculations.</x:t>
        </x:r>
      </x:text>
    </x:comment>
    <x:comment ref="J21" authorId="0">
      <x:text>
        <x:r>
          <x:t>Cash capex / revenue (FY:27 E).
Cash capital expenditure divided by the named revenue or earnings denominator in the same year. The capex numerator excludes noncash finance lease additions.
Formula: =-'Cash Flow'!O30/'Income Statement'!O8
Cross-sheet references identify the owning schedule. Same-sheet references identify intermediate calculations.</x:t>
        </x:r>
      </x:text>
    </x:comment>
    <x:comment ref="K21" authorId="0">
      <x:text>
        <x:r>
          <x:t>Cash capex / revenue (FY:28 E).
Cash capital expenditure divided by the named revenue or earnings denominator in the same year. The capex numerator excludes noncash finance lease additions.
Formula: =-'Cash Flow'!P30/'Income Statement'!P8
Cross-sheet references identify the owning schedule. Same-sheet references identify intermediate calculations.</x:t>
        </x:r>
      </x:text>
    </x:comment>
    <x:comment ref="L21" authorId="0">
      <x:text>
        <x:r>
          <x:t>Cash capex / revenue (FY:29 E).
Cash capital expenditure divided by the named revenue or earnings denominator in the same year. The capex numerator excludes noncash finance lease additions.
Formula: =-'Cash Flow'!Q30/'Income Statement'!Q8
Cross-sheet references identify the owning schedule. Same-sheet references identify intermediate calculations.</x:t>
        </x:r>
      </x:text>
    </x:comment>
    <x:comment ref="M21" authorId="0">
      <x:text>
        <x:r>
          <x:t>Cash capex / revenue (FY:30 E).
Cash capital expenditure divided by the named revenue or earnings denominator in the same year. The capex numerator excludes noncash finance lease additions.
Formula: =-'Cash Flow'!R30/'Income Statement'!R8
Cross-sheet references identify the owning schedule. Same-sheet references identify intermediate calculations.</x:t>
        </x:r>
      </x:text>
    </x:comment>
    <x:comment ref="N21" authorId="0">
      <x:text>
        <x:r>
          <x:t>Cash capex / revenue (FY:31 E).
Cash capital expenditure divided by the named revenue or earnings denominator in the same year. The capex numerator excludes noncash finance lease additions.
Formula: =-'Cash Flow'!S30/'Income Statement'!S8
Cross-sheet references identify the owning schedule. Same-sheet references identify intermediate calculations.</x:t>
        </x:r>
      </x:text>
    </x:comment>
    <x:comment ref="C22" authorId="0">
      <x:text>
        <x:r>
          <x:t>The named profit measure divided by revenue for the same fiscal year. Review numerator and denominator references in the formula. Percentages are stored as decimals.</x:t>
        </x:r>
      </x:text>
    </x:comment>
    <x:comment ref="E22" authorId="0">
      <x:text>
        <x:r>
          <x:t>FCF margin (FY:22 A).
The named profit measure divided by revenue for the same fiscal year. Review numerator and denominator references in the formula. Percentages are stored as decimals.
Formula: ='Cash Flow'!J56/'Income Statement'!J8
Cross-sheet references identify the owning schedule. Same-sheet references identify intermediate calculations.</x:t>
        </x:r>
      </x:text>
    </x:comment>
    <x:comment ref="F22" authorId="0">
      <x:text>
        <x:r>
          <x:t>FCF margin (FY:23 A).
The named profit measure divided by revenue for the same fiscal year. Review numerator and denominator references in the formula. Percentages are stored as decimals.
Formula: ='Cash Flow'!K56/'Income Statement'!K8
Cross-sheet references identify the owning schedule. Same-sheet references identify intermediate calculations.</x:t>
        </x:r>
      </x:text>
    </x:comment>
    <x:comment ref="G22" authorId="0">
      <x:text>
        <x:r>
          <x:t>FCF margin (FY:24 A).
The named profit measure divided by revenue for the same fiscal year. Review numerator and denominator references in the formula. Percentages are stored as decimals.
Formula: ='Cash Flow'!L56/'Income Statement'!L8
Cross-sheet references identify the owning schedule. Same-sheet references identify intermediate calculations.</x:t>
        </x:r>
      </x:text>
    </x:comment>
    <x:comment ref="H22" authorId="0">
      <x:text>
        <x:r>
          <x:t>FCF margin (FY:25 A).
The named profit measure divided by revenue for the same fiscal year. Review numerator and denominator references in the formula. Percentages are stored as decimals.
Formula: ='Cash Flow'!M56/'Income Statement'!M8
Cross-sheet references identify the owning schedule. Same-sheet references identify intermediate calculations.</x:t>
        </x:r>
      </x:text>
    </x:comment>
    <x:comment ref="I22" authorId="0">
      <x:text>
        <x:r>
          <x:t>FCF margin (FY:26 A).
The named profit measure divided by revenue for the same fiscal year. Review numerator and denominator references in the formula. Percentages are stored as decimals.
Formula: ='Cash Flow'!N56/'Income Statement'!N8
Cross-sheet references identify the owning schedule. Same-sheet references identify intermediate calculations.</x:t>
        </x:r>
      </x:text>
    </x:comment>
    <x:comment ref="J22" authorId="0">
      <x:text>
        <x:r>
          <x:t>FCF margin (FY:27 E).
The named profit measure divided by revenue for the same fiscal year. Review numerator and denominator references in the formula. Percentages are stored as decimals.
Formula: ='Cash Flow'!O56/'Income Statement'!O8
Cross-sheet references identify the owning schedule. Same-sheet references identify intermediate calculations.</x:t>
        </x:r>
      </x:text>
    </x:comment>
    <x:comment ref="K22" authorId="0">
      <x:text>
        <x:r>
          <x:t>FCF margin (FY:28 E).
The named profit measure divided by revenue for the same fiscal year. Review numerator and denominator references in the formula. Percentages are stored as decimals.
Formula: ='Cash Flow'!P56/'Income Statement'!P8
Cross-sheet references identify the owning schedule. Same-sheet references identify intermediate calculations.</x:t>
        </x:r>
      </x:text>
    </x:comment>
    <x:comment ref="L22" authorId="0">
      <x:text>
        <x:r>
          <x:t>FCF margin (FY:29 E).
The named profit measure divided by revenue for the same fiscal year. Review numerator and denominator references in the formula. Percentages are stored as decimals.
Formula: ='Cash Flow'!Q56/'Income Statement'!Q8
Cross-sheet references identify the owning schedule. Same-sheet references identify intermediate calculations.</x:t>
        </x:r>
      </x:text>
    </x:comment>
    <x:comment ref="M22" authorId="0">
      <x:text>
        <x:r>
          <x:t>FCF margin (FY:30 E).
The named profit measure divided by revenue for the same fiscal year. Review numerator and denominator references in the formula. Percentages are stored as decimals.
Formula: ='Cash Flow'!R56/'Income Statement'!R8
Cross-sheet references identify the owning schedule. Same-sheet references identify intermediate calculations.</x:t>
        </x:r>
      </x:text>
    </x:comment>
    <x:comment ref="N22" authorId="0">
      <x:text>
        <x:r>
          <x:t>FCF margin (FY:31 E).
The named profit measure divided by revenue for the same fiscal year. Review numerator and denominator references in the formula. Percentages are stored as decimals.
Formula: ='Cash Flow'!S56/'Income Statement'!S8
Cross-sheet references identify the owning schedule. Same-sheet references identify intermediate calculations.</x:t>
        </x:r>
      </x:text>
    </x:comment>
    <x:comment ref="C24" authorId="0">
      <x:text>
        <x:r>
          <x:t>Ratio of the two measures named in the row label for the same fiscal year. Read the formula below for the exact numerator, denominator and sign treatment. Percentage or multiple formatting does not change the underlying value.</x:t>
        </x:r>
      </x:text>
    </x:comment>
    <x:comment ref="E24" authorId="0">
      <x:text>
        <x:r>
          <x:t>Net income / operating cash flow (FY:22 A).
Ratio of the two measures named in the row label for the same fiscal year. Read the formula below for the exact numerator, denominator and sign treatment. Percentage or multiple formatting does not change the underlying value.
Formula: ='Income Statement'!J28/'Cash Flow'!J28
Cross-sheet references identify the owning schedule. Same-sheet references identify intermediate calculations.</x:t>
        </x:r>
      </x:text>
    </x:comment>
    <x:comment ref="F24" authorId="0">
      <x:text>
        <x:r>
          <x:t>Net income / operating cash flow (FY:23 A).
Ratio of the two measures named in the row label for the same fiscal year. Read the formula below for the exact numerator, denominator and sign treatment. Percentage or multiple formatting does not change the underlying value.
Formula: ='Income Statement'!K28/'Cash Flow'!K28
Cross-sheet references identify the owning schedule. Same-sheet references identify intermediate calculations.</x:t>
        </x:r>
      </x:text>
    </x:comment>
    <x:comment ref="G24" authorId="0">
      <x:text>
        <x:r>
          <x:t>Net income / operating cash flow (FY:24 A).
Ratio of the two measures named in the row label for the same fiscal year. Read the formula below for the exact numerator, denominator and sign treatment. Percentage or multiple formatting does not change the underlying value.
Formula: ='Income Statement'!L28/'Cash Flow'!L28
Cross-sheet references identify the owning schedule. Same-sheet references identify intermediate calculations.</x:t>
        </x:r>
      </x:text>
    </x:comment>
    <x:comment ref="H24" authorId="0">
      <x:text>
        <x:r>
          <x:t>Net income / operating cash flow (FY:25 A).
Ratio of the two measures named in the row label for the same fiscal year. Read the formula below for the exact numerator, denominator and sign treatment. Percentage or multiple formatting does not change the underlying value.
Formula: ='Income Statement'!M28/'Cash Flow'!M28
Cross-sheet references identify the owning schedule. Same-sheet references identify intermediate calculations.</x:t>
        </x:r>
      </x:text>
    </x:comment>
    <x:comment ref="I24" authorId="0">
      <x:text>
        <x:r>
          <x:t>Net income / operating cash flow (FY:26 A).
Ratio of the two measures named in the row label for the same fiscal year. Read the formula below for the exact numerator, denominator and sign treatment. Percentage or multiple formatting does not change the underlying value.
Formula: ='Income Statement'!N28/'Cash Flow'!N28
Cross-sheet references identify the owning schedule. Same-sheet references identify intermediate calculations.</x:t>
        </x:r>
      </x:text>
    </x:comment>
    <x:comment ref="J24" authorId="0">
      <x:text>
        <x:r>
          <x:t>Net income / operating cash flow (FY:27 E).
Ratio of the two measures named in the row label for the same fiscal year. Read the formula below for the exact numerator, denominator and sign treatment. Percentage or multiple formatting does not change the underlying value.
Formula: ='Income Statement'!O28/'Cash Flow'!O28
Cross-sheet references identify the owning schedule. Same-sheet references identify intermediate calculations.</x:t>
        </x:r>
      </x:text>
    </x:comment>
    <x:comment ref="K24" authorId="0">
      <x:text>
        <x:r>
          <x:t>Net income / operating cash flow (FY:28 E).
Ratio of the two measures named in the row label for the same fiscal year. Read the formula below for the exact numerator, denominator and sign treatment. Percentage or multiple formatting does not change the underlying value.
Formula: ='Income Statement'!P28/'Cash Flow'!P28
Cross-sheet references identify the owning schedule. Same-sheet references identify intermediate calculations.</x:t>
        </x:r>
      </x:text>
    </x:comment>
    <x:comment ref="L24" authorId="0">
      <x:text>
        <x:r>
          <x:t>Net income / operating cash flow (FY:29 E).
Ratio of the two measures named in the row label for the same fiscal year. Read the formula below for the exact numerator, denominator and sign treatment. Percentage or multiple formatting does not change the underlying value.
Formula: ='Income Statement'!Q28/'Cash Flow'!Q28
Cross-sheet references identify the owning schedule. Same-sheet references identify intermediate calculations.</x:t>
        </x:r>
      </x:text>
    </x:comment>
    <x:comment ref="M24" authorId="0">
      <x:text>
        <x:r>
          <x:t>Net income / operating cash flow (FY:30 E).
Ratio of the two measures named in the row label for the same fiscal year. Read the formula below for the exact numerator, denominator and sign treatment. Percentage or multiple formatting does not change the underlying value.
Formula: ='Income Statement'!R28/'Cash Flow'!R28
Cross-sheet references identify the owning schedule. Same-sheet references identify intermediate calculations.</x:t>
        </x:r>
      </x:text>
    </x:comment>
    <x:comment ref="N24" authorId="0">
      <x:text>
        <x:r>
          <x:t>Net income / operating cash flow (FY:31 E).
Ratio of the two measures named in the row label for the same fiscal year. Read the formula below for the exact numerator, denominator and sign treatment. Percentage or multiple formatting does not change the underlying value.
Formula: ='Income Statement'!S28/'Cash Flow'!S28
Cross-sheet references identify the owning schedule. Same-sheet references identify intermediate calculations.</x:t>
        </x:r>
      </x:text>
    </x:comment>
    <x:comment ref="C43" authorId="0">
      <x:text>
        <x:r>
          <x:t>Live analytical observation. This formula reads the existing statement or schedule and updates with the selected case. ="FY2031 operating margin: "&amp;(FIXED((N12)*100,1,TRUE)&amp;"%")&amp;". FCF margin: "&amp;(FIXED((N22)*100,1,TRUE)&amp;"%")&amp;"."</x:t>
        </x:r>
      </x:text>
    </x:comment>
    <x:comment ref="C44" authorId="0">
      <x:text>
        <x:r>
          <x:t>Live analytical observation. This formula reads the existing statement or schedule and updates with the selected case. ="FY2031 finance lease principal reduces FCF by "&amp;FIXED((N18-N19)/1000,1,TRUE)&amp;"bn."</x:t>
        </x:r>
      </x:text>
    </x:comment>
    <x:comment ref="C45" authorId="0">
      <x:text>
        <x:r>
          <x:t>Live analytical observation. This formula reads the existing statement or schedule and updates with the selected case. ="Diluted EPS changes from "&amp;FIXED(I15,2,TRUE)&amp;" in FY2026 to "&amp;FIXED(N15,2,TRUE)&amp;" in FY2031, using an independent share-count driver."</x:t>
        </x:r>
      </x:text>
    </x:comment>
    <x:comment ref="C69" authorId="0">
      <x:text>
        <x:r>
          <x:t>Cash conversion (USD billions). Formula-linked chart data. A means actual and E means the active-case estimate. Unavailable historical observations remain blank.</x:t>
        </x:r>
      </x:text>
    </x:comment>
    <x:comment ref="C88" authorId="0">
      <x:text>
        <x:r>
          <x:t>Operating and FCF margins. Formula-linked chart data. A means actual and E means the active-case estimate. Unavailable historical observations remain blank.</x:t>
        </x:r>
      </x:text>
    </x:comment>
  </x:commentList>
</x:comments>
</file>

<file path=xl/comments3.xml><?xml version="1.0" encoding="utf-8"?>
<x:comments xmlns:x="http://schemas.openxmlformats.org/spreadsheetml/2006/main">
  <x:authors>
    <x:author>Goran Brkich</x:author>
  </x:authors>
  <x:commentList>
    <x:comment ref="C2" authorId="0">
      <x:text>
        <x:r>
          <x:t>Investment Banking.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Operating income plus separately disclosed PPE depreciation and intangible amortization. This is an analytical earnings proxy, not Microsoft-reported EBITDA.</x:t>
        </x:r>
      </x:text>
    </x:comment>
    <x:comment ref="E8" authorId="0">
      <x:text>
        <x:r>
          <x:t>Operating income plus disclosed D&amp;A (FY:22 A).
Operating income plus separately disclosed PPE depreciation and intangible amortization. This is an analytical earnings proxy, not Microsoft-reported EBITDA.
Formula: ='Income Statement'!J36
Cross-sheet references identify the owning schedule. Same-sheet references identify intermediate calculations.</x:t>
        </x:r>
      </x:text>
    </x:comment>
    <x:comment ref="F8" authorId="0">
      <x:text>
        <x:r>
          <x:t>Operating income plus disclosed D&amp;A (FY:23 A).
Operating income plus separately disclosed PPE depreciation and intangible amortization. This is an analytical earnings proxy, not Microsoft-reported EBITDA.
Formula: ='Income Statement'!K36
Cross-sheet references identify the owning schedule. Same-sheet references identify intermediate calculations.</x:t>
        </x:r>
      </x:text>
    </x:comment>
    <x:comment ref="G8" authorId="0">
      <x:text>
        <x:r>
          <x:t>Operating income plus disclosed D&amp;A (FY:24 A).
Operating income plus separately disclosed PPE depreciation and intangible amortization. This is an analytical earnings proxy, not Microsoft-reported EBITDA.
Formula: ='Income Statement'!L36
Cross-sheet references identify the owning schedule. Same-sheet references identify intermediate calculations.</x:t>
        </x:r>
      </x:text>
    </x:comment>
    <x:comment ref="H8" authorId="0">
      <x:text>
        <x:r>
          <x:t>Operating income plus disclosed D&amp;A (FY:25 A).
Operating income plus separately disclosed PPE depreciation and intangible amortization. This is an analytical earnings proxy, not Microsoft-reported EBITDA.
Formula: ='Income Statement'!M36
Cross-sheet references identify the owning schedule. Same-sheet references identify intermediate calculations.</x:t>
        </x:r>
      </x:text>
    </x:comment>
    <x:comment ref="I8" authorId="0">
      <x:text>
        <x:r>
          <x:t>Operating income plus disclosed D&amp;A (FY:26 A).
Operating income plus separately disclosed PPE depreciation and intangible amortization. This is an analytical earnings proxy, not Microsoft-reported EBITDA.
Formula: ='Income Statement'!N36
Cross-sheet references identify the owning schedule. Same-sheet references identify intermediate calculations.</x:t>
        </x:r>
      </x:text>
    </x:comment>
    <x:comment ref="J8" authorId="0">
      <x:text>
        <x:r>
          <x:t>Operating income plus disclosed D&amp;A (FY:27 E).
Operating income plus separately disclosed PPE depreciation and intangible amortization. This is an analytical earnings proxy, not Microsoft-reported EBITDA.
Formula: ='Income Statement'!O36
Cross-sheet references identify the owning schedule. Same-sheet references identify intermediate calculations.</x:t>
        </x:r>
      </x:text>
    </x:comment>
    <x:comment ref="K8" authorId="0">
      <x:text>
        <x:r>
          <x:t>Operating income plus disclosed D&amp;A (FY:28 E).
Operating income plus separately disclosed PPE depreciation and intangible amortization. This is an analytical earnings proxy, not Microsoft-reported EBITDA.
Formula: ='Income Statement'!P36
Cross-sheet references identify the owning schedule. Same-sheet references identify intermediate calculations.</x:t>
        </x:r>
      </x:text>
    </x:comment>
    <x:comment ref="L8" authorId="0">
      <x:text>
        <x:r>
          <x:t>Operating income plus disclosed D&amp;A (FY:29 E).
Operating income plus separately disclosed PPE depreciation and intangible amortization. This is an analytical earnings proxy, not Microsoft-reported EBITDA.
Formula: ='Income Statement'!Q36
Cross-sheet references identify the owning schedule. Same-sheet references identify intermediate calculations.</x:t>
        </x:r>
      </x:text>
    </x:comment>
    <x:comment ref="M8" authorId="0">
      <x:text>
        <x:r>
          <x:t>Operating income plus disclosed D&amp;A (FY:30 E).
Operating income plus separately disclosed PPE depreciation and intangible amortization. This is an analytical earnings proxy, not Microsoft-reported EBITDA.
Formula: ='Income Statement'!R36
Cross-sheet references identify the owning schedule. Same-sheet references identify intermediate calculations.</x:t>
        </x:r>
      </x:text>
    </x:comment>
    <x:comment ref="N8" authorId="0">
      <x:text>
        <x:r>
          <x:t>Operating income plus disclosed D&amp;A (FY:31 E).
Operating income plus separately disclosed PPE depreciation and intangible amortization. This is an analytical earnings proxy, not Microsoft-reported EBITDA.
Formula: ='Income Statement'!S36
Cross-sheet references identify the owning schedule. Same-sheet references identify intermediate calculations.</x:t>
        </x:r>
      </x:text>
    </x:comment>
    <x:comment ref="C9" authorId="0">
      <x:text>
        <x:r>
          <x:t>Gross profit less research and development, sales and marketing, general and administrative costs, and other operating expenses. It excludes nonoperating items and income tax.</x:t>
        </x:r>
      </x:text>
    </x:comment>
    <x:comment ref="E9" authorId="0">
      <x:text>
        <x:r>
          <x:t>Operating income (FY:22 A).
Gross profit less research and development, sales and marketing, general and administrative costs, and other operating expenses. It excludes nonoperating items and income tax.
Formula: ='Income Statement'!J19
Cross-sheet references identify the owning schedule. Same-sheet references identify intermediate calculations.</x:t>
        </x:r>
      </x:text>
    </x:comment>
    <x:comment ref="F9" authorId="0">
      <x:text>
        <x:r>
          <x:t>Operating income (FY:23 A).
Gross profit less research and development, sales and marketing, general and administrative costs, and other operating expenses. It excludes nonoperating items and income tax.
Formula: ='Income Statement'!K19
Cross-sheet references identify the owning schedule. Same-sheet references identify intermediate calculations.</x:t>
        </x:r>
      </x:text>
    </x:comment>
    <x:comment ref="G9" authorId="0">
      <x:text>
        <x:r>
          <x:t>Operating income (FY:24 A).
Gross profit less research and development, sales and marketing, general and administrative costs, and other operating expenses. It excludes nonoperating items and income tax.
Formula: ='Income Statement'!L19
Cross-sheet references identify the owning schedule. Same-sheet references identify intermediate calculations.</x:t>
        </x:r>
      </x:text>
    </x:comment>
    <x:comment ref="H9" authorId="0">
      <x:text>
        <x:r>
          <x:t>Operating income (FY:25 A).
Gross profit less research and development, sales and marketing, general and administrative costs, and other operating expenses. It excludes nonoperating items and income tax.
Formula: ='Income Statement'!M19
Cross-sheet references identify the owning schedule. Same-sheet references identify intermediate calculations.</x:t>
        </x:r>
      </x:text>
    </x:comment>
    <x:comment ref="I9" authorId="0">
      <x:text>
        <x:r>
          <x:t>Operating income (FY:26 A).
Gross profit less research and development, sales and marketing, general and administrative costs, and other operating expenses. It excludes nonoperating items and income tax.
Formula: ='Income Statement'!N19
Cross-sheet references identify the owning schedule. Same-sheet references identify intermediate calculations.</x:t>
        </x:r>
      </x:text>
    </x:comment>
    <x:comment ref="J9" authorId="0">
      <x:text>
        <x:r>
          <x:t>Operating income (FY:27 E).
Gross profit less research and development, sales and marketing, general and administrative costs, and other operating expenses. It excludes nonoperating items and income tax.
Formula: ='Income Statement'!O19
Cross-sheet references identify the owning schedule. Same-sheet references identify intermediate calculations.</x:t>
        </x:r>
      </x:text>
    </x:comment>
    <x:comment ref="K9" authorId="0">
      <x:text>
        <x:r>
          <x:t>Operating income (FY:28 E).
Gross profit less research and development, sales and marketing, general and administrative costs, and other operating expenses. It excludes nonoperating items and income tax.
Formula: ='Income Statement'!P19
Cross-sheet references identify the owning schedule. Same-sheet references identify intermediate calculations.</x:t>
        </x:r>
      </x:text>
    </x:comment>
    <x:comment ref="L9" authorId="0">
      <x:text>
        <x:r>
          <x:t>Operating income (FY:29 E).
Gross profit less research and development, sales and marketing, general and administrative costs, and other operating expenses. It excludes nonoperating items and income tax.
Formula: ='Income Statement'!Q19
Cross-sheet references identify the owning schedule. Same-sheet references identify intermediate calculations.</x:t>
        </x:r>
      </x:text>
    </x:comment>
    <x:comment ref="M9" authorId="0">
      <x:text>
        <x:r>
          <x:t>Operating income (FY:30 E).
Gross profit less research and development, sales and marketing, general and administrative costs, and other operating expenses. It excludes nonoperating items and income tax.
Formula: ='Income Statement'!R19
Cross-sheet references identify the owning schedule. Same-sheet references identify intermediate calculations.</x:t>
        </x:r>
      </x:text>
    </x:comment>
    <x:comment ref="N9" authorId="0">
      <x:text>
        <x:r>
          <x:t>Operating income (FY:31 E).
Gross profit less research and development, sales and marketing, general and administrative costs, and other operating expenses. It excludes nonoperating items and income tax.
Formula: ='Income Statement'!S19
Cross-sheet references identify the owning schedule. Same-sheet references identify intermediate calculations.</x:t>
        </x:r>
      </x:text>
    </x:comment>
    <x:comment ref="C11" authorId="0">
      <x:text>
        <x:r>
          <x:t>Debt face principal adjusted for discounts, issuance costs, hedge accounting and exchange premiums. Finance lease liabilities are reported separately.</x:t>
        </x:r>
      </x:text>
    </x:comment>
    <x:comment ref="E11" authorId="0">
      <x:text>
        <x:r>
          <x:t>Debt carrying amount (FY:22 A).
Debt face principal adjusted for discounts, issuance costs, hedge accounting and exchange premiums. Finance lease liabilities are reported separately.
Formula: ='Debt and Leases'!J18
Cross-sheet references identify the owning schedule. Same-sheet references identify intermediate calculations.</x:t>
        </x:r>
      </x:text>
    </x:comment>
    <x:comment ref="F11" authorId="0">
      <x:text>
        <x:r>
          <x:t>Debt carrying amount (FY:23 A).
Debt face principal adjusted for discounts, issuance costs, hedge accounting and exchange premiums. Finance lease liabilities are reported separately.
Formula: ='Debt and Leases'!K18
Cross-sheet references identify the owning schedule. Same-sheet references identify intermediate calculations.</x:t>
        </x:r>
      </x:text>
    </x:comment>
    <x:comment ref="G11" authorId="0">
      <x:text>
        <x:r>
          <x:t>Debt carrying amount (FY:24 A).
Debt face principal adjusted for discounts, issuance costs, hedge accounting and exchange premiums. Finance lease liabilities are reported separately.
Formula: ='Debt and Leases'!L18
Cross-sheet references identify the owning schedule. Same-sheet references identify intermediate calculations.</x:t>
        </x:r>
      </x:text>
    </x:comment>
    <x:comment ref="H11" authorId="0">
      <x:text>
        <x:r>
          <x:t>Debt carrying amount (FY:25 A).
Debt face principal adjusted for discounts, issuance costs, hedge accounting and exchange premiums. Finance lease liabilities are reported separately.
Formula: ='Debt and Leases'!M18
Cross-sheet references identify the owning schedule. Same-sheet references identify intermediate calculations.</x:t>
        </x:r>
      </x:text>
    </x:comment>
    <x:comment ref="I11" authorId="0">
      <x:text>
        <x:r>
          <x:t>Debt carrying amount (FY:26 A).
Debt face principal adjusted for discounts, issuance costs, hedge accounting and exchange premiums. Finance lease liabilities are reported separately.
Formula: ='Debt and Leases'!N18
Cross-sheet references identify the owning schedule. Same-sheet references identify intermediate calculations.</x:t>
        </x:r>
      </x:text>
    </x:comment>
    <x:comment ref="J11" authorId="0">
      <x:text>
        <x:r>
          <x:t>Debt carrying amount (FY:27 E).
Debt face principal adjusted for discounts, issuance costs, hedge accounting and exchange premiums. Finance lease liabilities are reported separately.
Formula: ='Debt and Leases'!O18
Cross-sheet references identify the owning schedule. Same-sheet references identify intermediate calculations.</x:t>
        </x:r>
      </x:text>
    </x:comment>
    <x:comment ref="K11" authorId="0">
      <x:text>
        <x:r>
          <x:t>Debt carrying amount (FY:28 E).
Debt face principal adjusted for discounts, issuance costs, hedge accounting and exchange premiums. Finance lease liabilities are reported separately.
Formula: ='Debt and Leases'!P18
Cross-sheet references identify the owning schedule. Same-sheet references identify intermediate calculations.</x:t>
        </x:r>
      </x:text>
    </x:comment>
    <x:comment ref="L11" authorId="0">
      <x:text>
        <x:r>
          <x:t>Debt carrying amount (FY:29 E).
Debt face principal adjusted for discounts, issuance costs, hedge accounting and exchange premiums. Finance lease liabilities are reported separately.
Formula: ='Debt and Leases'!Q18
Cross-sheet references identify the owning schedule. Same-sheet references identify intermediate calculations.</x:t>
        </x:r>
      </x:text>
    </x:comment>
    <x:comment ref="M11" authorId="0">
      <x:text>
        <x:r>
          <x:t>Debt carrying amount (FY:30 E).
Debt face principal adjusted for discounts, issuance costs, hedge accounting and exchange premiums. Finance lease liabilities are reported separately.
Formula: ='Debt and Leases'!R18
Cross-sheet references identify the owning schedule. Same-sheet references identify intermediate calculations.</x:t>
        </x:r>
      </x:text>
    </x:comment>
    <x:comment ref="N11" authorId="0">
      <x:text>
        <x:r>
          <x:t>Debt carrying amount (FY:31 E).
Debt face principal adjusted for discounts, issuance costs, hedge accounting and exchange premiums. Finance lease liabilities are reported separately.
Formula: ='Debt and Leases'!S18
Cross-sheet references identify the owning schedule. Same-sheet references identify intermediate calculations.</x:t>
        </x:r>
      </x:text>
    </x:comment>
    <x:comment ref="C12" authorId="0">
      <x:text>
        <x:r>
          <x:t>Outstanding finance lease obligations, including current and noncurrent portions. Additions recognize an asset and liability without immediate cash capex.</x:t>
        </x:r>
      </x:text>
    </x:comment>
    <x:comment ref="E12" authorId="0">
      <x:text>
        <x:r>
          <x:t>Finance lease liabilities (FY:22 A).
Outstanding finance lease obligations, including current and noncurrent portions. Additions recognize an asset and liability without immediate cash capex.
Formula: ='Debt and Leases'!J42
Cross-sheet references identify the owning schedule. Same-sheet references identify intermediate calculations.</x:t>
        </x:r>
      </x:text>
    </x:comment>
    <x:comment ref="F12" authorId="0">
      <x:text>
        <x:r>
          <x:t>Finance lease liabilities (FY:23 A).
Outstanding finance lease obligations, including current and noncurrent portions. Additions recognize an asset and liability without immediate cash capex.
Formula: ='Debt and Leases'!K42
Cross-sheet references identify the owning schedule. Same-sheet references identify intermediate calculations.</x:t>
        </x:r>
      </x:text>
    </x:comment>
    <x:comment ref="G12" authorId="0">
      <x:text>
        <x:r>
          <x:t>Finance lease liabilities (FY:24 A).
Outstanding finance lease obligations, including current and noncurrent portions. Additions recognize an asset and liability without immediate cash capex.
Formula: ='Debt and Leases'!L42
Cross-sheet references identify the owning schedule. Same-sheet references identify intermediate calculations.</x:t>
        </x:r>
      </x:text>
    </x:comment>
    <x:comment ref="H12" authorId="0">
      <x:text>
        <x:r>
          <x:t>Finance lease liabilities (FY:25 A).
Outstanding finance lease obligations, including current and noncurrent portions. Additions recognize an asset and liability without immediate cash capex.
Formula: ='Debt and Leases'!M42
Cross-sheet references identify the owning schedule. Same-sheet references identify intermediate calculations.</x:t>
        </x:r>
      </x:text>
    </x:comment>
    <x:comment ref="I12" authorId="0">
      <x:text>
        <x:r>
          <x:t>Finance lease liabilities (FY:26 A).
Outstanding finance lease obligations, including current and noncurrent portions. Additions recognize an asset and liability without immediate cash capex.
Formula: ='Debt and Leases'!N42
Cross-sheet references identify the owning schedule. Same-sheet references identify intermediate calculations.</x:t>
        </x:r>
      </x:text>
    </x:comment>
    <x:comment ref="J12" authorId="0">
      <x:text>
        <x:r>
          <x:t>Finance lease liabilities (FY:27 E).
Outstanding finance lease obligations, including current and noncurrent portions. Additions recognize an asset and liability without immediate cash capex.
Formula: ='Debt and Leases'!O42
Cross-sheet references identify the owning schedule. Same-sheet references identify intermediate calculations.</x:t>
        </x:r>
      </x:text>
    </x:comment>
    <x:comment ref="K12" authorId="0">
      <x:text>
        <x:r>
          <x:t>Finance lease liabilities (FY:28 E).
Outstanding finance lease obligations, including current and noncurrent portions. Additions recognize an asset and liability without immediate cash capex.
Formula: ='Debt and Leases'!P42
Cross-sheet references identify the owning schedule. Same-sheet references identify intermediate calculations.</x:t>
        </x:r>
      </x:text>
    </x:comment>
    <x:comment ref="L12" authorId="0">
      <x:text>
        <x:r>
          <x:t>Finance lease liabilities (FY:29 E).
Outstanding finance lease obligations, including current and noncurrent portions. Additions recognize an asset and liability without immediate cash capex.
Formula: ='Debt and Leases'!Q42
Cross-sheet references identify the owning schedule. Same-sheet references identify intermediate calculations.</x:t>
        </x:r>
      </x:text>
    </x:comment>
    <x:comment ref="M12" authorId="0">
      <x:text>
        <x:r>
          <x:t>Finance lease liabilities (FY:30 E).
Outstanding finance lease obligations, including current and noncurrent portions. Additions recognize an asset and liability without immediate cash capex.
Formula: ='Debt and Leases'!R42
Cross-sheet references identify the owning schedule. Same-sheet references identify intermediate calculations.</x:t>
        </x:r>
      </x:text>
    </x:comment>
    <x:comment ref="N12" authorId="0">
      <x:text>
        <x:r>
          <x:t>Finance lease liabilities (FY:31 E).
Outstanding finance lease obligations, including current and noncurrent portions. Additions recognize an asset and liability without immediate cash capex.
Formula: ='Debt and Leases'!S42
Cross-sheet references identify the owning schedule. Same-sheet references identify intermediate calculations.</x:t>
        </x:r>
      </x:text>
    </x:comment>
    <x:comment ref="C13" authorId="0">
      <x:text>
        <x:r>
          <x:t>Operating lease liabilities. This line belongs to the Investment Banking calculation. Read its formula to trace the referenced inputs and intermediate totals.</x:t>
        </x:r>
      </x:text>
    </x:comment>
    <x:comment ref="E13" authorId="0">
      <x:text>
        <x:r>
          <x:t>Operating lease liabilities (FY:22 A).
Operating lease liabilities. This line belongs to the Investment Banking calculation. Read its formula to trace the referenced inputs and intermediate totals.
Formula: ='Debt and Leases'!J63
Cross-sheet references identify the owning schedule. Same-sheet references identify intermediate calculations.</x:t>
        </x:r>
      </x:text>
    </x:comment>
    <x:comment ref="F13" authorId="0">
      <x:text>
        <x:r>
          <x:t>Operating lease liabilities (FY:23 A).
Operating lease liabilities. This line belongs to the Investment Banking calculation. Read its formula to trace the referenced inputs and intermediate totals.
Formula: ='Debt and Leases'!K63
Cross-sheet references identify the owning schedule. Same-sheet references identify intermediate calculations.</x:t>
        </x:r>
      </x:text>
    </x:comment>
    <x:comment ref="G13" authorId="0">
      <x:text>
        <x:r>
          <x:t>Operating lease liabilities (FY:24 A).
Operating lease liabilities. This line belongs to the Investment Banking calculation. Read its formula to trace the referenced inputs and intermediate totals.
Formula: ='Debt and Leases'!L63
Cross-sheet references identify the owning schedule. Same-sheet references identify intermediate calculations.</x:t>
        </x:r>
      </x:text>
    </x:comment>
    <x:comment ref="H13" authorId="0">
      <x:text>
        <x:r>
          <x:t>Operating lease liabilities (FY:25 A).
Operating lease liabilities. This line belongs to the Investment Banking calculation. Read its formula to trace the referenced inputs and intermediate totals.
Formula: ='Debt and Leases'!M63
Cross-sheet references identify the owning schedule. Same-sheet references identify intermediate calculations.</x:t>
        </x:r>
      </x:text>
    </x:comment>
    <x:comment ref="I13" authorId="0">
      <x:text>
        <x:r>
          <x:t>Operating lease liabilities (FY:26 A).
Operating lease liabilities. This line belongs to the Investment Banking calculation. Read its formula to trace the referenced inputs and intermediate totals.
Formula: ='Debt and Leases'!N63
Cross-sheet references identify the owning schedule. Same-sheet references identify intermediate calculations.</x:t>
        </x:r>
      </x:text>
    </x:comment>
    <x:comment ref="J13" authorId="0">
      <x:text>
        <x:r>
          <x:t>Operating lease liabilities (FY:27 E).
Operating lease liabilities. This line belongs to the Investment Banking calculation. Read its formula to trace the referenced inputs and intermediate totals.
Formula: ='Debt and Leases'!O63
Cross-sheet references identify the owning schedule. Same-sheet references identify intermediate calculations.</x:t>
        </x:r>
      </x:text>
    </x:comment>
    <x:comment ref="K13" authorId="0">
      <x:text>
        <x:r>
          <x:t>Operating lease liabilities (FY:28 E).
Operating lease liabilities. This line belongs to the Investment Banking calculation. Read its formula to trace the referenced inputs and intermediate totals.
Formula: ='Debt and Leases'!P63
Cross-sheet references identify the owning schedule. Same-sheet references identify intermediate calculations.</x:t>
        </x:r>
      </x:text>
    </x:comment>
    <x:comment ref="L13" authorId="0">
      <x:text>
        <x:r>
          <x:t>Operating lease liabilities (FY:29 E).
Operating lease liabilities. This line belongs to the Investment Banking calculation. Read its formula to trace the referenced inputs and intermediate totals.
Formula: ='Debt and Leases'!Q63
Cross-sheet references identify the owning schedule. Same-sheet references identify intermediate calculations.</x:t>
        </x:r>
      </x:text>
    </x:comment>
    <x:comment ref="M13" authorId="0">
      <x:text>
        <x:r>
          <x:t>Operating lease liabilities (FY:30 E).
Operating lease liabilities. This line belongs to the Investment Banking calculation. Read its formula to trace the referenced inputs and intermediate totals.
Formula: ='Debt and Leases'!R63
Cross-sheet references identify the owning schedule. Same-sheet references identify intermediate calculations.</x:t>
        </x:r>
      </x:text>
    </x:comment>
    <x:comment ref="N13" authorId="0">
      <x:text>
        <x:r>
          <x:t>Operating lease liabilities (FY:31 E).
Operating lease liabilities. This line belongs to the Investment Banking calculation. Read its formula to trace the referenced inputs and intermediate totals.
Formula: ='Debt and Leases'!S63
Cross-sheet references identify the owning schedule. Same-sheet references identify intermediate calculations.</x:t>
        </x:r>
      </x:text>
    </x:comment>
    <x:comment ref="C15" authorId="0">
      <x:text>
        <x:r>
          <x:t>Cash and cash equivalents plus short-term investments. This is a liquidity measure, not total corporate cash resources.</x:t>
        </x:r>
      </x:text>
    </x:comment>
    <x:comment ref="E15" authorId="0">
      <x:text>
        <x:r>
          <x:t>Cash and short-term investments (FY:22 A).
Cash and cash equivalents plus short-term investments. This is a liquidity measure, not total corporate cash resources.
Formula: ='Balance Sheet'!J10
Cross-sheet references identify the owning schedule. Same-sheet references identify intermediate calculations.</x:t>
        </x:r>
      </x:text>
    </x:comment>
    <x:comment ref="F15" authorId="0">
      <x:text>
        <x:r>
          <x:t>Cash and short-term investments (FY:23 A).
Cash and cash equivalents plus short-term investments. This is a liquidity measure, not total corporate cash resources.
Formula: ='Balance Sheet'!K10
Cross-sheet references identify the owning schedule. Same-sheet references identify intermediate calculations.</x:t>
        </x:r>
      </x:text>
    </x:comment>
    <x:comment ref="G15" authorId="0">
      <x:text>
        <x:r>
          <x:t>Cash and short-term investments (FY:24 A).
Cash and cash equivalents plus short-term investments. This is a liquidity measure, not total corporate cash resources.
Formula: ='Balance Sheet'!L10
Cross-sheet references identify the owning schedule. Same-sheet references identify intermediate calculations.</x:t>
        </x:r>
      </x:text>
    </x:comment>
    <x:comment ref="H15" authorId="0">
      <x:text>
        <x:r>
          <x:t>Cash and short-term investments (FY:25 A).
Cash and cash equivalents plus short-term investments. This is a liquidity measure, not total corporate cash resources.
Formula: ='Balance Sheet'!M10
Cross-sheet references identify the owning schedule. Same-sheet references identify intermediate calculations.</x:t>
        </x:r>
      </x:text>
    </x:comment>
    <x:comment ref="I15" authorId="0">
      <x:text>
        <x:r>
          <x:t>Cash and short-term investments (FY:26 A).
Cash and cash equivalents plus short-term investments. This is a liquidity measure, not total corporate cash resources.
Formula: ='Balance Sheet'!N10
Cross-sheet references identify the owning schedule. Same-sheet references identify intermediate calculations.</x:t>
        </x:r>
      </x:text>
    </x:comment>
    <x:comment ref="J15" authorId="0">
      <x:text>
        <x:r>
          <x:t>Cash and short-term investments (FY:27 E).
Cash and cash equivalents plus short-term investments. This is a liquidity measure, not total corporate cash resources.
Formula: ='Balance Sheet'!O10
Cross-sheet references identify the owning schedule. Same-sheet references identify intermediate calculations.</x:t>
        </x:r>
      </x:text>
    </x:comment>
    <x:comment ref="K15" authorId="0">
      <x:text>
        <x:r>
          <x:t>Cash and short-term investments (FY:28 E).
Cash and cash equivalents plus short-term investments. This is a liquidity measure, not total corporate cash resources.
Formula: ='Balance Sheet'!P10
Cross-sheet references identify the owning schedule. Same-sheet references identify intermediate calculations.</x:t>
        </x:r>
      </x:text>
    </x:comment>
    <x:comment ref="L15" authorId="0">
      <x:text>
        <x:r>
          <x:t>Cash and short-term investments (FY:29 E).
Cash and cash equivalents plus short-term investments. This is a liquidity measure, not total corporate cash resources.
Formula: ='Balance Sheet'!Q10
Cross-sheet references identify the owning schedule. Same-sheet references identify intermediate calculations.</x:t>
        </x:r>
      </x:text>
    </x:comment>
    <x:comment ref="M15" authorId="0">
      <x:text>
        <x:r>
          <x:t>Cash and short-term investments (FY:30 E).
Cash and cash equivalents plus short-term investments. This is a liquidity measure, not total corporate cash resources.
Formula: ='Balance Sheet'!R10
Cross-sheet references identify the owning schedule. Same-sheet references identify intermediate calculations.</x:t>
        </x:r>
      </x:text>
    </x:comment>
    <x:comment ref="N15" authorId="0">
      <x:text>
        <x:r>
          <x:t>Cash and short-term investments (FY:31 E).
Cash and cash equivalents plus short-term investments. This is a liquidity measure, not total corporate cash resources.
Formula: ='Balance Sheet'!S10
Cross-sheet references identify the owning schedule. Same-sheet references identify intermediate calculations.</x:t>
        </x:r>
      </x:text>
    </x:comment>
    <x:comment ref="C16" authorId="0">
      <x:text>
        <x:r>
          <x:t>Debt carrying amount less cash and short-term investments. Negative net debt indicates net liquidity under this definition.</x:t>
        </x:r>
      </x:text>
    </x:comment>
    <x:comment ref="E16" authorId="0">
      <x:text>
        <x:r>
          <x:t>Net debt excluding leases (FY:22 A).
Debt carrying amount less cash and short-term investments. Negative net debt indicates net liquidity under this definition.
Formula: ='Debt and Leases'!J18-'Balance Sheet'!J10
Cross-sheet references identify the owning schedule. Same-sheet references identify intermediate calculations.</x:t>
        </x:r>
      </x:text>
    </x:comment>
    <x:comment ref="F16" authorId="0">
      <x:text>
        <x:r>
          <x:t>Net debt excluding leases (FY:23 A).
Debt carrying amount less cash and short-term investments. Negative net debt indicates net liquidity under this definition.
Formula: ='Debt and Leases'!K18-'Balance Sheet'!K10
Cross-sheet references identify the owning schedule. Same-sheet references identify intermediate calculations.</x:t>
        </x:r>
      </x:text>
    </x:comment>
    <x:comment ref="G16" authorId="0">
      <x:text>
        <x:r>
          <x:t>Net debt excluding leases (FY:24 A).
Debt carrying amount less cash and short-term investments. Negative net debt indicates net liquidity under this definition.
Formula: ='Debt and Leases'!L18-'Balance Sheet'!L10
Cross-sheet references identify the owning schedule. Same-sheet references identify intermediate calculations.</x:t>
        </x:r>
      </x:text>
    </x:comment>
    <x:comment ref="H16" authorId="0">
      <x:text>
        <x:r>
          <x:t>Net debt excluding leases (FY:25 A).
Debt carrying amount less cash and short-term investments. Negative net debt indicates net liquidity under this definition.
Formula: ='Debt and Leases'!M18-'Balance Sheet'!M10
Cross-sheet references identify the owning schedule. Same-sheet references identify intermediate calculations.</x:t>
        </x:r>
      </x:text>
    </x:comment>
    <x:comment ref="I16" authorId="0">
      <x:text>
        <x:r>
          <x:t>Net debt excluding leases (FY:26 A).
Debt carrying amount less cash and short-term investments. Negative net debt indicates net liquidity under this definition.
Formula: ='Debt and Leases'!N18-'Balance Sheet'!N10
Cross-sheet references identify the owning schedule. Same-sheet references identify intermediate calculations.</x:t>
        </x:r>
      </x:text>
    </x:comment>
    <x:comment ref="J16" authorId="0">
      <x:text>
        <x:r>
          <x:t>Net debt excluding leases (FY:27 E).
Debt carrying amount less cash and short-term investments. Negative net debt indicates net liquidity under this definition.
Formula: ='Debt and Leases'!O18-'Balance Sheet'!O10
Cross-sheet references identify the owning schedule. Same-sheet references identify intermediate calculations.</x:t>
        </x:r>
      </x:text>
    </x:comment>
    <x:comment ref="K16" authorId="0">
      <x:text>
        <x:r>
          <x:t>Net debt excluding leases (FY:28 E).
Debt carrying amount less cash and short-term investments. Negative net debt indicates net liquidity under this definition.
Formula: ='Debt and Leases'!P18-'Balance Sheet'!P10
Cross-sheet references identify the owning schedule. Same-sheet references identify intermediate calculations.</x:t>
        </x:r>
      </x:text>
    </x:comment>
    <x:comment ref="L16" authorId="0">
      <x:text>
        <x:r>
          <x:t>Net debt excluding leases (FY:29 E).
Debt carrying amount less cash and short-term investments. Negative net debt indicates net liquidity under this definition.
Formula: ='Debt and Leases'!Q18-'Balance Sheet'!Q10
Cross-sheet references identify the owning schedule. Same-sheet references identify intermediate calculations.</x:t>
        </x:r>
      </x:text>
    </x:comment>
    <x:comment ref="M16" authorId="0">
      <x:text>
        <x:r>
          <x:t>Net debt excluding leases (FY:30 E).
Debt carrying amount less cash and short-term investments. Negative net debt indicates net liquidity under this definition.
Formula: ='Debt and Leases'!R18-'Balance Sheet'!R10
Cross-sheet references identify the owning schedule. Same-sheet references identify intermediate calculations.</x:t>
        </x:r>
      </x:text>
    </x:comment>
    <x:comment ref="N16" authorId="0">
      <x:text>
        <x:r>
          <x:t>Net debt excluding leases (FY:31 E).
Debt carrying amount less cash and short-term investments. Negative net debt indicates net liquidity under this definition.
Formula: ='Debt and Leases'!S18-'Balance Sheet'!S10
Cross-sheet references identify the owning schedule. Same-sheet references identify intermediate calculations.</x:t>
        </x:r>
      </x:text>
    </x:comment>
    <x:comment ref="C17" authorId="0">
      <x:text>
        <x:r>
          <x:t>Debt carrying amount plus finance lease liabilities less cash and short-term investments. Operating leases remain separately disclosed.</x:t>
        </x:r>
      </x:text>
    </x:comment>
    <x:comment ref="E17" authorId="0">
      <x:text>
        <x:r>
          <x:t>Net debt including finance leases (FY:22 A).
Debt carrying amount plus finance lease liabilities less cash and short-term investments. Operating leases remain separately disclosed.
Formula: ='Debt and Leases'!J18+'Debt and Leases'!J42-'Balance Sheet'!J10
Cross-sheet references identify the owning schedule. Same-sheet references identify intermediate calculations.</x:t>
        </x:r>
      </x:text>
    </x:comment>
    <x:comment ref="F17" authorId="0">
      <x:text>
        <x:r>
          <x:t>Net debt including finance leases (FY:23 A).
Debt carrying amount plus finance lease liabilities less cash and short-term investments. Operating leases remain separately disclosed.
Formula: ='Debt and Leases'!K18+'Debt and Leases'!K42-'Balance Sheet'!K10
Cross-sheet references identify the owning schedule. Same-sheet references identify intermediate calculations.</x:t>
        </x:r>
      </x:text>
    </x:comment>
    <x:comment ref="G17" authorId="0">
      <x:text>
        <x:r>
          <x:t>Net debt including finance leases (FY:24 A).
Debt carrying amount plus finance lease liabilities less cash and short-term investments. Operating leases remain separately disclosed.
Formula: ='Debt and Leases'!L18+'Debt and Leases'!L42-'Balance Sheet'!L10
Cross-sheet references identify the owning schedule. Same-sheet references identify intermediate calculations.</x:t>
        </x:r>
      </x:text>
    </x:comment>
    <x:comment ref="H17" authorId="0">
      <x:text>
        <x:r>
          <x:t>Net debt including finance leases (FY:25 A).
Debt carrying amount plus finance lease liabilities less cash and short-term investments. Operating leases remain separately disclosed.
Formula: ='Debt and Leases'!M18+'Debt and Leases'!M42-'Balance Sheet'!M10
Cross-sheet references identify the owning schedule. Same-sheet references identify intermediate calculations.</x:t>
        </x:r>
      </x:text>
    </x:comment>
    <x:comment ref="I17" authorId="0">
      <x:text>
        <x:r>
          <x:t>Net debt including finance leases (FY:26 A).
Debt carrying amount plus finance lease liabilities less cash and short-term investments. Operating leases remain separately disclosed.
Formula: ='Debt and Leases'!N18+'Debt and Leases'!N42-'Balance Sheet'!N10
Cross-sheet references identify the owning schedule. Same-sheet references identify intermediate calculations.</x:t>
        </x:r>
      </x:text>
    </x:comment>
    <x:comment ref="J17" authorId="0">
      <x:text>
        <x:r>
          <x:t>Net debt including finance leases (FY:27 E).
Debt carrying amount plus finance lease liabilities less cash and short-term investments. Operating leases remain separately disclosed.
Formula: ='Debt and Leases'!O18+'Debt and Leases'!O42-'Balance Sheet'!O10
Cross-sheet references identify the owning schedule. Same-sheet references identify intermediate calculations.</x:t>
        </x:r>
      </x:text>
    </x:comment>
    <x:comment ref="K17" authorId="0">
      <x:text>
        <x:r>
          <x:t>Net debt including finance leases (FY:28 E).
Debt carrying amount plus finance lease liabilities less cash and short-term investments. Operating leases remain separately disclosed.
Formula: ='Debt and Leases'!P18+'Debt and Leases'!P42-'Balance Sheet'!P10
Cross-sheet references identify the owning schedule. Same-sheet references identify intermediate calculations.</x:t>
        </x:r>
      </x:text>
    </x:comment>
    <x:comment ref="L17" authorId="0">
      <x:text>
        <x:r>
          <x:t>Net debt including finance leases (FY:29 E).
Debt carrying amount plus finance lease liabilities less cash and short-term investments. Operating leases remain separately disclosed.
Formula: ='Debt and Leases'!Q18+'Debt and Leases'!Q42-'Balance Sheet'!Q10
Cross-sheet references identify the owning schedule. Same-sheet references identify intermediate calculations.</x:t>
        </x:r>
      </x:text>
    </x:comment>
    <x:comment ref="M17" authorId="0">
      <x:text>
        <x:r>
          <x:t>Net debt including finance leases (FY:30 E).
Debt carrying amount plus finance lease liabilities less cash and short-term investments. Operating leases remain separately disclosed.
Formula: ='Debt and Leases'!R18+'Debt and Leases'!R42-'Balance Sheet'!R10
Cross-sheet references identify the owning schedule. Same-sheet references identify intermediate calculations.</x:t>
        </x:r>
      </x:text>
    </x:comment>
    <x:comment ref="N17" authorId="0">
      <x:text>
        <x:r>
          <x:t>Net debt including finance leases (FY:31 E).
Debt carrying amount plus finance lease liabilities less cash and short-term investments. Operating leases remain separately disclosed.
Formula: ='Debt and Leases'!S18+'Debt and Leases'!S42-'Balance Sheet'!S10
Cross-sheet references identify the owning schedule. Same-sheet references identify intermediate calculations.</x:t>
        </x:r>
      </x:text>
    </x:comment>
    <x:comment ref="C19" authorId="0">
      <x:text>
        <x:r>
          <x:t>Ratio of the two measures named in the row label for the same fiscal year. Read the formula below for the exact numerator, denominator and sign treatment. Percentage or multiple formatting does not change the underlying value.</x:t>
        </x:r>
      </x:text>
    </x:comment>
    <x:comment ref="E19" authorId="0">
      <x:text>
        <x:r>
          <x:t>Debt / operating income plus D&amp;A (FY:22 A).
Ratio of the two measures named in the row label for the same fiscal year. Read the formula below for the exact numerator, denominator and sign treatment. Percentage or multiple formatting does not change the underlying value.
Formula: ='Debt and Leases'!J18/'Income Statement'!J36
Cross-sheet references identify the owning schedule. Same-sheet references identify intermediate calculations.</x:t>
        </x:r>
      </x:text>
    </x:comment>
    <x:comment ref="F19" authorId="0">
      <x:text>
        <x:r>
          <x:t>Debt / operating income plus D&amp;A (FY:23 A).
Ratio of the two measures named in the row label for the same fiscal year. Read the formula below for the exact numerator, denominator and sign treatment. Percentage or multiple formatting does not change the underlying value.
Formula: ='Debt and Leases'!K18/'Income Statement'!K36
Cross-sheet references identify the owning schedule. Same-sheet references identify intermediate calculations.</x:t>
        </x:r>
      </x:text>
    </x:comment>
    <x:comment ref="G19" authorId="0">
      <x:text>
        <x:r>
          <x:t>Debt / operating income plus D&amp;A (FY:24 A).
Ratio of the two measures named in the row label for the same fiscal year. Read the formula below for the exact numerator, denominator and sign treatment. Percentage or multiple formatting does not change the underlying value.
Formula: ='Debt and Leases'!L18/'Income Statement'!L36
Cross-sheet references identify the owning schedule. Same-sheet references identify intermediate calculations.</x:t>
        </x:r>
      </x:text>
    </x:comment>
    <x:comment ref="H19" authorId="0">
      <x:text>
        <x:r>
          <x:t>Debt / operating income plus D&amp;A (FY:25 A).
Ratio of the two measures named in the row label for the same fiscal year. Read the formula below for the exact numerator, denominator and sign treatment. Percentage or multiple formatting does not change the underlying value.
Formula: ='Debt and Leases'!M18/'Income Statement'!M36
Cross-sheet references identify the owning schedule. Same-sheet references identify intermediate calculations.</x:t>
        </x:r>
      </x:text>
    </x:comment>
    <x:comment ref="I19" authorId="0">
      <x:text>
        <x:r>
          <x:t>Debt / operating income plus D&amp;A (FY:26 A).
Ratio of the two measures named in the row label for the same fiscal year. Read the formula below for the exact numerator, denominator and sign treatment. Percentage or multiple formatting does not change the underlying value.
Formula: ='Debt and Leases'!N18/'Income Statement'!N36
Cross-sheet references identify the owning schedule. Same-sheet references identify intermediate calculations.</x:t>
        </x:r>
      </x:text>
    </x:comment>
    <x:comment ref="J19" authorId="0">
      <x:text>
        <x:r>
          <x:t>Debt / operating income plus D&amp;A (FY:27 E).
Ratio of the two measures named in the row label for the same fiscal year. Read the formula below for the exact numerator, denominator and sign treatment. Percentage or multiple formatting does not change the underlying value.
Formula: ='Debt and Leases'!O18/'Income Statement'!O36
Cross-sheet references identify the owning schedule. Same-sheet references identify intermediate calculations.</x:t>
        </x:r>
      </x:text>
    </x:comment>
    <x:comment ref="K19" authorId="0">
      <x:text>
        <x:r>
          <x:t>Debt / operating income plus D&amp;A (FY:28 E).
Ratio of the two measures named in the row label for the same fiscal year. Read the formula below for the exact numerator, denominator and sign treatment. Percentage or multiple formatting does not change the underlying value.
Formula: ='Debt and Leases'!P18/'Income Statement'!P36
Cross-sheet references identify the owning schedule. Same-sheet references identify intermediate calculations.</x:t>
        </x:r>
      </x:text>
    </x:comment>
    <x:comment ref="L19" authorId="0">
      <x:text>
        <x:r>
          <x:t>Debt / operating income plus D&amp;A (FY:29 E).
Ratio of the two measures named in the row label for the same fiscal year. Read the formula below for the exact numerator, denominator and sign treatment. Percentage or multiple formatting does not change the underlying value.
Formula: ='Debt and Leases'!Q18/'Income Statement'!Q36
Cross-sheet references identify the owning schedule. Same-sheet references identify intermediate calculations.</x:t>
        </x:r>
      </x:text>
    </x:comment>
    <x:comment ref="M19" authorId="0">
      <x:text>
        <x:r>
          <x:t>Debt / operating income plus D&amp;A (FY:30 E).
Ratio of the two measures named in the row label for the same fiscal year. Read the formula below for the exact numerator, denominator and sign treatment. Percentage or multiple formatting does not change the underlying value.
Formula: ='Debt and Leases'!R18/'Income Statement'!R36
Cross-sheet references identify the owning schedule. Same-sheet references identify intermediate calculations.</x:t>
        </x:r>
      </x:text>
    </x:comment>
    <x:comment ref="N19" authorId="0">
      <x:text>
        <x:r>
          <x:t>Debt / operating income plus D&amp;A (FY:31 E).
Ratio of the two measures named in the row label for the same fiscal year. Read the formula below for the exact numerator, denominator and sign treatment. Percentage or multiple formatting does not change the underlying value.
Formula: ='Debt and Leases'!S18/'Income Statement'!S36
Cross-sheet references identify the owning schedule. Same-sheet references identify intermediate calculations.</x:t>
        </x:r>
      </x:text>
    </x:comment>
    <x:comment ref="C20" authorId="0">
      <x:text>
        <x:r>
          <x:t>Ratio of the two measures named in the row label for the same fiscal year. Read the formula below for the exact numerator, denominator and sign treatment. Percentage or multiple formatting does not change the underlying value.</x:t>
        </x:r>
      </x:text>
    </x:comment>
    <x:comment ref="E20" authorId="0">
      <x:text>
        <x:r>
          <x:t>Debt including finance leases / earnings proxy (FY:22 A).
Ratio of the two measures named in the row label for the same fiscal year. Read the formula below for the exact numerator, denominator and sign treatment. Percentage or multiple formatting does not change the underlying value.
Formula: =('Debt and Leases'!J18+'Debt and Leases'!J42)/'Income Statement'!J36
Cross-sheet references identify the owning schedule. Same-sheet references identify intermediate calculations.</x:t>
        </x:r>
      </x:text>
    </x:comment>
    <x:comment ref="F20" authorId="0">
      <x:text>
        <x:r>
          <x:t>Debt including finance leases / earnings proxy (FY:23 A).
Ratio of the two measures named in the row label for the same fiscal year. Read the formula below for the exact numerator, denominator and sign treatment. Percentage or multiple formatting does not change the underlying value.
Formula: =('Debt and Leases'!K18+'Debt and Leases'!K42)/'Income Statement'!K36
Cross-sheet references identify the owning schedule. Same-sheet references identify intermediate calculations.</x:t>
        </x:r>
      </x:text>
    </x:comment>
    <x:comment ref="G20" authorId="0">
      <x:text>
        <x:r>
          <x:t>Debt including finance leases / earnings proxy (FY:24 A).
Ratio of the two measures named in the row label for the same fiscal year. Read the formula below for the exact numerator, denominator and sign treatment. Percentage or multiple formatting does not change the underlying value.
Formula: =('Debt and Leases'!L18+'Debt and Leases'!L42)/'Income Statement'!L36
Cross-sheet references identify the owning schedule. Same-sheet references identify intermediate calculations.</x:t>
        </x:r>
      </x:text>
    </x:comment>
    <x:comment ref="H20" authorId="0">
      <x:text>
        <x:r>
          <x:t>Debt including finance leases / earnings proxy (FY:25 A).
Ratio of the two measures named in the row label for the same fiscal year. Read the formula below for the exact numerator, denominator and sign treatment. Percentage or multiple formatting does not change the underlying value.
Formula: =('Debt and Leases'!M18+'Debt and Leases'!M42)/'Income Statement'!M36
Cross-sheet references identify the owning schedule. Same-sheet references identify intermediate calculations.</x:t>
        </x:r>
      </x:text>
    </x:comment>
    <x:comment ref="I20" authorId="0">
      <x:text>
        <x:r>
          <x:t>Debt including finance leases / earnings proxy (FY:26 A).
Ratio of the two measures named in the row label for the same fiscal year. Read the formula below for the exact numerator, denominator and sign treatment. Percentage or multiple formatting does not change the underlying value.
Formula: =('Debt and Leases'!N18+'Debt and Leases'!N42)/'Income Statement'!N36
Cross-sheet references identify the owning schedule. Same-sheet references identify intermediate calculations.</x:t>
        </x:r>
      </x:text>
    </x:comment>
    <x:comment ref="J20" authorId="0">
      <x:text>
        <x:r>
          <x:t>Debt including finance leases / earnings proxy (FY:27 E).
Ratio of the two measures named in the row label for the same fiscal year. Read the formula below for the exact numerator, denominator and sign treatment. Percentage or multiple formatting does not change the underlying value.
Formula: =('Debt and Leases'!O18+'Debt and Leases'!O42)/'Income Statement'!O36
Cross-sheet references identify the owning schedule. Same-sheet references identify intermediate calculations.</x:t>
        </x:r>
      </x:text>
    </x:comment>
    <x:comment ref="K20" authorId="0">
      <x:text>
        <x:r>
          <x:t>Debt including finance leases / earnings proxy (FY:28 E).
Ratio of the two measures named in the row label for the same fiscal year. Read the formula below for the exact numerator, denominator and sign treatment. Percentage or multiple formatting does not change the underlying value.
Formula: =('Debt and Leases'!P18+'Debt and Leases'!P42)/'Income Statement'!P36
Cross-sheet references identify the owning schedule. Same-sheet references identify intermediate calculations.</x:t>
        </x:r>
      </x:text>
    </x:comment>
    <x:comment ref="L20" authorId="0">
      <x:text>
        <x:r>
          <x:t>Debt including finance leases / earnings proxy (FY:29 E).
Ratio of the two measures named in the row label for the same fiscal year. Read the formula below for the exact numerator, denominator and sign treatment. Percentage or multiple formatting does not change the underlying value.
Formula: =('Debt and Leases'!Q18+'Debt and Leases'!Q42)/'Income Statement'!Q36
Cross-sheet references identify the owning schedule. Same-sheet references identify intermediate calculations.</x:t>
        </x:r>
      </x:text>
    </x:comment>
    <x:comment ref="M20" authorId="0">
      <x:text>
        <x:r>
          <x:t>Debt including finance leases / earnings proxy (FY:30 E).
Ratio of the two measures named in the row label for the same fiscal year. Read the formula below for the exact numerator, denominator and sign treatment. Percentage or multiple formatting does not change the underlying value.
Formula: =('Debt and Leases'!R18+'Debt and Leases'!R42)/'Income Statement'!R36
Cross-sheet references identify the owning schedule. Same-sheet references identify intermediate calculations.</x:t>
        </x:r>
      </x:text>
    </x:comment>
    <x:comment ref="N20" authorId="0">
      <x:text>
        <x:r>
          <x:t>Debt including finance leases / earnings proxy (FY:31 E).
Ratio of the two measures named in the row label for the same fiscal year. Read the formula below for the exact numerator, denominator and sign treatment. Percentage or multiple formatting does not change the underlying value.
Formula: =('Debt and Leases'!S18+'Debt and Leases'!S42)/'Income Statement'!S36
Cross-sheet references identify the owning schedule. Same-sheet references identify intermediate calculations.</x:t>
        </x:r>
      </x:text>
    </x:comment>
    <x:comment ref="C22" authorId="0">
      <x:text>
        <x:r>
          <x:t>Ratio of the two measures named in the row label for the same fiscal year. Read the formula below for the exact numerator, denominator and sign treatment. Percentage or multiple formatting does not change the underlying value.</x:t>
        </x:r>
      </x:text>
    </x:comment>
    <x:comment ref="E22" authorId="0">
      <x:text>
        <x:r>
          <x:t>Current assets / current liabilities (FY:22 A).
Ratio of the two measures named in the row label for the same fiscal year. Read the formula below for the exact numerator, denominator and sign treatment. Percentage or multiple formatting does not change the underlying value.
Formula: ='Balance Sheet'!J14/'Balance Sheet'!J32
Cross-sheet references identify the owning schedule. Same-sheet references identify intermediate calculations.</x:t>
        </x:r>
      </x:text>
    </x:comment>
    <x:comment ref="F22" authorId="0">
      <x:text>
        <x:r>
          <x:t>Current assets / current liabilities (FY:23 A).
Ratio of the two measures named in the row label for the same fiscal year. Read the formula below for the exact numerator, denominator and sign treatment. Percentage or multiple formatting does not change the underlying value.
Formula: ='Balance Sheet'!K14/'Balance Sheet'!K32
Cross-sheet references identify the owning schedule. Same-sheet references identify intermediate calculations.</x:t>
        </x:r>
      </x:text>
    </x:comment>
    <x:comment ref="G22" authorId="0">
      <x:text>
        <x:r>
          <x:t>Current assets / current liabilities (FY:24 A).
Ratio of the two measures named in the row label for the same fiscal year. Read the formula below for the exact numerator, denominator and sign treatment. Percentage or multiple formatting does not change the underlying value.
Formula: ='Balance Sheet'!L14/'Balance Sheet'!L32
Cross-sheet references identify the owning schedule. Same-sheet references identify intermediate calculations.</x:t>
        </x:r>
      </x:text>
    </x:comment>
    <x:comment ref="H22" authorId="0">
      <x:text>
        <x:r>
          <x:t>Current assets / current liabilities (FY:25 A).
Ratio of the two measures named in the row label for the same fiscal year. Read the formula below for the exact numerator, denominator and sign treatment. Percentage or multiple formatting does not change the underlying value.
Formula: ='Balance Sheet'!M14/'Balance Sheet'!M32
Cross-sheet references identify the owning schedule. Same-sheet references identify intermediate calculations.</x:t>
        </x:r>
      </x:text>
    </x:comment>
    <x:comment ref="I22" authorId="0">
      <x:text>
        <x:r>
          <x:t>Current assets / current liabilities (FY:26 A).
Ratio of the two measures named in the row label for the same fiscal year. Read the formula below for the exact numerator, denominator and sign treatment. Percentage or multiple formatting does not change the underlying value.
Formula: ='Balance Sheet'!N14/'Balance Sheet'!N32
Cross-sheet references identify the owning schedule. Same-sheet references identify intermediate calculations.</x:t>
        </x:r>
      </x:text>
    </x:comment>
    <x:comment ref="J22" authorId="0">
      <x:text>
        <x:r>
          <x:t>Current assets / current liabilities (FY:27 E).
Ratio of the two measures named in the row label for the same fiscal year. Read the formula below for the exact numerator, denominator and sign treatment. Percentage or multiple formatting does not change the underlying value.
Formula: ='Balance Sheet'!O14/'Balance Sheet'!O32
Cross-sheet references identify the owning schedule. Same-sheet references identify intermediate calculations.</x:t>
        </x:r>
      </x:text>
    </x:comment>
    <x:comment ref="K22" authorId="0">
      <x:text>
        <x:r>
          <x:t>Current assets / current liabilities (FY:28 E).
Ratio of the two measures named in the row label for the same fiscal year. Read the formula below for the exact numerator, denominator and sign treatment. Percentage or multiple formatting does not change the underlying value.
Formula: ='Balance Sheet'!P14/'Balance Sheet'!P32
Cross-sheet references identify the owning schedule. Same-sheet references identify intermediate calculations.</x:t>
        </x:r>
      </x:text>
    </x:comment>
    <x:comment ref="L22" authorId="0">
      <x:text>
        <x:r>
          <x:t>Current assets / current liabilities (FY:29 E).
Ratio of the two measures named in the row label for the same fiscal year. Read the formula below for the exact numerator, denominator and sign treatment. Percentage or multiple formatting does not change the underlying value.
Formula: ='Balance Sheet'!Q14/'Balance Sheet'!Q32
Cross-sheet references identify the owning schedule. Same-sheet references identify intermediate calculations.</x:t>
        </x:r>
      </x:text>
    </x:comment>
    <x:comment ref="M22" authorId="0">
      <x:text>
        <x:r>
          <x:t>Current assets / current liabilities (FY:30 E).
Ratio of the two measures named in the row label for the same fiscal year. Read the formula below for the exact numerator, denominator and sign treatment. Percentage or multiple formatting does not change the underlying value.
Formula: ='Balance Sheet'!R14/'Balance Sheet'!R32
Cross-sheet references identify the owning schedule. Same-sheet references identify intermediate calculations.</x:t>
        </x:r>
      </x:text>
    </x:comment>
    <x:comment ref="N22" authorId="0">
      <x:text>
        <x:r>
          <x:t>Current assets / current liabilities (FY:31 E).
Ratio of the two measures named in the row label for the same fiscal year. Read the formula below for the exact numerator, denominator and sign treatment. Percentage or multiple formatting does not change the underlying value.
Formula: ='Balance Sheet'!S14/'Balance Sheet'!S32
Cross-sheet references identify the owning schedule. Same-sheet references identify intermediate calculations.</x:t>
        </x:r>
      </x:text>
    </x:comment>
    <x:comment ref="C24" authorId="0">
      <x:text>
        <x:r>
          <x:t>Cash shareholder distributions. This does not include noncash stock-based compensation or employee share issuance proceeds.</x:t>
        </x:r>
      </x:text>
    </x:comment>
    <x:comment ref="E24" authorId="0">
      <x:text>
        <x:r>
          <x:t>Cash dividends and repurchases (FY:22 A).
Cash shareholder distributions. This does not include noncash stock-based compensation or employee share issuance proceeds.
Formula: =-'Cash Flow'!J44-'Cash Flow'!J45
Cross-sheet references identify the owning schedule. Same-sheet references identify intermediate calculations.</x:t>
        </x:r>
      </x:text>
    </x:comment>
    <x:comment ref="F24" authorId="0">
      <x:text>
        <x:r>
          <x:t>Cash dividends and repurchases (FY:23 A).
Cash shareholder distributions. This does not include noncash stock-based compensation or employee share issuance proceeds.
Formula: =-'Cash Flow'!K44-'Cash Flow'!K45
Cross-sheet references identify the owning schedule. Same-sheet references identify intermediate calculations.</x:t>
        </x:r>
      </x:text>
    </x:comment>
    <x:comment ref="G24" authorId="0">
      <x:text>
        <x:r>
          <x:t>Cash dividends and repurchases (FY:24 A).
Cash shareholder distributions. This does not include noncash stock-based compensation or employee share issuance proceeds.
Formula: =-'Cash Flow'!L44-'Cash Flow'!L45
Cross-sheet references identify the owning schedule. Same-sheet references identify intermediate calculations.</x:t>
        </x:r>
      </x:text>
    </x:comment>
    <x:comment ref="H24" authorId="0">
      <x:text>
        <x:r>
          <x:t>Cash dividends and repurchases (FY:25 A).
Cash shareholder distributions. This does not include noncash stock-based compensation or employee share issuance proceeds.
Formula: =-'Cash Flow'!M44-'Cash Flow'!M45
Cross-sheet references identify the owning schedule. Same-sheet references identify intermediate calculations.</x:t>
        </x:r>
      </x:text>
    </x:comment>
    <x:comment ref="I24" authorId="0">
      <x:text>
        <x:r>
          <x:t>Cash dividends and repurchases (FY:26 A).
Cash shareholder distributions. This does not include noncash stock-based compensation or employee share issuance proceeds.
Formula: =-'Cash Flow'!N44-'Cash Flow'!N45
Cross-sheet references identify the owning schedule. Same-sheet references identify intermediate calculations.</x:t>
        </x:r>
      </x:text>
    </x:comment>
    <x:comment ref="J24" authorId="0">
      <x:text>
        <x:r>
          <x:t>Cash dividends and repurchases (FY:27 E).
Cash shareholder distributions. This does not include noncash stock-based compensation or employee share issuance proceeds.
Formula: =-'Cash Flow'!O44-'Cash Flow'!O45
Cross-sheet references identify the owning schedule. Same-sheet references identify intermediate calculations.</x:t>
        </x:r>
      </x:text>
    </x:comment>
    <x:comment ref="K24" authorId="0">
      <x:text>
        <x:r>
          <x:t>Cash dividends and repurchases (FY:28 E).
Cash shareholder distributions. This does not include noncash stock-based compensation or employee share issuance proceeds.
Formula: =-'Cash Flow'!P44-'Cash Flow'!P45
Cross-sheet references identify the owning schedule. Same-sheet references identify intermediate calculations.</x:t>
        </x:r>
      </x:text>
    </x:comment>
    <x:comment ref="L24" authorId="0">
      <x:text>
        <x:r>
          <x:t>Cash dividends and repurchases (FY:29 E).
Cash shareholder distributions. This does not include noncash stock-based compensation or employee share issuance proceeds.
Formula: =-'Cash Flow'!Q44-'Cash Flow'!Q45
Cross-sheet references identify the owning schedule. Same-sheet references identify intermediate calculations.</x:t>
        </x:r>
      </x:text>
    </x:comment>
    <x:comment ref="M24" authorId="0">
      <x:text>
        <x:r>
          <x:t>Cash dividends and repurchases (FY:30 E).
Cash shareholder distributions. This does not include noncash stock-based compensation or employee share issuance proceeds.
Formula: =-'Cash Flow'!R44-'Cash Flow'!R45
Cross-sheet references identify the owning schedule. Same-sheet references identify intermediate calculations.</x:t>
        </x:r>
      </x:text>
    </x:comment>
    <x:comment ref="N24" authorId="0">
      <x:text>
        <x:r>
          <x:t>Cash dividends and repurchases (FY:31 E).
Cash shareholder distributions. This does not include noncash stock-based compensation or employee share issuance proceeds.
Formula: =-'Cash Flow'!S44-'Cash Flow'!S45
Cross-sheet references identify the owning schedule. Same-sheet references identify intermediate calculations.</x:t>
        </x:r>
      </x:text>
    </x:comment>
    <x:comment ref="C43" authorId="0">
      <x:text>
        <x:r>
          <x:t>Live analytical observation. This formula reads the existing statement or schedule and updates with the selected case. ="FY2031 net debt excluding leases: "&amp;FIXED(N16/1000,1,TRUE)&amp;"bn; including finance leases: "&amp;FIXED(N17/1000,1,TRUE)&amp;"bn."</x:t>
        </x:r>
      </x:text>
    </x:comment>
    <x:comment ref="C44" authorId="0">
      <x:text>
        <x:r>
          <x:t>Live analytical observation. This formula reads the existing statement or schedule and updates with the selected case. ="FY2031 finance lease liabilities: "&amp;FIXED(N12/1000,1,TRUE)&amp;"bn. Operating leases: "&amp;FIXED(N13/1000,1,TRUE)&amp;"bn."</x:t>
        </x:r>
      </x:text>
    </x:comment>
    <x:comment ref="C45" authorId="0">
      <x:text>
        <x:r>
          <x:t>Live analytical observation. This formula reads the existing statement or schedule and updates with the selected case. ="FY2031 lease-inclusive debt / earnings proxy: "&amp;FIXED(N20,2,TRUE)&amp;"x. The denominator is not reported EBITDA."</x:t>
        </x:r>
      </x:text>
    </x:comment>
    <x:comment ref="C69" authorId="0">
      <x:text>
        <x:r>
          <x:t>Debt, leases and liquidity (USD billions). Formula-linked chart data. A means actual and E means the active-case estimate. Unavailable historical observations remain blank.</x:t>
        </x:r>
      </x:text>
    </x:comment>
    <x:comment ref="C88" authorId="0">
      <x:text>
        <x:r>
          <x:t>Debt / earnings proxy. Formula-linked chart data. A means actual and E means the active-case estimate. Unavailable historical observations remain blank.</x:t>
        </x:r>
      </x:text>
    </x:comment>
  </x:commentList>
</x:comments>
</file>

<file path=xl/comments4.xml><?xml version="1.0" encoding="utf-8"?>
<x:comments xmlns:x="http://schemas.openxmlformats.org/spreadsheetml/2006/main">
  <x:authors>
    <x:author>Goran Brkich</x:author>
  </x:authors>
  <x:commentList>
    <x:comment ref="C2" authorId="0">
      <x:text>
        <x:r>
          <x:t>Private Equity.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Operating income plus separately disclosed PPE depreciation and intangible amortization. This is an analytical earnings proxy, not Microsoft-reported EBITDA.</x:t>
        </x:r>
      </x:text>
    </x:comment>
    <x:comment ref="E8" authorId="0">
      <x:text>
        <x:r>
          <x:t>Operating income plus disclosed D&amp;A (FY:22 A).
Operating income plus separately disclosed PPE depreciation and intangible amortization. This is an analytical earnings proxy, not Microsoft-reported EBITDA.
Formula: ='Income Statement'!J36
Cross-sheet references identify the owning schedule. Same-sheet references identify intermediate calculations.</x:t>
        </x:r>
      </x:text>
    </x:comment>
    <x:comment ref="F8" authorId="0">
      <x:text>
        <x:r>
          <x:t>Operating income plus disclosed D&amp;A (FY:23 A).
Operating income plus separately disclosed PPE depreciation and intangible amortization. This is an analytical earnings proxy, not Microsoft-reported EBITDA.
Formula: ='Income Statement'!K36
Cross-sheet references identify the owning schedule. Same-sheet references identify intermediate calculations.</x:t>
        </x:r>
      </x:text>
    </x:comment>
    <x:comment ref="G8" authorId="0">
      <x:text>
        <x:r>
          <x:t>Operating income plus disclosed D&amp;A (FY:24 A).
Operating income plus separately disclosed PPE depreciation and intangible amortization. This is an analytical earnings proxy, not Microsoft-reported EBITDA.
Formula: ='Income Statement'!L36
Cross-sheet references identify the owning schedule. Same-sheet references identify intermediate calculations.</x:t>
        </x:r>
      </x:text>
    </x:comment>
    <x:comment ref="H8" authorId="0">
      <x:text>
        <x:r>
          <x:t>Operating income plus disclosed D&amp;A (FY:25 A).
Operating income plus separately disclosed PPE depreciation and intangible amortization. This is an analytical earnings proxy, not Microsoft-reported EBITDA.
Formula: ='Income Statement'!M36
Cross-sheet references identify the owning schedule. Same-sheet references identify intermediate calculations.</x:t>
        </x:r>
      </x:text>
    </x:comment>
    <x:comment ref="I8" authorId="0">
      <x:text>
        <x:r>
          <x:t>Operating income plus disclosed D&amp;A (FY:26 A).
Operating income plus separately disclosed PPE depreciation and intangible amortization. This is an analytical earnings proxy, not Microsoft-reported EBITDA.
Formula: ='Income Statement'!N36
Cross-sheet references identify the owning schedule. Same-sheet references identify intermediate calculations.</x:t>
        </x:r>
      </x:text>
    </x:comment>
    <x:comment ref="J8" authorId="0">
      <x:text>
        <x:r>
          <x:t>Operating income plus disclosed D&amp;A (FY:27 E).
Operating income plus separately disclosed PPE depreciation and intangible amortization. This is an analytical earnings proxy, not Microsoft-reported EBITDA.
Formula: ='Income Statement'!O36
Cross-sheet references identify the owning schedule. Same-sheet references identify intermediate calculations.</x:t>
        </x:r>
      </x:text>
    </x:comment>
    <x:comment ref="K8" authorId="0">
      <x:text>
        <x:r>
          <x:t>Operating income plus disclosed D&amp;A (FY:28 E).
Operating income plus separately disclosed PPE depreciation and intangible amortization. This is an analytical earnings proxy, not Microsoft-reported EBITDA.
Formula: ='Income Statement'!P36
Cross-sheet references identify the owning schedule. Same-sheet references identify intermediate calculations.</x:t>
        </x:r>
      </x:text>
    </x:comment>
    <x:comment ref="L8" authorId="0">
      <x:text>
        <x:r>
          <x:t>Operating income plus disclosed D&amp;A (FY:29 E).
Operating income plus separately disclosed PPE depreciation and intangible amortization. This is an analytical earnings proxy, not Microsoft-reported EBITDA.
Formula: ='Income Statement'!Q36
Cross-sheet references identify the owning schedule. Same-sheet references identify intermediate calculations.</x:t>
        </x:r>
      </x:text>
    </x:comment>
    <x:comment ref="M8" authorId="0">
      <x:text>
        <x:r>
          <x:t>Operating income plus disclosed D&amp;A (FY:30 E).
Operating income plus separately disclosed PPE depreciation and intangible amortization. This is an analytical earnings proxy, not Microsoft-reported EBITDA.
Formula: ='Income Statement'!R36
Cross-sheet references identify the owning schedule. Same-sheet references identify intermediate calculations.</x:t>
        </x:r>
      </x:text>
    </x:comment>
    <x:comment ref="N8" authorId="0">
      <x:text>
        <x:r>
          <x:t>Operating income plus disclosed D&amp;A (FY:31 E).
Operating income plus separately disclosed PPE depreciation and intangible amortization. This is an analytical earnings proxy, not Microsoft-reported EBITDA.
Formula: ='Income Statement'!S36
Cross-sheet references identify the owning schedule. Same-sheet references identify intermediate calculations.</x:t>
        </x:r>
      </x:text>
    </x:comment>
    <x:comment ref="C10" authorId="0">
      <x:text>
        <x:r>
          <x:t>Cash spent on capital assets, including modeled capitalized cash interest. It excludes newly recognized noncash finance lease assets.</x:t>
        </x:r>
      </x:text>
    </x:comment>
    <x:comment ref="E10" authorId="0">
      <x:text>
        <x:r>
          <x:t>Cash capex (FY:22 A).
Cash spent on capital assets, including modeled capitalized cash interest. It excludes newly recognized noncash finance lease assets.
Formula: =-'Cash Flow'!J30
Cross-sheet references identify the owning schedule. Same-sheet references identify intermediate calculations.</x:t>
        </x:r>
      </x:text>
    </x:comment>
    <x:comment ref="F10" authorId="0">
      <x:text>
        <x:r>
          <x:t>Cash capex (FY:23 A).
Cash spent on capital assets, including modeled capitalized cash interest. It excludes newly recognized noncash finance lease assets.
Formula: =-'Cash Flow'!K30
Cross-sheet references identify the owning schedule. Same-sheet references identify intermediate calculations.</x:t>
        </x:r>
      </x:text>
    </x:comment>
    <x:comment ref="G10" authorId="0">
      <x:text>
        <x:r>
          <x:t>Cash capex (FY:24 A).
Cash spent on capital assets, including modeled capitalized cash interest. It excludes newly recognized noncash finance lease assets.
Formula: =-'Cash Flow'!L30
Cross-sheet references identify the owning schedule. Same-sheet references identify intermediate calculations.</x:t>
        </x:r>
      </x:text>
    </x:comment>
    <x:comment ref="H10" authorId="0">
      <x:text>
        <x:r>
          <x:t>Cash capex (FY:25 A).
Cash spent on capital assets, including modeled capitalized cash interest. It excludes newly recognized noncash finance lease assets.
Formula: =-'Cash Flow'!M30
Cross-sheet references identify the owning schedule. Same-sheet references identify intermediate calculations.</x:t>
        </x:r>
      </x:text>
    </x:comment>
    <x:comment ref="I10" authorId="0">
      <x:text>
        <x:r>
          <x:t>Cash capex (FY:26 A).
Cash spent on capital assets, including modeled capitalized cash interest. It excludes newly recognized noncash finance lease assets.
Formula: =-'Cash Flow'!N30
Cross-sheet references identify the owning schedule. Same-sheet references identify intermediate calculations.</x:t>
        </x:r>
      </x:text>
    </x:comment>
    <x:comment ref="J10" authorId="0">
      <x:text>
        <x:r>
          <x:t>Cash capex (FY:27 E).
Cash spent on capital assets, including modeled capitalized cash interest. It excludes newly recognized noncash finance lease assets.
Formula: =-'Cash Flow'!O30
Cross-sheet references identify the owning schedule. Same-sheet references identify intermediate calculations.</x:t>
        </x:r>
      </x:text>
    </x:comment>
    <x:comment ref="K10" authorId="0">
      <x:text>
        <x:r>
          <x:t>Cash capex (FY:28 E).
Cash spent on capital assets, including modeled capitalized cash interest. It excludes newly recognized noncash finance lease assets.
Formula: =-'Cash Flow'!P30
Cross-sheet references identify the owning schedule. Same-sheet references identify intermediate calculations.</x:t>
        </x:r>
      </x:text>
    </x:comment>
    <x:comment ref="L10" authorId="0">
      <x:text>
        <x:r>
          <x:t>Cash capex (FY:29 E).
Cash spent on capital assets, including modeled capitalized cash interest. It excludes newly recognized noncash finance lease assets.
Formula: =-'Cash Flow'!Q30
Cross-sheet references identify the owning schedule. Same-sheet references identify intermediate calculations.</x:t>
        </x:r>
      </x:text>
    </x:comment>
    <x:comment ref="M10" authorId="0">
      <x:text>
        <x:r>
          <x:t>Cash capex (FY:30 E).
Cash spent on capital assets, including modeled capitalized cash interest. It excludes newly recognized noncash finance lease assets.
Formula: =-'Cash Flow'!R30
Cross-sheet references identify the owning schedule. Same-sheet references identify intermediate calculations.</x:t>
        </x:r>
      </x:text>
    </x:comment>
    <x:comment ref="N10" authorId="0">
      <x:text>
        <x:r>
          <x:t>Cash capex (FY:31 E).
Cash spent on capital assets, including modeled capitalized cash interest. It excludes newly recognized noncash finance lease assets.
Formula: =-'Cash Flow'!S30
Cross-sheet references identify the owning schedule. Same-sheet references identify intermediate calculations.</x:t>
        </x:r>
      </x:text>
    </x:comment>
    <x:comment ref="C11" authorId="0">
      <x:text>
        <x:r>
          <x:t>Cash balance or signed cash flow as named in the row. Positive cash-flow amounts are inflows and negative amounts are outflows. Follow the formula or source reference below for the classification.</x:t>
        </x:r>
      </x:text>
    </x:comment>
    <x:comment ref="E11" authorId="0">
      <x:text>
        <x:r>
          <x:t>Noncash finance lease additions (FY:22 A).
Cash balance or signed cash flow as named in the row. Positive cash-flow amounts are inflows and negative amounts are outflows. Follow the formula or source reference below for the classification.
Formula: ='Filing Notes'!J14
Cross-sheet references identify the owning schedule. Same-sheet references identify intermediate calculations.</x:t>
        </x:r>
      </x:text>
    </x:comment>
    <x:comment ref="F11" authorId="0">
      <x:text>
        <x:r>
          <x:t>Noncash finance lease additions (FY:23 A).
Cash balance or signed cash flow as named in the row. Positive cash-flow amounts are inflows and negative amounts are outflows. Follow the formula or source reference below for the classification.
Formula: ='Filing Notes'!K14
Cross-sheet references identify the owning schedule. Same-sheet references identify intermediate calculations.</x:t>
        </x:r>
      </x:text>
    </x:comment>
    <x:comment ref="G11" authorId="0">
      <x:text>
        <x:r>
          <x:t>Noncash finance lease additions (FY:24 A).
Cash balance or signed cash flow as named in the row. Positive cash-flow amounts are inflows and negative amounts are outflows. Follow the formula or source reference below for the classification.
Formula: ='Filing Notes'!L14
Cross-sheet references identify the owning schedule. Same-sheet references identify intermediate calculations.</x:t>
        </x:r>
      </x:text>
    </x:comment>
    <x:comment ref="H11" authorId="0">
      <x:text>
        <x:r>
          <x:t>Noncash finance lease additions (FY:25 A).
Cash balance or signed cash flow as named in the row. Positive cash-flow amounts are inflows and negative amounts are outflows. Follow the formula or source reference below for the classification.
Formula: ='Filing Notes'!M14
Cross-sheet references identify the owning schedule. Same-sheet references identify intermediate calculations.</x:t>
        </x:r>
      </x:text>
    </x:comment>
    <x:comment ref="I11" authorId="0">
      <x:text>
        <x:r>
          <x:t>Noncash finance lease additions (FY:26 A).
Cash balance or signed cash flow as named in the row. Positive cash-flow amounts are inflows and negative amounts are outflows. Follow the formula or source reference below for the classification.
Formula: ='Filing Notes'!N14
Cross-sheet references identify the owning schedule. Same-sheet references identify intermediate calculations.</x:t>
        </x:r>
      </x:text>
    </x:comment>
    <x:comment ref="J11" authorId="0">
      <x:text>
        <x:r>
          <x:t>Noncash finance lease additions (FY:27 E).
Cash balance or signed cash flow as named in the row. Positive cash-flow amounts are inflows and negative amounts are outflows. Follow the formula or source reference below for the classification.
Formula: ='Debt and Leases'!O37
Cross-sheet references identify the owning schedule. Same-sheet references identify intermediate calculations.</x:t>
        </x:r>
      </x:text>
    </x:comment>
    <x:comment ref="K11" authorId="0">
      <x:text>
        <x:r>
          <x:t>Noncash finance lease additions (FY:28 E).
Cash balance or signed cash flow as named in the row. Positive cash-flow amounts are inflows and negative amounts are outflows. Follow the formula or source reference below for the classification.
Formula: ='Debt and Leases'!P37
Cross-sheet references identify the owning schedule. Same-sheet references identify intermediate calculations.</x:t>
        </x:r>
      </x:text>
    </x:comment>
    <x:comment ref="L11" authorId="0">
      <x:text>
        <x:r>
          <x:t>Noncash finance lease additions (FY:29 E).
Cash balance or signed cash flow as named in the row. Positive cash-flow amounts are inflows and negative amounts are outflows. Follow the formula or source reference below for the classification.
Formula: ='Debt and Leases'!Q37
Cross-sheet references identify the owning schedule. Same-sheet references identify intermediate calculations.</x:t>
        </x:r>
      </x:text>
    </x:comment>
    <x:comment ref="M11" authorId="0">
      <x:text>
        <x:r>
          <x:t>Noncash finance lease additions (FY:30 E).
Cash balance or signed cash flow as named in the row. Positive cash-flow amounts are inflows and negative amounts are outflows. Follow the formula or source reference below for the classification.
Formula: ='Debt and Leases'!R37
Cross-sheet references identify the owning schedule. Same-sheet references identify intermediate calculations.</x:t>
        </x:r>
      </x:text>
    </x:comment>
    <x:comment ref="N11" authorId="0">
      <x:text>
        <x:r>
          <x:t>Noncash finance lease additions (FY:31 E).
Cash balance or signed cash flow as named in the row. Positive cash-flow amounts are inflows and negative amounts are outflows. Follow the formula or source reference below for the classification.
Formula: ='Debt and Leases'!S37
Cross-sheet references identify the owning schedule. Same-sheet references identify intermediate calculations.</x:t>
        </x:r>
      </x:text>
    </x:comment>
    <x:comment ref="C13" authorId="0">
      <x:text>
        <x:r>
          <x:t>Noncash employee equity compensation. It remains embedded in operating expenses, is added back once in CFO, and increases paid-in capital.</x:t>
        </x:r>
      </x:text>
    </x:comment>
    <x:comment ref="E13" authorId="0">
      <x:text>
        <x:r>
          <x:t>Stock-based compensation (FY:22 A).
Noncash employee equity compensation. It remains embedded in operating expenses, is added back once in CFO, and increases paid-in capital.
Formula: ='Cash Flow'!J12
Cross-sheet references identify the owning schedule. Same-sheet references identify intermediate calculations.</x:t>
        </x:r>
      </x:text>
    </x:comment>
    <x:comment ref="F13" authorId="0">
      <x:text>
        <x:r>
          <x:t>Stock-based compensation (FY:23 A).
Noncash employee equity compensation. It remains embedded in operating expenses, is added back once in CFO, and increases paid-in capital.
Formula: ='Cash Flow'!K12
Cross-sheet references identify the owning schedule. Same-sheet references identify intermediate calculations.</x:t>
        </x:r>
      </x:text>
    </x:comment>
    <x:comment ref="G13" authorId="0">
      <x:text>
        <x:r>
          <x:t>Stock-based compensation (FY:24 A).
Noncash employee equity compensation. It remains embedded in operating expenses, is added back once in CFO, and increases paid-in capital.
Formula: ='Cash Flow'!L12
Cross-sheet references identify the owning schedule. Same-sheet references identify intermediate calculations.</x:t>
        </x:r>
      </x:text>
    </x:comment>
    <x:comment ref="H13" authorId="0">
      <x:text>
        <x:r>
          <x:t>Stock-based compensation (FY:25 A).
Noncash employee equity compensation. It remains embedded in operating expenses, is added back once in CFO, and increases paid-in capital.
Formula: ='Cash Flow'!M12
Cross-sheet references identify the owning schedule. Same-sheet references identify intermediate calculations.</x:t>
        </x:r>
      </x:text>
    </x:comment>
    <x:comment ref="I13" authorId="0">
      <x:text>
        <x:r>
          <x:t>Stock-based compensation (FY:26 A).
Noncash employee equity compensation. It remains embedded in operating expenses, is added back once in CFO, and increases paid-in capital.
Formula: ='Cash Flow'!N12
Cross-sheet references identify the owning schedule. Same-sheet references identify intermediate calculations.</x:t>
        </x:r>
      </x:text>
    </x:comment>
    <x:comment ref="J13" authorId="0">
      <x:text>
        <x:r>
          <x:t>Stock-based compensation (FY:27 E).
Noncash employee equity compensation. It remains embedded in operating expenses, is added back once in CFO, and increases paid-in capital.
Formula: ='Cash Flow'!O12
Cross-sheet references identify the owning schedule. Same-sheet references identify intermediate calculations.</x:t>
        </x:r>
      </x:text>
    </x:comment>
    <x:comment ref="K13" authorId="0">
      <x:text>
        <x:r>
          <x:t>Stock-based compensation (FY:28 E).
Noncash employee equity compensation. It remains embedded in operating expenses, is added back once in CFO, and increases paid-in capital.
Formula: ='Cash Flow'!P12
Cross-sheet references identify the owning schedule. Same-sheet references identify intermediate calculations.</x:t>
        </x:r>
      </x:text>
    </x:comment>
    <x:comment ref="L13" authorId="0">
      <x:text>
        <x:r>
          <x:t>Stock-based compensation (FY:29 E).
Noncash employee equity compensation. It remains embedded in operating expenses, is added back once in CFO, and increases paid-in capital.
Formula: ='Cash Flow'!Q12
Cross-sheet references identify the owning schedule. Same-sheet references identify intermediate calculations.</x:t>
        </x:r>
      </x:text>
    </x:comment>
    <x:comment ref="M13" authorId="0">
      <x:text>
        <x:r>
          <x:t>Stock-based compensation (FY:30 E).
Noncash employee equity compensation. It remains embedded in operating expenses, is added back once in CFO, and increases paid-in capital.
Formula: ='Cash Flow'!R12
Cross-sheet references identify the owning schedule. Same-sheet references identify intermediate calculations.</x:t>
        </x:r>
      </x:text>
    </x:comment>
    <x:comment ref="N13" authorId="0">
      <x:text>
        <x:r>
          <x:t>Stock-based compensation (FY:31 E).
Noncash employee equity compensation. It remains embedded in operating expenses, is added back once in CFO, and increases paid-in capital.
Formula: ='Cash Flow'!S12
Cross-sheet references identify the owning schedule. Same-sheet references identify intermediate calculations.</x:t>
        </x:r>
      </x:text>
    </x:comment>
    <x:comment ref="C15" authorId="0">
      <x:text>
        <x:r>
          <x:t>Free cash flow less cash finance lease principal payments. It makes the financing cash burden of leased assets visible.</x:t>
        </x:r>
      </x:text>
    </x:comment>
    <x:comment ref="E15" authorId="0">
      <x:text>
        <x:r>
          <x:t>FCF after finance lease principal (FY:22 A).
Free cash flow less cash finance lease principal payments. It makes the financing cash burden of leased assets visible.
Formula: ='Cash Flow'!J57
Cross-sheet references identify the owning schedule. Same-sheet references identify intermediate calculations.</x:t>
        </x:r>
      </x:text>
    </x:comment>
    <x:comment ref="F15" authorId="0">
      <x:text>
        <x:r>
          <x:t>FCF after finance lease principal (FY:23 A).
Free cash flow less cash finance lease principal payments. It makes the financing cash burden of leased assets visible.
Formula: ='Cash Flow'!K57
Cross-sheet references identify the owning schedule. Same-sheet references identify intermediate calculations.</x:t>
        </x:r>
      </x:text>
    </x:comment>
    <x:comment ref="G15" authorId="0">
      <x:text>
        <x:r>
          <x:t>FCF after finance lease principal (FY:24 A).
Free cash flow less cash finance lease principal payments. It makes the financing cash burden of leased assets visible.
Formula: ='Cash Flow'!L57
Cross-sheet references identify the owning schedule. Same-sheet references identify intermediate calculations.</x:t>
        </x:r>
      </x:text>
    </x:comment>
    <x:comment ref="H15" authorId="0">
      <x:text>
        <x:r>
          <x:t>FCF after finance lease principal (FY:25 A).
Free cash flow less cash finance lease principal payments. It makes the financing cash burden of leased assets visible.
Formula: ='Cash Flow'!M57
Cross-sheet references identify the owning schedule. Same-sheet references identify intermediate calculations.</x:t>
        </x:r>
      </x:text>
    </x:comment>
    <x:comment ref="I15" authorId="0">
      <x:text>
        <x:r>
          <x:t>FCF after finance lease principal (FY:26 A).
Free cash flow less cash finance lease principal payments. It makes the financing cash burden of leased assets visible.
Formula: ='Cash Flow'!N57
Cross-sheet references identify the owning schedule. Same-sheet references identify intermediate calculations.</x:t>
        </x:r>
      </x:text>
    </x:comment>
    <x:comment ref="J15" authorId="0">
      <x:text>
        <x:r>
          <x:t>FCF after finance lease principal (FY:27 E).
Free cash flow less cash finance lease principal payments. It makes the financing cash burden of leased assets visible.
Formula: ='Cash Flow'!O57
Cross-sheet references identify the owning schedule. Same-sheet references identify intermediate calculations.</x:t>
        </x:r>
      </x:text>
    </x:comment>
    <x:comment ref="K15" authorId="0">
      <x:text>
        <x:r>
          <x:t>FCF after finance lease principal (FY:28 E).
Free cash flow less cash finance lease principal payments. It makes the financing cash burden of leased assets visible.
Formula: ='Cash Flow'!P57
Cross-sheet references identify the owning schedule. Same-sheet references identify intermediate calculations.</x:t>
        </x:r>
      </x:text>
    </x:comment>
    <x:comment ref="L15" authorId="0">
      <x:text>
        <x:r>
          <x:t>FCF after finance lease principal (FY:29 E).
Free cash flow less cash finance lease principal payments. It makes the financing cash burden of leased assets visible.
Formula: ='Cash Flow'!Q57
Cross-sheet references identify the owning schedule. Same-sheet references identify intermediate calculations.</x:t>
        </x:r>
      </x:text>
    </x:comment>
    <x:comment ref="M15" authorId="0">
      <x:text>
        <x:r>
          <x:t>FCF after finance lease principal (FY:30 E).
Free cash flow less cash finance lease principal payments. It makes the financing cash burden of leased assets visible.
Formula: ='Cash Flow'!R57
Cross-sheet references identify the owning schedule. Same-sheet references identify intermediate calculations.</x:t>
        </x:r>
      </x:text>
    </x:comment>
    <x:comment ref="N15" authorId="0">
      <x:text>
        <x:r>
          <x:t>FCF after finance lease principal (FY:31 E).
Free cash flow less cash finance lease principal payments. It makes the financing cash burden of leased assets visible.
Formula: ='Cash Flow'!S57
Cross-sheet references identify the owning schedule. Same-sheet references identify intermediate calculations.</x:t>
        </x:r>
      </x:text>
    </x:comment>
    <x:comment ref="C16" authorId="0">
      <x:text>
        <x:r>
          <x:t>FCF after finance lease principal divided by the operating income plus disclosed D&amp;A proxy. The numerator reflects reinvestment and lease payments.</x:t>
        </x:r>
      </x:text>
    </x:comment>
    <x:comment ref="E16" authorId="0">
      <x:text>
        <x:r>
          <x:t>Cash conversion after finance lease principal (FY:22 A).
FCF after finance lease principal divided by the operating income plus disclosed D&amp;A proxy. The numerator reflects reinvestment and lease payments.
Formula: ='Cash Flow'!J57/'Income Statement'!J36
Cross-sheet references identify the owning schedule. Same-sheet references identify intermediate calculations.</x:t>
        </x:r>
      </x:text>
    </x:comment>
    <x:comment ref="F16" authorId="0">
      <x:text>
        <x:r>
          <x:t>Cash conversion after finance lease principal (FY:23 A).
FCF after finance lease principal divided by the operating income plus disclosed D&amp;A proxy. The numerator reflects reinvestment and lease payments.
Formula: ='Cash Flow'!K57/'Income Statement'!K36
Cross-sheet references identify the owning schedule. Same-sheet references identify intermediate calculations.</x:t>
        </x:r>
      </x:text>
    </x:comment>
    <x:comment ref="G16" authorId="0">
      <x:text>
        <x:r>
          <x:t>Cash conversion after finance lease principal (FY:24 A).
FCF after finance lease principal divided by the operating income plus disclosed D&amp;A proxy. The numerator reflects reinvestment and lease payments.
Formula: ='Cash Flow'!L57/'Income Statement'!L36
Cross-sheet references identify the owning schedule. Same-sheet references identify intermediate calculations.</x:t>
        </x:r>
      </x:text>
    </x:comment>
    <x:comment ref="H16" authorId="0">
      <x:text>
        <x:r>
          <x:t>Cash conversion after finance lease principal (FY:25 A).
FCF after finance lease principal divided by the operating income plus disclosed D&amp;A proxy. The numerator reflects reinvestment and lease payments.
Formula: ='Cash Flow'!M57/'Income Statement'!M36
Cross-sheet references identify the owning schedule. Same-sheet references identify intermediate calculations.</x:t>
        </x:r>
      </x:text>
    </x:comment>
    <x:comment ref="I16" authorId="0">
      <x:text>
        <x:r>
          <x:t>Cash conversion after finance lease principal (FY:26 A).
FCF after finance lease principal divided by the operating income plus disclosed D&amp;A proxy. The numerator reflects reinvestment and lease payments.
Formula: ='Cash Flow'!N57/'Income Statement'!N36
Cross-sheet references identify the owning schedule. Same-sheet references identify intermediate calculations.</x:t>
        </x:r>
      </x:text>
    </x:comment>
    <x:comment ref="J16" authorId="0">
      <x:text>
        <x:r>
          <x:t>Cash conversion after finance lease principal (FY:27 E).
FCF after finance lease principal divided by the operating income plus disclosed D&amp;A proxy. The numerator reflects reinvestment and lease payments.
Formula: ='Cash Flow'!O57/'Income Statement'!O36
Cross-sheet references identify the owning schedule. Same-sheet references identify intermediate calculations.</x:t>
        </x:r>
      </x:text>
    </x:comment>
    <x:comment ref="K16" authorId="0">
      <x:text>
        <x:r>
          <x:t>Cash conversion after finance lease principal (FY:28 E).
FCF after finance lease principal divided by the operating income plus disclosed D&amp;A proxy. The numerator reflects reinvestment and lease payments.
Formula: ='Cash Flow'!P57/'Income Statement'!P36
Cross-sheet references identify the owning schedule. Same-sheet references identify intermediate calculations.</x:t>
        </x:r>
      </x:text>
    </x:comment>
    <x:comment ref="L16" authorId="0">
      <x:text>
        <x:r>
          <x:t>Cash conversion after finance lease principal (FY:29 E).
FCF after finance lease principal divided by the operating income plus disclosed D&amp;A proxy. The numerator reflects reinvestment and lease payments.
Formula: ='Cash Flow'!Q57/'Income Statement'!Q36
Cross-sheet references identify the owning schedule. Same-sheet references identify intermediate calculations.</x:t>
        </x:r>
      </x:text>
    </x:comment>
    <x:comment ref="M16" authorId="0">
      <x:text>
        <x:r>
          <x:t>Cash conversion after finance lease principal (FY:30 E).
FCF after finance lease principal divided by the operating income plus disclosed D&amp;A proxy. The numerator reflects reinvestment and lease payments.
Formula: ='Cash Flow'!R57/'Income Statement'!R36
Cross-sheet references identify the owning schedule. Same-sheet references identify intermediate calculations.</x:t>
        </x:r>
      </x:text>
    </x:comment>
    <x:comment ref="N16" authorId="0">
      <x:text>
        <x:r>
          <x:t>Cash conversion after finance lease principal (FY:31 E).
FCF after finance lease principal divided by the operating income plus disclosed D&amp;A proxy. The numerator reflects reinvestment and lease payments.
Formula: ='Cash Flow'!S57/'Income Statement'!S36
Cross-sheet references identify the owning schedule. Same-sheet references identify intermediate calculations.</x:t>
        </x:r>
      </x:text>
    </x:comment>
    <x:comment ref="C18" authorId="0">
      <x:text>
        <x:r>
          <x:t>Receivables plus inventory and other current assets, less modeled operating payables, compensation, current unearned revenue and other operating current liabilities. Cash, debt and capital payables are excluded.</x:t>
        </x:r>
      </x:text>
    </x:comment>
    <x:comment ref="E18" authorId="0">
      <x:text>
        <x:r>
          <x:t>Operating current working capital proxy (FY:22 A).
Receivables plus inventory and other current assets, less modeled operating payables, compensation, current unearned revenue and other operating current liabilities. Cash, debt and capital payables are excluded.
Formula: ='Balance Sheet'!J11+'Balance Sheet'!J12+'Balance Sheet'!J13-'Balance Sheet'!J24-'Balance Sheet'!J27-'Balance Sheet'!J29-'Balance Sheet'!J31
Cross-sheet references identify the owning schedule. Same-sheet references identify intermediate calculations.</x:t>
        </x:r>
      </x:text>
    </x:comment>
    <x:comment ref="F18" authorId="0">
      <x:text>
        <x:r>
          <x:t>Operating current working capital proxy (FY:23 A).
Receivables plus inventory and other current assets, less modeled operating payables, compensation, current unearned revenue and other operating current liabilities. Cash, debt and capital payables are excluded.
Formula: ='Balance Sheet'!K11+'Balance Sheet'!K12+'Balance Sheet'!K13-'Balance Sheet'!K24-'Balance Sheet'!K27-'Balance Sheet'!K29-'Balance Sheet'!K31
Cross-sheet references identify the owning schedule. Same-sheet references identify intermediate calculations.</x:t>
        </x:r>
      </x:text>
    </x:comment>
    <x:comment ref="G18" authorId="0">
      <x:text>
        <x:r>
          <x:t>Operating current working capital proxy (FY:24 A).
Receivables plus inventory and other current assets, less modeled operating payables, compensation, current unearned revenue and other operating current liabilities. Cash, debt and capital payables are excluded.
Formula: ='Balance Sheet'!L11+'Balance Sheet'!L12+'Balance Sheet'!L13-'Balance Sheet'!L24-'Balance Sheet'!L27-'Balance Sheet'!L29-'Balance Sheet'!L31
Cross-sheet references identify the owning schedule. Same-sheet references identify intermediate calculations.</x:t>
        </x:r>
      </x:text>
    </x:comment>
    <x:comment ref="H18" authorId="0">
      <x:text>
        <x:r>
          <x:t>Operating current working capital proxy (FY:25 A).
Receivables plus inventory and other current assets, less modeled operating payables, compensation, current unearned revenue and other operating current liabilities. Cash, debt and capital payables are excluded.
Formula: ='Balance Sheet'!M11+'Balance Sheet'!M12+'Balance Sheet'!M13-'Balance Sheet'!M24-'Balance Sheet'!M27-'Balance Sheet'!M29-'Balance Sheet'!M31
Cross-sheet references identify the owning schedule. Same-sheet references identify intermediate calculations.</x:t>
        </x:r>
      </x:text>
    </x:comment>
    <x:comment ref="I18" authorId="0">
      <x:text>
        <x:r>
          <x:t>Operating current working capital proxy (FY:26 A).
Receivables plus inventory and other current assets, less modeled operating payables, compensation, current unearned revenue and other operating current liabilities. Cash, debt and capital payables are excluded.
Formula: ='Balance Sheet'!N11+'Balance Sheet'!N12+'Balance Sheet'!N13-'Balance Sheet'!N24-'Balance Sheet'!N27-'Balance Sheet'!N29-'Balance Sheet'!N31
Cross-sheet references identify the owning schedule. Same-sheet references identify intermediate calculations.</x:t>
        </x:r>
      </x:text>
    </x:comment>
    <x:comment ref="J18" authorId="0">
      <x:text>
        <x:r>
          <x:t>Operating current working capital proxy (FY:27 E).
Receivables plus inventory and other current assets, less modeled operating payables, compensation, current unearned revenue and other operating current liabilities. Cash, debt and capital payables are excluded.
Formula: ='Balance Sheet'!O11+'Balance Sheet'!O12+'Balance Sheet'!O13-'Balance Sheet'!O24-'Balance Sheet'!O27-'Balance Sheet'!O29-'Balance Sheet'!O31
Cross-sheet references identify the owning schedule. Same-sheet references identify intermediate calculations.</x:t>
        </x:r>
      </x:text>
    </x:comment>
    <x:comment ref="K18" authorId="0">
      <x:text>
        <x:r>
          <x:t>Operating current working capital proxy (FY:28 E).
Receivables plus inventory and other current assets, less modeled operating payables, compensation, current unearned revenue and other operating current liabilities. Cash, debt and capital payables are excluded.
Formula: ='Balance Sheet'!P11+'Balance Sheet'!P12+'Balance Sheet'!P13-'Balance Sheet'!P24-'Balance Sheet'!P27-'Balance Sheet'!P29-'Balance Sheet'!P31
Cross-sheet references identify the owning schedule. Same-sheet references identify intermediate calculations.</x:t>
        </x:r>
      </x:text>
    </x:comment>
    <x:comment ref="L18" authorId="0">
      <x:text>
        <x:r>
          <x:t>Operating current working capital proxy (FY:29 E).
Receivables plus inventory and other current assets, less modeled operating payables, compensation, current unearned revenue and other operating current liabilities. Cash, debt and capital payables are excluded.
Formula: ='Balance Sheet'!Q11+'Balance Sheet'!Q12+'Balance Sheet'!Q13-'Balance Sheet'!Q24-'Balance Sheet'!Q27-'Balance Sheet'!Q29-'Balance Sheet'!Q31
Cross-sheet references identify the owning schedule. Same-sheet references identify intermediate calculations.</x:t>
        </x:r>
      </x:text>
    </x:comment>
    <x:comment ref="M18" authorId="0">
      <x:text>
        <x:r>
          <x:t>Operating current working capital proxy (FY:30 E).
Receivables plus inventory and other current assets, less modeled operating payables, compensation, current unearned revenue and other operating current liabilities. Cash, debt and capital payables are excluded.
Formula: ='Balance Sheet'!R11+'Balance Sheet'!R12+'Balance Sheet'!R13-'Balance Sheet'!R24-'Balance Sheet'!R27-'Balance Sheet'!R29-'Balance Sheet'!R31
Cross-sheet references identify the owning schedule. Same-sheet references identify intermediate calculations.</x:t>
        </x:r>
      </x:text>
    </x:comment>
    <x:comment ref="N18" authorId="0">
      <x:text>
        <x:r>
          <x:t>Operating current working capital proxy (FY:31 E).
Receivables plus inventory and other current assets, less modeled operating payables, compensation, current unearned revenue and other operating current liabilities. Cash, debt and capital payables are excluded.
Formula: ='Balance Sheet'!S11+'Balance Sheet'!S12+'Balance Sheet'!S13-'Balance Sheet'!S24-'Balance Sheet'!S27-'Balance Sheet'!S29-'Balance Sheet'!S31
Cross-sheet references identify the owning schedule. Same-sheet references identify intermediate calculations.</x:t>
        </x:r>
      </x:text>
    </x:comment>
    <x:comment ref="C20" authorId="0">
      <x:text>
        <x:r>
          <x:t>Cash balance or signed cash flow as named in the row. Positive cash-flow amounts are inflows and negative amounts are outflows. Follow the formula or source reference below for the classification.</x:t>
        </x:r>
      </x:text>
    </x:comment>
    <x:comment ref="E20" authorId="0">
      <x:text>
        <x:r>
          <x:t>Cash acquisitions and intangible purchases (FY:22 A).
Cash balance or signed cash flow as named in the row. Positive cash-flow amounts are inflows and negative amounts are outflows. Follow the formula or source reference below for the classification.
Formula: =-'Cash Flow'!J31
Cross-sheet references identify the owning schedule. Same-sheet references identify intermediate calculations.</x:t>
        </x:r>
      </x:text>
    </x:comment>
    <x:comment ref="F20" authorId="0">
      <x:text>
        <x:r>
          <x:t>Cash acquisitions and intangible purchases (FY:23 A).
Cash balance or signed cash flow as named in the row. Positive cash-flow amounts are inflows and negative amounts are outflows. Follow the formula or source reference below for the classification.
Formula: =-'Cash Flow'!K31
Cross-sheet references identify the owning schedule. Same-sheet references identify intermediate calculations.</x:t>
        </x:r>
      </x:text>
    </x:comment>
    <x:comment ref="G20" authorId="0">
      <x:text>
        <x:r>
          <x:t>Cash acquisitions and intangible purchases (FY:24 A).
Cash balance or signed cash flow as named in the row. Positive cash-flow amounts are inflows and negative amounts are outflows. Follow the formula or source reference below for the classification.
Formula: =-'Cash Flow'!L31
Cross-sheet references identify the owning schedule. Same-sheet references identify intermediate calculations.</x:t>
        </x:r>
      </x:text>
    </x:comment>
    <x:comment ref="H20" authorId="0">
      <x:text>
        <x:r>
          <x:t>Cash acquisitions and intangible purchases (FY:25 A).
Cash balance or signed cash flow as named in the row. Positive cash-flow amounts are inflows and negative amounts are outflows. Follow the formula or source reference below for the classification.
Formula: =-'Cash Flow'!M31
Cross-sheet references identify the owning schedule. Same-sheet references identify intermediate calculations.</x:t>
        </x:r>
      </x:text>
    </x:comment>
    <x:comment ref="I20" authorId="0">
      <x:text>
        <x:r>
          <x:t>Cash acquisitions and intangible purchases (FY:26 A).
Cash balance or signed cash flow as named in the row. Positive cash-flow amounts are inflows and negative amounts are outflows. Follow the formula or source reference below for the classification.
Formula: =-'Cash Flow'!N31
Cross-sheet references identify the owning schedule. Same-sheet references identify intermediate calculations.</x:t>
        </x:r>
      </x:text>
    </x:comment>
    <x:comment ref="J20" authorId="0">
      <x:text>
        <x:r>
          <x:t>Cash acquisitions and intangible purchases (FY:27 E).
Cash balance or signed cash flow as named in the row. Positive cash-flow amounts are inflows and negative amounts are outflows. Follow the formula or source reference below for the classification.
Formula: =-'Cash Flow'!O31
Cross-sheet references identify the owning schedule. Same-sheet references identify intermediate calculations.</x:t>
        </x:r>
      </x:text>
    </x:comment>
    <x:comment ref="K20" authorId="0">
      <x:text>
        <x:r>
          <x:t>Cash acquisitions and intangible purchases (FY:28 E).
Cash balance or signed cash flow as named in the row. Positive cash-flow amounts are inflows and negative amounts are outflows. Follow the formula or source reference below for the classification.
Formula: =-'Cash Flow'!P31
Cross-sheet references identify the owning schedule. Same-sheet references identify intermediate calculations.</x:t>
        </x:r>
      </x:text>
    </x:comment>
    <x:comment ref="L20" authorId="0">
      <x:text>
        <x:r>
          <x:t>Cash acquisitions and intangible purchases (FY:29 E).
Cash balance or signed cash flow as named in the row. Positive cash-flow amounts are inflows and negative amounts are outflows. Follow the formula or source reference below for the classification.
Formula: =-'Cash Flow'!Q31
Cross-sheet references identify the owning schedule. Same-sheet references identify intermediate calculations.</x:t>
        </x:r>
      </x:text>
    </x:comment>
    <x:comment ref="M20" authorId="0">
      <x:text>
        <x:r>
          <x:t>Cash acquisitions and intangible purchases (FY:30 E).
Cash balance or signed cash flow as named in the row. Positive cash-flow amounts are inflows and negative amounts are outflows. Follow the formula or source reference below for the classification.
Formula: =-'Cash Flow'!R31
Cross-sheet references identify the owning schedule. Same-sheet references identify intermediate calculations.</x:t>
        </x:r>
      </x:text>
    </x:comment>
    <x:comment ref="N20" authorId="0">
      <x:text>
        <x:r>
          <x:t>Cash acquisitions and intangible purchases (FY:31 E).
Cash balance or signed cash flow as named in the row. Positive cash-flow amounts are inflows and negative amounts are outflows. Follow the formula or source reference below for the classification.
Formula: =-'Cash Flow'!S31
Cross-sheet references identify the owning schedule. Same-sheet references identify intermediate calculations.</x:t>
        </x:r>
      </x:text>
    </x:comment>
    <x:comment ref="C22" authorId="0">
      <x:text>
        <x:r>
          <x:t>Cash capital expenditure divided by the named revenue or earnings denominator in the same year. The capex numerator excludes noncash finance lease additions.</x:t>
        </x:r>
      </x:text>
    </x:comment>
    <x:comment ref="E22" authorId="0">
      <x:text>
        <x:r>
          <x:t>Cash capex / earnings proxy (FY:22 A).
Cash capital expenditure divided by the named revenue or earnings denominator in the same year. The capex numerator excludes noncash finance lease additions.
Formula: =-'Cash Flow'!J30/'Income Statement'!J36
Cross-sheet references identify the owning schedule. Same-sheet references identify intermediate calculations.</x:t>
        </x:r>
      </x:text>
    </x:comment>
    <x:comment ref="F22" authorId="0">
      <x:text>
        <x:r>
          <x:t>Cash capex / earnings proxy (FY:23 A).
Cash capital expenditure divided by the named revenue or earnings denominator in the same year. The capex numerator excludes noncash finance lease additions.
Formula: =-'Cash Flow'!K30/'Income Statement'!K36
Cross-sheet references identify the owning schedule. Same-sheet references identify intermediate calculations.</x:t>
        </x:r>
      </x:text>
    </x:comment>
    <x:comment ref="G22" authorId="0">
      <x:text>
        <x:r>
          <x:t>Cash capex / earnings proxy (FY:24 A).
Cash capital expenditure divided by the named revenue or earnings denominator in the same year. The capex numerator excludes noncash finance lease additions.
Formula: =-'Cash Flow'!L30/'Income Statement'!L36
Cross-sheet references identify the owning schedule. Same-sheet references identify intermediate calculations.</x:t>
        </x:r>
      </x:text>
    </x:comment>
    <x:comment ref="H22" authorId="0">
      <x:text>
        <x:r>
          <x:t>Cash capex / earnings proxy (FY:25 A).
Cash capital expenditure divided by the named revenue or earnings denominator in the same year. The capex numerator excludes noncash finance lease additions.
Formula: =-'Cash Flow'!M30/'Income Statement'!M36
Cross-sheet references identify the owning schedule. Same-sheet references identify intermediate calculations.</x:t>
        </x:r>
      </x:text>
    </x:comment>
    <x:comment ref="I22" authorId="0">
      <x:text>
        <x:r>
          <x:t>Cash capex / earnings proxy (FY:26 A).
Cash capital expenditure divided by the named revenue or earnings denominator in the same year. The capex numerator excludes noncash finance lease additions.
Formula: =-'Cash Flow'!N30/'Income Statement'!N36
Cross-sheet references identify the owning schedule. Same-sheet references identify intermediate calculations.</x:t>
        </x:r>
      </x:text>
    </x:comment>
    <x:comment ref="J22" authorId="0">
      <x:text>
        <x:r>
          <x:t>Cash capex / earnings proxy (FY:27 E).
Cash capital expenditure divided by the named revenue or earnings denominator in the same year. The capex numerator excludes noncash finance lease additions.
Formula: =-'Cash Flow'!O30/'Income Statement'!O36
Cross-sheet references identify the owning schedule. Same-sheet references identify intermediate calculations.</x:t>
        </x:r>
      </x:text>
    </x:comment>
    <x:comment ref="K22" authorId="0">
      <x:text>
        <x:r>
          <x:t>Cash capex / earnings proxy (FY:28 E).
Cash capital expenditure divided by the named revenue or earnings denominator in the same year. The capex numerator excludes noncash finance lease additions.
Formula: =-'Cash Flow'!P30/'Income Statement'!P36
Cross-sheet references identify the owning schedule. Same-sheet references identify intermediate calculations.</x:t>
        </x:r>
      </x:text>
    </x:comment>
    <x:comment ref="L22" authorId="0">
      <x:text>
        <x:r>
          <x:t>Cash capex / earnings proxy (FY:29 E).
Cash capital expenditure divided by the named revenue or earnings denominator in the same year. The capex numerator excludes noncash finance lease additions.
Formula: =-'Cash Flow'!Q30/'Income Statement'!Q36
Cross-sheet references identify the owning schedule. Same-sheet references identify intermediate calculations.</x:t>
        </x:r>
      </x:text>
    </x:comment>
    <x:comment ref="M22" authorId="0">
      <x:text>
        <x:r>
          <x:t>Cash capex / earnings proxy (FY:30 E).
Cash capital expenditure divided by the named revenue or earnings denominator in the same year. The capex numerator excludes noncash finance lease additions.
Formula: =-'Cash Flow'!R30/'Income Statement'!R36
Cross-sheet references identify the owning schedule. Same-sheet references identify intermediate calculations.</x:t>
        </x:r>
      </x:text>
    </x:comment>
    <x:comment ref="N22" authorId="0">
      <x:text>
        <x:r>
          <x:t>Cash capex / earnings proxy (FY:31 E).
Cash capital expenditure divided by the named revenue or earnings denominator in the same year. The capex numerator excludes noncash finance lease additions.
Formula: =-'Cash Flow'!S30/'Income Statement'!S36
Cross-sheet references identify the owning schedule. Same-sheet references identify intermediate calculations.</x:t>
        </x:r>
      </x:text>
    </x:comment>
    <x:comment ref="C24" authorId="0">
      <x:text>
        <x:r>
          <x:t>Annual change in net PPE divided by the annual revenue increase. This measures incremental asset intensity and is unavailable when its denominator is zero.</x:t>
        </x:r>
      </x:text>
    </x:comment>
    <x:comment ref="E24" authorId="0">
      <x:text>
        <x:r>
          <x:t>Change in net PPE / revenue growth amount (FY:22 A).
Annual change in net PPE divided by the annual revenue increase. This measures incremental asset intensity and is unavailable when its denominator is zero.
Formula: =('Balance Sheet'!J16-'Balance Sheet'!I16)/('Income Statement'!J8-'Income Statement'!I8)
Cross-sheet references identify the owning schedule. Same-sheet references identify intermediate calculations.</x:t>
        </x:r>
      </x:text>
    </x:comment>
    <x:comment ref="F24" authorId="0">
      <x:text>
        <x:r>
          <x:t>Change in net PPE / revenue growth amount (FY:23 A).
Annual change in net PPE divided by the annual revenue increase. This measures incremental asset intensity and is unavailable when its denominator is zero.
Formula: =('Balance Sheet'!K16-'Balance Sheet'!J16)/('Income Statement'!K8-'Income Statement'!J8)
Cross-sheet references identify the owning schedule. Same-sheet references identify intermediate calculations.</x:t>
        </x:r>
      </x:text>
    </x:comment>
    <x:comment ref="G24" authorId="0">
      <x:text>
        <x:r>
          <x:t>Change in net PPE / revenue growth amount (FY:24 A).
Annual change in net PPE divided by the annual revenue increase. This measures incremental asset intensity and is unavailable when its denominator is zero.
Formula: =('Balance Sheet'!L16-'Balance Sheet'!K16)/('Income Statement'!L8-'Income Statement'!K8)
Cross-sheet references identify the owning schedule. Same-sheet references identify intermediate calculations.</x:t>
        </x:r>
      </x:text>
    </x:comment>
    <x:comment ref="H24" authorId="0">
      <x:text>
        <x:r>
          <x:t>Change in net PPE / revenue growth amount (FY:25 A).
Annual change in net PPE divided by the annual revenue increase. This measures incremental asset intensity and is unavailable when its denominator is zero.
Formula: =('Balance Sheet'!M16-'Balance Sheet'!L16)/('Income Statement'!M8-'Income Statement'!L8)
Cross-sheet references identify the owning schedule. Same-sheet references identify intermediate calculations.</x:t>
        </x:r>
      </x:text>
    </x:comment>
    <x:comment ref="I24" authorId="0">
      <x:text>
        <x:r>
          <x:t>Change in net PPE / revenue growth amount (FY:26 A).
Annual change in net PPE divided by the annual revenue increase. This measures incremental asset intensity and is unavailable when its denominator is zero.
Formula: =('Balance Sheet'!N16-'Balance Sheet'!M16)/('Income Statement'!N8-'Income Statement'!M8)
Cross-sheet references identify the owning schedule. Same-sheet references identify intermediate calculations.</x:t>
        </x:r>
      </x:text>
    </x:comment>
    <x:comment ref="J24" authorId="0">
      <x:text>
        <x:r>
          <x:t>Change in net PPE / revenue growth amount (FY:27 E).
Annual change in net PPE divided by the annual revenue increase. This measures incremental asset intensity and is unavailable when its denominator is zero.
Formula: =('Balance Sheet'!O16-'Balance Sheet'!N16)/('Income Statement'!O8-'Income Statement'!N8)
Cross-sheet references identify the owning schedule. Same-sheet references identify intermediate calculations.</x:t>
        </x:r>
      </x:text>
    </x:comment>
    <x:comment ref="K24" authorId="0">
      <x:text>
        <x:r>
          <x:t>Change in net PPE / revenue growth amount (FY:28 E).
Annual change in net PPE divided by the annual revenue increase. This measures incremental asset intensity and is unavailable when its denominator is zero.
Formula: =('Balance Sheet'!P16-'Balance Sheet'!O16)/('Income Statement'!P8-'Income Statement'!O8)
Cross-sheet references identify the owning schedule. Same-sheet references identify intermediate calculations.</x:t>
        </x:r>
      </x:text>
    </x:comment>
    <x:comment ref="L24" authorId="0">
      <x:text>
        <x:r>
          <x:t>Change in net PPE / revenue growth amount (FY:29 E).
Annual change in net PPE divided by the annual revenue increase. This measures incremental asset intensity and is unavailable when its denominator is zero.
Formula: =('Balance Sheet'!Q16-'Balance Sheet'!P16)/('Income Statement'!Q8-'Income Statement'!P8)
Cross-sheet references identify the owning schedule. Same-sheet references identify intermediate calculations.</x:t>
        </x:r>
      </x:text>
    </x:comment>
    <x:comment ref="M24" authorId="0">
      <x:text>
        <x:r>
          <x:t>Change in net PPE / revenue growth amount (FY:30 E).
Annual change in net PPE divided by the annual revenue increase. This measures incremental asset intensity and is unavailable when its denominator is zero.
Formula: =('Balance Sheet'!R16-'Balance Sheet'!Q16)/('Income Statement'!R8-'Income Statement'!Q8)
Cross-sheet references identify the owning schedule. Same-sheet references identify intermediate calculations.</x:t>
        </x:r>
      </x:text>
    </x:comment>
    <x:comment ref="N24" authorId="0">
      <x:text>
        <x:r>
          <x:t>Change in net PPE / revenue growth amount (FY:31 E).
Annual change in net PPE divided by the annual revenue increase. This measures incremental asset intensity and is unavailable when its denominator is zero.
Formula: =('Balance Sheet'!S16-'Balance Sheet'!R16)/('Income Statement'!S8-'Income Statement'!R8)
Cross-sheet references identify the owning schedule. Same-sheet references identify intermediate calculations.</x:t>
        </x:r>
      </x:text>
    </x:comment>
    <x:comment ref="C43" authorId="0">
      <x:text>
        <x:r>
          <x:t>Live analytical observation. This formula reads the existing statement or schedule and updates with the selected case. ="FY2031 cash capex: "&amp;FIXED(N10/1000,1,TRUE)&amp;"bn; noncash finance lease additions: "&amp;FIXED(N11/1000,1,TRUE)&amp;"bn."</x:t>
        </x:r>
      </x:text>
    </x:comment>
    <x:comment ref="C44" authorId="0">
      <x:text>
        <x:r>
          <x:t>Live analytical observation. This formula reads the existing statement or schedule and updates with the selected case. ="FY2031 FCF after lease principal: "&amp;FIXED(N15/1000,1,TRUE)&amp;"bn; cash conversion on the earnings proxy: "&amp;(FIXED((N16)*100,1,TRUE)&amp;"%")&amp;"."</x:t>
        </x:r>
      </x:text>
    </x:comment>
    <x:comment ref="C45" authorId="0">
      <x:text>
        <x:r>
          <x:t>Live analytical observation. This formula reads the existing statement or schedule and updates with the selected case. ="FY2031 SBC: "&amp;FIXED(N13/1000,1,TRUE)&amp;"bn. Assess the cash add-back alongside the independent dilution assumption."</x:t>
        </x:r>
      </x:text>
    </x:comment>
    <x:comment ref="C69" authorId="0">
      <x:text>
        <x:r>
          <x:t>Cash and noncash investment (USD billions). Formula-linked chart data. A means actual and E means the active-case estimate. Unavailable historical observations remain blank.</x:t>
        </x:r>
      </x:text>
    </x:comment>
    <x:comment ref="C88" authorId="0">
      <x:text>
        <x:r>
          <x:t>Cash conversion and capex / earnings proxy. Formula-linked chart data. A means actual and E means the active-case estimate. Unavailable historical observations remain blank.</x:t>
        </x:r>
      </x:text>
    </x:comment>
  </x:commentList>
</x:comments>
</file>

<file path=xl/comments5.xml><?xml version="1.0" encoding="utf-8"?>
<x:comments xmlns:x="http://schemas.openxmlformats.org/spreadsheetml/2006/main">
  <x:authors>
    <x:author>Goran Brkich</x:author>
  </x:authors>
  <x:commentList>
    <x:comment ref="C2" authorId="0">
      <x:text>
        <x:r>
          <x:t>FP&amp;A.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Productivity and Business Processes revenue. This line belongs to the FP&amp;A calculation. Read its formula to trace the referenced inputs and intermediate totals.</x:t>
        </x:r>
      </x:text>
    </x:comment>
    <x:comment ref="E8" authorId="0">
      <x:text>
        <x:r>
          <x:t>Productivity and Business Processes revenue (FY:22 A).
Productivity and Business Processes revenue. This line belongs to the FP&amp;A calculation. Read its formula to trace the referenced inputs and intermediate totals.
Formula: ='Segments'!J8
Cross-sheet references identify the owning schedule. Same-sheet references identify intermediate calculations.</x:t>
        </x:r>
      </x:text>
    </x:comment>
    <x:comment ref="F8" authorId="0">
      <x:text>
        <x:r>
          <x:t>Productivity and Business Processes revenue (FY:23 A).
Productivity and Business Processes revenue. This line belongs to the FP&amp;A calculation. Read its formula to trace the referenced inputs and intermediate totals.
Formula: ='Segments'!K8
Cross-sheet references identify the owning schedule. Same-sheet references identify intermediate calculations.</x:t>
        </x:r>
      </x:text>
    </x:comment>
    <x:comment ref="G8" authorId="0">
      <x:text>
        <x:r>
          <x:t>Productivity and Business Processes revenue (FY:24 A).
Productivity and Business Processes revenue. This line belongs to the FP&amp;A calculation. Read its formula to trace the referenced inputs and intermediate totals.
Formula: ='Segments'!L8
Cross-sheet references identify the owning schedule. Same-sheet references identify intermediate calculations.</x:t>
        </x:r>
      </x:text>
    </x:comment>
    <x:comment ref="H8" authorId="0">
      <x:text>
        <x:r>
          <x:t>Productivity and Business Processes revenue (FY:25 A).
Productivity and Business Processes revenue. This line belongs to the FP&amp;A calculation. Read its formula to trace the referenced inputs and intermediate totals.
Formula: ='Segments'!M8
Cross-sheet references identify the owning schedule. Same-sheet references identify intermediate calculations.</x:t>
        </x:r>
      </x:text>
    </x:comment>
    <x:comment ref="I8" authorId="0">
      <x:text>
        <x:r>
          <x:t>Productivity and Business Processes revenue (FY:26 A).
Productivity and Business Processes revenue. This line belongs to the FP&amp;A calculation. Read its formula to trace the referenced inputs and intermediate totals.
Formula: ='Segments'!N8
Cross-sheet references identify the owning schedule. Same-sheet references identify intermediate calculations.</x:t>
        </x:r>
      </x:text>
    </x:comment>
    <x:comment ref="J8" authorId="0">
      <x:text>
        <x:r>
          <x:t>Productivity and Business Processes revenue (FY:27 E).
Productivity and Business Processes revenue. This line belongs to the FP&amp;A calculation. Read its formula to trace the referenced inputs and intermediate totals.
Formula: ='Segments'!O8
Cross-sheet references identify the owning schedule. Same-sheet references identify intermediate calculations.</x:t>
        </x:r>
      </x:text>
    </x:comment>
    <x:comment ref="K8" authorId="0">
      <x:text>
        <x:r>
          <x:t>Productivity and Business Processes revenue (FY:28 E).
Productivity and Business Processes revenue. This line belongs to the FP&amp;A calculation. Read its formula to trace the referenced inputs and intermediate totals.
Formula: ='Segments'!P8
Cross-sheet references identify the owning schedule. Same-sheet references identify intermediate calculations.</x:t>
        </x:r>
      </x:text>
    </x:comment>
    <x:comment ref="L8" authorId="0">
      <x:text>
        <x:r>
          <x:t>Productivity and Business Processes revenue (FY:29 E).
Productivity and Business Processes revenue. This line belongs to the FP&amp;A calculation. Read its formula to trace the referenced inputs and intermediate totals.
Formula: ='Segments'!Q8
Cross-sheet references identify the owning schedule. Same-sheet references identify intermediate calculations.</x:t>
        </x:r>
      </x:text>
    </x:comment>
    <x:comment ref="M8" authorId="0">
      <x:text>
        <x:r>
          <x:t>Productivity and Business Processes revenue (FY:30 E).
Productivity and Business Processes revenue. This line belongs to the FP&amp;A calculation. Read its formula to trace the referenced inputs and intermediate totals.
Formula: ='Segments'!R8
Cross-sheet references identify the owning schedule. Same-sheet references identify intermediate calculations.</x:t>
        </x:r>
      </x:text>
    </x:comment>
    <x:comment ref="N8" authorId="0">
      <x:text>
        <x:r>
          <x:t>Productivity and Business Processes revenue (FY:31 E).
Productivity and Business Processes revenue. This line belongs to the FP&amp;A calculation. Read its formula to trace the referenced inputs and intermediate totals.
Formula: ='Segments'!S8
Cross-sheet references identify the owning schedule. Same-sheet references identify intermediate calculations.</x:t>
        </x:r>
      </x:text>
    </x:comment>
    <x:comment ref="C9" authorId="0">
      <x:text>
        <x:r>
          <x:t>Intelligent Cloud revenue. This line belongs to the FP&amp;A calculation. Read its formula to trace the referenced inputs and intermediate totals.</x:t>
        </x:r>
      </x:text>
    </x:comment>
    <x:comment ref="E9" authorId="0">
      <x:text>
        <x:r>
          <x:t>Intelligent Cloud revenue (FY:22 A).
Intelligent Cloud revenue. This line belongs to the FP&amp;A calculation. Read its formula to trace the referenced inputs and intermediate totals.
Formula: ='Segments'!J22
Cross-sheet references identify the owning schedule. Same-sheet references identify intermediate calculations.</x:t>
        </x:r>
      </x:text>
    </x:comment>
    <x:comment ref="F9" authorId="0">
      <x:text>
        <x:r>
          <x:t>Intelligent Cloud revenue (FY:23 A).
Intelligent Cloud revenue. This line belongs to the FP&amp;A calculation. Read its formula to trace the referenced inputs and intermediate totals.
Formula: ='Segments'!K22
Cross-sheet references identify the owning schedule. Same-sheet references identify intermediate calculations.</x:t>
        </x:r>
      </x:text>
    </x:comment>
    <x:comment ref="G9" authorId="0">
      <x:text>
        <x:r>
          <x:t>Intelligent Cloud revenue (FY:24 A).
Intelligent Cloud revenue. This line belongs to the FP&amp;A calculation. Read its formula to trace the referenced inputs and intermediate totals.
Formula: ='Segments'!L22
Cross-sheet references identify the owning schedule. Same-sheet references identify intermediate calculations.</x:t>
        </x:r>
      </x:text>
    </x:comment>
    <x:comment ref="H9" authorId="0">
      <x:text>
        <x:r>
          <x:t>Intelligent Cloud revenue (FY:25 A).
Intelligent Cloud revenue. This line belongs to the FP&amp;A calculation. Read its formula to trace the referenced inputs and intermediate totals.
Formula: ='Segments'!M22
Cross-sheet references identify the owning schedule. Same-sheet references identify intermediate calculations.</x:t>
        </x:r>
      </x:text>
    </x:comment>
    <x:comment ref="I9" authorId="0">
      <x:text>
        <x:r>
          <x:t>Intelligent Cloud revenue (FY:26 A).
Intelligent Cloud revenue. This line belongs to the FP&amp;A calculation. Read its formula to trace the referenced inputs and intermediate totals.
Formula: ='Segments'!N22
Cross-sheet references identify the owning schedule. Same-sheet references identify intermediate calculations.</x:t>
        </x:r>
      </x:text>
    </x:comment>
    <x:comment ref="J9" authorId="0">
      <x:text>
        <x:r>
          <x:t>Intelligent Cloud revenue (FY:27 E).
Intelligent Cloud revenue. This line belongs to the FP&amp;A calculation. Read its formula to trace the referenced inputs and intermediate totals.
Formula: ='Segments'!O22
Cross-sheet references identify the owning schedule. Same-sheet references identify intermediate calculations.</x:t>
        </x:r>
      </x:text>
    </x:comment>
    <x:comment ref="K9" authorId="0">
      <x:text>
        <x:r>
          <x:t>Intelligent Cloud revenue (FY:28 E).
Intelligent Cloud revenue. This line belongs to the FP&amp;A calculation. Read its formula to trace the referenced inputs and intermediate totals.
Formula: ='Segments'!P22
Cross-sheet references identify the owning schedule. Same-sheet references identify intermediate calculations.</x:t>
        </x:r>
      </x:text>
    </x:comment>
    <x:comment ref="L9" authorId="0">
      <x:text>
        <x:r>
          <x:t>Intelligent Cloud revenue (FY:29 E).
Intelligent Cloud revenue. This line belongs to the FP&amp;A calculation. Read its formula to trace the referenced inputs and intermediate totals.
Formula: ='Segments'!Q22
Cross-sheet references identify the owning schedule. Same-sheet references identify intermediate calculations.</x:t>
        </x:r>
      </x:text>
    </x:comment>
    <x:comment ref="M9" authorId="0">
      <x:text>
        <x:r>
          <x:t>Intelligent Cloud revenue (FY:30 E).
Intelligent Cloud revenue. This line belongs to the FP&amp;A calculation. Read its formula to trace the referenced inputs and intermediate totals.
Formula: ='Segments'!R22
Cross-sheet references identify the owning schedule. Same-sheet references identify intermediate calculations.</x:t>
        </x:r>
      </x:text>
    </x:comment>
    <x:comment ref="N9" authorId="0">
      <x:text>
        <x:r>
          <x:t>Intelligent Cloud revenue (FY:31 E).
Intelligent Cloud revenue. This line belongs to the FP&amp;A calculation. Read its formula to trace the referenced inputs and intermediate totals.
Formula: ='Segments'!S22
Cross-sheet references identify the owning schedule. Same-sheet references identify intermediate calculations.</x:t>
        </x:r>
      </x:text>
    </x:comment>
    <x:comment ref="C10" authorId="0">
      <x:text>
        <x:r>
          <x:t>More Personal Computing revenue. This line belongs to the FP&amp;A calculation. Read its formula to trace the referenced inputs and intermediate totals.</x:t>
        </x:r>
      </x:text>
    </x:comment>
    <x:comment ref="E10" authorId="0">
      <x:text>
        <x:r>
          <x:t>More Personal Computing revenue (FY:22 A).
More Personal Computing revenue. This line belongs to the FP&amp;A calculation. Read its formula to trace the referenced inputs and intermediate totals.
Formula: ='Segments'!J36
Cross-sheet references identify the owning schedule. Same-sheet references identify intermediate calculations.</x:t>
        </x:r>
      </x:text>
    </x:comment>
    <x:comment ref="F10" authorId="0">
      <x:text>
        <x:r>
          <x:t>More Personal Computing revenue (FY:23 A).
More Personal Computing revenue. This line belongs to the FP&amp;A calculation. Read its formula to trace the referenced inputs and intermediate totals.
Formula: ='Segments'!K36
Cross-sheet references identify the owning schedule. Same-sheet references identify intermediate calculations.</x:t>
        </x:r>
      </x:text>
    </x:comment>
    <x:comment ref="G10" authorId="0">
      <x:text>
        <x:r>
          <x:t>More Personal Computing revenue (FY:24 A).
More Personal Computing revenue. This line belongs to the FP&amp;A calculation. Read its formula to trace the referenced inputs and intermediate totals.
Formula: ='Segments'!L36
Cross-sheet references identify the owning schedule. Same-sheet references identify intermediate calculations.</x:t>
        </x:r>
      </x:text>
    </x:comment>
    <x:comment ref="H10" authorId="0">
      <x:text>
        <x:r>
          <x:t>More Personal Computing revenue (FY:25 A).
More Personal Computing revenue. This line belongs to the FP&amp;A calculation. Read its formula to trace the referenced inputs and intermediate totals.
Formula: ='Segments'!M36
Cross-sheet references identify the owning schedule. Same-sheet references identify intermediate calculations.</x:t>
        </x:r>
      </x:text>
    </x:comment>
    <x:comment ref="I10" authorId="0">
      <x:text>
        <x:r>
          <x:t>More Personal Computing revenue (FY:26 A).
More Personal Computing revenue. This line belongs to the FP&amp;A calculation. Read its formula to trace the referenced inputs and intermediate totals.
Formula: ='Segments'!N36
Cross-sheet references identify the owning schedule. Same-sheet references identify intermediate calculations.</x:t>
        </x:r>
      </x:text>
    </x:comment>
    <x:comment ref="J10" authorId="0">
      <x:text>
        <x:r>
          <x:t>More Personal Computing revenue (FY:27 E).
More Personal Computing revenue. This line belongs to the FP&amp;A calculation. Read its formula to trace the referenced inputs and intermediate totals.
Formula: ='Segments'!O36
Cross-sheet references identify the owning schedule. Same-sheet references identify intermediate calculations.</x:t>
        </x:r>
      </x:text>
    </x:comment>
    <x:comment ref="K10" authorId="0">
      <x:text>
        <x:r>
          <x:t>More Personal Computing revenue (FY:28 E).
More Personal Computing revenue. This line belongs to the FP&amp;A calculation. Read its formula to trace the referenced inputs and intermediate totals.
Formula: ='Segments'!P36
Cross-sheet references identify the owning schedule. Same-sheet references identify intermediate calculations.</x:t>
        </x:r>
      </x:text>
    </x:comment>
    <x:comment ref="L10" authorId="0">
      <x:text>
        <x:r>
          <x:t>More Personal Computing revenue (FY:29 E).
More Personal Computing revenue. This line belongs to the FP&amp;A calculation. Read its formula to trace the referenced inputs and intermediate totals.
Formula: ='Segments'!Q36
Cross-sheet references identify the owning schedule. Same-sheet references identify intermediate calculations.</x:t>
        </x:r>
      </x:text>
    </x:comment>
    <x:comment ref="M10" authorId="0">
      <x:text>
        <x:r>
          <x:t>More Personal Computing revenue (FY:30 E).
More Personal Computing revenue. This line belongs to the FP&amp;A calculation. Read its formula to trace the referenced inputs and intermediate totals.
Formula: ='Segments'!R36
Cross-sheet references identify the owning schedule. Same-sheet references identify intermediate calculations.</x:t>
        </x:r>
      </x:text>
    </x:comment>
    <x:comment ref="N10" authorId="0">
      <x:text>
        <x:r>
          <x:t>More Personal Computing revenue (FY:31 E).
More Personal Computing revenue. This line belongs to the FP&amp;A calculation. Read its formula to trace the referenced inputs and intermediate totals.
Formula: ='Segments'!S36
Cross-sheet references identify the owning schedule. Same-sheet references identify intermediate calculations.</x:t>
        </x:r>
      </x:text>
    </x:comment>
    <x:comment ref="C12" authorId="0">
      <x:text>
        <x:r>
          <x:t>Research and product development expense. Forecast base costs are driven by revenue and then receive allocated D&amp;A and lease expense.</x:t>
        </x:r>
      </x:text>
    </x:comment>
    <x:comment ref="E12" authorId="0">
      <x:text>
        <x:r>
          <x:t>Research and development (FY:22 A).
Research and product development expense. Forecast base costs are driven by revenue and then receive allocated D&amp;A and lease expense.
Formula: ='Income Statement'!J14
Cross-sheet references identify the owning schedule. Same-sheet references identify intermediate calculations.</x:t>
        </x:r>
      </x:text>
    </x:comment>
    <x:comment ref="F12" authorId="0">
      <x:text>
        <x:r>
          <x:t>Research and development (FY:23 A).
Research and product development expense. Forecast base costs are driven by revenue and then receive allocated D&amp;A and lease expense.
Formula: ='Income Statement'!K14
Cross-sheet references identify the owning schedule. Same-sheet references identify intermediate calculations.</x:t>
        </x:r>
      </x:text>
    </x:comment>
    <x:comment ref="G12" authorId="0">
      <x:text>
        <x:r>
          <x:t>Research and development (FY:24 A).
Research and product development expense. Forecast base costs are driven by revenue and then receive allocated D&amp;A and lease expense.
Formula: ='Income Statement'!L14
Cross-sheet references identify the owning schedule. Same-sheet references identify intermediate calculations.</x:t>
        </x:r>
      </x:text>
    </x:comment>
    <x:comment ref="H12" authorId="0">
      <x:text>
        <x:r>
          <x:t>Research and development (FY:25 A).
Research and product development expense. Forecast base costs are driven by revenue and then receive allocated D&amp;A and lease expense.
Formula: ='Income Statement'!M14
Cross-sheet references identify the owning schedule. Same-sheet references identify intermediate calculations.</x:t>
        </x:r>
      </x:text>
    </x:comment>
    <x:comment ref="I12" authorId="0">
      <x:text>
        <x:r>
          <x:t>Research and development (FY:26 A).
Research and product development expense. Forecast base costs are driven by revenue and then receive allocated D&amp;A and lease expense.
Formula: ='Income Statement'!N14
Cross-sheet references identify the owning schedule. Same-sheet references identify intermediate calculations.</x:t>
        </x:r>
      </x:text>
    </x:comment>
    <x:comment ref="J12" authorId="0">
      <x:text>
        <x:r>
          <x:t>Research and development (FY:27 E).
Research and product development expense. Forecast base costs are driven by revenue and then receive allocated D&amp;A and lease expense.
Formula: ='Income Statement'!O14
Cross-sheet references identify the owning schedule. Same-sheet references identify intermediate calculations.</x:t>
        </x:r>
      </x:text>
    </x:comment>
    <x:comment ref="K12" authorId="0">
      <x:text>
        <x:r>
          <x:t>Research and development (FY:28 E).
Research and product development expense. Forecast base costs are driven by revenue and then receive allocated D&amp;A and lease expense.
Formula: ='Income Statement'!P14
Cross-sheet references identify the owning schedule. Same-sheet references identify intermediate calculations.</x:t>
        </x:r>
      </x:text>
    </x:comment>
    <x:comment ref="L12" authorId="0">
      <x:text>
        <x:r>
          <x:t>Research and development (FY:29 E).
Research and product development expense. Forecast base costs are driven by revenue and then receive allocated D&amp;A and lease expense.
Formula: ='Income Statement'!Q14
Cross-sheet references identify the owning schedule. Same-sheet references identify intermediate calculations.</x:t>
        </x:r>
      </x:text>
    </x:comment>
    <x:comment ref="M12" authorId="0">
      <x:text>
        <x:r>
          <x:t>Research and development (FY:30 E).
Research and product development expense. Forecast base costs are driven by revenue and then receive allocated D&amp;A and lease expense.
Formula: ='Income Statement'!R14
Cross-sheet references identify the owning schedule. Same-sheet references identify intermediate calculations.</x:t>
        </x:r>
      </x:text>
    </x:comment>
    <x:comment ref="N12" authorId="0">
      <x:text>
        <x:r>
          <x:t>Research and development (FY:31 E).
Research and product development expense. Forecast base costs are driven by revenue and then receive allocated D&amp;A and lease expense.
Formula: ='Income Statement'!S14
Cross-sheet references identify the owning schedule. Same-sheet references identify intermediate calculations.</x:t>
        </x:r>
      </x:text>
    </x:comment>
    <x:comment ref="C13" authorId="0">
      <x:text>
        <x:r>
          <x:t>Selling and marketing expense driven by its revenue-based forecast assumption.</x:t>
        </x:r>
      </x:text>
    </x:comment>
    <x:comment ref="E13" authorId="0">
      <x:text>
        <x:r>
          <x:t>Sales and marketing (FY:22 A).
Selling and marketing expense driven by its revenue-based forecast assumption.
Formula: ='Income Statement'!J15
Cross-sheet references identify the owning schedule. Same-sheet references identify intermediate calculations.</x:t>
        </x:r>
      </x:text>
    </x:comment>
    <x:comment ref="F13" authorId="0">
      <x:text>
        <x:r>
          <x:t>Sales and marketing (FY:23 A).
Selling and marketing expense driven by its revenue-based forecast assumption.
Formula: ='Income Statement'!K15
Cross-sheet references identify the owning schedule. Same-sheet references identify intermediate calculations.</x:t>
        </x:r>
      </x:text>
    </x:comment>
    <x:comment ref="G13" authorId="0">
      <x:text>
        <x:r>
          <x:t>Sales and marketing (FY:24 A).
Selling and marketing expense driven by its revenue-based forecast assumption.
Formula: ='Income Statement'!L15
Cross-sheet references identify the owning schedule. Same-sheet references identify intermediate calculations.</x:t>
        </x:r>
      </x:text>
    </x:comment>
    <x:comment ref="H13" authorId="0">
      <x:text>
        <x:r>
          <x:t>Sales and marketing (FY:25 A).
Selling and marketing expense driven by its revenue-based forecast assumption.
Formula: ='Income Statement'!M15
Cross-sheet references identify the owning schedule. Same-sheet references identify intermediate calculations.</x:t>
        </x:r>
      </x:text>
    </x:comment>
    <x:comment ref="I13" authorId="0">
      <x:text>
        <x:r>
          <x:t>Sales and marketing (FY:26 A).
Selling and marketing expense driven by its revenue-based forecast assumption.
Formula: ='Income Statement'!N15
Cross-sheet references identify the owning schedule. Same-sheet references identify intermediate calculations.</x:t>
        </x:r>
      </x:text>
    </x:comment>
    <x:comment ref="J13" authorId="0">
      <x:text>
        <x:r>
          <x:t>Sales and marketing (FY:27 E).
Selling and marketing expense driven by its revenue-based forecast assumption.
Formula: ='Income Statement'!O15
Cross-sheet references identify the owning schedule. Same-sheet references identify intermediate calculations.</x:t>
        </x:r>
      </x:text>
    </x:comment>
    <x:comment ref="K13" authorId="0">
      <x:text>
        <x:r>
          <x:t>Sales and marketing (FY:28 E).
Selling and marketing expense driven by its revenue-based forecast assumption.
Formula: ='Income Statement'!P15
Cross-sheet references identify the owning schedule. Same-sheet references identify intermediate calculations.</x:t>
        </x:r>
      </x:text>
    </x:comment>
    <x:comment ref="L13" authorId="0">
      <x:text>
        <x:r>
          <x:t>Sales and marketing (FY:29 E).
Selling and marketing expense driven by its revenue-based forecast assumption.
Formula: ='Income Statement'!Q15
Cross-sheet references identify the owning schedule. Same-sheet references identify intermediate calculations.</x:t>
        </x:r>
      </x:text>
    </x:comment>
    <x:comment ref="M13" authorId="0">
      <x:text>
        <x:r>
          <x:t>Sales and marketing (FY:30 E).
Selling and marketing expense driven by its revenue-based forecast assumption.
Formula: ='Income Statement'!R15
Cross-sheet references identify the owning schedule. Same-sheet references identify intermediate calculations.</x:t>
        </x:r>
      </x:text>
    </x:comment>
    <x:comment ref="N13" authorId="0">
      <x:text>
        <x:r>
          <x:t>Sales and marketing (FY:31 E).
Selling and marketing expense driven by its revenue-based forecast assumption.
Formula: ='Income Statement'!S15
Cross-sheet references identify the owning schedule. Same-sheet references identify intermediate calculations.</x:t>
        </x:r>
      </x:text>
    </x:comment>
    <x:comment ref="C14" authorId="0">
      <x:text>
        <x:r>
          <x:t>Corporate administration expense driven by its revenue-based forecast assumption.</x:t>
        </x:r>
      </x:text>
    </x:comment>
    <x:comment ref="E14" authorId="0">
      <x:text>
        <x:r>
          <x:t>General and administrative (FY:22 A).
Corporate administration expense driven by its revenue-based forecast assumption.
Formula: ='Income Statement'!J16
Cross-sheet references identify the owning schedule. Same-sheet references identify intermediate calculations.</x:t>
        </x:r>
      </x:text>
    </x:comment>
    <x:comment ref="F14" authorId="0">
      <x:text>
        <x:r>
          <x:t>General and administrative (FY:23 A).
Corporate administration expense driven by its revenue-based forecast assumption.
Formula: ='Income Statement'!K16
Cross-sheet references identify the owning schedule. Same-sheet references identify intermediate calculations.</x:t>
        </x:r>
      </x:text>
    </x:comment>
    <x:comment ref="G14" authorId="0">
      <x:text>
        <x:r>
          <x:t>General and administrative (FY:24 A).
Corporate administration expense driven by its revenue-based forecast assumption.
Formula: ='Income Statement'!L16
Cross-sheet references identify the owning schedule. Same-sheet references identify intermediate calculations.</x:t>
        </x:r>
      </x:text>
    </x:comment>
    <x:comment ref="H14" authorId="0">
      <x:text>
        <x:r>
          <x:t>General and administrative (FY:25 A).
Corporate administration expense driven by its revenue-based forecast assumption.
Formula: ='Income Statement'!M16
Cross-sheet references identify the owning schedule. Same-sheet references identify intermediate calculations.</x:t>
        </x:r>
      </x:text>
    </x:comment>
    <x:comment ref="I14" authorId="0">
      <x:text>
        <x:r>
          <x:t>General and administrative (FY:26 A).
Corporate administration expense driven by its revenue-based forecast assumption.
Formula: ='Income Statement'!N16
Cross-sheet references identify the owning schedule. Same-sheet references identify intermediate calculations.</x:t>
        </x:r>
      </x:text>
    </x:comment>
    <x:comment ref="J14" authorId="0">
      <x:text>
        <x:r>
          <x:t>General and administrative (FY:27 E).
Corporate administration expense driven by its revenue-based forecast assumption.
Formula: ='Income Statement'!O16
Cross-sheet references identify the owning schedule. Same-sheet references identify intermediate calculations.</x:t>
        </x:r>
      </x:text>
    </x:comment>
    <x:comment ref="K14" authorId="0">
      <x:text>
        <x:r>
          <x:t>General and administrative (FY:28 E).
Corporate administration expense driven by its revenue-based forecast assumption.
Formula: ='Income Statement'!P16
Cross-sheet references identify the owning schedule. Same-sheet references identify intermediate calculations.</x:t>
        </x:r>
      </x:text>
    </x:comment>
    <x:comment ref="L14" authorId="0">
      <x:text>
        <x:r>
          <x:t>General and administrative (FY:29 E).
Corporate administration expense driven by its revenue-based forecast assumption.
Formula: ='Income Statement'!Q16
Cross-sheet references identify the owning schedule. Same-sheet references identify intermediate calculations.</x:t>
        </x:r>
      </x:text>
    </x:comment>
    <x:comment ref="M14" authorId="0">
      <x:text>
        <x:r>
          <x:t>General and administrative (FY:30 E).
Corporate administration expense driven by its revenue-based forecast assumption.
Formula: ='Income Statement'!R16
Cross-sheet references identify the owning schedule. Same-sheet references identify intermediate calculations.</x:t>
        </x:r>
      </x:text>
    </x:comment>
    <x:comment ref="N14" authorId="0">
      <x:text>
        <x:r>
          <x:t>General and administrative (FY:31 E).
Corporate administration expense driven by its revenue-based forecast assumption.
Formula: ='Income Statement'!S16
Cross-sheet references identify the owning schedule. Same-sheet references identify intermediate calculations.</x:t>
        </x:r>
      </x:text>
    </x:comment>
    <x:comment ref="C16" authorId="0">
      <x:text>
        <x:r>
          <x:t>Noncash expense for PPE. Forecast legacy assets and new annual cohorts use the useful-life inputs and half-year convention. Expense reduces asset carrying value and is added back once in operating cash flow.</x:t>
        </x:r>
      </x:text>
    </x:comment>
    <x:comment ref="E16" authorId="0">
      <x:text>
        <x:r>
          <x:t>PPE depreciation (FY:22 A).
Noncash expense for PPE. Forecast legacy assets and new annual cohorts use the useful-life inputs and half-year convention. Expense reduces asset carrying value and is added back once in operating cash flow.
Formula: ='PPE and Intangibles'!J21
Cross-sheet references identify the owning schedule. Same-sheet references identify intermediate calculations.</x:t>
        </x:r>
      </x:text>
    </x:comment>
    <x:comment ref="F16" authorId="0">
      <x:text>
        <x:r>
          <x:t>PPE depreciation (FY:23 A).
Noncash expense for PPE. Forecast legacy assets and new annual cohorts use the useful-life inputs and half-year convention. Expense reduces asset carrying value and is added back once in operating cash flow.
Formula: ='PPE and Intangibles'!K21
Cross-sheet references identify the owning schedule. Same-sheet references identify intermediate calculations.</x:t>
        </x:r>
      </x:text>
    </x:comment>
    <x:comment ref="G16" authorId="0">
      <x:text>
        <x:r>
          <x:t>PPE depreciation (FY:24 A).
Noncash expense for PPE. Forecast legacy assets and new annual cohorts use the useful-life inputs and half-year convention. Expense reduces asset carrying value and is added back once in operating cash flow.
Formula: ='PPE and Intangibles'!L21
Cross-sheet references identify the owning schedule. Same-sheet references identify intermediate calculations.</x:t>
        </x:r>
      </x:text>
    </x:comment>
    <x:comment ref="H16" authorId="0">
      <x:text>
        <x:r>
          <x:t>PPE depreciation (FY:25 A).
Noncash expense for PPE. Forecast legacy assets and new annual cohorts use the useful-life inputs and half-year convention. Expense reduces asset carrying value and is added back once in operating cash flow.
Formula: ='PPE and Intangibles'!M21
Cross-sheet references identify the owning schedule. Same-sheet references identify intermediate calculations.</x:t>
        </x:r>
      </x:text>
    </x:comment>
    <x:comment ref="I16" authorId="0">
      <x:text>
        <x:r>
          <x:t>PPE depreciation (FY:26 A).
Noncash expense for PPE. Forecast legacy assets and new annual cohorts use the useful-life inputs and half-year convention. Expense reduces asset carrying value and is added back once in operating cash flow.
Formula: ='PPE and Intangibles'!N21
Cross-sheet references identify the owning schedule. Same-sheet references identify intermediate calculations.</x:t>
        </x:r>
      </x:text>
    </x:comment>
    <x:comment ref="J16" authorId="0">
      <x:text>
        <x:r>
          <x:t>PPE depreciation (FY:27 E).
Noncash expense for PPE. Forecast legacy assets and new annual cohorts use the useful-life inputs and half-year convention. Expense reduces asset carrying value and is added back once in operating cash flow.
Formula: ='PPE and Intangibles'!O21
Cross-sheet references identify the owning schedule. Same-sheet references identify intermediate calculations.</x:t>
        </x:r>
      </x:text>
    </x:comment>
    <x:comment ref="K16" authorId="0">
      <x:text>
        <x:r>
          <x:t>PPE depreciation (FY:28 E).
Noncash expense for PPE. Forecast legacy assets and new annual cohorts use the useful-life inputs and half-year convention. Expense reduces asset carrying value and is added back once in operating cash flow.
Formula: ='PPE and Intangibles'!P21
Cross-sheet references identify the owning schedule. Same-sheet references identify intermediate calculations.</x:t>
        </x:r>
      </x:text>
    </x:comment>
    <x:comment ref="L16" authorId="0">
      <x:text>
        <x:r>
          <x:t>PPE depreciation (FY:29 E).
Noncash expense for PPE. Forecast legacy assets and new annual cohorts use the useful-life inputs and half-year convention. Expense reduces asset carrying value and is added back once in operating cash flow.
Formula: ='PPE and Intangibles'!Q21
Cross-sheet references identify the owning schedule. Same-sheet references identify intermediate calculations.</x:t>
        </x:r>
      </x:text>
    </x:comment>
    <x:comment ref="M16" authorId="0">
      <x:text>
        <x:r>
          <x:t>PPE depreciation (FY:30 E).
Noncash expense for PPE. Forecast legacy assets and new annual cohorts use the useful-life inputs and half-year convention. Expense reduces asset carrying value and is added back once in operating cash flow.
Formula: ='PPE and Intangibles'!R21
Cross-sheet references identify the owning schedule. Same-sheet references identify intermediate calculations.</x:t>
        </x:r>
      </x:text>
    </x:comment>
    <x:comment ref="N16" authorId="0">
      <x:text>
        <x:r>
          <x:t>PPE depreciation (FY:31 E).
Noncash expense for PPE. Forecast legacy assets and new annual cohorts use the useful-life inputs and half-year convention. Expense reduces asset carrying value and is added back once in operating cash flow.
Formula: ='PPE and Intangibles'!S21
Cross-sheet references identify the owning schedule. Same-sheet references identify intermediate calculations.</x:t>
        </x:r>
      </x:text>
    </x:comment>
    <x:comment ref="C17" authorId="0">
      <x:text>
        <x:r>
          <x:t>Operating lease expense. This line belongs to the FP&amp;A calculation. Read its formula to trace the referenced inputs and intermediate totals.</x:t>
        </x:r>
      </x:text>
    </x:comment>
    <x:comment ref="E17" authorId="0">
      <x:text>
        <x:r>
          <x:t>Operating lease expense (FY:22 A).
Operating lease expense. This line belongs to the FP&amp;A calculation. Read its formula to trace the referenced inputs and intermediate totals.
Formula: ='Debt and Leases'!J61
Cross-sheet references identify the owning schedule. Same-sheet references identify intermediate calculations.</x:t>
        </x:r>
      </x:text>
    </x:comment>
    <x:comment ref="F17" authorId="0">
      <x:text>
        <x:r>
          <x:t>Operating lease expense (FY:23 A).
Operating lease expense. This line belongs to the FP&amp;A calculation. Read its formula to trace the referenced inputs and intermediate totals.
Formula: ='Debt and Leases'!K61
Cross-sheet references identify the owning schedule. Same-sheet references identify intermediate calculations.</x:t>
        </x:r>
      </x:text>
    </x:comment>
    <x:comment ref="G17" authorId="0">
      <x:text>
        <x:r>
          <x:t>Operating lease expense (FY:24 A).
Operating lease expense. This line belongs to the FP&amp;A calculation. Read its formula to trace the referenced inputs and intermediate totals.
Formula: ='Debt and Leases'!L61
Cross-sheet references identify the owning schedule. Same-sheet references identify intermediate calculations.</x:t>
        </x:r>
      </x:text>
    </x:comment>
    <x:comment ref="H17" authorId="0">
      <x:text>
        <x:r>
          <x:t>Operating lease expense (FY:25 A).
Operating lease expense. This line belongs to the FP&amp;A calculation. Read its formula to trace the referenced inputs and intermediate totals.
Formula: ='Debt and Leases'!M61
Cross-sheet references identify the owning schedule. Same-sheet references identify intermediate calculations.</x:t>
        </x:r>
      </x:text>
    </x:comment>
    <x:comment ref="I17" authorId="0">
      <x:text>
        <x:r>
          <x:t>Operating lease expense (FY:26 A).
Operating lease expense. This line belongs to the FP&amp;A calculation. Read its formula to trace the referenced inputs and intermediate totals.
Formula: ='Debt and Leases'!N61
Cross-sheet references identify the owning schedule. Same-sheet references identify intermediate calculations.</x:t>
        </x:r>
      </x:text>
    </x:comment>
    <x:comment ref="J17" authorId="0">
      <x:text>
        <x:r>
          <x:t>Operating lease expense (FY:27 E).
Operating lease expense. This line belongs to the FP&amp;A calculation. Read its formula to trace the referenced inputs and intermediate totals.
Formula: ='Debt and Leases'!O61
Cross-sheet references identify the owning schedule. Same-sheet references identify intermediate calculations.</x:t>
        </x:r>
      </x:text>
    </x:comment>
    <x:comment ref="K17" authorId="0">
      <x:text>
        <x:r>
          <x:t>Operating lease expense (FY:28 E).
Operating lease expense. This line belongs to the FP&amp;A calculation. Read its formula to trace the referenced inputs and intermediate totals.
Formula: ='Debt and Leases'!P61
Cross-sheet references identify the owning schedule. Same-sheet references identify intermediate calculations.</x:t>
        </x:r>
      </x:text>
    </x:comment>
    <x:comment ref="L17" authorId="0">
      <x:text>
        <x:r>
          <x:t>Operating lease expense (FY:29 E).
Operating lease expense. This line belongs to the FP&amp;A calculation. Read its formula to trace the referenced inputs and intermediate totals.
Formula: ='Debt and Leases'!Q61
Cross-sheet references identify the owning schedule. Same-sheet references identify intermediate calculations.</x:t>
        </x:r>
      </x:text>
    </x:comment>
    <x:comment ref="M17" authorId="0">
      <x:text>
        <x:r>
          <x:t>Operating lease expense (FY:30 E).
Operating lease expense. This line belongs to the FP&amp;A calculation. Read its formula to trace the referenced inputs and intermediate totals.
Formula: ='Debt and Leases'!R61
Cross-sheet references identify the owning schedule. Same-sheet references identify intermediate calculations.</x:t>
        </x:r>
      </x:text>
    </x:comment>
    <x:comment ref="N17" authorId="0">
      <x:text>
        <x:r>
          <x:t>Operating lease expense (FY:31 E).
Operating lease expense. This line belongs to the FP&amp;A calculation. Read its formula to trace the referenced inputs and intermediate totals.
Formula: ='Debt and Leases'!S61
Cross-sheet references identify the owning schedule. Same-sheet references identify intermediate calculations.</x:t>
        </x:r>
      </x:text>
    </x:comment>
    <x:comment ref="C19" authorId="0">
      <x:text>
        <x:r>
          <x:t>Gross profit less research and development, sales and marketing, general and administrative costs, and other operating expenses. It excludes nonoperating items and income tax.</x:t>
        </x:r>
      </x:text>
    </x:comment>
    <x:comment ref="E19" authorId="0">
      <x:text>
        <x:r>
          <x:t>Operating income (FY:22 A).
Gross profit less research and development, sales and marketing, general and administrative costs, and other operating expenses. It excludes nonoperating items and income tax.
Formula: ='Income Statement'!J19
Cross-sheet references identify the owning schedule. Same-sheet references identify intermediate calculations.</x:t>
        </x:r>
      </x:text>
    </x:comment>
    <x:comment ref="F19" authorId="0">
      <x:text>
        <x:r>
          <x:t>Operating income (FY:23 A).
Gross profit less research and development, sales and marketing, general and administrative costs, and other operating expenses. It excludes nonoperating items and income tax.
Formula: ='Income Statement'!K19
Cross-sheet references identify the owning schedule. Same-sheet references identify intermediate calculations.</x:t>
        </x:r>
      </x:text>
    </x:comment>
    <x:comment ref="G19" authorId="0">
      <x:text>
        <x:r>
          <x:t>Operating income (FY:24 A).
Gross profit less research and development, sales and marketing, general and administrative costs, and other operating expenses. It excludes nonoperating items and income tax.
Formula: ='Income Statement'!L19
Cross-sheet references identify the owning schedule. Same-sheet references identify intermediate calculations.</x:t>
        </x:r>
      </x:text>
    </x:comment>
    <x:comment ref="H19" authorId="0">
      <x:text>
        <x:r>
          <x:t>Operating income (FY:25 A).
Gross profit less research and development, sales and marketing, general and administrative costs, and other operating expenses. It excludes nonoperating items and income tax.
Formula: ='Income Statement'!M19
Cross-sheet references identify the owning schedule. Same-sheet references identify intermediate calculations.</x:t>
        </x:r>
      </x:text>
    </x:comment>
    <x:comment ref="I19" authorId="0">
      <x:text>
        <x:r>
          <x:t>Operating income (FY:26 A).
Gross profit less research and development, sales and marketing, general and administrative costs, and other operating expenses. It excludes nonoperating items and income tax.
Formula: ='Income Statement'!N19
Cross-sheet references identify the owning schedule. Same-sheet references identify intermediate calculations.</x:t>
        </x:r>
      </x:text>
    </x:comment>
    <x:comment ref="J19" authorId="0">
      <x:text>
        <x:r>
          <x:t>Operating income (FY:27 E).
Gross profit less research and development, sales and marketing, general and administrative costs, and other operating expenses. It excludes nonoperating items and income tax.
Formula: ='Income Statement'!O19
Cross-sheet references identify the owning schedule. Same-sheet references identify intermediate calculations.</x:t>
        </x:r>
      </x:text>
    </x:comment>
    <x:comment ref="K19" authorId="0">
      <x:text>
        <x:r>
          <x:t>Operating income (FY:28 E).
Gross profit less research and development, sales and marketing, general and administrative costs, and other operating expenses. It excludes nonoperating items and income tax.
Formula: ='Income Statement'!P19
Cross-sheet references identify the owning schedule. Same-sheet references identify intermediate calculations.</x:t>
        </x:r>
      </x:text>
    </x:comment>
    <x:comment ref="L19" authorId="0">
      <x:text>
        <x:r>
          <x:t>Operating income (FY:29 E).
Gross profit less research and development, sales and marketing, general and administrative costs, and other operating expenses. It excludes nonoperating items and income tax.
Formula: ='Income Statement'!Q19
Cross-sheet references identify the owning schedule. Same-sheet references identify intermediate calculations.</x:t>
        </x:r>
      </x:text>
    </x:comment>
    <x:comment ref="M19" authorId="0">
      <x:text>
        <x:r>
          <x:t>Operating income (FY:30 E).
Gross profit less research and development, sales and marketing, general and administrative costs, and other operating expenses. It excludes nonoperating items and income tax.
Formula: ='Income Statement'!R19
Cross-sheet references identify the owning schedule. Same-sheet references identify intermediate calculations.</x:t>
        </x:r>
      </x:text>
    </x:comment>
    <x:comment ref="N19" authorId="0">
      <x:text>
        <x:r>
          <x:t>Operating income (FY:31 E).
Gross profit less research and development, sales and marketing, general and administrative costs, and other operating expenses. It excludes nonoperating items and income tax.
Formula: ='Income Statement'!S19
Cross-sheet references identify the owning schedule. Same-sheet references identify intermediate calculations.</x:t>
        </x:r>
      </x:text>
    </x:comment>
    <x:comment ref="C20" authorId="0">
      <x:text>
        <x:r>
          <x:t>Operating income divided by revenue for the same fiscal year. A declining margin can reflect infrastructure depreciation and operating cost assumptions.</x:t>
        </x:r>
      </x:text>
    </x:comment>
    <x:comment ref="E20" authorId="0">
      <x:text>
        <x:r>
          <x:t>Operating margin (FY:22 A).
Operating income divided by revenue for the same fiscal year. A declining margin can reflect infrastructure depreciation and operating cost assumptions.
Formula: ='Income Statement'!J20
Cross-sheet references identify the owning schedule. Same-sheet references identify intermediate calculations.</x:t>
        </x:r>
      </x:text>
    </x:comment>
    <x:comment ref="F20" authorId="0">
      <x:text>
        <x:r>
          <x:t>Operating margin (FY:23 A).
Operating income divided by revenue for the same fiscal year. A declining margin can reflect infrastructure depreciation and operating cost assumptions.
Formula: ='Income Statement'!K20
Cross-sheet references identify the owning schedule. Same-sheet references identify intermediate calculations.</x:t>
        </x:r>
      </x:text>
    </x:comment>
    <x:comment ref="G20" authorId="0">
      <x:text>
        <x:r>
          <x:t>Operating margin (FY:24 A).
Operating income divided by revenue for the same fiscal year. A declining margin can reflect infrastructure depreciation and operating cost assumptions.
Formula: ='Income Statement'!L20
Cross-sheet references identify the owning schedule. Same-sheet references identify intermediate calculations.</x:t>
        </x:r>
      </x:text>
    </x:comment>
    <x:comment ref="H20" authorId="0">
      <x:text>
        <x:r>
          <x:t>Operating margin (FY:25 A).
Operating income divided by revenue for the same fiscal year. A declining margin can reflect infrastructure depreciation and operating cost assumptions.
Formula: ='Income Statement'!M20
Cross-sheet references identify the owning schedule. Same-sheet references identify intermediate calculations.</x:t>
        </x:r>
      </x:text>
    </x:comment>
    <x:comment ref="I20" authorId="0">
      <x:text>
        <x:r>
          <x:t>Operating margin (FY:26 A).
Operating income divided by revenue for the same fiscal year. A declining margin can reflect infrastructure depreciation and operating cost assumptions.
Formula: ='Income Statement'!N20
Cross-sheet references identify the owning schedule. Same-sheet references identify intermediate calculations.</x:t>
        </x:r>
      </x:text>
    </x:comment>
    <x:comment ref="J20" authorId="0">
      <x:text>
        <x:r>
          <x:t>Operating margin (FY:27 E).
Operating income divided by revenue for the same fiscal year. A declining margin can reflect infrastructure depreciation and operating cost assumptions.
Formula: ='Income Statement'!O20
Cross-sheet references identify the owning schedule. Same-sheet references identify intermediate calculations.</x:t>
        </x:r>
      </x:text>
    </x:comment>
    <x:comment ref="K20" authorId="0">
      <x:text>
        <x:r>
          <x:t>Operating margin (FY:28 E).
Operating income divided by revenue for the same fiscal year. A declining margin can reflect infrastructure depreciation and operating cost assumptions.
Formula: ='Income Statement'!P20
Cross-sheet references identify the owning schedule. Same-sheet references identify intermediate calculations.</x:t>
        </x:r>
      </x:text>
    </x:comment>
    <x:comment ref="L20" authorId="0">
      <x:text>
        <x:r>
          <x:t>Operating margin (FY:29 E).
Operating income divided by revenue for the same fiscal year. A declining margin can reflect infrastructure depreciation and operating cost assumptions.
Formula: ='Income Statement'!Q20
Cross-sheet references identify the owning schedule. Same-sheet references identify intermediate calculations.</x:t>
        </x:r>
      </x:text>
    </x:comment>
    <x:comment ref="M20" authorId="0">
      <x:text>
        <x:r>
          <x:t>Operating margin (FY:30 E).
Operating income divided by revenue for the same fiscal year. A declining margin can reflect infrastructure depreciation and operating cost assumptions.
Formula: ='Income Statement'!R20
Cross-sheet references identify the owning schedule. Same-sheet references identify intermediate calculations.</x:t>
        </x:r>
      </x:text>
    </x:comment>
    <x:comment ref="N20" authorId="0">
      <x:text>
        <x:r>
          <x:t>Operating margin (FY:31 E).
Operating income divided by revenue for the same fiscal year. A declining margin can reflect infrastructure depreciation and operating cost assumptions.
Formula: ='Income Statement'!S20
Cross-sheet references identify the owning schedule. Same-sheet references identify intermediate calculations.</x:t>
        </x:r>
      </x:text>
    </x:comment>
    <x:comment ref="C22" authorId="0">
      <x:text>
        <x:r>
          <x:t>Cash capital expenditure divided by the named revenue or earnings denominator in the same year. The capex numerator excludes noncash finance lease additions.</x:t>
        </x:r>
      </x:text>
    </x:comment>
    <x:comment ref="E22" authorId="0">
      <x:text>
        <x:r>
          <x:t>Cash capex / revenue (FY:22 A).
Cash capital expenditure divided by the named revenue or earnings denominator in the same year. The capex numerator excludes noncash finance lease additions.
Formula: =-'Cash Flow'!J30/'Income Statement'!J8
Cross-sheet references identify the owning schedule. Same-sheet references identify intermediate calculations.</x:t>
        </x:r>
      </x:text>
    </x:comment>
    <x:comment ref="F22" authorId="0">
      <x:text>
        <x:r>
          <x:t>Cash capex / revenue (FY:23 A).
Cash capital expenditure divided by the named revenue or earnings denominator in the same year. The capex numerator excludes noncash finance lease additions.
Formula: =-'Cash Flow'!K30/'Income Statement'!K8
Cross-sheet references identify the owning schedule. Same-sheet references identify intermediate calculations.</x:t>
        </x:r>
      </x:text>
    </x:comment>
    <x:comment ref="G22" authorId="0">
      <x:text>
        <x:r>
          <x:t>Cash capex / revenue (FY:24 A).
Cash capital expenditure divided by the named revenue or earnings denominator in the same year. The capex numerator excludes noncash finance lease additions.
Formula: =-'Cash Flow'!L30/'Income Statement'!L8
Cross-sheet references identify the owning schedule. Same-sheet references identify intermediate calculations.</x:t>
        </x:r>
      </x:text>
    </x:comment>
    <x:comment ref="H22" authorId="0">
      <x:text>
        <x:r>
          <x:t>Cash capex / revenue (FY:25 A).
Cash capital expenditure divided by the named revenue or earnings denominator in the same year. The capex numerator excludes noncash finance lease additions.
Formula: =-'Cash Flow'!M30/'Income Statement'!M8
Cross-sheet references identify the owning schedule. Same-sheet references identify intermediate calculations.</x:t>
        </x:r>
      </x:text>
    </x:comment>
    <x:comment ref="I22" authorId="0">
      <x:text>
        <x:r>
          <x:t>Cash capex / revenue (FY:26 A).
Cash capital expenditure divided by the named revenue or earnings denominator in the same year. The capex numerator excludes noncash finance lease additions.
Formula: =-'Cash Flow'!N30/'Income Statement'!N8
Cross-sheet references identify the owning schedule. Same-sheet references identify intermediate calculations.</x:t>
        </x:r>
      </x:text>
    </x:comment>
    <x:comment ref="J22" authorId="0">
      <x:text>
        <x:r>
          <x:t>Cash capex / revenue (FY:27 E).
Cash capital expenditure divided by the named revenue or earnings denominator in the same year. The capex numerator excludes noncash finance lease additions.
Formula: =-'Cash Flow'!O30/'Income Statement'!O8
Cross-sheet references identify the owning schedule. Same-sheet references identify intermediate calculations.</x:t>
        </x:r>
      </x:text>
    </x:comment>
    <x:comment ref="K22" authorId="0">
      <x:text>
        <x:r>
          <x:t>Cash capex / revenue (FY:28 E).
Cash capital expenditure divided by the named revenue or earnings denominator in the same year. The capex numerator excludes noncash finance lease additions.
Formula: =-'Cash Flow'!P30/'Income Statement'!P8
Cross-sheet references identify the owning schedule. Same-sheet references identify intermediate calculations.</x:t>
        </x:r>
      </x:text>
    </x:comment>
    <x:comment ref="L22" authorId="0">
      <x:text>
        <x:r>
          <x:t>Cash capex / revenue (FY:29 E).
Cash capital expenditure divided by the named revenue or earnings denominator in the same year. The capex numerator excludes noncash finance lease additions.
Formula: =-'Cash Flow'!Q30/'Income Statement'!Q8
Cross-sheet references identify the owning schedule. Same-sheet references identify intermediate calculations.</x:t>
        </x:r>
      </x:text>
    </x:comment>
    <x:comment ref="M22" authorId="0">
      <x:text>
        <x:r>
          <x:t>Cash capex / revenue (FY:30 E).
Cash capital expenditure divided by the named revenue or earnings denominator in the same year. The capex numerator excludes noncash finance lease additions.
Formula: =-'Cash Flow'!R30/'Income Statement'!R8
Cross-sheet references identify the owning schedule. Same-sheet references identify intermediate calculations.</x:t>
        </x:r>
      </x:text>
    </x:comment>
    <x:comment ref="N22" authorId="0">
      <x:text>
        <x:r>
          <x:t>Cash capex / revenue (FY:31 E).
Cash capital expenditure divided by the named revenue or earnings denominator in the same year. The capex numerator excludes noncash finance lease additions.
Formula: =-'Cash Flow'!S30/'Income Statement'!S8
Cross-sheet references identify the owning schedule. Same-sheet references identify intermediate calculations.</x:t>
        </x:r>
      </x:text>
    </x:comment>
    <x:comment ref="C29" authorId="0">
      <x:text>
        <x:r>
          <x:t>FY2026 operating income. This line belongs to the FP&amp;A calculation. Read its formula to trace the referenced inputs and intermediate totals.</x:t>
        </x:r>
      </x:text>
    </x:comment>
    <x:comment ref="F29" authorId="0">
      <x:text>
        <x:r>
          <x:t>FY2026 operating income (FY:23 A).
FY2026 operating income. This line belongs to the FP&amp;A calculation. Read its formula to trace the referenced inputs and intermediate totals.
Formula: ='Income Statement'!N19
Cross-sheet references identify the owning schedule. Same-sheet references identify intermediate calculations.</x:t>
        </x:r>
      </x:text>
    </x:comment>
    <x:comment ref="C30" authorId="0">
      <x:text>
        <x:r>
          <x:t>PBP revenue change. This line belongs to the FP&amp;A calculation. Read its formula to trace the referenced inputs and intermediate totals.</x:t>
        </x:r>
      </x:text>
    </x:comment>
    <x:comment ref="F30" authorId="0">
      <x:text>
        <x:r>
          <x:t>PBP revenue change (FY:23 A).
PBP revenue change. This line belongs to the FP&amp;A calculation. Read its formula to trace the referenced inputs and intermediate totals.
Formula: ='Segments'!O8-'Segments'!N8
Cross-sheet references identify the owning schedule. Same-sheet references identify intermediate calculations.</x:t>
        </x:r>
      </x:text>
    </x:comment>
    <x:comment ref="C31" authorId="0">
      <x:text>
        <x:r>
          <x:t>IC revenue change. This line belongs to the FP&amp;A calculation. Read its formula to trace the referenced inputs and intermediate totals.</x:t>
        </x:r>
      </x:text>
    </x:comment>
    <x:comment ref="F31" authorId="0">
      <x:text>
        <x:r>
          <x:t>IC revenue change (FY:23 A).
IC revenue change. This line belongs to the FP&amp;A calculation. Read its formula to trace the referenced inputs and intermediate totals.
Formula: ='Segments'!O22-'Segments'!N22
Cross-sheet references identify the owning schedule. Same-sheet references identify intermediate calculations.</x:t>
        </x:r>
      </x:text>
    </x:comment>
    <x:comment ref="C32" authorId="0">
      <x:text>
        <x:r>
          <x:t>MPC revenue change. This line belongs to the FP&amp;A calculation. Read its formula to trace the referenced inputs and intermediate totals.</x:t>
        </x:r>
      </x:text>
    </x:comment>
    <x:comment ref="F32" authorId="0">
      <x:text>
        <x:r>
          <x:t>MPC revenue change (FY:23 A).
MPC revenue change. This line belongs to the FP&amp;A calculation. Read its formula to trace the referenced inputs and intermediate totals.
Formula: ='Segments'!O36-'Segments'!N36
Cross-sheet references identify the owning schedule. Same-sheet references identify intermediate calculations.</x:t>
        </x:r>
      </x:text>
    </x:comment>
    <x:comment ref="C33" authorId="0">
      <x:text>
        <x:r>
          <x:t>Cost of revenue change. This line belongs to the FP&amp;A calculation. Read its formula to trace the referenced inputs and intermediate totals.</x:t>
        </x:r>
      </x:text>
    </x:comment>
    <x:comment ref="F33" authorId="0">
      <x:text>
        <x:r>
          <x:t>Cost of revenue change (FY:23 A).
Cost of revenue change. This line belongs to the FP&amp;A calculation. Read its formula to trace the referenced inputs and intermediate totals.
Formula: ='Income Statement'!N10-'Income Statement'!O10
Cross-sheet references identify the owning schedule. Same-sheet references identify intermediate calculations.</x:t>
        </x:r>
      </x:text>
    </x:comment>
    <x:comment ref="C34" authorId="0">
      <x:text>
        <x:r>
          <x:t>R&amp;D expense change. This line belongs to the FP&amp;A calculation. Read its formula to trace the referenced inputs and intermediate totals.</x:t>
        </x:r>
      </x:text>
    </x:comment>
    <x:comment ref="F34" authorId="0">
      <x:text>
        <x:r>
          <x:t>R&amp;D expense change (FY:23 A).
R&amp;D expense change. This line belongs to the FP&amp;A calculation. Read its formula to trace the referenced inputs and intermediate totals.
Formula: ='Income Statement'!N14-'Income Statement'!O14
Cross-sheet references identify the owning schedule. Same-sheet references identify intermediate calculations.</x:t>
        </x:r>
      </x:text>
    </x:comment>
    <x:comment ref="C35" authorId="0">
      <x:text>
        <x:r>
          <x:t>Sales and marketing expense change. This line belongs to the FP&amp;A calculation. Read its formula to trace the referenced inputs and intermediate totals.</x:t>
        </x:r>
      </x:text>
    </x:comment>
    <x:comment ref="F35" authorId="0">
      <x:text>
        <x:r>
          <x:t>Sales and marketing expense change (FY:23 A).
Sales and marketing expense change. This line belongs to the FP&amp;A calculation. Read its formula to trace the referenced inputs and intermediate totals.
Formula: ='Income Statement'!N15-'Income Statement'!O15
Cross-sheet references identify the owning schedule. Same-sheet references identify intermediate calculations.</x:t>
        </x:r>
      </x:text>
    </x:comment>
    <x:comment ref="C36" authorId="0">
      <x:text>
        <x:r>
          <x:t>General and administrative change. This line belongs to the FP&amp;A calculation. Read its formula to trace the referenced inputs and intermediate totals.</x:t>
        </x:r>
      </x:text>
    </x:comment>
    <x:comment ref="F36" authorId="0">
      <x:text>
        <x:r>
          <x:t>General and administrative change (FY:23 A).
General and administrative change. This line belongs to the FP&amp;A calculation. Read its formula to trace the referenced inputs and intermediate totals.
Formula: ='Income Statement'!N16-'Income Statement'!O16
Cross-sheet references identify the owning schedule. Same-sheet references identify intermediate calculations.</x:t>
        </x:r>
      </x:text>
    </x:comment>
    <x:comment ref="C37" authorId="0">
      <x:text>
        <x:r>
          <x:t>Other operating expense change. This line belongs to the FP&amp;A calculation. Read its formula to trace the referenced inputs and intermediate totals.</x:t>
        </x:r>
      </x:text>
    </x:comment>
    <x:comment ref="F37" authorId="0">
      <x:text>
        <x:r>
          <x:t>Other operating expense change (FY:23 A).
Other operating expense change. This line belongs to the FP&amp;A calculation. Read its formula to trace the referenced inputs and intermediate totals.
Formula: ='Income Statement'!N17-'Income Statement'!O17
Cross-sheet references identify the owning schedule. Same-sheet references identify intermediate calculations.</x:t>
        </x:r>
      </x:text>
    </x:comment>
    <x:comment ref="C39" authorId="0">
      <x:text>
        <x:r>
          <x:t>FY2027 operating income. This line belongs to the FP&amp;A calculation. Read its formula to trace the referenced inputs and intermediate totals.</x:t>
        </x:r>
      </x:text>
    </x:comment>
    <x:comment ref="F39" authorId="0">
      <x:text>
        <x:r>
          <x:t>FY2027 operating income (FY:23 A).
FY2027 operating income. This line belongs to the FP&amp;A calculation. Read its formula to trace the referenced inputs and intermediate totals.
Formula: =SUM(F29:F37)
Cross-sheet references identify the owning schedule. Same-sheet references identify intermediate calculations.</x:t>
        </x:r>
      </x:text>
    </x:comment>
    <x:comment ref="C58" authorId="0">
      <x:text>
        <x:r>
          <x:t>Live analytical observation. This formula reads the existing statement or schedule and updates with the selected case. ="FY2027 operating income changes by "&amp;FIXED((J19-I19)/1000,1,TRUE)&amp;"bn under the selected case."</x:t>
        </x:r>
      </x:text>
    </x:comment>
    <x:comment ref="C59" authorId="0">
      <x:text>
        <x:r>
          <x:t>Live analytical observation. This formula reads the existing statement or schedule and updates with the selected case. ="FY2031 Intelligent Cloud revenue share: "&amp;(FIXED((N9/SUM(N8:N10))*100,1,TRUE)&amp;"%")&amp;"."</x:t>
        </x:r>
      </x:text>
    </x:comment>
    <x:comment ref="C60" authorId="0">
      <x:text>
        <x:r>
          <x:t>Live analytical observation. This formula reads the existing statement or schedule and updates with the selected case. ="PPE depreciation rises from "&amp;FIXED(I16/1000,1,TRUE)&amp;"bn in FY2026 to "&amp;FIXED(N16/1000,1,TRUE)&amp;"bn in FY2031."</x:t>
        </x:r>
      </x:text>
    </x:comment>
    <x:comment ref="C84" authorId="0">
      <x:text>
        <x:r>
          <x:t>Segment revenue (USD billions). Formula-linked chart data. A means actual and E means the active-case estimate. Unavailable historical observations remain blank.</x:t>
        </x:r>
      </x:text>
    </x:comment>
    <x:comment ref="C103" authorId="0">
      <x:text>
        <x:r>
          <x:t>Operating expenses (USD billions). Formula-linked chart data. A means actual and E means the active-case estimate. Unavailable historical observations remain blank.</x:t>
        </x:r>
      </x:text>
    </x:comment>
  </x:commentList>
</x:comments>
</file>

<file path=xl/comments6.xml><?xml version="1.0" encoding="utf-8"?>
<x:comments xmlns:x="http://schemas.openxmlformats.org/spreadsheetml/2006/main">
  <x:authors>
    <x:author>Goran Brkich</x:author>
  </x:authors>
  <x:commentList>
    <x:comment ref="C2" authorId="0">
      <x:text>
        <x:r>
          <x:t>Assumptions. Amounts are USD millions unless the row states a ratio, days, years or per-share value. Hover over annotated labels or values for definitions and formula references.</x:t>
        </x:r>
      </x:text>
    </x:comment>
    <x:comment ref="C9" authorId="0">
      <x:text>
        <x:r>
          <x:t>Current period divided by the prior matching period less one, or an editable forecast growth assumption. Preserve unavailable growth across definition changes.</x:t>
        </x:r>
      </x:text>
    </x:comment>
    <x:comment ref="E9" authorId="0">
      <x:text>
        <x:r>
          <x:t>Productivity and Business Processes revenue growth (FY:17 A).
Current period divided by the prior matching period less one, or an editable forecast growth assumption. Preserve unavailable growth across definition changes. The active forecast row selects the case input below it and feeds the operating model. This period is unavailable or not applicable. Do not interpret it as zero.
Formula: ='Segments'!E9
Cross-sheet references identify the owning schedule. Same-sheet references identify intermediate calculations.</x:t>
        </x:r>
      </x:text>
    </x:comment>
    <x:comment ref="F9" authorId="0">
      <x:text>
        <x:r>
          <x:t>Productivity and Business Processes revenue growth (FY:18 A).
Current period divided by the prior matching period less one, or an editable forecast growth assumption. Preserve unavailable growth across definition changes. The active forecast row selects the case input below it and feeds the operating model.
Formula: ='Segments'!F9
Cross-sheet references identify the owning schedule. Same-sheet references identify intermediate calculations.</x:t>
        </x:r>
      </x:text>
    </x:comment>
    <x:comment ref="G9" authorId="0">
      <x:text>
        <x:r>
          <x:t>Productivity and Business Processes revenue growth (FY:19 A).
Current period divided by the prior matching period less one, or an editable forecast growth assumption. Preserve unavailable growth across definition changes. The active forecast row selects the case input below it and feeds the operating model.
Formula: ='Segments'!G9
Cross-sheet references identify the owning schedule. Same-sheet references identify intermediate calculations.</x:t>
        </x:r>
      </x:text>
    </x:comment>
    <x:comment ref="H9" authorId="0">
      <x:text>
        <x:r>
          <x:t>Productivity and Business Processes revenue growth (FY:20 A).
Current period divided by the prior matching period less one, or an editable forecast growth assumption. Preserve unavailable growth across definition changes. The active forecast row selects the case input below it and feeds the operating model.
Formula: ='Segments'!H9
Cross-sheet references identify the owning schedule. Same-sheet references identify intermediate calculations.</x:t>
        </x:r>
      </x:text>
    </x:comment>
    <x:comment ref="I9" authorId="0">
      <x:text>
        <x:r>
          <x:t>Productivity and Business Processes revenue growth (FY:21 A).
Current period divided by the prior matching period less one, or an editable forecast growth assumption. Preserve unavailable growth across definition changes. The active forecast row selects the case input below it and feeds the operating model.
Formula: ='Segments'!I9
Cross-sheet references identify the owning schedule. Same-sheet references identify intermediate calculations.</x:t>
        </x:r>
      </x:text>
    </x:comment>
    <x:comment ref="J9" authorId="0">
      <x:text>
        <x:r>
          <x:t>Productivity and Business Processes revenue growth (FY:22 A).
Current period divided by the prior matching period less one, or an editable forecast growth assumption. Preserve unavailable growth across definition changes. The active forecast row selects the case input below it and feeds the operating model.
Formula: ='Segments'!J9
Cross-sheet references identify the owning schedule. Same-sheet references identify intermediate calculations.</x:t>
        </x:r>
      </x:text>
    </x:comment>
    <x:comment ref="K9" authorId="0">
      <x:text>
        <x:r>
          <x:t>Productivity and Business Processes revenue growth (FY:23 A).
Current period divided by the prior matching period less one, or an editable forecast growth assumption. Preserve unavailable growth across definition changes. The active forecast row selects the case input below it and feeds the operating model. This period is unavailable or not applicable. Do not interpret it as zero.
Formula: ='Segments'!K9
Cross-sheet references identify the owning schedule. Same-sheet references identify intermediate calculations.</x:t>
        </x:r>
      </x:text>
    </x:comment>
    <x:comment ref="L9" authorId="0">
      <x:text>
        <x:r>
          <x:t>Productivity and Business Processes revenue growth (FY:24 A).
Current period divided by the prior matching period less one, or an editable forecast growth assumption. Preserve unavailable growth across definition changes. The active forecast row selects the case input below it and feeds the operating model.
Formula: ='Segments'!L9
Cross-sheet references identify the owning schedule. Same-sheet references identify intermediate calculations.</x:t>
        </x:r>
      </x:text>
    </x:comment>
    <x:comment ref="M9" authorId="0">
      <x:text>
        <x:r>
          <x:t>Productivity and Business Processes revenue growth (FY:25 A).
Current period divided by the prior matching period less one, or an editable forecast growth assumption. Preserve unavailable growth across definition changes. The active forecast row selects the case input below it and feeds the operating model.
Formula: ='Segments'!M9
Cross-sheet references identify the owning schedule. Same-sheet references identify intermediate calculations.</x:t>
        </x:r>
      </x:text>
    </x:comment>
    <x:comment ref="N9" authorId="0">
      <x:text>
        <x:r>
          <x:t>Productivity and Business Processes revenue growth (FY:26 A).
Current period divided by the prior matching period less one, or an editable forecast growth assumption. Preserve unavailable growth across definition changes. The active forecast row selects the case input below it and feeds the operating model.
Formula: ='Segments'!N9
Cross-sheet references identify the owning schedule. Same-sheet references identify intermediate calculations.</x:t>
        </x:r>
      </x:text>
    </x:comment>
    <x:comment ref="O9" authorId="0">
      <x:text>
        <x:r>
          <x:t>Productivity and Business Processes revenue growth (FY:27 E).
Current period divided by the prior matching period less one, or an editable forecast growth assumption. Preserve unavailable growth across definition changes. The active forecast row selects the case input below it and feeds the operating model.
Formula: =IF(NOT(CHOOSE($D$4,ISNUMBER(O10),ISNUMBER(O11),ISNUMBER(O12))),"n.a.",CHOOSE($D$4,O10,O11,O12))
Cross-sheet references identify the owning schedule. Same-sheet references identify intermediate calculations.</x:t>
        </x:r>
      </x:text>
    </x:comment>
    <x:comment ref="P9" authorId="0">
      <x:text>
        <x:r>
          <x:t>Productivity and Business Processes revenue growth (FY:28 E).
Current period divided by the prior matching period less one, or an editable forecast growth assumption. Preserve unavailable growth across definition changes. The active forecast row selects the case input below it and feeds the operating model.
Formula: =IF(NOT(CHOOSE($D$4,ISNUMBER(P10),ISNUMBER(P11),ISNUMBER(P12))),"n.a.",CHOOSE($D$4,P10,P11,P12))
Cross-sheet references identify the owning schedule. Same-sheet references identify intermediate calculations.</x:t>
        </x:r>
      </x:text>
    </x:comment>
    <x:comment ref="Q9" authorId="0">
      <x:text>
        <x:r>
          <x:t>Productivity and Business Processes revenue growth (FY:29 E).
Current period divided by the prior matching period less one, or an editable forecast growth assumption. Preserve unavailable growth across definition changes. The active forecast row selects the case input below it and feeds the operating model.
Formula: =IF(NOT(CHOOSE($D$4,ISNUMBER(Q10),ISNUMBER(Q11),ISNUMBER(Q12))),"n.a.",CHOOSE($D$4,Q10,Q11,Q12))
Cross-sheet references identify the owning schedule. Same-sheet references identify intermediate calculations.</x:t>
        </x:r>
      </x:text>
    </x:comment>
    <x:comment ref="R9" authorId="0">
      <x:text>
        <x:r>
          <x:t>Productivity and Business Processes revenue growth (FY:30 E).
Current period divided by the prior matching period less one, or an editable forecast growth assumption. Preserve unavailable growth across definition changes. The active forecast row selects the case input below it and feeds the operating model.
Formula: =IF(NOT(CHOOSE($D$4,ISNUMBER(R10),ISNUMBER(R11),ISNUMBER(R12))),"n.a.",CHOOSE($D$4,R10,R11,R12))
Cross-sheet references identify the owning schedule. Same-sheet references identify intermediate calculations.</x:t>
        </x:r>
      </x:text>
    </x:comment>
    <x:comment ref="S9" authorId="0">
      <x:text>
        <x:r>
          <x:t>Productivity and Business Processes revenue growth (FY:31 E).
Current period divided by the prior matching period less one, or an editable forecast growth assumption. Preserve unavailable growth across definition changes. The active forecast row selects the case input below it and feeds the operating model.
Formula: =IF(NOT(CHOOSE($D$4,ISNUMBER(S10),ISNUMBER(S11),ISNUMBER(S12))),"n.a.",CHOOSE($D$4,S10,S11,S12))
Cross-sheet references identify the owning schedule. Same-sheet references identify intermediate calculations.</x:t>
        </x:r>
      </x:text>
    </x:comment>
    <x:comment ref="C10" authorId="0">
      <x:text>
        <x:r>
          <x:t>Current period divided by the prior matching period less one, or an editable forecast growth assumption. Preserve unavailable growth across definition changes. This is the editable Base case input.</x:t>
        </x:r>
      </x:text>
    </x:comment>
    <x:comment ref="O10" authorId="0">
      <x:text>
        <x:r>
          <x:t>Productivity and Business Processes revenue growth (FY:27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P10" authorId="0">
      <x:text>
        <x:r>
          <x:t>Productivity and Business Processes revenue growth (FY:28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Q10" authorId="0">
      <x:text>
        <x:r>
          <x:t>Productivity and Business Processes revenue growth (FY:29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R10" authorId="0">
      <x:text>
        <x:r>
          <x:t>Productivity and Business Processes revenue growth (FY:30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S10" authorId="0">
      <x:text>
        <x:r>
          <x:t>Productivity and Business Processes revenue growth (FY:31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C11" authorId="0">
      <x:text>
        <x:r>
          <x:t>Current period divided by the prior matching period less one, or an editable forecast growth assumption. Preserve unavailable growth across definition changes. This is the editable Upside case input.</x:t>
        </x:r>
      </x:text>
    </x:comment>
    <x:comment ref="O11" authorId="0">
      <x:text>
        <x:r>
          <x:t>Productivity and Business Processes revenue growth (FY:27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P11" authorId="0">
      <x:text>
        <x:r>
          <x:t>Productivity and Business Processes revenue growth (FY:28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Q11" authorId="0">
      <x:text>
        <x:r>
          <x:t>Productivity and Business Processes revenue growth (FY:29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R11" authorId="0">
      <x:text>
        <x:r>
          <x:t>Productivity and Business Processes revenue growth (FY:30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S11" authorId="0">
      <x:text>
        <x:r>
          <x:t>Productivity and Business Processes revenue growth (FY:31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C12" authorId="0">
      <x:text>
        <x:r>
          <x:t>Current period divided by the prior matching period less one, or an editable forecast growth assumption. Preserve unavailable growth across definition changes. This is the editable Downside case input.</x:t>
        </x:r>
      </x:text>
    </x:comment>
    <x:comment ref="O12" authorId="0">
      <x:text>
        <x:r>
          <x:t>Productivity and Business Processes revenue growth (FY:27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P12" authorId="0">
      <x:text>
        <x:r>
          <x:t>Productivity and Business Processes revenue growth (FY:28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Q12" authorId="0">
      <x:text>
        <x:r>
          <x:t>Productivity and Business Processes revenue growth (FY:29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R12" authorId="0">
      <x:text>
        <x:r>
          <x:t>Productivity and Business Processes revenue growth (FY:30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S12" authorId="0">
      <x:text>
        <x:r>
          <x:t>Productivity and Business Processes revenue growth (FY:31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C13" authorId="0">
      <x:text>
        <x:r>
          <x:t>Current period divided by the prior matching period less one, or an editable forecast growth assumption. Preserve unavailable growth across definition changes.</x:t>
        </x:r>
      </x:text>
    </x:comment>
    <x:comment ref="E13" authorId="0">
      <x:text>
        <x:r>
          <x:t>Intelligent Cloud revenue growth (FY:17 A).
Current period divided by the prior matching period less one, or an editable forecast growth assumption. Preserve unavailable growth across definition changes. The active forecast row selects the case input below it and feeds the operating model. This period is unavailable or not applicable. Do not interpret it as zero.
Formula: ='Segments'!E23
Cross-sheet references identify the owning schedule. Same-sheet references identify intermediate calculations.</x:t>
        </x:r>
      </x:text>
    </x:comment>
    <x:comment ref="F13" authorId="0">
      <x:text>
        <x:r>
          <x:t>Intelligent Cloud revenue growth (FY:18 A).
Current period divided by the prior matching period less one, or an editable forecast growth assumption. Preserve unavailable growth across definition changes. The active forecast row selects the case input below it and feeds the operating model.
Formula: ='Segments'!F23
Cross-sheet references identify the owning schedule. Same-sheet references identify intermediate calculations.</x:t>
        </x:r>
      </x:text>
    </x:comment>
    <x:comment ref="G13" authorId="0">
      <x:text>
        <x:r>
          <x:t>Intelligent Cloud revenue growth (FY:19 A).
Current period divided by the prior matching period less one, or an editable forecast growth assumption. Preserve unavailable growth across definition changes. The active forecast row selects the case input below it and feeds the operating model.
Formula: ='Segments'!G23
Cross-sheet references identify the owning schedule. Same-sheet references identify intermediate calculations.</x:t>
        </x:r>
      </x:text>
    </x:comment>
    <x:comment ref="H13" authorId="0">
      <x:text>
        <x:r>
          <x:t>Intelligent Cloud revenue growth (FY:20 A).
Current period divided by the prior matching period less one, or an editable forecast growth assumption. Preserve unavailable growth across definition changes. The active forecast row selects the case input below it and feeds the operating model.
Formula: ='Segments'!H23
Cross-sheet references identify the owning schedule. Same-sheet references identify intermediate calculations.</x:t>
        </x:r>
      </x:text>
    </x:comment>
    <x:comment ref="I13" authorId="0">
      <x:text>
        <x:r>
          <x:t>Intelligent Cloud revenue growth (FY:21 A).
Current period divided by the prior matching period less one, or an editable forecast growth assumption. Preserve unavailable growth across definition changes. The active forecast row selects the case input below it and feeds the operating model.
Formula: ='Segments'!I23
Cross-sheet references identify the owning schedule. Same-sheet references identify intermediate calculations.</x:t>
        </x:r>
      </x:text>
    </x:comment>
    <x:comment ref="J13" authorId="0">
      <x:text>
        <x:r>
          <x:t>Intelligent Cloud revenue growth (FY:22 A).
Current period divided by the prior matching period less one, or an editable forecast growth assumption. Preserve unavailable growth across definition changes. The active forecast row selects the case input below it and feeds the operating model.
Formula: ='Segments'!J23
Cross-sheet references identify the owning schedule. Same-sheet references identify intermediate calculations.</x:t>
        </x:r>
      </x:text>
    </x:comment>
    <x:comment ref="K13" authorId="0">
      <x:text>
        <x:r>
          <x:t>Intelligent Cloud revenue growth (FY:23 A).
Current period divided by the prior matching period less one, or an editable forecast growth assumption. Preserve unavailable growth across definition changes. The active forecast row selects the case input below it and feeds the operating model. This period is unavailable or not applicable. Do not interpret it as zero.
Formula: ='Segments'!K23
Cross-sheet references identify the owning schedule. Same-sheet references identify intermediate calculations.</x:t>
        </x:r>
      </x:text>
    </x:comment>
    <x:comment ref="L13" authorId="0">
      <x:text>
        <x:r>
          <x:t>Intelligent Cloud revenue growth (FY:24 A).
Current period divided by the prior matching period less one, or an editable forecast growth assumption. Preserve unavailable growth across definition changes. The active forecast row selects the case input below it and feeds the operating model.
Formula: ='Segments'!L23
Cross-sheet references identify the owning schedule. Same-sheet references identify intermediate calculations.</x:t>
        </x:r>
      </x:text>
    </x:comment>
    <x:comment ref="M13" authorId="0">
      <x:text>
        <x:r>
          <x:t>Intelligent Cloud revenue growth (FY:25 A).
Current period divided by the prior matching period less one, or an editable forecast growth assumption. Preserve unavailable growth across definition changes. The active forecast row selects the case input below it and feeds the operating model.
Formula: ='Segments'!M23
Cross-sheet references identify the owning schedule. Same-sheet references identify intermediate calculations.</x:t>
        </x:r>
      </x:text>
    </x:comment>
    <x:comment ref="N13" authorId="0">
      <x:text>
        <x:r>
          <x:t>Intelligent Cloud revenue growth (FY:26 A).
Current period divided by the prior matching period less one, or an editable forecast growth assumption. Preserve unavailable growth across definition changes. The active forecast row selects the case input below it and feeds the operating model.
Formula: ='Segments'!N23
Cross-sheet references identify the owning schedule. Same-sheet references identify intermediate calculations.</x:t>
        </x:r>
      </x:text>
    </x:comment>
    <x:comment ref="O13" authorId="0">
      <x:text>
        <x:r>
          <x:t>Intelligent Cloud revenue growth (FY:27 E).
Current period divided by the prior matching period less one, or an editable forecast growth assumption. Preserve unavailable growth across definition changes. The active forecast row selects the case input below it and feeds the operating model.
Formula: =IF(NOT(CHOOSE($D$4,ISNUMBER(O14),ISNUMBER(O15),ISNUMBER(O16))),"n.a.",CHOOSE($D$4,O14,O15,O16))
Cross-sheet references identify the owning schedule. Same-sheet references identify intermediate calculations.</x:t>
        </x:r>
      </x:text>
    </x:comment>
    <x:comment ref="P13" authorId="0">
      <x:text>
        <x:r>
          <x:t>Intelligent Cloud revenue growth (FY:28 E).
Current period divided by the prior matching period less one, or an editable forecast growth assumption. Preserve unavailable growth across definition changes. The active forecast row selects the case input below it and feeds the operating model.
Formula: =IF(NOT(CHOOSE($D$4,ISNUMBER(P14),ISNUMBER(P15),ISNUMBER(P16))),"n.a.",CHOOSE($D$4,P14,P15,P16))
Cross-sheet references identify the owning schedule. Same-sheet references identify intermediate calculations.</x:t>
        </x:r>
      </x:text>
    </x:comment>
    <x:comment ref="Q13" authorId="0">
      <x:text>
        <x:r>
          <x:t>Intelligent Cloud revenue growth (FY:29 E).
Current period divided by the prior matching period less one, or an editable forecast growth assumption. Preserve unavailable growth across definition changes. The active forecast row selects the case input below it and feeds the operating model.
Formula: =IF(NOT(CHOOSE($D$4,ISNUMBER(Q14),ISNUMBER(Q15),ISNUMBER(Q16))),"n.a.",CHOOSE($D$4,Q14,Q15,Q16))
Cross-sheet references identify the owning schedule. Same-sheet references identify intermediate calculations.</x:t>
        </x:r>
      </x:text>
    </x:comment>
    <x:comment ref="R13" authorId="0">
      <x:text>
        <x:r>
          <x:t>Intelligent Cloud revenue growth (FY:30 E).
Current period divided by the prior matching period less one, or an editable forecast growth assumption. Preserve unavailable growth across definition changes. The active forecast row selects the case input below it and feeds the operating model.
Formula: =IF(NOT(CHOOSE($D$4,ISNUMBER(R14),ISNUMBER(R15),ISNUMBER(R16))),"n.a.",CHOOSE($D$4,R14,R15,R16))
Cross-sheet references identify the owning schedule. Same-sheet references identify intermediate calculations.</x:t>
        </x:r>
      </x:text>
    </x:comment>
    <x:comment ref="S13" authorId="0">
      <x:text>
        <x:r>
          <x:t>Intelligent Cloud revenue growth (FY:31 E).
Current period divided by the prior matching period less one, or an editable forecast growth assumption. Preserve unavailable growth across definition changes. The active forecast row selects the case input below it and feeds the operating model.
Formula: =IF(NOT(CHOOSE($D$4,ISNUMBER(S14),ISNUMBER(S15),ISNUMBER(S16))),"n.a.",CHOOSE($D$4,S14,S15,S16))
Cross-sheet references identify the owning schedule. Same-sheet references identify intermediate calculations.</x:t>
        </x:r>
      </x:text>
    </x:comment>
    <x:comment ref="C14" authorId="0">
      <x:text>
        <x:r>
          <x:t>Current period divided by the prior matching period less one, or an editable forecast growth assumption. Preserve unavailable growth across definition changes. This is the editable Base case input.</x:t>
        </x:r>
      </x:text>
    </x:comment>
    <x:comment ref="O14" authorId="0">
      <x:text>
        <x:r>
          <x:t>Intelligent Cloud revenue growth (FY:27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P14" authorId="0">
      <x:text>
        <x:r>
          <x:t>Intelligent Cloud revenue growth (FY:28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Q14" authorId="0">
      <x:text>
        <x:r>
          <x:t>Intelligent Cloud revenue growth (FY:29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R14" authorId="0">
      <x:text>
        <x:r>
          <x:t>Intelligent Cloud revenue growth (FY:30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S14" authorId="0">
      <x:text>
        <x:r>
          <x:t>Intelligent Cloud revenue growth (FY:31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C15" authorId="0">
      <x:text>
        <x:r>
          <x:t>Current period divided by the prior matching period less one, or an editable forecast growth assumption. Preserve unavailable growth across definition changes. This is the editable Upside case input.</x:t>
        </x:r>
      </x:text>
    </x:comment>
    <x:comment ref="O15" authorId="0">
      <x:text>
        <x:r>
          <x:t>Intelligent Cloud revenue growth (FY:27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P15" authorId="0">
      <x:text>
        <x:r>
          <x:t>Intelligent Cloud revenue growth (FY:28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Q15" authorId="0">
      <x:text>
        <x:r>
          <x:t>Intelligent Cloud revenue growth (FY:29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R15" authorId="0">
      <x:text>
        <x:r>
          <x:t>Intelligent Cloud revenue growth (FY:30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S15" authorId="0">
      <x:text>
        <x:r>
          <x:t>Intelligent Cloud revenue growth (FY:31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C16" authorId="0">
      <x:text>
        <x:r>
          <x:t>Current period divided by the prior matching period less one, or an editable forecast growth assumption. Preserve unavailable growth across definition changes. This is the editable Downside case input.</x:t>
        </x:r>
      </x:text>
    </x:comment>
    <x:comment ref="O16" authorId="0">
      <x:text>
        <x:r>
          <x:t>Intelligent Cloud revenue growth (FY:27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P16" authorId="0">
      <x:text>
        <x:r>
          <x:t>Intelligent Cloud revenue growth (FY:28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Q16" authorId="0">
      <x:text>
        <x:r>
          <x:t>Intelligent Cloud revenue growth (FY:29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R16" authorId="0">
      <x:text>
        <x:r>
          <x:t>Intelligent Cloud revenue growth (FY:30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S16" authorId="0">
      <x:text>
        <x:r>
          <x:t>Intelligent Cloud revenue growth (FY:31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C17" authorId="0">
      <x:text>
        <x:r>
          <x:t>Current period divided by the prior matching period less one, or an editable forecast growth assumption. Preserve unavailable growth across definition changes.</x:t>
        </x:r>
      </x:text>
    </x:comment>
    <x:comment ref="E17" authorId="0">
      <x:text>
        <x:r>
          <x:t>More Personal Computing revenue growth (FY:17 A).
Current period divided by the prior matching period less one, or an editable forecast growth assumption. Preserve unavailable growth across definition changes. The active forecast row selects the case input below it and feeds the operating model. This period is unavailable or not applicable. Do not interpret it as zero.
Formula: ='Segments'!E37
Cross-sheet references identify the owning schedule. Same-sheet references identify intermediate calculations.</x:t>
        </x:r>
      </x:text>
    </x:comment>
    <x:comment ref="F17" authorId="0">
      <x:text>
        <x:r>
          <x:t>More Personal Computing revenue growth (FY:18 A).
Current period divided by the prior matching period less one, or an editable forecast growth assumption. Preserve unavailable growth across definition changes. The active forecast row selects the case input below it and feeds the operating model.
Formula: ='Segments'!F37
Cross-sheet references identify the owning schedule. Same-sheet references identify intermediate calculations.</x:t>
        </x:r>
      </x:text>
    </x:comment>
    <x:comment ref="G17" authorId="0">
      <x:text>
        <x:r>
          <x:t>More Personal Computing revenue growth (FY:19 A).
Current period divided by the prior matching period less one, or an editable forecast growth assumption. Preserve unavailable growth across definition changes. The active forecast row selects the case input below it and feeds the operating model.
Formula: ='Segments'!G37
Cross-sheet references identify the owning schedule. Same-sheet references identify intermediate calculations.</x:t>
        </x:r>
      </x:text>
    </x:comment>
    <x:comment ref="H17" authorId="0">
      <x:text>
        <x:r>
          <x:t>More Personal Computing revenue growth (FY:20 A).
Current period divided by the prior matching period less one, or an editable forecast growth assumption. Preserve unavailable growth across definition changes. The active forecast row selects the case input below it and feeds the operating model.
Formula: ='Segments'!H37
Cross-sheet references identify the owning schedule. Same-sheet references identify intermediate calculations.</x:t>
        </x:r>
      </x:text>
    </x:comment>
    <x:comment ref="I17" authorId="0">
      <x:text>
        <x:r>
          <x:t>More Personal Computing revenue growth (FY:21 A).
Current period divided by the prior matching period less one, or an editable forecast growth assumption. Preserve unavailable growth across definition changes. The active forecast row selects the case input below it and feeds the operating model.
Formula: ='Segments'!I37
Cross-sheet references identify the owning schedule. Same-sheet references identify intermediate calculations.</x:t>
        </x:r>
      </x:text>
    </x:comment>
    <x:comment ref="J17" authorId="0">
      <x:text>
        <x:r>
          <x:t>More Personal Computing revenue growth (FY:22 A).
Current period divided by the prior matching period less one, or an editable forecast growth assumption. Preserve unavailable growth across definition changes. The active forecast row selects the case input below it and feeds the operating model.
Formula: ='Segments'!J37
Cross-sheet references identify the owning schedule. Same-sheet references identify intermediate calculations.</x:t>
        </x:r>
      </x:text>
    </x:comment>
    <x:comment ref="K17" authorId="0">
      <x:text>
        <x:r>
          <x:t>More Personal Computing revenue growth (FY:23 A).
Current period divided by the prior matching period less one, or an editable forecast growth assumption. Preserve unavailable growth across definition changes. The active forecast row selects the case input below it and feeds the operating model. This period is unavailable or not applicable. Do not interpret it as zero.
Formula: ='Segments'!K37
Cross-sheet references identify the owning schedule. Same-sheet references identify intermediate calculations.</x:t>
        </x:r>
      </x:text>
    </x:comment>
    <x:comment ref="L17" authorId="0">
      <x:text>
        <x:r>
          <x:t>More Personal Computing revenue growth (FY:24 A).
Current period divided by the prior matching period less one, or an editable forecast growth assumption. Preserve unavailable growth across definition changes. The active forecast row selects the case input below it and feeds the operating model.
Formula: ='Segments'!L37
Cross-sheet references identify the owning schedule. Same-sheet references identify intermediate calculations.</x:t>
        </x:r>
      </x:text>
    </x:comment>
    <x:comment ref="M17" authorId="0">
      <x:text>
        <x:r>
          <x:t>More Personal Computing revenue growth (FY:25 A).
Current period divided by the prior matching period less one, or an editable forecast growth assumption. Preserve unavailable growth across definition changes. The active forecast row selects the case input below it and feeds the operating model.
Formula: ='Segments'!M37
Cross-sheet references identify the owning schedule. Same-sheet references identify intermediate calculations.</x:t>
        </x:r>
      </x:text>
    </x:comment>
    <x:comment ref="N17" authorId="0">
      <x:text>
        <x:r>
          <x:t>More Personal Computing revenue growth (FY:26 A).
Current period divided by the prior matching period less one, or an editable forecast growth assumption. Preserve unavailable growth across definition changes. The active forecast row selects the case input below it and feeds the operating model.
Formula: ='Segments'!N37
Cross-sheet references identify the owning schedule. Same-sheet references identify intermediate calculations.</x:t>
        </x:r>
      </x:text>
    </x:comment>
    <x:comment ref="O17" authorId="0">
      <x:text>
        <x:r>
          <x:t>More Personal Computing revenue growth (FY:27 E).
Current period divided by the prior matching period less one, or an editable forecast growth assumption. Preserve unavailable growth across definition changes. The active forecast row selects the case input below it and feeds the operating model.
Formula: =IF(NOT(CHOOSE($D$4,ISNUMBER(O18),ISNUMBER(O19),ISNUMBER(O20))),"n.a.",CHOOSE($D$4,O18,O19,O20))
Cross-sheet references identify the owning schedule. Same-sheet references identify intermediate calculations.</x:t>
        </x:r>
      </x:text>
    </x:comment>
    <x:comment ref="P17" authorId="0">
      <x:text>
        <x:r>
          <x:t>More Personal Computing revenue growth (FY:28 E).
Current period divided by the prior matching period less one, or an editable forecast growth assumption. Preserve unavailable growth across definition changes. The active forecast row selects the case input below it and feeds the operating model.
Formula: =IF(NOT(CHOOSE($D$4,ISNUMBER(P18),ISNUMBER(P19),ISNUMBER(P20))),"n.a.",CHOOSE($D$4,P18,P19,P20))
Cross-sheet references identify the owning schedule. Same-sheet references identify intermediate calculations.</x:t>
        </x:r>
      </x:text>
    </x:comment>
    <x:comment ref="Q17" authorId="0">
      <x:text>
        <x:r>
          <x:t>More Personal Computing revenue growth (FY:29 E).
Current period divided by the prior matching period less one, or an editable forecast growth assumption. Preserve unavailable growth across definition changes. The active forecast row selects the case input below it and feeds the operating model.
Formula: =IF(NOT(CHOOSE($D$4,ISNUMBER(Q18),ISNUMBER(Q19),ISNUMBER(Q20))),"n.a.",CHOOSE($D$4,Q18,Q19,Q20))
Cross-sheet references identify the owning schedule. Same-sheet references identify intermediate calculations.</x:t>
        </x:r>
      </x:text>
    </x:comment>
    <x:comment ref="R17" authorId="0">
      <x:text>
        <x:r>
          <x:t>More Personal Computing revenue growth (FY:30 E).
Current period divided by the prior matching period less one, or an editable forecast growth assumption. Preserve unavailable growth across definition changes. The active forecast row selects the case input below it and feeds the operating model.
Formula: =IF(NOT(CHOOSE($D$4,ISNUMBER(R18),ISNUMBER(R19),ISNUMBER(R20))),"n.a.",CHOOSE($D$4,R18,R19,R20))
Cross-sheet references identify the owning schedule. Same-sheet references identify intermediate calculations.</x:t>
        </x:r>
      </x:text>
    </x:comment>
    <x:comment ref="S17" authorId="0">
      <x:text>
        <x:r>
          <x:t>More Personal Computing revenue growth (FY:31 E).
Current period divided by the prior matching period less one, or an editable forecast growth assumption. Preserve unavailable growth across definition changes. The active forecast row selects the case input below it and feeds the operating model.
Formula: =IF(NOT(CHOOSE($D$4,ISNUMBER(S18),ISNUMBER(S19),ISNUMBER(S20))),"n.a.",CHOOSE($D$4,S18,S19,S20))
Cross-sheet references identify the owning schedule. Same-sheet references identify intermediate calculations.</x:t>
        </x:r>
      </x:text>
    </x:comment>
    <x:comment ref="C18" authorId="0">
      <x:text>
        <x:r>
          <x:t>Current period divided by the prior matching period less one, or an editable forecast growth assumption. Preserve unavailable growth across definition changes. This is the editable Base case input.</x:t>
        </x:r>
      </x:text>
    </x:comment>
    <x:comment ref="O18" authorId="0">
      <x:text>
        <x:r>
          <x:t>More Personal Computing revenue growth (FY:27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P18" authorId="0">
      <x:text>
        <x:r>
          <x:t>More Personal Computing revenue growth (FY:28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Q18" authorId="0">
      <x:text>
        <x:r>
          <x:t>More Personal Computing revenue growth (FY:29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R18" authorId="0">
      <x:text>
        <x:r>
          <x:t>More Personal Computing revenue growth (FY:30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S18" authorId="0">
      <x:text>
        <x:r>
          <x:t>More Personal Computing revenue growth (FY:31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C19" authorId="0">
      <x:text>
        <x:r>
          <x:t>Current period divided by the prior matching period less one, or an editable forecast growth assumption. Preserve unavailable growth across definition changes. This is the editable Upside case input.</x:t>
        </x:r>
      </x:text>
    </x:comment>
    <x:comment ref="O19" authorId="0">
      <x:text>
        <x:r>
          <x:t>More Personal Computing revenue growth (FY:27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P19" authorId="0">
      <x:text>
        <x:r>
          <x:t>More Personal Computing revenue growth (FY:28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Q19" authorId="0">
      <x:text>
        <x:r>
          <x:t>More Personal Computing revenue growth (FY:29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R19" authorId="0">
      <x:text>
        <x:r>
          <x:t>More Personal Computing revenue growth (FY:30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S19" authorId="0">
      <x:text>
        <x:r>
          <x:t>More Personal Computing revenue growth (FY:31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C20" authorId="0">
      <x:text>
        <x:r>
          <x:t>Current period divided by the prior matching period less one, or an editable forecast growth assumption. Preserve unavailable growth across definition changes. This is the editable Downside case input.</x:t>
        </x:r>
      </x:text>
    </x:comment>
    <x:comment ref="O20" authorId="0">
      <x:text>
        <x:r>
          <x:t>More Personal Computing revenue growth (FY:27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P20" authorId="0">
      <x:text>
        <x:r>
          <x:t>More Personal Computing revenue growth (FY:28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Q20" authorId="0">
      <x:text>
        <x:r>
          <x:t>More Personal Computing revenue growth (FY:29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R20" authorId="0">
      <x:text>
        <x:r>
          <x:t>More Personal Computing revenue growth (FY:30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S20" authorId="0">
      <x:text>
        <x:r>
          <x:t>More Personal Computing revenue growth (FY:31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C21"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O21" authorId="0">
      <x:text>
        <x:r>
          <x:t>PBP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=IF(NOT(CHOOSE($D$4,ISNUMBER(O22),ISNUMBER(O23),ISNUMBER(O24))),"n.a.",CHOOSE($D$4,O22,O23,O24))
Cross-sheet references identify the owning schedule. Same-sheet references identify intermediate calculations.</x:t>
        </x:r>
      </x:text>
    </x:comment>
    <x:comment ref="P21" authorId="0">
      <x:text>
        <x:r>
          <x:t>PBP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=IF(NOT(CHOOSE($D$4,ISNUMBER(P22),ISNUMBER(P23),ISNUMBER(P24))),"n.a.",CHOOSE($D$4,P22,P23,P24))
Cross-sheet references identify the owning schedule. Same-sheet references identify intermediate calculations.</x:t>
        </x:r>
      </x:text>
    </x:comment>
    <x:comment ref="Q21" authorId="0">
      <x:text>
        <x:r>
          <x:t>PBP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=IF(NOT(CHOOSE($D$4,ISNUMBER(Q22),ISNUMBER(Q23),ISNUMBER(Q24))),"n.a.",CHOOSE($D$4,Q22,Q23,Q24))
Cross-sheet references identify the owning schedule. Same-sheet references identify intermediate calculations.</x:t>
        </x:r>
      </x:text>
    </x:comment>
    <x:comment ref="R21" authorId="0">
      <x:text>
        <x:r>
          <x:t>PBP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=IF(NOT(CHOOSE($D$4,ISNUMBER(R22),ISNUMBER(R23),ISNUMBER(R24))),"n.a.",CHOOSE($D$4,R22,R23,R24))
Cross-sheet references identify the owning schedule. Same-sheet references identify intermediate calculations.</x:t>
        </x:r>
      </x:text>
    </x:comment>
    <x:comment ref="S21" authorId="0">
      <x:text>
        <x:r>
          <x:t>PBP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=IF(NOT(CHOOSE($D$4,ISNUMBER(S22),ISNUMBER(S23),ISNUMBER(S24))),"n.a.",CHOOSE($D$4,S22,S23,S24))
Cross-sheet references identify the owning schedule. Same-sheet references identify intermediate calculations.</x:t>
        </x:r>
      </x:text>
    </x:comment>
    <x:comment ref="C22"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Base case input.</x:t>
        </x:r>
      </x:text>
    </x:comment>
    <x:comment ref="O22" authorId="0">
      <x:text>
        <x:r>
          <x:t>PBP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P22" authorId="0">
      <x:text>
        <x:r>
          <x:t>PBP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Q22" authorId="0">
      <x:text>
        <x:r>
          <x:t>PBP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R22" authorId="0">
      <x:text>
        <x:r>
          <x:t>PBP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S22" authorId="0">
      <x:text>
        <x:r>
          <x:t>PBP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C23"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Upside case input.</x:t>
        </x:r>
      </x:text>
    </x:comment>
    <x:comment ref="O23" authorId="0">
      <x:text>
        <x:r>
          <x:t>PBP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P23" authorId="0">
      <x:text>
        <x:r>
          <x:t>PBP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Q23" authorId="0">
      <x:text>
        <x:r>
          <x:t>PBP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R23" authorId="0">
      <x:text>
        <x:r>
          <x:t>PBP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S23" authorId="0">
      <x:text>
        <x:r>
          <x:t>PBP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C24"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Downside case input.</x:t>
        </x:r>
      </x:text>
    </x:comment>
    <x:comment ref="O24" authorId="0">
      <x:text>
        <x:r>
          <x:t>PBP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P24" authorId="0">
      <x:text>
        <x:r>
          <x:t>PBP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Q24" authorId="0">
      <x:text>
        <x:r>
          <x:t>PBP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R24" authorId="0">
      <x:text>
        <x:r>
          <x:t>PBP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S24" authorId="0">
      <x:text>
        <x:r>
          <x:t>PBP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C25"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O25" authorId="0">
      <x:text>
        <x:r>
          <x:t>IC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=IF(NOT(CHOOSE($D$4,ISNUMBER(O26),ISNUMBER(O27),ISNUMBER(O28))),"n.a.",CHOOSE($D$4,O26,O27,O28))
Cross-sheet references identify the owning schedule. Same-sheet references identify intermediate calculations.</x:t>
        </x:r>
      </x:text>
    </x:comment>
    <x:comment ref="P25" authorId="0">
      <x:text>
        <x:r>
          <x:t>IC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=IF(NOT(CHOOSE($D$4,ISNUMBER(P26),ISNUMBER(P27),ISNUMBER(P28))),"n.a.",CHOOSE($D$4,P26,P27,P28))
Cross-sheet references identify the owning schedule. Same-sheet references identify intermediate calculations.</x:t>
        </x:r>
      </x:text>
    </x:comment>
    <x:comment ref="Q25" authorId="0">
      <x:text>
        <x:r>
          <x:t>IC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=IF(NOT(CHOOSE($D$4,ISNUMBER(Q26),ISNUMBER(Q27),ISNUMBER(Q28))),"n.a.",CHOOSE($D$4,Q26,Q27,Q28))
Cross-sheet references identify the owning schedule. Same-sheet references identify intermediate calculations.</x:t>
        </x:r>
      </x:text>
    </x:comment>
    <x:comment ref="R25" authorId="0">
      <x:text>
        <x:r>
          <x:t>IC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=IF(NOT(CHOOSE($D$4,ISNUMBER(R26),ISNUMBER(R27),ISNUMBER(R28))),"n.a.",CHOOSE($D$4,R26,R27,R28))
Cross-sheet references identify the owning schedule. Same-sheet references identify intermediate calculations.</x:t>
        </x:r>
      </x:text>
    </x:comment>
    <x:comment ref="S25" authorId="0">
      <x:text>
        <x:r>
          <x:t>IC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=IF(NOT(CHOOSE($D$4,ISNUMBER(S26),ISNUMBER(S27),ISNUMBER(S28))),"n.a.",CHOOSE($D$4,S26,S27,S28))
Cross-sheet references identify the owning schedule. Same-sheet references identify intermediate calculations.</x:t>
        </x:r>
      </x:text>
    </x:comment>
    <x:comment ref="C26"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Base case input.</x:t>
        </x:r>
      </x:text>
    </x:comment>
    <x:comment ref="O26" authorId="0">
      <x:text>
        <x:r>
          <x:t>IC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P26" authorId="0">
      <x:text>
        <x:r>
          <x:t>IC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Q26" authorId="0">
      <x:text>
        <x:r>
          <x:t>IC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R26" authorId="0">
      <x:text>
        <x:r>
          <x:t>IC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S26" authorId="0">
      <x:text>
        <x:r>
          <x:t>IC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C27"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Upside case input.</x:t>
        </x:r>
      </x:text>
    </x:comment>
    <x:comment ref="O27" authorId="0">
      <x:text>
        <x:r>
          <x:t>IC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P27" authorId="0">
      <x:text>
        <x:r>
          <x:t>IC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Q27" authorId="0">
      <x:text>
        <x:r>
          <x:t>IC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R27" authorId="0">
      <x:text>
        <x:r>
          <x:t>IC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S27" authorId="0">
      <x:text>
        <x:r>
          <x:t>IC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C28"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Downside case input.</x:t>
        </x:r>
      </x:text>
    </x:comment>
    <x:comment ref="O28" authorId="0">
      <x:text>
        <x:r>
          <x:t>IC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P28" authorId="0">
      <x:text>
        <x:r>
          <x:t>IC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Q28" authorId="0">
      <x:text>
        <x:r>
          <x:t>IC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R28" authorId="0">
      <x:text>
        <x:r>
          <x:t>IC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S28" authorId="0">
      <x:text>
        <x:r>
          <x:t>IC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C29"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O29" authorId="0">
      <x:text>
        <x:r>
          <x:t>MPC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=IF(NOT(CHOOSE($D$4,ISNUMBER(O30),ISNUMBER(O31),ISNUMBER(O32))),"n.a.",CHOOSE($D$4,O30,O31,O32))
Cross-sheet references identify the owning schedule. Same-sheet references identify intermediate calculations.</x:t>
        </x:r>
      </x:text>
    </x:comment>
    <x:comment ref="P29" authorId="0">
      <x:text>
        <x:r>
          <x:t>MPC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=IF(NOT(CHOOSE($D$4,ISNUMBER(P30),ISNUMBER(P31),ISNUMBER(P32))),"n.a.",CHOOSE($D$4,P30,P31,P32))
Cross-sheet references identify the owning schedule. Same-sheet references identify intermediate calculations.</x:t>
        </x:r>
      </x:text>
    </x:comment>
    <x:comment ref="Q29" authorId="0">
      <x:text>
        <x:r>
          <x:t>MPC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=IF(NOT(CHOOSE($D$4,ISNUMBER(Q30),ISNUMBER(Q31),ISNUMBER(Q32))),"n.a.",CHOOSE($D$4,Q30,Q31,Q32))
Cross-sheet references identify the owning schedule. Same-sheet references identify intermediate calculations.</x:t>
        </x:r>
      </x:text>
    </x:comment>
    <x:comment ref="R29" authorId="0">
      <x:text>
        <x:r>
          <x:t>MPC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=IF(NOT(CHOOSE($D$4,ISNUMBER(R30),ISNUMBER(R31),ISNUMBER(R32))),"n.a.",CHOOSE($D$4,R30,R31,R32))
Cross-sheet references identify the owning schedule. Same-sheet references identify intermediate calculations.</x:t>
        </x:r>
      </x:text>
    </x:comment>
    <x:comment ref="S29" authorId="0">
      <x:text>
        <x:r>
          <x:t>MPC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=IF(NOT(CHOOSE($D$4,ISNUMBER(S30),ISNUMBER(S31),ISNUMBER(S32))),"n.a.",CHOOSE($D$4,S30,S31,S32))
Cross-sheet references identify the owning schedule. Same-sheet references identify intermediate calculations.</x:t>
        </x:r>
      </x:text>
    </x:comment>
    <x:comment ref="C30"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Base case input.</x:t>
        </x:r>
      </x:text>
    </x:comment>
    <x:comment ref="O30" authorId="0">
      <x:text>
        <x:r>
          <x:t>MPC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P30" authorId="0">
      <x:text>
        <x:r>
          <x:t>MPC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Q30" authorId="0">
      <x:text>
        <x:r>
          <x:t>MPC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R30" authorId="0">
      <x:text>
        <x:r>
          <x:t>MPC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S30" authorId="0">
      <x:text>
        <x:r>
          <x:t>MPC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C31"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Upside case input.</x:t>
        </x:r>
      </x:text>
    </x:comment>
    <x:comment ref="O31" authorId="0">
      <x:text>
        <x:r>
          <x:t>MPC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P31" authorId="0">
      <x:text>
        <x:r>
          <x:t>MPC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Q31" authorId="0">
      <x:text>
        <x:r>
          <x:t>MPC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R31" authorId="0">
      <x:text>
        <x:r>
          <x:t>MPC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S31" authorId="0">
      <x:text>
        <x:r>
          <x:t>MPC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C32"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Downside case input.</x:t>
        </x:r>
      </x:text>
    </x:comment>
    <x:comment ref="O32" authorId="0">
      <x:text>
        <x:r>
          <x:t>MPC cost excluding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P32" authorId="0">
      <x:text>
        <x:r>
          <x:t>MPC cost excluding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Q32" authorId="0">
      <x:text>
        <x:r>
          <x:t>MPC cost excluding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R32" authorId="0">
      <x:text>
        <x:r>
          <x:t>MPC cost excluding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S32" authorId="0">
      <x:text>
        <x:r>
          <x:t>MPC cost excluding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C33"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O33" authorId="0">
      <x:text>
        <x:r>
          <x:t>R&amp;D excluding allocated D&amp;A and operating leases / revenue (FY:27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=IF(NOT(CHOOSE($D$4,ISNUMBER(O34),ISNUMBER(O35),ISNUMBER(O36))),"n.a.",CHOOSE($D$4,O34,O35,O36))
Cross-sheet references identify the owning schedule. Same-sheet references identify intermediate calculations.</x:t>
        </x:r>
      </x:text>
    </x:comment>
    <x:comment ref="P33" authorId="0">
      <x:text>
        <x:r>
          <x:t>R&amp;D excluding allocated D&amp;A and operating leases / revenue (FY:28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=IF(NOT(CHOOSE($D$4,ISNUMBER(P34),ISNUMBER(P35),ISNUMBER(P36))),"n.a.",CHOOSE($D$4,P34,P35,P36))
Cross-sheet references identify the owning schedule. Same-sheet references identify intermediate calculations.</x:t>
        </x:r>
      </x:text>
    </x:comment>
    <x:comment ref="Q33" authorId="0">
      <x:text>
        <x:r>
          <x:t>R&amp;D excluding allocated D&amp;A and operating leases / revenue (FY:29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=IF(NOT(CHOOSE($D$4,ISNUMBER(Q34),ISNUMBER(Q35),ISNUMBER(Q36))),"n.a.",CHOOSE($D$4,Q34,Q35,Q36))
Cross-sheet references identify the owning schedule. Same-sheet references identify intermediate calculations.</x:t>
        </x:r>
      </x:text>
    </x:comment>
    <x:comment ref="R33" authorId="0">
      <x:text>
        <x:r>
          <x:t>R&amp;D excluding allocated D&amp;A and operating leases / revenue (FY:30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=IF(NOT(CHOOSE($D$4,ISNUMBER(R34),ISNUMBER(R35),ISNUMBER(R36))),"n.a.",CHOOSE($D$4,R34,R35,R36))
Cross-sheet references identify the owning schedule. Same-sheet references identify intermediate calculations.</x:t>
        </x:r>
      </x:text>
    </x:comment>
    <x:comment ref="S33" authorId="0">
      <x:text>
        <x:r>
          <x:t>R&amp;D excluding allocated D&amp;A and operating leases / revenue (FY:31 E).
Expense distributed using the explicit allocation inputs on Assumptions. These allocations are modeling assumptions rather than a Microsoft disclosure of these costs by segment. The formula identifies the owning expense schedule and percentage. The active forecast row selects the case input below it and feeds the operating model.
Formula: =IF(NOT(CHOOSE($D$4,ISNUMBER(S34),ISNUMBER(S35),ISNUMBER(S36))),"n.a.",CHOOSE($D$4,S34,S35,S36))
Cross-sheet references identify the owning schedule. Same-sheet references identify intermediate calculations.</x:t>
        </x:r>
      </x:text>
    </x:comment>
    <x:comment ref="C34"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Base case input.</x:t>
        </x:r>
      </x:text>
    </x:comment>
    <x:comment ref="O34" authorId="0">
      <x:text>
        <x:r>
          <x:t>R&amp;D excluding allocated D&amp;A and operating leases / revenue (FY:27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P34" authorId="0">
      <x:text>
        <x:r>
          <x:t>R&amp;D excluding allocated D&amp;A and operating leases / revenue (FY:28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Q34" authorId="0">
      <x:text>
        <x:r>
          <x:t>R&amp;D excluding allocated D&amp;A and operating leases / revenue (FY:29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R34" authorId="0">
      <x:text>
        <x:r>
          <x:t>R&amp;D excluding allocated D&amp;A and operating leases / revenue (FY:30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S34" authorId="0">
      <x:text>
        <x:r>
          <x:t>R&amp;D excluding allocated D&amp;A and operating leases / revenue (FY:31 E).
Expense distributed using the explicit allocation inputs on Assumptions. These allocations are modeling assumptions rather than a Microsoft disclosure of these costs by segment. The formula identifies the owning expense schedule and percentage. Editable Base scenario input.
Stored input or primary source observation. It is not calculated in this cell.</x:t>
        </x:r>
      </x:text>
    </x:comment>
    <x:comment ref="C35"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Upside case input.</x:t>
        </x:r>
      </x:text>
    </x:comment>
    <x:comment ref="O35" authorId="0">
      <x:text>
        <x:r>
          <x:t>R&amp;D excluding allocated D&amp;A and operating leases / revenue (FY:27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P35" authorId="0">
      <x:text>
        <x:r>
          <x:t>R&amp;D excluding allocated D&amp;A and operating leases / revenue (FY:28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Q35" authorId="0">
      <x:text>
        <x:r>
          <x:t>R&amp;D excluding allocated D&amp;A and operating leases / revenue (FY:29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R35" authorId="0">
      <x:text>
        <x:r>
          <x:t>R&amp;D excluding allocated D&amp;A and operating leases / revenue (FY:30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S35" authorId="0">
      <x:text>
        <x:r>
          <x:t>R&amp;D excluding allocated D&amp;A and operating leases / revenue (FY:31 E).
Expense distributed using the explicit allocation inputs on Assumptions. These allocations are modeling assumptions rather than a Microsoft disclosure of these costs by segment. The formula identifies the owning expense schedule and percentage. Editable Upside scenario input.
Stored input or primary source observation. It is not calculated in this cell.</x:t>
        </x:r>
      </x:text>
    </x:comment>
    <x:comment ref="C36" authorId="0">
      <x:text>
        <x:r>
          <x:t>Expense distributed using the explicit allocation inputs on Assumptions. These allocations are modeling assumptions rather than a Microsoft disclosure of these costs by segment. The formula identifies the owning expense schedule and percentage. This is the editable Downside case input.</x:t>
        </x:r>
      </x:text>
    </x:comment>
    <x:comment ref="O36" authorId="0">
      <x:text>
        <x:r>
          <x:t>R&amp;D excluding allocated D&amp;A and operating leases / revenue (FY:27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P36" authorId="0">
      <x:text>
        <x:r>
          <x:t>R&amp;D excluding allocated D&amp;A and operating leases / revenue (FY:28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Q36" authorId="0">
      <x:text>
        <x:r>
          <x:t>R&amp;D excluding allocated D&amp;A and operating leases / revenue (FY:29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R36" authorId="0">
      <x:text>
        <x:r>
          <x:t>R&amp;D excluding allocated D&amp;A and operating leases / revenue (FY:30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S36" authorId="0">
      <x:text>
        <x:r>
          <x:t>R&amp;D excluding allocated D&amp;A and operating leases / revenue (FY:31 E).
Expense distributed using the explicit allocation inputs on Assumptions. These allocations are modeling assumptions rather than a Microsoft disclosure of these costs by segment. The formula identifies the owning expense schedule and percentage. Editable Downside scenario input.
Stored input or primary source observation. It is not calculated in this cell.</x:t>
        </x:r>
      </x:text>
    </x:comment>
    <x:comment ref="C37" authorId="0">
      <x:text>
        <x:r>
          <x:t>Ratio of the two measures named in the row label for the same fiscal year. Read the formula below for the exact numerator, denominator and sign treatment. Percentage or multiple formatting does not change the underlying value.</x:t>
        </x:r>
      </x:text>
    </x:comment>
    <x:comment ref="E37" authorId="0">
      <x:text>
        <x:r>
          <x:t>Sales and marketing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Statement'!E15/'Income Statement'!E8
Cross-sheet references identify the owning schedule. Same-sheet references identify intermediate calculations.</x:t>
        </x:r>
      </x:text>
    </x:comment>
    <x:comment ref="F37" authorId="0">
      <x:text>
        <x:r>
          <x:t>Sales and marketing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Statement'!F15/'Income Statement'!F8
Cross-sheet references identify the owning schedule. Same-sheet references identify intermediate calculations.</x:t>
        </x:r>
      </x:text>
    </x:comment>
    <x:comment ref="G37" authorId="0">
      <x:text>
        <x:r>
          <x:t>Sales and marketing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Statement'!G15/'Income Statement'!G8
Cross-sheet references identify the owning schedule. Same-sheet references identify intermediate calculations.</x:t>
        </x:r>
      </x:text>
    </x:comment>
    <x:comment ref="H37" authorId="0">
      <x:text>
        <x:r>
          <x:t>Sales and marketing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Statement'!H15/'Income Statement'!H8
Cross-sheet references identify the owning schedule. Same-sheet references identify intermediate calculations.</x:t>
        </x:r>
      </x:text>
    </x:comment>
    <x:comment ref="I37" authorId="0">
      <x:text>
        <x:r>
          <x:t>Sales and marketing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Statement'!I15/'Income Statement'!I8
Cross-sheet references identify the owning schedule. Same-sheet references identify intermediate calculations.</x:t>
        </x:r>
      </x:text>
    </x:comment>
    <x:comment ref="J37" authorId="0">
      <x:text>
        <x:r>
          <x:t>Sales and marketing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Statement'!J15/'Income Statement'!J8
Cross-sheet references identify the owning schedule. Same-sheet references identify intermediate calculations.</x:t>
        </x:r>
      </x:text>
    </x:comment>
    <x:comment ref="K37" authorId="0">
      <x:text>
        <x:r>
          <x:t>Sales and marketing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Statement'!K15/'Income Statement'!K8
Cross-sheet references identify the owning schedule. Same-sheet references identify intermediate calculations.</x:t>
        </x:r>
      </x:text>
    </x:comment>
    <x:comment ref="L37" authorId="0">
      <x:text>
        <x:r>
          <x:t>Sales and marketing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Statement'!L15/'Income Statement'!L8
Cross-sheet references identify the owning schedule. Same-sheet references identify intermediate calculations.</x:t>
        </x:r>
      </x:text>
    </x:comment>
    <x:comment ref="M37" authorId="0">
      <x:text>
        <x:r>
          <x:t>Sales and marketing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Statement'!M15/'Income Statement'!M8
Cross-sheet references identify the owning schedule. Same-sheet references identify intermediate calculations.</x:t>
        </x:r>
      </x:text>
    </x:comment>
    <x:comment ref="N37" authorId="0">
      <x:text>
        <x:r>
          <x:t>Sales and marketing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Statement'!N15/'Income Statement'!N8
Cross-sheet references identify the owning schedule. Same-sheet references identify intermediate calculations.</x:t>
        </x:r>
      </x:text>
    </x:comment>
    <x:comment ref="O37" authorId="0">
      <x:text>
        <x:r>
          <x:t>Sales and marketing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=IF(NOT(CHOOSE($D$4,ISNUMBER(O38),ISNUMBER(O39),ISNUMBER(O40))),"n.a.",CHOOSE($D$4,O38,O39,O40))
Cross-sheet references identify the owning schedule. Same-sheet references identify intermediate calculations.</x:t>
        </x:r>
      </x:text>
    </x:comment>
    <x:comment ref="P37" authorId="0">
      <x:text>
        <x:r>
          <x:t>Sales and marketing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=IF(NOT(CHOOSE($D$4,ISNUMBER(P38),ISNUMBER(P39),ISNUMBER(P40))),"n.a.",CHOOSE($D$4,P38,P39,P40))
Cross-sheet references identify the owning schedule. Same-sheet references identify intermediate calculations.</x:t>
        </x:r>
      </x:text>
    </x:comment>
    <x:comment ref="Q37" authorId="0">
      <x:text>
        <x:r>
          <x:t>Sales and marketing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=IF(NOT(CHOOSE($D$4,ISNUMBER(Q38),ISNUMBER(Q39),ISNUMBER(Q40))),"n.a.",CHOOSE($D$4,Q38,Q39,Q40))
Cross-sheet references identify the owning schedule. Same-sheet references identify intermediate calculations.</x:t>
        </x:r>
      </x:text>
    </x:comment>
    <x:comment ref="R37" authorId="0">
      <x:text>
        <x:r>
          <x:t>Sales and marketing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=IF(NOT(CHOOSE($D$4,ISNUMBER(R38),ISNUMBER(R39),ISNUMBER(R40))),"n.a.",CHOOSE($D$4,R38,R39,R40))
Cross-sheet references identify the owning schedule. Same-sheet references identify intermediate calculations.</x:t>
        </x:r>
      </x:text>
    </x:comment>
    <x:comment ref="S37" authorId="0">
      <x:text>
        <x:r>
          <x:t>Sales and marketing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=IF(NOT(CHOOSE($D$4,ISNUMBER(S38),ISNUMBER(S39),ISNUMBER(S40))),"n.a.",CHOOSE($D$4,S38,S39,S40))
Cross-sheet references identify the owning schedule. Same-sheet references identify intermediate calculations.</x:t>
        </x:r>
      </x:text>
    </x:comment>
    <x:comment ref="C38"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38" authorId="0">
      <x:text>
        <x:r>
          <x:t>Sales and marketing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38" authorId="0">
      <x:text>
        <x:r>
          <x:t>Sales and marketing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38" authorId="0">
      <x:text>
        <x:r>
          <x:t>Sales and marketing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38" authorId="0">
      <x:text>
        <x:r>
          <x:t>Sales and marketing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38" authorId="0">
      <x:text>
        <x:r>
          <x:t>Sales and marketing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39"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39" authorId="0">
      <x:text>
        <x:r>
          <x:t>Sales and marketing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39" authorId="0">
      <x:text>
        <x:r>
          <x:t>Sales and marketing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39" authorId="0">
      <x:text>
        <x:r>
          <x:t>Sales and marketing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39" authorId="0">
      <x:text>
        <x:r>
          <x:t>Sales and marketing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39" authorId="0">
      <x:text>
        <x:r>
          <x:t>Sales and marketing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40"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40" authorId="0">
      <x:text>
        <x:r>
          <x:t>Sales and marketing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40" authorId="0">
      <x:text>
        <x:r>
          <x:t>Sales and marketing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40" authorId="0">
      <x:text>
        <x:r>
          <x:t>Sales and marketing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40" authorId="0">
      <x:text>
        <x:r>
          <x:t>Sales and marketing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40" authorId="0">
      <x:text>
        <x:r>
          <x:t>Sales and marketing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41" authorId="0">
      <x:text>
        <x:r>
          <x:t>Ratio of the two measures named in the row label for the same fiscal year. Read the formula below for the exact numerator, denominator and sign treatment. Percentage or multiple formatting does not change the underlying value.</x:t>
        </x:r>
      </x:text>
    </x:comment>
    <x:comment ref="E41" authorId="0">
      <x:text>
        <x:r>
          <x:t>General and administrative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Statement'!E16/'Income Statement'!E8
Cross-sheet references identify the owning schedule. Same-sheet references identify intermediate calculations.</x:t>
        </x:r>
      </x:text>
    </x:comment>
    <x:comment ref="F41" authorId="0">
      <x:text>
        <x:r>
          <x:t>General and administrative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Statement'!F16/'Income Statement'!F8
Cross-sheet references identify the owning schedule. Same-sheet references identify intermediate calculations.</x:t>
        </x:r>
      </x:text>
    </x:comment>
    <x:comment ref="G41" authorId="0">
      <x:text>
        <x:r>
          <x:t>General and administrative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Statement'!G16/'Income Statement'!G8
Cross-sheet references identify the owning schedule. Same-sheet references identify intermediate calculations.</x:t>
        </x:r>
      </x:text>
    </x:comment>
    <x:comment ref="H41" authorId="0">
      <x:text>
        <x:r>
          <x:t>General and administrative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Statement'!H16/'Income Statement'!H8
Cross-sheet references identify the owning schedule. Same-sheet references identify intermediate calculations.</x:t>
        </x:r>
      </x:text>
    </x:comment>
    <x:comment ref="I41" authorId="0">
      <x:text>
        <x:r>
          <x:t>General and administrative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Statement'!I16/'Income Statement'!I8
Cross-sheet references identify the owning schedule. Same-sheet references identify intermediate calculations.</x:t>
        </x:r>
      </x:text>
    </x:comment>
    <x:comment ref="J41" authorId="0">
      <x:text>
        <x:r>
          <x:t>General and administrative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Statement'!J16/'Income Statement'!J8
Cross-sheet references identify the owning schedule. Same-sheet references identify intermediate calculations.</x:t>
        </x:r>
      </x:text>
    </x:comment>
    <x:comment ref="K41" authorId="0">
      <x:text>
        <x:r>
          <x:t>General and administrative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Statement'!K16/'Income Statement'!K8
Cross-sheet references identify the owning schedule. Same-sheet references identify intermediate calculations.</x:t>
        </x:r>
      </x:text>
    </x:comment>
    <x:comment ref="L41" authorId="0">
      <x:text>
        <x:r>
          <x:t>General and administrative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Statement'!L16/'Income Statement'!L8
Cross-sheet references identify the owning schedule. Same-sheet references identify intermediate calculations.</x:t>
        </x:r>
      </x:text>
    </x:comment>
    <x:comment ref="M41" authorId="0">
      <x:text>
        <x:r>
          <x:t>General and administrative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Statement'!M16/'Income Statement'!M8
Cross-sheet references identify the owning schedule. Same-sheet references identify intermediate calculations.</x:t>
        </x:r>
      </x:text>
    </x:comment>
    <x:comment ref="N41" authorId="0">
      <x:text>
        <x:r>
          <x:t>General and administrative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='Income Statement'!N16/'Income Statement'!N8
Cross-sheet references identify the owning schedule. Same-sheet references identify intermediate calculations.</x:t>
        </x:r>
      </x:text>
    </x:comment>
    <x:comment ref="O41" authorId="0">
      <x:text>
        <x:r>
          <x:t>General and administrative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=IF(NOT(CHOOSE($D$4,ISNUMBER(O42),ISNUMBER(O43),ISNUMBER(O44))),"n.a.",CHOOSE($D$4,O42,O43,O44))
Cross-sheet references identify the owning schedule. Same-sheet references identify intermediate calculations.</x:t>
        </x:r>
      </x:text>
    </x:comment>
    <x:comment ref="P41" authorId="0">
      <x:text>
        <x:r>
          <x:t>General and administrative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=IF(NOT(CHOOSE($D$4,ISNUMBER(P42),ISNUMBER(P43),ISNUMBER(P44))),"n.a.",CHOOSE($D$4,P42,P43,P44))
Cross-sheet references identify the owning schedule. Same-sheet references identify intermediate calculations.</x:t>
        </x:r>
      </x:text>
    </x:comment>
    <x:comment ref="Q41" authorId="0">
      <x:text>
        <x:r>
          <x:t>General and administrative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=IF(NOT(CHOOSE($D$4,ISNUMBER(Q42),ISNUMBER(Q43),ISNUMBER(Q44))),"n.a.",CHOOSE($D$4,Q42,Q43,Q44))
Cross-sheet references identify the owning schedule. Same-sheet references identify intermediate calculations.</x:t>
        </x:r>
      </x:text>
    </x:comment>
    <x:comment ref="R41" authorId="0">
      <x:text>
        <x:r>
          <x:t>General and administrative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=IF(NOT(CHOOSE($D$4,ISNUMBER(R42),ISNUMBER(R43),ISNUMBER(R44))),"n.a.",CHOOSE($D$4,R42,R43,R44))
Cross-sheet references identify the owning schedule. Same-sheet references identify intermediate calculations.</x:t>
        </x:r>
      </x:text>
    </x:comment>
    <x:comment ref="S41" authorId="0">
      <x:text>
        <x:r>
          <x:t>General and administrative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=IF(NOT(CHOOSE($D$4,ISNUMBER(S42),ISNUMBER(S43),ISNUMBER(S44))),"n.a.",CHOOSE($D$4,S42,S43,S44))
Cross-sheet references identify the owning schedule. Same-sheet references identify intermediate calculations.</x:t>
        </x:r>
      </x:text>
    </x:comment>
    <x:comment ref="C42"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42" authorId="0">
      <x:text>
        <x:r>
          <x:t>General and administrative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42" authorId="0">
      <x:text>
        <x:r>
          <x:t>General and administrative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42" authorId="0">
      <x:text>
        <x:r>
          <x:t>General and administrative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42" authorId="0">
      <x:text>
        <x:r>
          <x:t>General and administrative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42" authorId="0">
      <x:text>
        <x:r>
          <x:t>General and administrative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43"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43" authorId="0">
      <x:text>
        <x:r>
          <x:t>General and administrative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43" authorId="0">
      <x:text>
        <x:r>
          <x:t>General and administrative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43" authorId="0">
      <x:text>
        <x:r>
          <x:t>General and administrative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43" authorId="0">
      <x:text>
        <x:r>
          <x:t>General and administrative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43" authorId="0">
      <x:text>
        <x:r>
          <x:t>General and administrative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44"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44" authorId="0">
      <x:text>
        <x:r>
          <x:t>General and administrative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44" authorId="0">
      <x:text>
        <x:r>
          <x:t>General and administrative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44" authorId="0">
      <x:text>
        <x:r>
          <x:t>General and administrative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44" authorId="0">
      <x:text>
        <x:r>
          <x:t>General and administrative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44" authorId="0">
      <x:text>
        <x:r>
          <x:t>General and administrative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45" authorId="0">
      <x:text>
        <x:r>
          <x:t>Cash capital expenditure divided by the named revenue or earnings denominator in the same year. The capex numerator excludes noncash finance lease additions.</x:t>
        </x:r>
      </x:text>
    </x:comment>
    <x:comment ref="E45" authorId="0">
      <x:text>
        <x:r>
          <x:t>Cash capex including capitalized interest / revenue (FY:17 A).
Cash capital expenditure divided by the named revenue or earnings denominator in the same year. The capex numerator excludes noncash finance lease additions. The active forecast row selects the case input below it and feeds the operating model.
Formula: ='PPE and Intangibles'!E8/'Income Statement'!E8
Cross-sheet references identify the owning schedule. Same-sheet references identify intermediate calculations.</x:t>
        </x:r>
      </x:text>
    </x:comment>
    <x:comment ref="F45" authorId="0">
      <x:text>
        <x:r>
          <x:t>Cash capex including capitalized interest / revenue (FY:18 A).
Cash capital expenditure divided by the named revenue or earnings denominator in the same year. The capex numerator excludes noncash finance lease additions. The active forecast row selects the case input below it and feeds the operating model.
Formula: ='PPE and Intangibles'!F8/'Income Statement'!F8
Cross-sheet references identify the owning schedule. Same-sheet references identify intermediate calculations.</x:t>
        </x:r>
      </x:text>
    </x:comment>
    <x:comment ref="G45" authorId="0">
      <x:text>
        <x:r>
          <x:t>Cash capex including capitalized interest / revenue (FY:19 A).
Cash capital expenditure divided by the named revenue or earnings denominator in the same year. The capex numerator excludes noncash finance lease additions. The active forecast row selects the case input below it and feeds the operating model.
Formula: ='PPE and Intangibles'!G8/'Income Statement'!G8
Cross-sheet references identify the owning schedule. Same-sheet references identify intermediate calculations.</x:t>
        </x:r>
      </x:text>
    </x:comment>
    <x:comment ref="H45" authorId="0">
      <x:text>
        <x:r>
          <x:t>Cash capex including capitalized interest / revenue (FY:20 A).
Cash capital expenditure divided by the named revenue or earnings denominator in the same year. The capex numerator excludes noncash finance lease additions. The active forecast row selects the case input below it and feeds the operating model.
Formula: ='PPE and Intangibles'!H8/'Income Statement'!H8
Cross-sheet references identify the owning schedule. Same-sheet references identify intermediate calculations.</x:t>
        </x:r>
      </x:text>
    </x:comment>
    <x:comment ref="I45" authorId="0">
      <x:text>
        <x:r>
          <x:t>Cash capex including capitalized interest / revenue (FY:21 A).
Cash capital expenditure divided by the named revenue or earnings denominator in the same year. The capex numerator excludes noncash finance lease additions. The active forecast row selects the case input below it and feeds the operating model.
Formula: ='PPE and Intangibles'!I8/'Income Statement'!I8
Cross-sheet references identify the owning schedule. Same-sheet references identify intermediate calculations.</x:t>
        </x:r>
      </x:text>
    </x:comment>
    <x:comment ref="J45" authorId="0">
      <x:text>
        <x:r>
          <x:t>Cash capex including capitalized interest / revenue (FY:22 A).
Cash capital expenditure divided by the named revenue or earnings denominator in the same year. The capex numerator excludes noncash finance lease additions. The active forecast row selects the case input below it and feeds the operating model.
Formula: ='PPE and Intangibles'!J8/'Income Statement'!J8
Cross-sheet references identify the owning schedule. Same-sheet references identify intermediate calculations.</x:t>
        </x:r>
      </x:text>
    </x:comment>
    <x:comment ref="K45" authorId="0">
      <x:text>
        <x:r>
          <x:t>Cash capex including capitalized interest / revenue (FY:23 A).
Cash capital expenditure divided by the named revenue or earnings denominator in the same year. The capex numerator excludes noncash finance lease additions. The active forecast row selects the case input below it and feeds the operating model.
Formula: ='PPE and Intangibles'!K8/'Income Statement'!K8
Cross-sheet references identify the owning schedule. Same-sheet references identify intermediate calculations.</x:t>
        </x:r>
      </x:text>
    </x:comment>
    <x:comment ref="L45" authorId="0">
      <x:text>
        <x:r>
          <x:t>Cash capex including capitalized interest / revenue (FY:24 A).
Cash capital expenditure divided by the named revenue or earnings denominator in the same year. The capex numerator excludes noncash finance lease additions. The active forecast row selects the case input below it and feeds the operating model.
Formula: ='PPE and Intangibles'!L8/'Income Statement'!L8
Cross-sheet references identify the owning schedule. Same-sheet references identify intermediate calculations.</x:t>
        </x:r>
      </x:text>
    </x:comment>
    <x:comment ref="M45" authorId="0">
      <x:text>
        <x:r>
          <x:t>Cash capex including capitalized interest / revenue (FY:25 A).
Cash capital expenditure divided by the named revenue or earnings denominator in the same year. The capex numerator excludes noncash finance lease additions. The active forecast row selects the case input below it and feeds the operating model.
Formula: ='PPE and Intangibles'!M8/'Income Statement'!M8
Cross-sheet references identify the owning schedule. Same-sheet references identify intermediate calculations.</x:t>
        </x:r>
      </x:text>
    </x:comment>
    <x:comment ref="N45" authorId="0">
      <x:text>
        <x:r>
          <x:t>Cash capex including capitalized interest / revenue (FY:26 A).
Cash capital expenditure divided by the named revenue or earnings denominator in the same year. The capex numerator excludes noncash finance lease additions. The active forecast row selects the case input below it and feeds the operating model.
Formula: ='PPE and Intangibles'!N8/'Income Statement'!N8
Cross-sheet references identify the owning schedule. Same-sheet references identify intermediate calculations.</x:t>
        </x:r>
      </x:text>
    </x:comment>
    <x:comment ref="O45" authorId="0">
      <x:text>
        <x:r>
          <x:t>Cash capex including capitalized interest / revenue (FY:27 E).
Cash capital expenditure divided by the named revenue or earnings denominator in the same year. The capex numerator excludes noncash finance lease additions. The active forecast row selects the case input below it and feeds the operating model.
Formula: =IF(NOT(CHOOSE($D$4,ISNUMBER(O46),ISNUMBER(O47),ISNUMBER(O48))),"n.a.",CHOOSE($D$4,O46,O47,O48))
Cross-sheet references identify the owning schedule. Same-sheet references identify intermediate calculations.</x:t>
        </x:r>
      </x:text>
    </x:comment>
    <x:comment ref="P45" authorId="0">
      <x:text>
        <x:r>
          <x:t>Cash capex including capitalized interest / revenue (FY:28 E).
Cash capital expenditure divided by the named revenue or earnings denominator in the same year. The capex numerator excludes noncash finance lease additions. The active forecast row selects the case input below it and feeds the operating model.
Formula: =IF(NOT(CHOOSE($D$4,ISNUMBER(P46),ISNUMBER(P47),ISNUMBER(P48))),"n.a.",CHOOSE($D$4,P46,P47,P48))
Cross-sheet references identify the owning schedule. Same-sheet references identify intermediate calculations.</x:t>
        </x:r>
      </x:text>
    </x:comment>
    <x:comment ref="Q45" authorId="0">
      <x:text>
        <x:r>
          <x:t>Cash capex including capitalized interest / revenue (FY:29 E).
Cash capital expenditure divided by the named revenue or earnings denominator in the same year. The capex numerator excludes noncash finance lease additions. The active forecast row selects the case input below it and feeds the operating model.
Formula: =IF(NOT(CHOOSE($D$4,ISNUMBER(Q46),ISNUMBER(Q47),ISNUMBER(Q48))),"n.a.",CHOOSE($D$4,Q46,Q47,Q48))
Cross-sheet references identify the owning schedule. Same-sheet references identify intermediate calculations.</x:t>
        </x:r>
      </x:text>
    </x:comment>
    <x:comment ref="R45" authorId="0">
      <x:text>
        <x:r>
          <x:t>Cash capex including capitalized interest / revenue (FY:30 E).
Cash capital expenditure divided by the named revenue or earnings denominator in the same year. The capex numerator excludes noncash finance lease additions. The active forecast row selects the case input below it and feeds the operating model.
Formula: =IF(NOT(CHOOSE($D$4,ISNUMBER(R46),ISNUMBER(R47),ISNUMBER(R48))),"n.a.",CHOOSE($D$4,R46,R47,R48))
Cross-sheet references identify the owning schedule. Same-sheet references identify intermediate calculations.</x:t>
        </x:r>
      </x:text>
    </x:comment>
    <x:comment ref="S45" authorId="0">
      <x:text>
        <x:r>
          <x:t>Cash capex including capitalized interest / revenue (FY:31 E).
Cash capital expenditure divided by the named revenue or earnings denominator in the same year. The capex numerator excludes noncash finance lease additions. The active forecast row selects the case input below it and feeds the operating model.
Formula: =IF(NOT(CHOOSE($D$4,ISNUMBER(S46),ISNUMBER(S47),ISNUMBER(S48))),"n.a.",CHOOSE($D$4,S46,S47,S48))
Cross-sheet references identify the owning schedule. Same-sheet references identify intermediate calculations.</x:t>
        </x:r>
      </x:text>
    </x:comment>
    <x:comment ref="C46" authorId="0">
      <x:text>
        <x:r>
          <x:t>Cash capital expenditure divided by the named revenue or earnings denominator in the same year. The capex numerator excludes noncash finance lease additions. This is the editable Base case input.</x:t>
        </x:r>
      </x:text>
    </x:comment>
    <x:comment ref="O46" authorId="0">
      <x:text>
        <x:r>
          <x:t>Cash capex including capitalized interest / revenue (FY:27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P46" authorId="0">
      <x:text>
        <x:r>
          <x:t>Cash capex including capitalized interest / revenue (FY:28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Q46" authorId="0">
      <x:text>
        <x:r>
          <x:t>Cash capex including capitalized interest / revenue (FY:29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R46" authorId="0">
      <x:text>
        <x:r>
          <x:t>Cash capex including capitalized interest / revenue (FY:30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S46" authorId="0">
      <x:text>
        <x:r>
          <x:t>Cash capex including capitalized interest / revenue (FY:31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C47" authorId="0">
      <x:text>
        <x:r>
          <x:t>Cash capital expenditure divided by the named revenue or earnings denominator in the same year. The capex numerator excludes noncash finance lease additions. This is the editable Upside case input.</x:t>
        </x:r>
      </x:text>
    </x:comment>
    <x:comment ref="O47" authorId="0">
      <x:text>
        <x:r>
          <x:t>Cash capex including capitalized interest / revenue (FY:27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P47" authorId="0">
      <x:text>
        <x:r>
          <x:t>Cash capex including capitalized interest / revenue (FY:28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Q47" authorId="0">
      <x:text>
        <x:r>
          <x:t>Cash capex including capitalized interest / revenue (FY:29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R47" authorId="0">
      <x:text>
        <x:r>
          <x:t>Cash capex including capitalized interest / revenue (FY:30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S47" authorId="0">
      <x:text>
        <x:r>
          <x:t>Cash capex including capitalized interest / revenue (FY:31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C48" authorId="0">
      <x:text>
        <x:r>
          <x:t>Cash capital expenditure divided by the named revenue or earnings denominator in the same year. The capex numerator excludes noncash finance lease additions. This is the editable Downside case input.</x:t>
        </x:r>
      </x:text>
    </x:comment>
    <x:comment ref="O48" authorId="0">
      <x:text>
        <x:r>
          <x:t>Cash capex including capitalized interest / revenue (FY:27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P48" authorId="0">
      <x:text>
        <x:r>
          <x:t>Cash capex including capitalized interest / revenue (FY:28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Q48" authorId="0">
      <x:text>
        <x:r>
          <x:t>Cash capex including capitalized interest / revenue (FY:29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R48" authorId="0">
      <x:text>
        <x:r>
          <x:t>Cash capex including capitalized interest / revenue (FY:30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S48" authorId="0">
      <x:text>
        <x:r>
          <x:t>Cash capex including capitalized interest / revenue (FY:31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C49" authorId="0">
      <x:text>
        <x:r>
          <x:t>Cash capital expenditure divided by the named revenue or earnings denominator in the same year. The capex numerator excludes noncash finance lease additions.</x:t>
        </x:r>
      </x:text>
    </x:comment>
    <x:comment ref="N49" authorId="0">
      <x:text>
        <x:r>
          <x:t>Capital expenditure payables / cash capex (FY:26 A).
Cash capital expenditure divided by the named revenue or earnings denominator in the same year. The capex numerator excludes noncash finance lease additions. The active forecast row selects the case input below it and feeds the operating model.
Formula: ='Filing Notes'!N23/'PPE and Intangibles'!N8
Cross-sheet references identify the owning schedule. Same-sheet references identify intermediate calculations.</x:t>
        </x:r>
      </x:text>
    </x:comment>
    <x:comment ref="O49" authorId="0">
      <x:text>
        <x:r>
          <x:t>Capital expenditure payables / cash capex (FY:27 E).
Cash capital expenditure divided by the named revenue or earnings denominator in the same year. The capex numerator excludes noncash finance lease additions. The active forecast row selects the case input below it and feeds the operating model.
Formula: =IF(NOT(CHOOSE($D$4,ISNUMBER(O50),ISNUMBER(O51),ISNUMBER(O52))),"n.a.",CHOOSE($D$4,O50,O51,O52))
Cross-sheet references identify the owning schedule. Same-sheet references identify intermediate calculations.</x:t>
        </x:r>
      </x:text>
    </x:comment>
    <x:comment ref="P49" authorId="0">
      <x:text>
        <x:r>
          <x:t>Capital expenditure payables / cash capex (FY:28 E).
Cash capital expenditure divided by the named revenue or earnings denominator in the same year. The capex numerator excludes noncash finance lease additions. The active forecast row selects the case input below it and feeds the operating model.
Formula: =IF(NOT(CHOOSE($D$4,ISNUMBER(P50),ISNUMBER(P51),ISNUMBER(P52))),"n.a.",CHOOSE($D$4,P50,P51,P52))
Cross-sheet references identify the owning schedule. Same-sheet references identify intermediate calculations.</x:t>
        </x:r>
      </x:text>
    </x:comment>
    <x:comment ref="Q49" authorId="0">
      <x:text>
        <x:r>
          <x:t>Capital expenditure payables / cash capex (FY:29 E).
Cash capital expenditure divided by the named revenue or earnings denominator in the same year. The capex numerator excludes noncash finance lease additions. The active forecast row selects the case input below it and feeds the operating model.
Formula: =IF(NOT(CHOOSE($D$4,ISNUMBER(Q50),ISNUMBER(Q51),ISNUMBER(Q52))),"n.a.",CHOOSE($D$4,Q50,Q51,Q52))
Cross-sheet references identify the owning schedule. Same-sheet references identify intermediate calculations.</x:t>
        </x:r>
      </x:text>
    </x:comment>
    <x:comment ref="R49" authorId="0">
      <x:text>
        <x:r>
          <x:t>Capital expenditure payables / cash capex (FY:30 E).
Cash capital expenditure divided by the named revenue or earnings denominator in the same year. The capex numerator excludes noncash finance lease additions. The active forecast row selects the case input below it and feeds the operating model.
Formula: =IF(NOT(CHOOSE($D$4,ISNUMBER(R50),ISNUMBER(R51),ISNUMBER(R52))),"n.a.",CHOOSE($D$4,R50,R51,R52))
Cross-sheet references identify the owning schedule. Same-sheet references identify intermediate calculations.</x:t>
        </x:r>
      </x:text>
    </x:comment>
    <x:comment ref="S49" authorId="0">
      <x:text>
        <x:r>
          <x:t>Capital expenditure payables / cash capex (FY:31 E).
Cash capital expenditure divided by the named revenue or earnings denominator in the same year. The capex numerator excludes noncash finance lease additions. The active forecast row selects the case input below it and feeds the operating model.
Formula: =IF(NOT(CHOOSE($D$4,ISNUMBER(S50),ISNUMBER(S51),ISNUMBER(S52))),"n.a.",CHOOSE($D$4,S50,S51,S52))
Cross-sheet references identify the owning schedule. Same-sheet references identify intermediate calculations.</x:t>
        </x:r>
      </x:text>
    </x:comment>
    <x:comment ref="C50" authorId="0">
      <x:text>
        <x:r>
          <x:t>Cash capital expenditure divided by the named revenue or earnings denominator in the same year. The capex numerator excludes noncash finance lease additions. This is the editable Base case input.</x:t>
        </x:r>
      </x:text>
    </x:comment>
    <x:comment ref="O50" authorId="0">
      <x:text>
        <x:r>
          <x:t>Capital expenditure payables / cash capex (FY:27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P50" authorId="0">
      <x:text>
        <x:r>
          <x:t>Capital expenditure payables / cash capex (FY:28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Q50" authorId="0">
      <x:text>
        <x:r>
          <x:t>Capital expenditure payables / cash capex (FY:29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R50" authorId="0">
      <x:text>
        <x:r>
          <x:t>Capital expenditure payables / cash capex (FY:30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S50" authorId="0">
      <x:text>
        <x:r>
          <x:t>Capital expenditure payables / cash capex (FY:31 E).
Cash capital expenditure divided by the named revenue or earnings denominator in the same year. The capex numerator excludes noncash finance lease additions. Editable Base scenario input.
Stored input or primary source observation. It is not calculated in this cell.</x:t>
        </x:r>
      </x:text>
    </x:comment>
    <x:comment ref="C51" authorId="0">
      <x:text>
        <x:r>
          <x:t>Cash capital expenditure divided by the named revenue or earnings denominator in the same year. The capex numerator excludes noncash finance lease additions. This is the editable Upside case input.</x:t>
        </x:r>
      </x:text>
    </x:comment>
    <x:comment ref="O51" authorId="0">
      <x:text>
        <x:r>
          <x:t>Capital expenditure payables / cash capex (FY:27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P51" authorId="0">
      <x:text>
        <x:r>
          <x:t>Capital expenditure payables / cash capex (FY:28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Q51" authorId="0">
      <x:text>
        <x:r>
          <x:t>Capital expenditure payables / cash capex (FY:29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R51" authorId="0">
      <x:text>
        <x:r>
          <x:t>Capital expenditure payables / cash capex (FY:30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S51" authorId="0">
      <x:text>
        <x:r>
          <x:t>Capital expenditure payables / cash capex (FY:31 E).
Cash capital expenditure divided by the named revenue or earnings denominator in the same year. The capex numerator excludes noncash finance lease additions. Editable Upside scenario input.
Stored input or primary source observation. It is not calculated in this cell.</x:t>
        </x:r>
      </x:text>
    </x:comment>
    <x:comment ref="C52" authorId="0">
      <x:text>
        <x:r>
          <x:t>Cash capital expenditure divided by the named revenue or earnings denominator in the same year. The capex numerator excludes noncash finance lease additions. This is the editable Downside case input.</x:t>
        </x:r>
      </x:text>
    </x:comment>
    <x:comment ref="O52" authorId="0">
      <x:text>
        <x:r>
          <x:t>Capital expenditure payables / cash capex (FY:27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P52" authorId="0">
      <x:text>
        <x:r>
          <x:t>Capital expenditure payables / cash capex (FY:28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Q52" authorId="0">
      <x:text>
        <x:r>
          <x:t>Capital expenditure payables / cash capex (FY:29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R52" authorId="0">
      <x:text>
        <x:r>
          <x:t>Capital expenditure payables / cash capex (FY:30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S52" authorId="0">
      <x:text>
        <x:r>
          <x:t>Capital expenditure payables / cash capex (FY:31 E).
Cash capital expenditure divided by the named revenue or earnings denominator in the same year. The capex numerator excludes noncash finance lease additions. Editable Downside scenario input.
Stored input or primary source observation. It is not calculated in this cell.</x:t>
        </x:r>
      </x:text>
    </x:comment>
    <x:comment ref="C53" authorId="0">
      <x:text>
        <x:r>
          <x:t>Ratio of the two measures named in the row label for the same fiscal year. Read the formula below for the exact numerator, denominator and sign treatment. Percentage or multiple formatting does not change the underlying value.</x:t>
        </x:r>
      </x:text>
    </x:comment>
    <x:comment ref="N53" authorId="0">
      <x:text>
        <x:r>
          <x:t>New finance lease assets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='Filing Notes'!N14/'Income Statement'!N8
Cross-sheet references identify the owning schedule. Same-sheet references identify intermediate calculations.</x:t>
        </x:r>
      </x:text>
    </x:comment>
    <x:comment ref="O53" authorId="0">
      <x:text>
        <x:r>
          <x:t>New finance lease assets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=IF(NOT(CHOOSE($D$4,ISNUMBER(O54),ISNUMBER(O55),ISNUMBER(O56))),"n.a.",CHOOSE($D$4,O54,O55,O56))
Cross-sheet references identify the owning schedule. Same-sheet references identify intermediate calculations.</x:t>
        </x:r>
      </x:text>
    </x:comment>
    <x:comment ref="P53" authorId="0">
      <x:text>
        <x:r>
          <x:t>New finance lease assets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=IF(NOT(CHOOSE($D$4,ISNUMBER(P54),ISNUMBER(P55),ISNUMBER(P56))),"n.a.",CHOOSE($D$4,P54,P55,P56))
Cross-sheet references identify the owning schedule. Same-sheet references identify intermediate calculations.</x:t>
        </x:r>
      </x:text>
    </x:comment>
    <x:comment ref="Q53" authorId="0">
      <x:text>
        <x:r>
          <x:t>New finance lease assets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=IF(NOT(CHOOSE($D$4,ISNUMBER(Q54),ISNUMBER(Q55),ISNUMBER(Q56))),"n.a.",CHOOSE($D$4,Q54,Q55,Q56))
Cross-sheet references identify the owning schedule. Same-sheet references identify intermediate calculations.</x:t>
        </x:r>
      </x:text>
    </x:comment>
    <x:comment ref="R53" authorId="0">
      <x:text>
        <x:r>
          <x:t>New finance lease assets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=IF(NOT(CHOOSE($D$4,ISNUMBER(R54),ISNUMBER(R55),ISNUMBER(R56))),"n.a.",CHOOSE($D$4,R54,R55,R56))
Cross-sheet references identify the owning schedule. Same-sheet references identify intermediate calculations.</x:t>
        </x:r>
      </x:text>
    </x:comment>
    <x:comment ref="S53" authorId="0">
      <x:text>
        <x:r>
          <x:t>New finance lease assets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=IF(NOT(CHOOSE($D$4,ISNUMBER(S54),ISNUMBER(S55),ISNUMBER(S56))),"n.a.",CHOOSE($D$4,S54,S55,S56))
Cross-sheet references identify the owning schedule. Same-sheet references identify intermediate calculations.</x:t>
        </x:r>
      </x:text>
    </x:comment>
    <x:comment ref="C54"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54" authorId="0">
      <x:text>
        <x:r>
          <x:t>New finance lease assets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54" authorId="0">
      <x:text>
        <x:r>
          <x:t>New finance lease assets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54" authorId="0">
      <x:text>
        <x:r>
          <x:t>New finance lease assets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54" authorId="0">
      <x:text>
        <x:r>
          <x:t>New finance lease assets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54" authorId="0">
      <x:text>
        <x:r>
          <x:t>New finance lease assets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55"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55" authorId="0">
      <x:text>
        <x:r>
          <x:t>New finance lease assets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55" authorId="0">
      <x:text>
        <x:r>
          <x:t>New finance lease assets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55" authorId="0">
      <x:text>
        <x:r>
          <x:t>New finance lease assets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55" authorId="0">
      <x:text>
        <x:r>
          <x:t>New finance lease assets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55" authorId="0">
      <x:text>
        <x:r>
          <x:t>New finance lease assets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56"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56" authorId="0">
      <x:text>
        <x:r>
          <x:t>New finance lease assets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56" authorId="0">
      <x:text>
        <x:r>
          <x:t>New finance lease assets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56" authorId="0">
      <x:text>
        <x:r>
          <x:t>New finance lease assets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56" authorId="0">
      <x:text>
        <x:r>
          <x:t>New finance lease assets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56" authorId="0">
      <x:text>
        <x:r>
          <x:t>New finance lease assets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57" authorId="0">
      <x:text>
        <x:r>
          <x:t>Ratio of the two measures named in the row label for the same fiscal year. Read the formula below for the exact numerator, denominator and sign treatment. Percentage or multiple formatting does not change the underlying value.</x:t>
        </x:r>
      </x:text>
    </x:comment>
    <x:comment ref="O57" authorId="0">
      <x:text>
        <x:r>
          <x:t>New operating lease assets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=IF(NOT(CHOOSE($D$4,ISNUMBER(O58),ISNUMBER(O59),ISNUMBER(O60))),"n.a.",CHOOSE($D$4,O58,O59,O60))
Cross-sheet references identify the owning schedule. Same-sheet references identify intermediate calculations.</x:t>
        </x:r>
      </x:text>
    </x:comment>
    <x:comment ref="P57" authorId="0">
      <x:text>
        <x:r>
          <x:t>New operating lease assets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=IF(NOT(CHOOSE($D$4,ISNUMBER(P58),ISNUMBER(P59),ISNUMBER(P60))),"n.a.",CHOOSE($D$4,P58,P59,P60))
Cross-sheet references identify the owning schedule. Same-sheet references identify intermediate calculations.</x:t>
        </x:r>
      </x:text>
    </x:comment>
    <x:comment ref="Q57" authorId="0">
      <x:text>
        <x:r>
          <x:t>New operating lease assets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=IF(NOT(CHOOSE($D$4,ISNUMBER(Q58),ISNUMBER(Q59),ISNUMBER(Q60))),"n.a.",CHOOSE($D$4,Q58,Q59,Q60))
Cross-sheet references identify the owning schedule. Same-sheet references identify intermediate calculations.</x:t>
        </x:r>
      </x:text>
    </x:comment>
    <x:comment ref="R57" authorId="0">
      <x:text>
        <x:r>
          <x:t>New operating lease assets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=IF(NOT(CHOOSE($D$4,ISNUMBER(R58),ISNUMBER(R59),ISNUMBER(R60))),"n.a.",CHOOSE($D$4,R58,R59,R60))
Cross-sheet references identify the owning schedule. Same-sheet references identify intermediate calculations.</x:t>
        </x:r>
      </x:text>
    </x:comment>
    <x:comment ref="S57" authorId="0">
      <x:text>
        <x:r>
          <x:t>New operating lease assets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=IF(NOT(CHOOSE($D$4,ISNUMBER(S58),ISNUMBER(S59),ISNUMBER(S60))),"n.a.",CHOOSE($D$4,S58,S59,S60))
Cross-sheet references identify the owning schedule. Same-sheet references identify intermediate calculations.</x:t>
        </x:r>
      </x:text>
    </x:comment>
    <x:comment ref="C58"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58" authorId="0">
      <x:text>
        <x:r>
          <x:t>New operating lease assets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58" authorId="0">
      <x:text>
        <x:r>
          <x:t>New operating lease assets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58" authorId="0">
      <x:text>
        <x:r>
          <x:t>New operating lease assets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58" authorId="0">
      <x:text>
        <x:r>
          <x:t>New operating lease assets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58" authorId="0">
      <x:text>
        <x:r>
          <x:t>New operating lease assets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59"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59" authorId="0">
      <x:text>
        <x:r>
          <x:t>New operating lease assets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59" authorId="0">
      <x:text>
        <x:r>
          <x:t>New operating lease assets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59" authorId="0">
      <x:text>
        <x:r>
          <x:t>New operating lease assets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59" authorId="0">
      <x:text>
        <x:r>
          <x:t>New operating lease assets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59" authorId="0">
      <x:text>
        <x:r>
          <x:t>New operating lease assets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60"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60" authorId="0">
      <x:text>
        <x:r>
          <x:t>New operating lease assets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60" authorId="0">
      <x:text>
        <x:r>
          <x:t>New operating lease assets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60" authorId="0">
      <x:text>
        <x:r>
          <x:t>New operating lease assets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60" authorId="0">
      <x:text>
        <x:r>
          <x:t>New operating lease assets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60" authorId="0">
      <x:text>
        <x:r>
          <x:t>New operating lease assets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61" authorId="0">
      <x:text>
        <x:r>
          <x:t>Legacy depreciable net PPE remaining life in years. This line belongs to the Assumptions calculation. Read its formula to trace the referenced inputs and intermediate totals.</x:t>
        </x:r>
      </x:text>
    </x:comment>
    <x:comment ref="O61" authorId="0">
      <x:text>
        <x:r>
          <x:t>Legacy depreciable net PPE remaining life in years (FY:27 E).
Legacy depreciable net PPE remaining life in years. This line belongs to the Assumptions calculation. Read its formula to trace the referenced inputs and intermediate totals. The active forecast row selects the case input below it and feeds the operating model.
Formula: =IF(NOT(CHOOSE($D$4,ISNUMBER(O62),ISNUMBER(O63),ISNUMBER(O64))),"n.a.",CHOOSE($D$4,O62,O63,O64))
Cross-sheet references identify the owning schedule. Same-sheet references identify intermediate calculations.</x:t>
        </x:r>
      </x:text>
    </x:comment>
    <x:comment ref="P61" authorId="0">
      <x:text>
        <x:r>
          <x:t>Legacy depreciable net PPE remaining life in years (FY:28 E).
Legacy depreciable net PPE remaining life in years. This line belongs to the Assumptions calculation. Read its formula to trace the referenced inputs and intermediate totals. The active forecast row selects the case input below it and feeds the operating model.
Formula: =IF(NOT(CHOOSE($D$4,ISNUMBER(P62),ISNUMBER(P63),ISNUMBER(P64))),"n.a.",CHOOSE($D$4,P62,P63,P64))
Cross-sheet references identify the owning schedule. Same-sheet references identify intermediate calculations.</x:t>
        </x:r>
      </x:text>
    </x:comment>
    <x:comment ref="Q61" authorId="0">
      <x:text>
        <x:r>
          <x:t>Legacy depreciable net PPE remaining life in years (FY:29 E).
Legacy depreciable net PPE remaining life in years. This line belongs to the Assumptions calculation. Read its formula to trace the referenced inputs and intermediate totals. The active forecast row selects the case input below it and feeds the operating model.
Formula: =IF(NOT(CHOOSE($D$4,ISNUMBER(Q62),ISNUMBER(Q63),ISNUMBER(Q64))),"n.a.",CHOOSE($D$4,Q62,Q63,Q64))
Cross-sheet references identify the owning schedule. Same-sheet references identify intermediate calculations.</x:t>
        </x:r>
      </x:text>
    </x:comment>
    <x:comment ref="R61" authorId="0">
      <x:text>
        <x:r>
          <x:t>Legacy depreciable net PPE remaining life in years (FY:30 E).
Legacy depreciable net PPE remaining life in years. This line belongs to the Assumptions calculation. Read its formula to trace the referenced inputs and intermediate totals. The active forecast row selects the case input below it and feeds the operating model.
Formula: =IF(NOT(CHOOSE($D$4,ISNUMBER(R62),ISNUMBER(R63),ISNUMBER(R64))),"n.a.",CHOOSE($D$4,R62,R63,R64))
Cross-sheet references identify the owning schedule. Same-sheet references identify intermediate calculations.</x:t>
        </x:r>
      </x:text>
    </x:comment>
    <x:comment ref="S61" authorId="0">
      <x:text>
        <x:r>
          <x:t>Legacy depreciable net PPE remaining life in years (FY:31 E).
Legacy depreciable net PPE remaining life in years. This line belongs to the Assumptions calculation. Read its formula to trace the referenced inputs and intermediate totals. The active forecast row selects the case input below it and feeds the operating model.
Formula: =IF(NOT(CHOOSE($D$4,ISNUMBER(S62),ISNUMBER(S63),ISNUMBER(S64))),"n.a.",CHOOSE($D$4,S62,S63,S64))
Cross-sheet references identify the owning schedule. Same-sheet references identify intermediate calculations.</x:t>
        </x:r>
      </x:text>
    </x:comment>
    <x:comment ref="C62" authorId="0">
      <x:text>
        <x:r>
          <x:t>Legacy depreciable net PPE remaining life in years. This line belongs to the Assumptions calculation. Read its formula to trace the referenced inputs and intermediate totals. This is the editable Base case input.</x:t>
        </x:r>
      </x:text>
    </x:comment>
    <x:comment ref="O62" authorId="0">
      <x:text>
        <x:r>
          <x:t>Legacy depreciable net PPE remaining life in years (FY:27 E).
Legacy depreciable net PPE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P62" authorId="0">
      <x:text>
        <x:r>
          <x:t>Legacy depreciable net PPE remaining life in years (FY:28 E).
Legacy depreciable net PPE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Q62" authorId="0">
      <x:text>
        <x:r>
          <x:t>Legacy depreciable net PPE remaining life in years (FY:29 E).
Legacy depreciable net PPE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R62" authorId="0">
      <x:text>
        <x:r>
          <x:t>Legacy depreciable net PPE remaining life in years (FY:30 E).
Legacy depreciable net PPE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S62" authorId="0">
      <x:text>
        <x:r>
          <x:t>Legacy depreciable net PPE remaining life in years (FY:31 E).
Legacy depreciable net PPE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C63" authorId="0">
      <x:text>
        <x:r>
          <x:t>Legacy depreciable net PPE remaining life in years. This line belongs to the Assumptions calculation. Read its formula to trace the referenced inputs and intermediate totals. This is the editable Upside case input.</x:t>
        </x:r>
      </x:text>
    </x:comment>
    <x:comment ref="O63" authorId="0">
      <x:text>
        <x:r>
          <x:t>Legacy depreciable net PPE remaining life in years (FY:27 E).
Legacy depreciable net PPE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P63" authorId="0">
      <x:text>
        <x:r>
          <x:t>Legacy depreciable net PPE remaining life in years (FY:28 E).
Legacy depreciable net PPE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Q63" authorId="0">
      <x:text>
        <x:r>
          <x:t>Legacy depreciable net PPE remaining life in years (FY:29 E).
Legacy depreciable net PPE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R63" authorId="0">
      <x:text>
        <x:r>
          <x:t>Legacy depreciable net PPE remaining life in years (FY:30 E).
Legacy depreciable net PPE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S63" authorId="0">
      <x:text>
        <x:r>
          <x:t>Legacy depreciable net PPE remaining life in years (FY:31 E).
Legacy depreciable net PPE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C64" authorId="0">
      <x:text>
        <x:r>
          <x:t>Legacy depreciable net PPE remaining life in years. This line belongs to the Assumptions calculation. Read its formula to trace the referenced inputs and intermediate totals. This is the editable Downside case input.</x:t>
        </x:r>
      </x:text>
    </x:comment>
    <x:comment ref="O64" authorId="0">
      <x:text>
        <x:r>
          <x:t>Legacy depreciable net PPE remaining life in years (FY:27 E).
Legacy depreciable net PPE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P64" authorId="0">
      <x:text>
        <x:r>
          <x:t>Legacy depreciable net PPE remaining life in years (FY:28 E).
Legacy depreciable net PPE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Q64" authorId="0">
      <x:text>
        <x:r>
          <x:t>Legacy depreciable net PPE remaining life in years (FY:29 E).
Legacy depreciable net PPE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R64" authorId="0">
      <x:text>
        <x:r>
          <x:t>Legacy depreciable net PPE remaining life in years (FY:30 E).
Legacy depreciable net PPE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S64" authorId="0">
      <x:text>
        <x:r>
          <x:t>Legacy depreciable net PPE remaining life in years (FY:31 E).
Legacy depreciable net PPE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C65" authorId="0">
      <x:text>
        <x:r>
          <x:t>New PPE useful life in years. This line belongs to the Assumptions calculation. Read its formula to trace the referenced inputs and intermediate totals.</x:t>
        </x:r>
      </x:text>
    </x:comment>
    <x:comment ref="O65" authorId="0">
      <x:text>
        <x:r>
          <x:t>New PPE useful life in years (FY:27 E).
New PPE useful life in years. This line belongs to the Assumptions calculation. Read its formula to trace the referenced inputs and intermediate totals. The active forecast row selects the case input below it and feeds the operating model.
Formula: =IF(NOT(CHOOSE($D$4,ISNUMBER(O66),ISNUMBER(O67),ISNUMBER(O68))),"n.a.",CHOOSE($D$4,O66,O67,O68))
Cross-sheet references identify the owning schedule. Same-sheet references identify intermediate calculations.</x:t>
        </x:r>
      </x:text>
    </x:comment>
    <x:comment ref="P65" authorId="0">
      <x:text>
        <x:r>
          <x:t>New PPE useful life in years (FY:28 E).
New PPE useful life in years. This line belongs to the Assumptions calculation. Read its formula to trace the referenced inputs and intermediate totals. The active forecast row selects the case input below it and feeds the operating model.
Formula: =IF(NOT(CHOOSE($D$4,ISNUMBER(P66),ISNUMBER(P67),ISNUMBER(P68))),"n.a.",CHOOSE($D$4,P66,P67,P68))
Cross-sheet references identify the owning schedule. Same-sheet references identify intermediate calculations.</x:t>
        </x:r>
      </x:text>
    </x:comment>
    <x:comment ref="Q65" authorId="0">
      <x:text>
        <x:r>
          <x:t>New PPE useful life in years (FY:29 E).
New PPE useful life in years. This line belongs to the Assumptions calculation. Read its formula to trace the referenced inputs and intermediate totals. The active forecast row selects the case input below it and feeds the operating model.
Formula: =IF(NOT(CHOOSE($D$4,ISNUMBER(Q66),ISNUMBER(Q67),ISNUMBER(Q68))),"n.a.",CHOOSE($D$4,Q66,Q67,Q68))
Cross-sheet references identify the owning schedule. Same-sheet references identify intermediate calculations.</x:t>
        </x:r>
      </x:text>
    </x:comment>
    <x:comment ref="R65" authorId="0">
      <x:text>
        <x:r>
          <x:t>New PPE useful life in years (FY:30 E).
New PPE useful life in years. This line belongs to the Assumptions calculation. Read its formula to trace the referenced inputs and intermediate totals. The active forecast row selects the case input below it and feeds the operating model.
Formula: =IF(NOT(CHOOSE($D$4,ISNUMBER(R66),ISNUMBER(R67),ISNUMBER(R68))),"n.a.",CHOOSE($D$4,R66,R67,R68))
Cross-sheet references identify the owning schedule. Same-sheet references identify intermediate calculations.</x:t>
        </x:r>
      </x:text>
    </x:comment>
    <x:comment ref="S65" authorId="0">
      <x:text>
        <x:r>
          <x:t>New PPE useful life in years (FY:31 E).
New PPE useful life in years. This line belongs to the Assumptions calculation. Read its formula to trace the referenced inputs and intermediate totals. The active forecast row selects the case input below it and feeds the operating model.
Formula: =IF(NOT(CHOOSE($D$4,ISNUMBER(S66),ISNUMBER(S67),ISNUMBER(S68))),"n.a.",CHOOSE($D$4,S66,S67,S68))
Cross-sheet references identify the owning schedule. Same-sheet references identify intermediate calculations.</x:t>
        </x:r>
      </x:text>
    </x:comment>
    <x:comment ref="C66" authorId="0">
      <x:text>
        <x:r>
          <x:t>New PPE useful life in years. This line belongs to the Assumptions calculation. Read its formula to trace the referenced inputs and intermediate totals. This is the editable Base case input.</x:t>
        </x:r>
      </x:text>
    </x:comment>
    <x:comment ref="O66" authorId="0">
      <x:text>
        <x:r>
          <x:t>New PPE useful life in years (FY:27 E).
New PPE useful life in years. This line belongs to the Assumptions calculation. Read its formula to trace the referenced inputs and intermediate totals. Editable Base scenario input.
Stored input or primary source observation. It is not calculated in this cell.</x:t>
        </x:r>
      </x:text>
    </x:comment>
    <x:comment ref="P66" authorId="0">
      <x:text>
        <x:r>
          <x:t>New PPE useful life in years (FY:28 E).
New PPE useful life in years. This line belongs to the Assumptions calculation. Read its formula to trace the referenced inputs and intermediate totals. Editable Base scenario input.
Stored input or primary source observation. It is not calculated in this cell.</x:t>
        </x:r>
      </x:text>
    </x:comment>
    <x:comment ref="Q66" authorId="0">
      <x:text>
        <x:r>
          <x:t>New PPE useful life in years (FY:29 E).
New PPE useful life in years. This line belongs to the Assumptions calculation. Read its formula to trace the referenced inputs and intermediate totals. Editable Base scenario input.
Stored input or primary source observation. It is not calculated in this cell.</x:t>
        </x:r>
      </x:text>
    </x:comment>
    <x:comment ref="R66" authorId="0">
      <x:text>
        <x:r>
          <x:t>New PPE useful life in years (FY:30 E).
New PPE useful life in years. This line belongs to the Assumptions calculation. Read its formula to trace the referenced inputs and intermediate totals. Editable Base scenario input.
Stored input or primary source observation. It is not calculated in this cell.</x:t>
        </x:r>
      </x:text>
    </x:comment>
    <x:comment ref="S66" authorId="0">
      <x:text>
        <x:r>
          <x:t>New PPE useful life in years (FY:31 E).
New PPE useful life in years. This line belongs to the Assumptions calculation. Read its formula to trace the referenced inputs and intermediate totals. Editable Base scenario input.
Stored input or primary source observation. It is not calculated in this cell.</x:t>
        </x:r>
      </x:text>
    </x:comment>
    <x:comment ref="C67" authorId="0">
      <x:text>
        <x:r>
          <x:t>New PPE useful life in years. This line belongs to the Assumptions calculation. Read its formula to trace the referenced inputs and intermediate totals. This is the editable Upside case input.</x:t>
        </x:r>
      </x:text>
    </x:comment>
    <x:comment ref="O67" authorId="0">
      <x:text>
        <x:r>
          <x:t>New PPE useful life in years (FY:27 E).
New PPE useful life in years. This line belongs to the Assumptions calculation. Read its formula to trace the referenced inputs and intermediate totals. Editable Upside scenario input.
Stored input or primary source observation. It is not calculated in this cell.</x:t>
        </x:r>
      </x:text>
    </x:comment>
    <x:comment ref="P67" authorId="0">
      <x:text>
        <x:r>
          <x:t>New PPE useful life in years (FY:28 E).
New PPE useful life in years. This line belongs to the Assumptions calculation. Read its formula to trace the referenced inputs and intermediate totals. Editable Upside scenario input.
Stored input or primary source observation. It is not calculated in this cell.</x:t>
        </x:r>
      </x:text>
    </x:comment>
    <x:comment ref="Q67" authorId="0">
      <x:text>
        <x:r>
          <x:t>New PPE useful life in years (FY:29 E).
New PPE useful life in years. This line belongs to the Assumptions calculation. Read its formula to trace the referenced inputs and intermediate totals. Editable Upside scenario input.
Stored input or primary source observation. It is not calculated in this cell.</x:t>
        </x:r>
      </x:text>
    </x:comment>
    <x:comment ref="R67" authorId="0">
      <x:text>
        <x:r>
          <x:t>New PPE useful life in years (FY:30 E).
New PPE useful life in years. This line belongs to the Assumptions calculation. Read its formula to trace the referenced inputs and intermediate totals. Editable Upside scenario input.
Stored input or primary source observation. It is not calculated in this cell.</x:t>
        </x:r>
      </x:text>
    </x:comment>
    <x:comment ref="S67" authorId="0">
      <x:text>
        <x:r>
          <x:t>New PPE useful life in years (FY:31 E).
New PPE useful life in years. This line belongs to the Assumptions calculation. Read its formula to trace the referenced inputs and intermediate totals. Editable Upside scenario input.
Stored input or primary source observation. It is not calculated in this cell.</x:t>
        </x:r>
      </x:text>
    </x:comment>
    <x:comment ref="C68" authorId="0">
      <x:text>
        <x:r>
          <x:t>New PPE useful life in years. This line belongs to the Assumptions calculation. Read its formula to trace the referenced inputs and intermediate totals. This is the editable Downside case input.</x:t>
        </x:r>
      </x:text>
    </x:comment>
    <x:comment ref="O68" authorId="0">
      <x:text>
        <x:r>
          <x:t>New PPE useful life in years (FY:27 E).
New PPE useful life in years. This line belongs to the Assumptions calculation. Read its formula to trace the referenced inputs and intermediate totals. Editable Downside scenario input.
Stored input or primary source observation. It is not calculated in this cell.</x:t>
        </x:r>
      </x:text>
    </x:comment>
    <x:comment ref="P68" authorId="0">
      <x:text>
        <x:r>
          <x:t>New PPE useful life in years (FY:28 E).
New PPE useful life in years. This line belongs to the Assumptions calculation. Read its formula to trace the referenced inputs and intermediate totals. Editable Downside scenario input.
Stored input or primary source observation. It is not calculated in this cell.</x:t>
        </x:r>
      </x:text>
    </x:comment>
    <x:comment ref="Q68" authorId="0">
      <x:text>
        <x:r>
          <x:t>New PPE useful life in years (FY:29 E).
New PPE useful life in years. This line belongs to the Assumptions calculation. Read its formula to trace the referenced inputs and intermediate totals. Editable Downside scenario input.
Stored input or primary source observation. It is not calculated in this cell.</x:t>
        </x:r>
      </x:text>
    </x:comment>
    <x:comment ref="R68" authorId="0">
      <x:text>
        <x:r>
          <x:t>New PPE useful life in years (FY:30 E).
New PPE useful life in years. This line belongs to the Assumptions calculation. Read its formula to trace the referenced inputs and intermediate totals. Editable Downside scenario input.
Stored input or primary source observation. It is not calculated in this cell.</x:t>
        </x:r>
      </x:text>
    </x:comment>
    <x:comment ref="S68" authorId="0">
      <x:text>
        <x:r>
          <x:t>New PPE useful life in years (FY:31 E).
New PPE useful life in years. This line belongs to the Assumptions calculation. Read its formula to trace the referenced inputs and intermediate totals. Editable Downside scenario input.
Stored input or primary source observation. It is not calculated in this cell.</x:t>
        </x:r>
      </x:text>
    </x:comment>
    <x:comment ref="C69" authorId="0">
      <x:text>
        <x:r>
          <x:t>Ending receivables divided by annual revenue multiplied by 365. Increasing this driver ties up more operating cash.</x:t>
        </x:r>
      </x:text>
    </x:comment>
    <x:comment ref="E69" authorId="0">
      <x:text>
        <x:r>
          <x:t>Receivable days on revenue (FY:17 A).
Ending receivables divided by annual revenue multiplied by 365. Increasing this driver ties up more operating cash. The active forecast row selects the case input below it and feeds the operating model.
Formula: ='Working Capital'!E9
Cross-sheet references identify the owning schedule. Same-sheet references identify intermediate calculations.</x:t>
        </x:r>
      </x:text>
    </x:comment>
    <x:comment ref="F69" authorId="0">
      <x:text>
        <x:r>
          <x:t>Receivable days on revenue (FY:18 A).
Ending receivables divided by annual revenue multiplied by 365. Increasing this driver ties up more operating cash. The active forecast row selects the case input below it and feeds the operating model.
Formula: ='Working Capital'!F9
Cross-sheet references identify the owning schedule. Same-sheet references identify intermediate calculations.</x:t>
        </x:r>
      </x:text>
    </x:comment>
    <x:comment ref="G69" authorId="0">
      <x:text>
        <x:r>
          <x:t>Receivable days on revenue (FY:19 A).
Ending receivables divided by annual revenue multiplied by 365. Increasing this driver ties up more operating cash. The active forecast row selects the case input below it and feeds the operating model.
Formula: ='Working Capital'!G9
Cross-sheet references identify the owning schedule. Same-sheet references identify intermediate calculations.</x:t>
        </x:r>
      </x:text>
    </x:comment>
    <x:comment ref="H69" authorId="0">
      <x:text>
        <x:r>
          <x:t>Receivable days on revenue (FY:20 A).
Ending receivables divided by annual revenue multiplied by 365. Increasing this driver ties up more operating cash. The active forecast row selects the case input below it and feeds the operating model.
Formula: ='Working Capital'!H9
Cross-sheet references identify the owning schedule. Same-sheet references identify intermediate calculations.</x:t>
        </x:r>
      </x:text>
    </x:comment>
    <x:comment ref="I69" authorId="0">
      <x:text>
        <x:r>
          <x:t>Receivable days on revenue (FY:21 A).
Ending receivables divided by annual revenue multiplied by 365. Increasing this driver ties up more operating cash. The active forecast row selects the case input below it and feeds the operating model.
Formula: ='Working Capital'!I9
Cross-sheet references identify the owning schedule. Same-sheet references identify intermediate calculations.</x:t>
        </x:r>
      </x:text>
    </x:comment>
    <x:comment ref="J69" authorId="0">
      <x:text>
        <x:r>
          <x:t>Receivable days on revenue (FY:22 A).
Ending receivables divided by annual revenue multiplied by 365. Increasing this driver ties up more operating cash. The active forecast row selects the case input below it and feeds the operating model.
Formula: ='Working Capital'!J9
Cross-sheet references identify the owning schedule. Same-sheet references identify intermediate calculations.</x:t>
        </x:r>
      </x:text>
    </x:comment>
    <x:comment ref="K69" authorId="0">
      <x:text>
        <x:r>
          <x:t>Receivable days on revenue (FY:23 A).
Ending receivables divided by annual revenue multiplied by 365. Increasing this driver ties up more operating cash. The active forecast row selects the case input below it and feeds the operating model.
Formula: ='Working Capital'!K9
Cross-sheet references identify the owning schedule. Same-sheet references identify intermediate calculations.</x:t>
        </x:r>
      </x:text>
    </x:comment>
    <x:comment ref="L69" authorId="0">
      <x:text>
        <x:r>
          <x:t>Receivable days on revenue (FY:24 A).
Ending receivables divided by annual revenue multiplied by 365. Increasing this driver ties up more operating cash. The active forecast row selects the case input below it and feeds the operating model.
Formula: ='Working Capital'!L9
Cross-sheet references identify the owning schedule. Same-sheet references identify intermediate calculations.</x:t>
        </x:r>
      </x:text>
    </x:comment>
    <x:comment ref="M69" authorId="0">
      <x:text>
        <x:r>
          <x:t>Receivable days on revenue (FY:25 A).
Ending receivables divided by annual revenue multiplied by 365. Increasing this driver ties up more operating cash. The active forecast row selects the case input below it and feeds the operating model.
Formula: ='Working Capital'!M9
Cross-sheet references identify the owning schedule. Same-sheet references identify intermediate calculations.</x:t>
        </x:r>
      </x:text>
    </x:comment>
    <x:comment ref="N69" authorId="0">
      <x:text>
        <x:r>
          <x:t>Receivable days on revenue (FY:26 A).
Ending receivables divided by annual revenue multiplied by 365. Increasing this driver ties up more operating cash. The active forecast row selects the case input below it and feeds the operating model.
Formula: ='Working Capital'!N9
Cross-sheet references identify the owning schedule. Same-sheet references identify intermediate calculations.</x:t>
        </x:r>
      </x:text>
    </x:comment>
    <x:comment ref="O69" authorId="0">
      <x:text>
        <x:r>
          <x:t>Receivable days on revenue (FY:27 E).
Ending receivables divided by annual revenue multiplied by 365. Increasing this driver ties up more operating cash. The active forecast row selects the case input below it and feeds the operating model.
Formula: =IF(NOT(CHOOSE($D$4,ISNUMBER(O70),ISNUMBER(O71),ISNUMBER(O72))),"n.a.",CHOOSE($D$4,O70,O71,O72))
Cross-sheet references identify the owning schedule. Same-sheet references identify intermediate calculations.</x:t>
        </x:r>
      </x:text>
    </x:comment>
    <x:comment ref="P69" authorId="0">
      <x:text>
        <x:r>
          <x:t>Receivable days on revenue (FY:28 E).
Ending receivables divided by annual revenue multiplied by 365. Increasing this driver ties up more operating cash. The active forecast row selects the case input below it and feeds the operating model.
Formula: =IF(NOT(CHOOSE($D$4,ISNUMBER(P70),ISNUMBER(P71),ISNUMBER(P72))),"n.a.",CHOOSE($D$4,P70,P71,P72))
Cross-sheet references identify the owning schedule. Same-sheet references identify intermediate calculations.</x:t>
        </x:r>
      </x:text>
    </x:comment>
    <x:comment ref="Q69" authorId="0">
      <x:text>
        <x:r>
          <x:t>Receivable days on revenue (FY:29 E).
Ending receivables divided by annual revenue multiplied by 365. Increasing this driver ties up more operating cash. The active forecast row selects the case input below it and feeds the operating model.
Formula: =IF(NOT(CHOOSE($D$4,ISNUMBER(Q70),ISNUMBER(Q71),ISNUMBER(Q72))),"n.a.",CHOOSE($D$4,Q70,Q71,Q72))
Cross-sheet references identify the owning schedule. Same-sheet references identify intermediate calculations.</x:t>
        </x:r>
      </x:text>
    </x:comment>
    <x:comment ref="R69" authorId="0">
      <x:text>
        <x:r>
          <x:t>Receivable days on revenue (FY:30 E).
Ending receivables divided by annual revenue multiplied by 365. Increasing this driver ties up more operating cash. The active forecast row selects the case input below it and feeds the operating model.
Formula: =IF(NOT(CHOOSE($D$4,ISNUMBER(R70),ISNUMBER(R71),ISNUMBER(R72))),"n.a.",CHOOSE($D$4,R70,R71,R72))
Cross-sheet references identify the owning schedule. Same-sheet references identify intermediate calculations.</x:t>
        </x:r>
      </x:text>
    </x:comment>
    <x:comment ref="S69" authorId="0">
      <x:text>
        <x:r>
          <x:t>Receivable days on revenue (FY:31 E).
Ending receivables divided by annual revenue multiplied by 365. Increasing this driver ties up more operating cash. The active forecast row selects the case input below it and feeds the operating model.
Formula: =IF(NOT(CHOOSE($D$4,ISNUMBER(S70),ISNUMBER(S71),ISNUMBER(S72))),"n.a.",CHOOSE($D$4,S70,S71,S72))
Cross-sheet references identify the owning schedule. Same-sheet references identify intermediate calculations.</x:t>
        </x:r>
      </x:text>
    </x:comment>
    <x:comment ref="C70" authorId="0">
      <x:text>
        <x:r>
          <x:t>Ending receivables divided by annual revenue multiplied by 365. Increasing this driver ties up more operating cash. This is the editable Base case input.</x:t>
        </x:r>
      </x:text>
    </x:comment>
    <x:comment ref="O70" authorId="0">
      <x:text>
        <x:r>
          <x:t>Receivable days on revenue (FY:27 E).
Ending receivables divided by annual revenue multiplied by 365. Increasing this driver ties up more operating cash. Editable Base scenario input.
Stored input or primary source observation. It is not calculated in this cell.</x:t>
        </x:r>
      </x:text>
    </x:comment>
    <x:comment ref="P70" authorId="0">
      <x:text>
        <x:r>
          <x:t>Receivable days on revenue (FY:28 E).
Ending receivables divided by annual revenue multiplied by 365. Increasing this driver ties up more operating cash. Editable Base scenario input.
Stored input or primary source observation. It is not calculated in this cell.</x:t>
        </x:r>
      </x:text>
    </x:comment>
    <x:comment ref="Q70" authorId="0">
      <x:text>
        <x:r>
          <x:t>Receivable days on revenue (FY:29 E).
Ending receivables divided by annual revenue multiplied by 365. Increasing this driver ties up more operating cash. Editable Base scenario input.
Stored input or primary source observation. It is not calculated in this cell.</x:t>
        </x:r>
      </x:text>
    </x:comment>
    <x:comment ref="R70" authorId="0">
      <x:text>
        <x:r>
          <x:t>Receivable days on revenue (FY:30 E).
Ending receivables divided by annual revenue multiplied by 365. Increasing this driver ties up more operating cash. Editable Base scenario input.
Stored input or primary source observation. It is not calculated in this cell.</x:t>
        </x:r>
      </x:text>
    </x:comment>
    <x:comment ref="S70" authorId="0">
      <x:text>
        <x:r>
          <x:t>Receivable days on revenue (FY:31 E).
Ending receivables divided by annual revenue multiplied by 365. Increasing this driver ties up more operating cash. Editable Base scenario input.
Stored input or primary source observation. It is not calculated in this cell.</x:t>
        </x:r>
      </x:text>
    </x:comment>
    <x:comment ref="C71" authorId="0">
      <x:text>
        <x:r>
          <x:t>Ending receivables divided by annual revenue multiplied by 365. Increasing this driver ties up more operating cash. This is the editable Upside case input.</x:t>
        </x:r>
      </x:text>
    </x:comment>
    <x:comment ref="O71" authorId="0">
      <x:text>
        <x:r>
          <x:t>Receivable days on revenue (FY:27 E).
Ending receivables divided by annual revenue multiplied by 365. Increasing this driver ties up more operating cash. Editable Upside scenario input.
Stored input or primary source observation. It is not calculated in this cell.</x:t>
        </x:r>
      </x:text>
    </x:comment>
    <x:comment ref="P71" authorId="0">
      <x:text>
        <x:r>
          <x:t>Receivable days on revenue (FY:28 E).
Ending receivables divided by annual revenue multiplied by 365. Increasing this driver ties up more operating cash. Editable Upside scenario input.
Stored input or primary source observation. It is not calculated in this cell.</x:t>
        </x:r>
      </x:text>
    </x:comment>
    <x:comment ref="Q71" authorId="0">
      <x:text>
        <x:r>
          <x:t>Receivable days on revenue (FY:29 E).
Ending receivables divided by annual revenue multiplied by 365. Increasing this driver ties up more operating cash. Editable Upside scenario input.
Stored input or primary source observation. It is not calculated in this cell.</x:t>
        </x:r>
      </x:text>
    </x:comment>
    <x:comment ref="R71" authorId="0">
      <x:text>
        <x:r>
          <x:t>Receivable days on revenue (FY:30 E).
Ending receivables divided by annual revenue multiplied by 365. Increasing this driver ties up more operating cash. Editable Upside scenario input.
Stored input or primary source observation. It is not calculated in this cell.</x:t>
        </x:r>
      </x:text>
    </x:comment>
    <x:comment ref="S71" authorId="0">
      <x:text>
        <x:r>
          <x:t>Receivable days on revenue (FY:31 E).
Ending receivables divided by annual revenue multiplied by 365. Increasing this driver ties up more operating cash. Editable Upside scenario input.
Stored input or primary source observation. It is not calculated in this cell.</x:t>
        </x:r>
      </x:text>
    </x:comment>
    <x:comment ref="C72" authorId="0">
      <x:text>
        <x:r>
          <x:t>Ending receivables divided by annual revenue multiplied by 365. Increasing this driver ties up more operating cash. This is the editable Downside case input.</x:t>
        </x:r>
      </x:text>
    </x:comment>
    <x:comment ref="O72" authorId="0">
      <x:text>
        <x:r>
          <x:t>Receivable days on revenue (FY:27 E).
Ending receivables divided by annual revenue multiplied by 365. Increasing this driver ties up more operating cash. Editable Downside scenario input.
Stored input or primary source observation. It is not calculated in this cell.</x:t>
        </x:r>
      </x:text>
    </x:comment>
    <x:comment ref="P72" authorId="0">
      <x:text>
        <x:r>
          <x:t>Receivable days on revenue (FY:28 E).
Ending receivables divided by annual revenue multiplied by 365. Increasing this driver ties up more operating cash. Editable Downside scenario input.
Stored input or primary source observation. It is not calculated in this cell.</x:t>
        </x:r>
      </x:text>
    </x:comment>
    <x:comment ref="Q72" authorId="0">
      <x:text>
        <x:r>
          <x:t>Receivable days on revenue (FY:29 E).
Ending receivables divided by annual revenue multiplied by 365. Increasing this driver ties up more operating cash. Editable Downside scenario input.
Stored input or primary source observation. It is not calculated in this cell.</x:t>
        </x:r>
      </x:text>
    </x:comment>
    <x:comment ref="R72" authorId="0">
      <x:text>
        <x:r>
          <x:t>Receivable days on revenue (FY:30 E).
Ending receivables divided by annual revenue multiplied by 365. Increasing this driver ties up more operating cash. Editable Downside scenario input.
Stored input or primary source observation. It is not calculated in this cell.</x:t>
        </x:r>
      </x:text>
    </x:comment>
    <x:comment ref="S72" authorId="0">
      <x:text>
        <x:r>
          <x:t>Receivable days on revenue (FY:31 E).
Ending receivables divided by annual revenue multiplied by 365. Increasing this driver ties up more operating cash. Editable Downside scenario input.
Stored input or primary source observation. It is not calculated in this cell.</x:t>
        </x:r>
      </x:text>
    </x:comment>
    <x:comment ref="C73" authorId="0">
      <x:text>
        <x:r>
          <x:t>Inventory days on cost of revenue. This line belongs to the Assumptions calculation. Read its formula to trace the referenced inputs and intermediate totals.</x:t>
        </x:r>
      </x:text>
    </x:comment>
    <x:comment ref="E73" authorId="0">
      <x:text>
        <x:r>
          <x:t>Inventory days on cost of revenue (FY:17 A).
Inventory days on cost of revenue. This line belongs to the Assumptions calculation. Read its formula to trace the referenced inputs and intermediate totals. The active forecast row selects the case input below it and feeds the operating model.
Formula: ='Working Capital'!E11
Cross-sheet references identify the owning schedule. Same-sheet references identify intermediate calculations.</x:t>
        </x:r>
      </x:text>
    </x:comment>
    <x:comment ref="F73" authorId="0">
      <x:text>
        <x:r>
          <x:t>Inventory days on cost of revenue (FY:18 A).
Inventory days on cost of revenue. This line belongs to the Assumptions calculation. Read its formula to trace the referenced inputs and intermediate totals. The active forecast row selects the case input below it and feeds the operating model.
Formula: ='Working Capital'!F11
Cross-sheet references identify the owning schedule. Same-sheet references identify intermediate calculations.</x:t>
        </x:r>
      </x:text>
    </x:comment>
    <x:comment ref="G73" authorId="0">
      <x:text>
        <x:r>
          <x:t>Inventory days on cost of revenue (FY:19 A).
Inventory days on cost of revenue. This line belongs to the Assumptions calculation. Read its formula to trace the referenced inputs and intermediate totals. The active forecast row selects the case input below it and feeds the operating model.
Formula: ='Working Capital'!G11
Cross-sheet references identify the owning schedule. Same-sheet references identify intermediate calculations.</x:t>
        </x:r>
      </x:text>
    </x:comment>
    <x:comment ref="H73" authorId="0">
      <x:text>
        <x:r>
          <x:t>Inventory days on cost of revenue (FY:20 A).
Inventory days on cost of revenue. This line belongs to the Assumptions calculation. Read its formula to trace the referenced inputs and intermediate totals. The active forecast row selects the case input below it and feeds the operating model.
Formula: ='Working Capital'!H11
Cross-sheet references identify the owning schedule. Same-sheet references identify intermediate calculations.</x:t>
        </x:r>
      </x:text>
    </x:comment>
    <x:comment ref="I73" authorId="0">
      <x:text>
        <x:r>
          <x:t>Inventory days on cost of revenue (FY:21 A).
Inventory days on cost of revenue. This line belongs to the Assumptions calculation. Read its formula to trace the referenced inputs and intermediate totals. The active forecast row selects the case input below it and feeds the operating model.
Formula: ='Working Capital'!I11
Cross-sheet references identify the owning schedule. Same-sheet references identify intermediate calculations.</x:t>
        </x:r>
      </x:text>
    </x:comment>
    <x:comment ref="J73" authorId="0">
      <x:text>
        <x:r>
          <x:t>Inventory days on cost of revenue (FY:22 A).
Inventory days on cost of revenue. This line belongs to the Assumptions calculation. Read its formula to trace the referenced inputs and intermediate totals. The active forecast row selects the case input below it and feeds the operating model.
Formula: ='Working Capital'!J11
Cross-sheet references identify the owning schedule. Same-sheet references identify intermediate calculations.</x:t>
        </x:r>
      </x:text>
    </x:comment>
    <x:comment ref="K73" authorId="0">
      <x:text>
        <x:r>
          <x:t>Inventory days on cost of revenue (FY:23 A).
Inventory days on cost of revenue. This line belongs to the Assumptions calculation. Read its formula to trace the referenced inputs and intermediate totals. The active forecast row selects the case input below it and feeds the operating model.
Formula: ='Working Capital'!K11
Cross-sheet references identify the owning schedule. Same-sheet references identify intermediate calculations.</x:t>
        </x:r>
      </x:text>
    </x:comment>
    <x:comment ref="L73" authorId="0">
      <x:text>
        <x:r>
          <x:t>Inventory days on cost of revenue (FY:24 A).
Inventory days on cost of revenue. This line belongs to the Assumptions calculation. Read its formula to trace the referenced inputs and intermediate totals. The active forecast row selects the case input below it and feeds the operating model.
Formula: ='Working Capital'!L11
Cross-sheet references identify the owning schedule. Same-sheet references identify intermediate calculations.</x:t>
        </x:r>
      </x:text>
    </x:comment>
    <x:comment ref="M73" authorId="0">
      <x:text>
        <x:r>
          <x:t>Inventory days on cost of revenue (FY:25 A).
Inventory days on cost of revenue. This line belongs to the Assumptions calculation. Read its formula to trace the referenced inputs and intermediate totals. The active forecast row selects the case input below it and feeds the operating model.
Formula: ='Working Capital'!M11
Cross-sheet references identify the owning schedule. Same-sheet references identify intermediate calculations.</x:t>
        </x:r>
      </x:text>
    </x:comment>
    <x:comment ref="N73" authorId="0">
      <x:text>
        <x:r>
          <x:t>Inventory days on cost of revenue (FY:26 A).
Inventory days on cost of revenue. This line belongs to the Assumptions calculation. Read its formula to trace the referenced inputs and intermediate totals. The active forecast row selects the case input below it and feeds the operating model.
Formula: ='Working Capital'!N11
Cross-sheet references identify the owning schedule. Same-sheet references identify intermediate calculations.</x:t>
        </x:r>
      </x:text>
    </x:comment>
    <x:comment ref="O73" authorId="0">
      <x:text>
        <x:r>
          <x:t>Inventory days on cost of revenue (FY:27 E).
Inventory days on cost of revenue. This line belongs to the Assumptions calculation. Read its formula to trace the referenced inputs and intermediate totals. The active forecast row selects the case input below it and feeds the operating model.
Formula: =IF(NOT(CHOOSE($D$4,ISNUMBER(O74),ISNUMBER(O75),ISNUMBER(O76))),"n.a.",CHOOSE($D$4,O74,O75,O76))
Cross-sheet references identify the owning schedule. Same-sheet references identify intermediate calculations.</x:t>
        </x:r>
      </x:text>
    </x:comment>
    <x:comment ref="P73" authorId="0">
      <x:text>
        <x:r>
          <x:t>Inventory days on cost of revenue (FY:28 E).
Inventory days on cost of revenue. This line belongs to the Assumptions calculation. Read its formula to trace the referenced inputs and intermediate totals. The active forecast row selects the case input below it and feeds the operating model.
Formula: =IF(NOT(CHOOSE($D$4,ISNUMBER(P74),ISNUMBER(P75),ISNUMBER(P76))),"n.a.",CHOOSE($D$4,P74,P75,P76))
Cross-sheet references identify the owning schedule. Same-sheet references identify intermediate calculations.</x:t>
        </x:r>
      </x:text>
    </x:comment>
    <x:comment ref="Q73" authorId="0">
      <x:text>
        <x:r>
          <x:t>Inventory days on cost of revenue (FY:29 E).
Inventory days on cost of revenue. This line belongs to the Assumptions calculation. Read its formula to trace the referenced inputs and intermediate totals. The active forecast row selects the case input below it and feeds the operating model.
Formula: =IF(NOT(CHOOSE($D$4,ISNUMBER(Q74),ISNUMBER(Q75),ISNUMBER(Q76))),"n.a.",CHOOSE($D$4,Q74,Q75,Q76))
Cross-sheet references identify the owning schedule. Same-sheet references identify intermediate calculations.</x:t>
        </x:r>
      </x:text>
    </x:comment>
    <x:comment ref="R73" authorId="0">
      <x:text>
        <x:r>
          <x:t>Inventory days on cost of revenue (FY:30 E).
Inventory days on cost of revenue. This line belongs to the Assumptions calculation. Read its formula to trace the referenced inputs and intermediate totals. The active forecast row selects the case input below it and feeds the operating model.
Formula: =IF(NOT(CHOOSE($D$4,ISNUMBER(R74),ISNUMBER(R75),ISNUMBER(R76))),"n.a.",CHOOSE($D$4,R74,R75,R76))
Cross-sheet references identify the owning schedule. Same-sheet references identify intermediate calculations.</x:t>
        </x:r>
      </x:text>
    </x:comment>
    <x:comment ref="S73" authorId="0">
      <x:text>
        <x:r>
          <x:t>Inventory days on cost of revenue (FY:31 E).
Inventory days on cost of revenue. This line belongs to the Assumptions calculation. Read its formula to trace the referenced inputs and intermediate totals. The active forecast row selects the case input below it and feeds the operating model.
Formula: =IF(NOT(CHOOSE($D$4,ISNUMBER(S74),ISNUMBER(S75),ISNUMBER(S76))),"n.a.",CHOOSE($D$4,S74,S75,S76))
Cross-sheet references identify the owning schedule. Same-sheet references identify intermediate calculations.</x:t>
        </x:r>
      </x:text>
    </x:comment>
    <x:comment ref="C74" authorId="0">
      <x:text>
        <x:r>
          <x:t>Inventory days on cost of revenue. This line belongs to the Assumptions calculation. Read its formula to trace the referenced inputs and intermediate totals. This is the editable Base case input.</x:t>
        </x:r>
      </x:text>
    </x:comment>
    <x:comment ref="O74" authorId="0">
      <x:text>
        <x:r>
          <x:t>Inventory days on cost of revenue (FY:27 E).
Inventory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P74" authorId="0">
      <x:text>
        <x:r>
          <x:t>Inventory days on cost of revenue (FY:28 E).
Inventory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Q74" authorId="0">
      <x:text>
        <x:r>
          <x:t>Inventory days on cost of revenue (FY:29 E).
Inventory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R74" authorId="0">
      <x:text>
        <x:r>
          <x:t>Inventory days on cost of revenue (FY:30 E).
Inventory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S74" authorId="0">
      <x:text>
        <x:r>
          <x:t>Inventory days on cost of revenue (FY:31 E).
Inventory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C75" authorId="0">
      <x:text>
        <x:r>
          <x:t>Inventory days on cost of revenue. This line belongs to the Assumptions calculation. Read its formula to trace the referenced inputs and intermediate totals. This is the editable Upside case input.</x:t>
        </x:r>
      </x:text>
    </x:comment>
    <x:comment ref="O75" authorId="0">
      <x:text>
        <x:r>
          <x:t>Inventory days on cost of revenue (FY:27 E).
Inventory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P75" authorId="0">
      <x:text>
        <x:r>
          <x:t>Inventory days on cost of revenue (FY:28 E).
Inventory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Q75" authorId="0">
      <x:text>
        <x:r>
          <x:t>Inventory days on cost of revenue (FY:29 E).
Inventory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R75" authorId="0">
      <x:text>
        <x:r>
          <x:t>Inventory days on cost of revenue (FY:30 E).
Inventory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S75" authorId="0">
      <x:text>
        <x:r>
          <x:t>Inventory days on cost of revenue (FY:31 E).
Inventory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C76" authorId="0">
      <x:text>
        <x:r>
          <x:t>Inventory days on cost of revenue. This line belongs to the Assumptions calculation. Read its formula to trace the referenced inputs and intermediate totals. This is the editable Downside case input.</x:t>
        </x:r>
      </x:text>
    </x:comment>
    <x:comment ref="O76" authorId="0">
      <x:text>
        <x:r>
          <x:t>Inventory days on cost of revenue (FY:27 E).
Inventory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P76" authorId="0">
      <x:text>
        <x:r>
          <x:t>Inventory days on cost of revenue (FY:28 E).
Inventory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Q76" authorId="0">
      <x:text>
        <x:r>
          <x:t>Inventory days on cost of revenue (FY:29 E).
Inventory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R76" authorId="0">
      <x:text>
        <x:r>
          <x:t>Inventory days on cost of revenue (FY:30 E).
Inventory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S76" authorId="0">
      <x:text>
        <x:r>
          <x:t>Inventory days on cost of revenue (FY:31 E).
Inventory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C77" authorId="0">
      <x:text>
        <x:r>
          <x:t>Operating payable days on cost of revenue. This line belongs to the Assumptions calculation. Read its formula to trace the referenced inputs and intermediate totals.</x:t>
        </x:r>
      </x:text>
    </x:comment>
    <x:comment ref="E77" authorId="0">
      <x:text>
        <x:r>
          <x:t>Operating payable days on cost of revenue (FY:17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Capital'!E16
Cross-sheet references identify the owning schedule. Same-sheet references identify intermediate calculations.</x:t>
        </x:r>
      </x:text>
    </x:comment>
    <x:comment ref="F77" authorId="0">
      <x:text>
        <x:r>
          <x:t>Operating payable days on cost of revenue (FY:18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Capital'!F16
Cross-sheet references identify the owning schedule. Same-sheet references identify intermediate calculations.</x:t>
        </x:r>
      </x:text>
    </x:comment>
    <x:comment ref="G77" authorId="0">
      <x:text>
        <x:r>
          <x:t>Operating payable days on cost of revenue (FY:19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Capital'!G16
Cross-sheet references identify the owning schedule. Same-sheet references identify intermediate calculations.</x:t>
        </x:r>
      </x:text>
    </x:comment>
    <x:comment ref="H77" authorId="0">
      <x:text>
        <x:r>
          <x:t>Operating payable days on cost of revenue (FY:20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Capital'!H16
Cross-sheet references identify the owning schedule. Same-sheet references identify intermediate calculations.</x:t>
        </x:r>
      </x:text>
    </x:comment>
    <x:comment ref="I77" authorId="0">
      <x:text>
        <x:r>
          <x:t>Operating payable days on cost of revenue (FY:21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Capital'!I16
Cross-sheet references identify the owning schedule. Same-sheet references identify intermediate calculations.</x:t>
        </x:r>
      </x:text>
    </x:comment>
    <x:comment ref="J77" authorId="0">
      <x:text>
        <x:r>
          <x:t>Operating payable days on cost of revenue (FY:22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Capital'!J16
Cross-sheet references identify the owning schedule. Same-sheet references identify intermediate calculations.</x:t>
        </x:r>
      </x:text>
    </x:comment>
    <x:comment ref="K77" authorId="0">
      <x:text>
        <x:r>
          <x:t>Operating payable days on cost of revenue (FY:23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Capital'!K16
Cross-sheet references identify the owning schedule. Same-sheet references identify intermediate calculations.</x:t>
        </x:r>
      </x:text>
    </x:comment>
    <x:comment ref="L77" authorId="0">
      <x:text>
        <x:r>
          <x:t>Operating payable days on cost of revenue (FY:24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Capital'!L16
Cross-sheet references identify the owning schedule. Same-sheet references identify intermediate calculations.</x:t>
        </x:r>
      </x:text>
    </x:comment>
    <x:comment ref="M77" authorId="0">
      <x:text>
        <x:r>
          <x:t>Operating payable days on cost of revenue (FY:25 A).
Operating payable days on cost of revenue.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='Working Capital'!M16
Cross-sheet references identify the owning schedule. Same-sheet references identify intermediate calculations.</x:t>
        </x:r>
      </x:text>
    </x:comment>
    <x:comment ref="N77" authorId="0">
      <x:text>
        <x:r>
          <x:t>Operating payable days on cost of revenue (FY:26 A).
Operating payable days on cost of revenue. This line belongs to the Assumptions calculation. Read its formula to trace the referenced inputs and intermediate totals. The active forecast row selects the case input below it and feeds the operating model.
Formula: ='Working Capital'!N16
Cross-sheet references identify the owning schedule. Same-sheet references identify intermediate calculations.</x:t>
        </x:r>
      </x:text>
    </x:comment>
    <x:comment ref="O77" authorId="0">
      <x:text>
        <x:r>
          <x:t>Operating payable days on cost of revenue (FY:27 E).
Operating payable days on cost of revenue. This line belongs to the Assumptions calculation. Read its formula to trace the referenced inputs and intermediate totals. The active forecast row selects the case input below it and feeds the operating model.
Formula: =IF(NOT(CHOOSE($D$4,ISNUMBER(O78),ISNUMBER(O79),ISNUMBER(O80))),"n.a.",CHOOSE($D$4,O78,O79,O80))
Cross-sheet references identify the owning schedule. Same-sheet references identify intermediate calculations.</x:t>
        </x:r>
      </x:text>
    </x:comment>
    <x:comment ref="P77" authorId="0">
      <x:text>
        <x:r>
          <x:t>Operating payable days on cost of revenue (FY:28 E).
Operating payable days on cost of revenue. This line belongs to the Assumptions calculation. Read its formula to trace the referenced inputs and intermediate totals. The active forecast row selects the case input below it and feeds the operating model.
Formula: =IF(NOT(CHOOSE($D$4,ISNUMBER(P78),ISNUMBER(P79),ISNUMBER(P80))),"n.a.",CHOOSE($D$4,P78,P79,P80))
Cross-sheet references identify the owning schedule. Same-sheet references identify intermediate calculations.</x:t>
        </x:r>
      </x:text>
    </x:comment>
    <x:comment ref="Q77" authorId="0">
      <x:text>
        <x:r>
          <x:t>Operating payable days on cost of revenue (FY:29 E).
Operating payable days on cost of revenue. This line belongs to the Assumptions calculation. Read its formula to trace the referenced inputs and intermediate totals. The active forecast row selects the case input below it and feeds the operating model.
Formula: =IF(NOT(CHOOSE($D$4,ISNUMBER(Q78),ISNUMBER(Q79),ISNUMBER(Q80))),"n.a.",CHOOSE($D$4,Q78,Q79,Q80))
Cross-sheet references identify the owning schedule. Same-sheet references identify intermediate calculations.</x:t>
        </x:r>
      </x:text>
    </x:comment>
    <x:comment ref="R77" authorId="0">
      <x:text>
        <x:r>
          <x:t>Operating payable days on cost of revenue (FY:30 E).
Operating payable days on cost of revenue. This line belongs to the Assumptions calculation. Read its formula to trace the referenced inputs and intermediate totals. The active forecast row selects the case input below it and feeds the operating model.
Formula: =IF(NOT(CHOOSE($D$4,ISNUMBER(R78),ISNUMBER(R79),ISNUMBER(R80))),"n.a.",CHOOSE($D$4,R78,R79,R80))
Cross-sheet references identify the owning schedule. Same-sheet references identify intermediate calculations.</x:t>
        </x:r>
      </x:text>
    </x:comment>
    <x:comment ref="S77" authorId="0">
      <x:text>
        <x:r>
          <x:t>Operating payable days on cost of revenue (FY:31 E).
Operating payable days on cost of revenue. This line belongs to the Assumptions calculation. Read its formula to trace the referenced inputs and intermediate totals. The active forecast row selects the case input below it and feeds the operating model.
Formula: =IF(NOT(CHOOSE($D$4,ISNUMBER(S78),ISNUMBER(S79),ISNUMBER(S80))),"n.a.",CHOOSE($D$4,S78,S79,S80))
Cross-sheet references identify the owning schedule. Same-sheet references identify intermediate calculations.</x:t>
        </x:r>
      </x:text>
    </x:comment>
    <x:comment ref="C78" authorId="0">
      <x:text>
        <x:r>
          <x:t>Operating payable days on cost of revenue. This line belongs to the Assumptions calculation. Read its formula to trace the referenced inputs and intermediate totals. This is the editable Base case input.</x:t>
        </x:r>
      </x:text>
    </x:comment>
    <x:comment ref="O78" authorId="0">
      <x:text>
        <x:r>
          <x:t>Operating payable days on cost of revenue (FY:27 E).
Operating payable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P78" authorId="0">
      <x:text>
        <x:r>
          <x:t>Operating payable days on cost of revenue (FY:28 E).
Operating payable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Q78" authorId="0">
      <x:text>
        <x:r>
          <x:t>Operating payable days on cost of revenue (FY:29 E).
Operating payable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R78" authorId="0">
      <x:text>
        <x:r>
          <x:t>Operating payable days on cost of revenue (FY:30 E).
Operating payable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S78" authorId="0">
      <x:text>
        <x:r>
          <x:t>Operating payable days on cost of revenue (FY:31 E).
Operating payable days on cost of revenue. This line belongs to the Assumptions calculation. Read its formula to trace the referenced inputs and intermediate totals. Editable Base scenario input.
Stored input or primary source observation. It is not calculated in this cell.</x:t>
        </x:r>
      </x:text>
    </x:comment>
    <x:comment ref="C79" authorId="0">
      <x:text>
        <x:r>
          <x:t>Operating payable days on cost of revenue. This line belongs to the Assumptions calculation. Read its formula to trace the referenced inputs and intermediate totals. This is the editable Upside case input.</x:t>
        </x:r>
      </x:text>
    </x:comment>
    <x:comment ref="O79" authorId="0">
      <x:text>
        <x:r>
          <x:t>Operating payable days on cost of revenue (FY:27 E).
Operating payable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P79" authorId="0">
      <x:text>
        <x:r>
          <x:t>Operating payable days on cost of revenue (FY:28 E).
Operating payable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Q79" authorId="0">
      <x:text>
        <x:r>
          <x:t>Operating payable days on cost of revenue (FY:29 E).
Operating payable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R79" authorId="0">
      <x:text>
        <x:r>
          <x:t>Operating payable days on cost of revenue (FY:30 E).
Operating payable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S79" authorId="0">
      <x:text>
        <x:r>
          <x:t>Operating payable days on cost of revenue (FY:31 E).
Operating payable days on cost of revenue. This line belongs to the Assumptions calculation. Read its formula to trace the referenced inputs and intermediate totals. Editable Upside scenario input.
Stored input or primary source observation. It is not calculated in this cell.</x:t>
        </x:r>
      </x:text>
    </x:comment>
    <x:comment ref="C80" authorId="0">
      <x:text>
        <x:r>
          <x:t>Operating payable days on cost of revenue. This line belongs to the Assumptions calculation. Read its formula to trace the referenced inputs and intermediate totals. This is the editable Downside case input.</x:t>
        </x:r>
      </x:text>
    </x:comment>
    <x:comment ref="O80" authorId="0">
      <x:text>
        <x:r>
          <x:t>Operating payable days on cost of revenue (FY:27 E).
Operating payable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P80" authorId="0">
      <x:text>
        <x:r>
          <x:t>Operating payable days on cost of revenue (FY:28 E).
Operating payable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Q80" authorId="0">
      <x:text>
        <x:r>
          <x:t>Operating payable days on cost of revenue (FY:29 E).
Operating payable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R80" authorId="0">
      <x:text>
        <x:r>
          <x:t>Operating payable days on cost of revenue (FY:30 E).
Operating payable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S80" authorId="0">
      <x:text>
        <x:r>
          <x:t>Operating payable days on cost of revenue (FY:31 E).
Operating payable days on cost of revenue. This line belongs to the Assumptions calculation. Read its formula to trace the referenced inputs and intermediate totals. Editable Downside scenario input.
Stored input or primary source observation. It is not calculated in this cell.</x:t>
        </x:r>
      </x:text>
    </x:comment>
    <x:comment ref="C81" authorId="0">
      <x:text>
        <x:r>
          <x:t>Ratio of the two measures named in the row label for the same fiscal year. Read the formula below for the exact numerator, denominator and sign treatment. Percentage or multiple formatting does not change the underlying value.</x:t>
        </x:r>
      </x:text>
    </x:comment>
    <x:comment ref="E81" authorId="0">
      <x:text>
        <x:r>
          <x:t>Other current assets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Sheet'!E13/'Income Statement'!E8
Cross-sheet references identify the owning schedule. Same-sheet references identify intermediate calculations.</x:t>
        </x:r>
      </x:text>
    </x:comment>
    <x:comment ref="F81" authorId="0">
      <x:text>
        <x:r>
          <x:t>Other current assets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Sheet'!F13/'Income Statement'!F8
Cross-sheet references identify the owning schedule. Same-sheet references identify intermediate calculations.</x:t>
        </x:r>
      </x:text>
    </x:comment>
    <x:comment ref="G81" authorId="0">
      <x:text>
        <x:r>
          <x:t>Other current assets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Sheet'!G13/'Income Statement'!G8
Cross-sheet references identify the owning schedule. Same-sheet references identify intermediate calculations.</x:t>
        </x:r>
      </x:text>
    </x:comment>
    <x:comment ref="H81" authorId="0">
      <x:text>
        <x:r>
          <x:t>Other current assets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Sheet'!H13/'Income Statement'!H8
Cross-sheet references identify the owning schedule. Same-sheet references identify intermediate calculations.</x:t>
        </x:r>
      </x:text>
    </x:comment>
    <x:comment ref="I81" authorId="0">
      <x:text>
        <x:r>
          <x:t>Other current assets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Sheet'!I13/'Income Statement'!I8
Cross-sheet references identify the owning schedule. Same-sheet references identify intermediate calculations.</x:t>
        </x:r>
      </x:text>
    </x:comment>
    <x:comment ref="J81" authorId="0">
      <x:text>
        <x:r>
          <x:t>Other current assets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Sheet'!J13/'Income Statement'!J8
Cross-sheet references identify the owning schedule. Same-sheet references identify intermediate calculations.</x:t>
        </x:r>
      </x:text>
    </x:comment>
    <x:comment ref="K81" authorId="0">
      <x:text>
        <x:r>
          <x:t>Other current assets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Sheet'!K13/'Income Statement'!K8
Cross-sheet references identify the owning schedule. Same-sheet references identify intermediate calculations.</x:t>
        </x:r>
      </x:text>
    </x:comment>
    <x:comment ref="L81" authorId="0">
      <x:text>
        <x:r>
          <x:t>Other current assets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Sheet'!L13/'Income Statement'!L8
Cross-sheet references identify the owning schedule. Same-sheet references identify intermediate calculations.</x:t>
        </x:r>
      </x:text>
    </x:comment>
    <x:comment ref="M81" authorId="0">
      <x:text>
        <x:r>
          <x:t>Other current assets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Sheet'!M13/'Income Statement'!M8
Cross-sheet references identify the owning schedule. Same-sheet references identify intermediate calculations.</x:t>
        </x:r>
      </x:text>
    </x:comment>
    <x:comment ref="N81" authorId="0">
      <x:text>
        <x:r>
          <x:t>Other current assets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Sheet'!N13/'Income Statement'!N8
Cross-sheet references identify the owning schedule. Same-sheet references identify intermediate calculations.</x:t>
        </x:r>
      </x:text>
    </x:comment>
    <x:comment ref="O81" authorId="0">
      <x:text>
        <x:r>
          <x:t>Other current assets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=IF(NOT(CHOOSE($D$4,ISNUMBER(O82),ISNUMBER(O83),ISNUMBER(O84))),"n.a.",CHOOSE($D$4,O82,O83,O84))
Cross-sheet references identify the owning schedule. Same-sheet references identify intermediate calculations.</x:t>
        </x:r>
      </x:text>
    </x:comment>
    <x:comment ref="P81" authorId="0">
      <x:text>
        <x:r>
          <x:t>Other current assets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=IF(NOT(CHOOSE($D$4,ISNUMBER(P82),ISNUMBER(P83),ISNUMBER(P84))),"n.a.",CHOOSE($D$4,P82,P83,P84))
Cross-sheet references identify the owning schedule. Same-sheet references identify intermediate calculations.</x:t>
        </x:r>
      </x:text>
    </x:comment>
    <x:comment ref="Q81" authorId="0">
      <x:text>
        <x:r>
          <x:t>Other current assets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=IF(NOT(CHOOSE($D$4,ISNUMBER(Q82),ISNUMBER(Q83),ISNUMBER(Q84))),"n.a.",CHOOSE($D$4,Q82,Q83,Q84))
Cross-sheet references identify the owning schedule. Same-sheet references identify intermediate calculations.</x:t>
        </x:r>
      </x:text>
    </x:comment>
    <x:comment ref="R81" authorId="0">
      <x:text>
        <x:r>
          <x:t>Other current assets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=IF(NOT(CHOOSE($D$4,ISNUMBER(R82),ISNUMBER(R83),ISNUMBER(R84))),"n.a.",CHOOSE($D$4,R82,R83,R84))
Cross-sheet references identify the owning schedule. Same-sheet references identify intermediate calculations.</x:t>
        </x:r>
      </x:text>
    </x:comment>
    <x:comment ref="S81" authorId="0">
      <x:text>
        <x:r>
          <x:t>Other current assets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=IF(NOT(CHOOSE($D$4,ISNUMBER(S82),ISNUMBER(S83),ISNUMBER(S84))),"n.a.",CHOOSE($D$4,S82,S83,S84))
Cross-sheet references identify the owning schedule. Same-sheet references identify intermediate calculations.</x:t>
        </x:r>
      </x:text>
    </x:comment>
    <x:comment ref="C82"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82" authorId="0">
      <x:text>
        <x:r>
          <x:t>Other current assets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82" authorId="0">
      <x:text>
        <x:r>
          <x:t>Other current assets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82" authorId="0">
      <x:text>
        <x:r>
          <x:t>Other current assets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82" authorId="0">
      <x:text>
        <x:r>
          <x:t>Other current assets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82" authorId="0">
      <x:text>
        <x:r>
          <x:t>Other current assets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83"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83" authorId="0">
      <x:text>
        <x:r>
          <x:t>Other current assets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83" authorId="0">
      <x:text>
        <x:r>
          <x:t>Other current assets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83" authorId="0">
      <x:text>
        <x:r>
          <x:t>Other current assets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83" authorId="0">
      <x:text>
        <x:r>
          <x:t>Other current assets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83" authorId="0">
      <x:text>
        <x:r>
          <x:t>Other current assets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84"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84" authorId="0">
      <x:text>
        <x:r>
          <x:t>Other current assets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84" authorId="0">
      <x:text>
        <x:r>
          <x:t>Other current assets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84" authorId="0">
      <x:text>
        <x:r>
          <x:t>Other current assets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84" authorId="0">
      <x:text>
        <x:r>
          <x:t>Other current assets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84" authorId="0">
      <x:text>
        <x:r>
          <x:t>Other current assets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85" authorId="0">
      <x:text>
        <x:r>
          <x:t>Ratio of the two measures named in the row label for the same fiscal year. Read the formula below for the exact numerator, denominator and sign treatment. Percentage or multiple formatting does not change the underlying value.</x:t>
        </x:r>
      </x:text>
    </x:comment>
    <x:comment ref="E85" authorId="0">
      <x:text>
        <x:r>
          <x:t>Accrued compensation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Sheet'!E27/'Income Statement'!E8
Cross-sheet references identify the owning schedule. Same-sheet references identify intermediate calculations.</x:t>
        </x:r>
      </x:text>
    </x:comment>
    <x:comment ref="F85" authorId="0">
      <x:text>
        <x:r>
          <x:t>Accrued compensation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Sheet'!F27/'Income Statement'!F8
Cross-sheet references identify the owning schedule. Same-sheet references identify intermediate calculations.</x:t>
        </x:r>
      </x:text>
    </x:comment>
    <x:comment ref="G85" authorId="0">
      <x:text>
        <x:r>
          <x:t>Accrued compensation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Sheet'!G27/'Income Statement'!G8
Cross-sheet references identify the owning schedule. Same-sheet references identify intermediate calculations.</x:t>
        </x:r>
      </x:text>
    </x:comment>
    <x:comment ref="H85" authorId="0">
      <x:text>
        <x:r>
          <x:t>Accrued compensation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Sheet'!H27/'Income Statement'!H8
Cross-sheet references identify the owning schedule. Same-sheet references identify intermediate calculations.</x:t>
        </x:r>
      </x:text>
    </x:comment>
    <x:comment ref="I85" authorId="0">
      <x:text>
        <x:r>
          <x:t>Accrued compensation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Sheet'!I27/'Income Statement'!I8
Cross-sheet references identify the owning schedule. Same-sheet references identify intermediate calculations.</x:t>
        </x:r>
      </x:text>
    </x:comment>
    <x:comment ref="J85" authorId="0">
      <x:text>
        <x:r>
          <x:t>Accrued compensation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Sheet'!J27/'Income Statement'!J8
Cross-sheet references identify the owning schedule. Same-sheet references identify intermediate calculations.</x:t>
        </x:r>
      </x:text>
    </x:comment>
    <x:comment ref="K85" authorId="0">
      <x:text>
        <x:r>
          <x:t>Accrued compensation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Sheet'!K27/'Income Statement'!K8
Cross-sheet references identify the owning schedule. Same-sheet references identify intermediate calculations.</x:t>
        </x:r>
      </x:text>
    </x:comment>
    <x:comment ref="L85" authorId="0">
      <x:text>
        <x:r>
          <x:t>Accrued compensation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Sheet'!L27/'Income Statement'!L8
Cross-sheet references identify the owning schedule. Same-sheet references identify intermediate calculations.</x:t>
        </x:r>
      </x:text>
    </x:comment>
    <x:comment ref="M85" authorId="0">
      <x:text>
        <x:r>
          <x:t>Accrued compensation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Sheet'!M27/'Income Statement'!M8
Cross-sheet references identify the owning schedule. Same-sheet references identify intermediate calculations.</x:t>
        </x:r>
      </x:text>
    </x:comment>
    <x:comment ref="N85" authorId="0">
      <x:text>
        <x:r>
          <x:t>Accrued compensation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Sheet'!N27/'Income Statement'!N8
Cross-sheet references identify the owning schedule. Same-sheet references identify intermediate calculations.</x:t>
        </x:r>
      </x:text>
    </x:comment>
    <x:comment ref="O85" authorId="0">
      <x:text>
        <x:r>
          <x:t>Accrued compensation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=IF(NOT(CHOOSE($D$4,ISNUMBER(O86),ISNUMBER(O87),ISNUMBER(O88))),"n.a.",CHOOSE($D$4,O86,O87,O88))
Cross-sheet references identify the owning schedule. Same-sheet references identify intermediate calculations.</x:t>
        </x:r>
      </x:text>
    </x:comment>
    <x:comment ref="P85" authorId="0">
      <x:text>
        <x:r>
          <x:t>Accrued compensation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=IF(NOT(CHOOSE($D$4,ISNUMBER(P86),ISNUMBER(P87),ISNUMBER(P88))),"n.a.",CHOOSE($D$4,P86,P87,P88))
Cross-sheet references identify the owning schedule. Same-sheet references identify intermediate calculations.</x:t>
        </x:r>
      </x:text>
    </x:comment>
    <x:comment ref="Q85" authorId="0">
      <x:text>
        <x:r>
          <x:t>Accrued compensation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=IF(NOT(CHOOSE($D$4,ISNUMBER(Q86),ISNUMBER(Q87),ISNUMBER(Q88))),"n.a.",CHOOSE($D$4,Q86,Q87,Q88))
Cross-sheet references identify the owning schedule. Same-sheet references identify intermediate calculations.</x:t>
        </x:r>
      </x:text>
    </x:comment>
    <x:comment ref="R85" authorId="0">
      <x:text>
        <x:r>
          <x:t>Accrued compensation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=IF(NOT(CHOOSE($D$4,ISNUMBER(R86),ISNUMBER(R87),ISNUMBER(R88))),"n.a.",CHOOSE($D$4,R86,R87,R88))
Cross-sheet references identify the owning schedule. Same-sheet references identify intermediate calculations.</x:t>
        </x:r>
      </x:text>
    </x:comment>
    <x:comment ref="S85" authorId="0">
      <x:text>
        <x:r>
          <x:t>Accrued compensation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=IF(NOT(CHOOSE($D$4,ISNUMBER(S86),ISNUMBER(S87),ISNUMBER(S88))),"n.a.",CHOOSE($D$4,S86,S87,S88))
Cross-sheet references identify the owning schedule. Same-sheet references identify intermediate calculations.</x:t>
        </x:r>
      </x:text>
    </x:comment>
    <x:comment ref="C86"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86" authorId="0">
      <x:text>
        <x:r>
          <x:t>Accrued compensation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86" authorId="0">
      <x:text>
        <x:r>
          <x:t>Accrued compensation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86" authorId="0">
      <x:text>
        <x:r>
          <x:t>Accrued compensation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86" authorId="0">
      <x:text>
        <x:r>
          <x:t>Accrued compensation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86" authorId="0">
      <x:text>
        <x:r>
          <x:t>Accrued compensation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87"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87" authorId="0">
      <x:text>
        <x:r>
          <x:t>Accrued compensation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87" authorId="0">
      <x:text>
        <x:r>
          <x:t>Accrued compensation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87" authorId="0">
      <x:text>
        <x:r>
          <x:t>Accrued compensation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87" authorId="0">
      <x:text>
        <x:r>
          <x:t>Accrued compensation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87" authorId="0">
      <x:text>
        <x:r>
          <x:t>Accrued compensation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88"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88" authorId="0">
      <x:text>
        <x:r>
          <x:t>Accrued compensation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88" authorId="0">
      <x:text>
        <x:r>
          <x:t>Accrued compensation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88" authorId="0">
      <x:text>
        <x:r>
          <x:t>Accrued compensation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88" authorId="0">
      <x:text>
        <x:r>
          <x:t>Accrued compensation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88" authorId="0">
      <x:text>
        <x:r>
          <x:t>Accrued compensation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89" authorId="0">
      <x:text>
        <x:r>
          <x:t>Ratio of the two measures named in the row label for the same fiscal year. Read the formula below for the exact numerator, denominator and sign treatment. Percentage or multiple formatting does not change the underlying value.</x:t>
        </x:r>
      </x:text>
    </x:comment>
    <x:comment ref="E89" authorId="0">
      <x:text>
        <x:r>
          <x:t>Current unearned revenue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Sheet'!E29/'Income Statement'!E8
Cross-sheet references identify the owning schedule. Same-sheet references identify intermediate calculations.</x:t>
        </x:r>
      </x:text>
    </x:comment>
    <x:comment ref="F89" authorId="0">
      <x:text>
        <x:r>
          <x:t>Current unearned revenue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Sheet'!F29/'Income Statement'!F8
Cross-sheet references identify the owning schedule. Same-sheet references identify intermediate calculations.</x:t>
        </x:r>
      </x:text>
    </x:comment>
    <x:comment ref="G89" authorId="0">
      <x:text>
        <x:r>
          <x:t>Current unearned revenue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Sheet'!G29/'Income Statement'!G8
Cross-sheet references identify the owning schedule. Same-sheet references identify intermediate calculations.</x:t>
        </x:r>
      </x:text>
    </x:comment>
    <x:comment ref="H89" authorId="0">
      <x:text>
        <x:r>
          <x:t>Current unearned revenue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Sheet'!H29/'Income Statement'!H8
Cross-sheet references identify the owning schedule. Same-sheet references identify intermediate calculations.</x:t>
        </x:r>
      </x:text>
    </x:comment>
    <x:comment ref="I89" authorId="0">
      <x:text>
        <x:r>
          <x:t>Current unearned revenue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Sheet'!I29/'Income Statement'!I8
Cross-sheet references identify the owning schedule. Same-sheet references identify intermediate calculations.</x:t>
        </x:r>
      </x:text>
    </x:comment>
    <x:comment ref="J89" authorId="0">
      <x:text>
        <x:r>
          <x:t>Current unearned revenue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Sheet'!J29/'Income Statement'!J8
Cross-sheet references identify the owning schedule. Same-sheet references identify intermediate calculations.</x:t>
        </x:r>
      </x:text>
    </x:comment>
    <x:comment ref="K89" authorId="0">
      <x:text>
        <x:r>
          <x:t>Current unearned revenue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Sheet'!K29/'Income Statement'!K8
Cross-sheet references identify the owning schedule. Same-sheet references identify intermediate calculations.</x:t>
        </x:r>
      </x:text>
    </x:comment>
    <x:comment ref="L89" authorId="0">
      <x:text>
        <x:r>
          <x:t>Current unearned revenue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Sheet'!L29/'Income Statement'!L8
Cross-sheet references identify the owning schedule. Same-sheet references identify intermediate calculations.</x:t>
        </x:r>
      </x:text>
    </x:comment>
    <x:comment ref="M89" authorId="0">
      <x:text>
        <x:r>
          <x:t>Current unearned revenue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Sheet'!M29/'Income Statement'!M8
Cross-sheet references identify the owning schedule. Same-sheet references identify intermediate calculations.</x:t>
        </x:r>
      </x:text>
    </x:comment>
    <x:comment ref="N89" authorId="0">
      <x:text>
        <x:r>
          <x:t>Current unearned revenue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Sheet'!N29/'Income Statement'!N8
Cross-sheet references identify the owning schedule. Same-sheet references identify intermediate calculations.</x:t>
        </x:r>
      </x:text>
    </x:comment>
    <x:comment ref="O89" authorId="0">
      <x:text>
        <x:r>
          <x:t>Current unearned revenue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=IF(NOT(CHOOSE($D$4,ISNUMBER(O90),ISNUMBER(O91),ISNUMBER(O92))),"n.a.",CHOOSE($D$4,O90,O91,O92))
Cross-sheet references identify the owning schedule. Same-sheet references identify intermediate calculations.</x:t>
        </x:r>
      </x:text>
    </x:comment>
    <x:comment ref="P89" authorId="0">
      <x:text>
        <x:r>
          <x:t>Current unearned revenue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=IF(NOT(CHOOSE($D$4,ISNUMBER(P90),ISNUMBER(P91),ISNUMBER(P92))),"n.a.",CHOOSE($D$4,P90,P91,P92))
Cross-sheet references identify the owning schedule. Same-sheet references identify intermediate calculations.</x:t>
        </x:r>
      </x:text>
    </x:comment>
    <x:comment ref="Q89" authorId="0">
      <x:text>
        <x:r>
          <x:t>Current unearned revenue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=IF(NOT(CHOOSE($D$4,ISNUMBER(Q90),ISNUMBER(Q91),ISNUMBER(Q92))),"n.a.",CHOOSE($D$4,Q90,Q91,Q92))
Cross-sheet references identify the owning schedule. Same-sheet references identify intermediate calculations.</x:t>
        </x:r>
      </x:text>
    </x:comment>
    <x:comment ref="R89" authorId="0">
      <x:text>
        <x:r>
          <x:t>Current unearned revenue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=IF(NOT(CHOOSE($D$4,ISNUMBER(R90),ISNUMBER(R91),ISNUMBER(R92))),"n.a.",CHOOSE($D$4,R90,R91,R92))
Cross-sheet references identify the owning schedule. Same-sheet references identify intermediate calculations.</x:t>
        </x:r>
      </x:text>
    </x:comment>
    <x:comment ref="S89" authorId="0">
      <x:text>
        <x:r>
          <x:t>Current unearned revenue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=IF(NOT(CHOOSE($D$4,ISNUMBER(S90),ISNUMBER(S91),ISNUMBER(S92))),"n.a.",CHOOSE($D$4,S90,S91,S92))
Cross-sheet references identify the owning schedule. Same-sheet references identify intermediate calculations.</x:t>
        </x:r>
      </x:text>
    </x:comment>
    <x:comment ref="C90"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90" authorId="0">
      <x:text>
        <x:r>
          <x:t>Current unearned revenue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90" authorId="0">
      <x:text>
        <x:r>
          <x:t>Current unearned revenue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90" authorId="0">
      <x:text>
        <x:r>
          <x:t>Current unearned revenue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90" authorId="0">
      <x:text>
        <x:r>
          <x:t>Current unearned revenue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90" authorId="0">
      <x:text>
        <x:r>
          <x:t>Current unearned revenue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91"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91" authorId="0">
      <x:text>
        <x:r>
          <x:t>Current unearned revenue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91" authorId="0">
      <x:text>
        <x:r>
          <x:t>Current unearned revenue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91" authorId="0">
      <x:text>
        <x:r>
          <x:t>Current unearned revenue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91" authorId="0">
      <x:text>
        <x:r>
          <x:t>Current unearned revenue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91" authorId="0">
      <x:text>
        <x:r>
          <x:t>Current unearned revenue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92"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92" authorId="0">
      <x:text>
        <x:r>
          <x:t>Current unearned revenue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92" authorId="0">
      <x:text>
        <x:r>
          <x:t>Current unearned revenue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92" authorId="0">
      <x:text>
        <x:r>
          <x:t>Current unearned revenue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92" authorId="0">
      <x:text>
        <x:r>
          <x:t>Current unearned revenue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92" authorId="0">
      <x:text>
        <x:r>
          <x:t>Current unearned revenue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93" authorId="0">
      <x:text>
        <x:r>
          <x:t>Ratio of the two measures named in the row label for the same fiscal year. Read the formula below for the exact numerator, denominator and sign treatment. Percentage or multiple formatting does not change the underlying value.</x:t>
        </x:r>
      </x:text>
    </x:comment>
    <x:comment ref="N93" authorId="0">
      <x:text>
        <x:r>
          <x:t>Other current liabilities excluding leases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='Working Capital'!N21/'Income Statement'!N8
Cross-sheet references identify the owning schedule. Same-sheet references identify intermediate calculations.</x:t>
        </x:r>
      </x:text>
    </x:comment>
    <x:comment ref="O93" authorId="0">
      <x:text>
        <x:r>
          <x:t>Other current liabilities excluding leases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=IF(NOT(CHOOSE($D$4,ISNUMBER(O94),ISNUMBER(O95),ISNUMBER(O96))),"n.a.",CHOOSE($D$4,O94,O95,O96))
Cross-sheet references identify the owning schedule. Same-sheet references identify intermediate calculations.</x:t>
        </x:r>
      </x:text>
    </x:comment>
    <x:comment ref="P93" authorId="0">
      <x:text>
        <x:r>
          <x:t>Other current liabilities excluding leases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=IF(NOT(CHOOSE($D$4,ISNUMBER(P94),ISNUMBER(P95),ISNUMBER(P96))),"n.a.",CHOOSE($D$4,P94,P95,P96))
Cross-sheet references identify the owning schedule. Same-sheet references identify intermediate calculations.</x:t>
        </x:r>
      </x:text>
    </x:comment>
    <x:comment ref="Q93" authorId="0">
      <x:text>
        <x:r>
          <x:t>Other current liabilities excluding leases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=IF(NOT(CHOOSE($D$4,ISNUMBER(Q94),ISNUMBER(Q95),ISNUMBER(Q96))),"n.a.",CHOOSE($D$4,Q94,Q95,Q96))
Cross-sheet references identify the owning schedule. Same-sheet references identify intermediate calculations.</x:t>
        </x:r>
      </x:text>
    </x:comment>
    <x:comment ref="R93" authorId="0">
      <x:text>
        <x:r>
          <x:t>Other current liabilities excluding leases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=IF(NOT(CHOOSE($D$4,ISNUMBER(R94),ISNUMBER(R95),ISNUMBER(R96))),"n.a.",CHOOSE($D$4,R94,R95,R96))
Cross-sheet references identify the owning schedule. Same-sheet references identify intermediate calculations.</x:t>
        </x:r>
      </x:text>
    </x:comment>
    <x:comment ref="S93" authorId="0">
      <x:text>
        <x:r>
          <x:t>Other current liabilities excluding leases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=IF(NOT(CHOOSE($D$4,ISNUMBER(S94),ISNUMBER(S95),ISNUMBER(S96))),"n.a.",CHOOSE($D$4,S94,S95,S96))
Cross-sheet references identify the owning schedule. Same-sheet references identify intermediate calculations.</x:t>
        </x:r>
      </x:text>
    </x:comment>
    <x:comment ref="C94"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94" authorId="0">
      <x:text>
        <x:r>
          <x:t>Other current liabilities excluding leases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94" authorId="0">
      <x:text>
        <x:r>
          <x:t>Other current liabilities excluding leases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94" authorId="0">
      <x:text>
        <x:r>
          <x:t>Other current liabilities excluding leases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94" authorId="0">
      <x:text>
        <x:r>
          <x:t>Other current liabilities excluding leases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94" authorId="0">
      <x:text>
        <x:r>
          <x:t>Other current liabilities excluding leases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95"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95" authorId="0">
      <x:text>
        <x:r>
          <x:t>Other current liabilities excluding leases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95" authorId="0">
      <x:text>
        <x:r>
          <x:t>Other current liabilities excluding leases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95" authorId="0">
      <x:text>
        <x:r>
          <x:t>Other current liabilities excluding leases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95" authorId="0">
      <x:text>
        <x:r>
          <x:t>Other current liabilities excluding leases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95" authorId="0">
      <x:text>
        <x:r>
          <x:t>Other current liabilities excluding leases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96"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96" authorId="0">
      <x:text>
        <x:r>
          <x:t>Other current liabilities excluding leases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96" authorId="0">
      <x:text>
        <x:r>
          <x:t>Other current liabilities excluding leases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96" authorId="0">
      <x:text>
        <x:r>
          <x:t>Other current liabilities excluding leases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96" authorId="0">
      <x:text>
        <x:r>
          <x:t>Other current liabilities excluding leases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96" authorId="0">
      <x:text>
        <x:r>
          <x:t>Other current liabilities excluding leases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97" authorId="0">
      <x:text>
        <x:r>
          <x:t>Ratio of the two measures named in the row label for the same fiscal year. Read the formula below for the exact numerator, denominator and sign treatment. Percentage or multiple formatting does not change the underlying value.</x:t>
        </x:r>
      </x:text>
    </x:comment>
    <x:comment ref="E97" authorId="0">
      <x:text>
        <x:r>
          <x:t>Other long-term assets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Sheet'!E21/'Income Statement'!E8
Cross-sheet references identify the owning schedule. Same-sheet references identify intermediate calculations.</x:t>
        </x:r>
      </x:text>
    </x:comment>
    <x:comment ref="F97" authorId="0">
      <x:text>
        <x:r>
          <x:t>Other long-term assets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Sheet'!F21/'Income Statement'!F8
Cross-sheet references identify the owning schedule. Same-sheet references identify intermediate calculations.</x:t>
        </x:r>
      </x:text>
    </x:comment>
    <x:comment ref="G97" authorId="0">
      <x:text>
        <x:r>
          <x:t>Other long-term assets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Sheet'!G21/'Income Statement'!G8
Cross-sheet references identify the owning schedule. Same-sheet references identify intermediate calculations.</x:t>
        </x:r>
      </x:text>
    </x:comment>
    <x:comment ref="H97" authorId="0">
      <x:text>
        <x:r>
          <x:t>Other long-term assets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Sheet'!H21/'Income Statement'!H8
Cross-sheet references identify the owning schedule. Same-sheet references identify intermediate calculations.</x:t>
        </x:r>
      </x:text>
    </x:comment>
    <x:comment ref="I97" authorId="0">
      <x:text>
        <x:r>
          <x:t>Other long-term assets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Sheet'!I21/'Income Statement'!I8
Cross-sheet references identify the owning schedule. Same-sheet references identify intermediate calculations.</x:t>
        </x:r>
      </x:text>
    </x:comment>
    <x:comment ref="J97" authorId="0">
      <x:text>
        <x:r>
          <x:t>Other long-term assets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Sheet'!J21/'Income Statement'!J8
Cross-sheet references identify the owning schedule. Same-sheet references identify intermediate calculations.</x:t>
        </x:r>
      </x:text>
    </x:comment>
    <x:comment ref="K97" authorId="0">
      <x:text>
        <x:r>
          <x:t>Other long-term assets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Sheet'!K21/'Income Statement'!K8
Cross-sheet references identify the owning schedule. Same-sheet references identify intermediate calculations.</x:t>
        </x:r>
      </x:text>
    </x:comment>
    <x:comment ref="L97" authorId="0">
      <x:text>
        <x:r>
          <x:t>Other long-term assets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Sheet'!L21/'Income Statement'!L8
Cross-sheet references identify the owning schedule. Same-sheet references identify intermediate calculations.</x:t>
        </x:r>
      </x:text>
    </x:comment>
    <x:comment ref="M97" authorId="0">
      <x:text>
        <x:r>
          <x:t>Other long-term assets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Sheet'!M21/'Income Statement'!M8
Cross-sheet references identify the owning schedule. Same-sheet references identify intermediate calculations.</x:t>
        </x:r>
      </x:text>
    </x:comment>
    <x:comment ref="N97" authorId="0">
      <x:text>
        <x:r>
          <x:t>Other long-term assets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Sheet'!N21/'Income Statement'!N8
Cross-sheet references identify the owning schedule. Same-sheet references identify intermediate calculations.</x:t>
        </x:r>
      </x:text>
    </x:comment>
    <x:comment ref="O97" authorId="0">
      <x:text>
        <x:r>
          <x:t>Other long-term assets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=IF(NOT(CHOOSE($D$4,ISNUMBER(O98),ISNUMBER(O99),ISNUMBER(O100))),"n.a.",CHOOSE($D$4,O98,O99,O100))
Cross-sheet references identify the owning schedule. Same-sheet references identify intermediate calculations.</x:t>
        </x:r>
      </x:text>
    </x:comment>
    <x:comment ref="P97" authorId="0">
      <x:text>
        <x:r>
          <x:t>Other long-term assets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=IF(NOT(CHOOSE($D$4,ISNUMBER(P98),ISNUMBER(P99),ISNUMBER(P100))),"n.a.",CHOOSE($D$4,P98,P99,P100))
Cross-sheet references identify the owning schedule. Same-sheet references identify intermediate calculations.</x:t>
        </x:r>
      </x:text>
    </x:comment>
    <x:comment ref="Q97" authorId="0">
      <x:text>
        <x:r>
          <x:t>Other long-term assets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=IF(NOT(CHOOSE($D$4,ISNUMBER(Q98),ISNUMBER(Q99),ISNUMBER(Q100))),"n.a.",CHOOSE($D$4,Q98,Q99,Q100))
Cross-sheet references identify the owning schedule. Same-sheet references identify intermediate calculations.</x:t>
        </x:r>
      </x:text>
    </x:comment>
    <x:comment ref="R97" authorId="0">
      <x:text>
        <x:r>
          <x:t>Other long-term assets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=IF(NOT(CHOOSE($D$4,ISNUMBER(R98),ISNUMBER(R99),ISNUMBER(R100))),"n.a.",CHOOSE($D$4,R98,R99,R100))
Cross-sheet references identify the owning schedule. Same-sheet references identify intermediate calculations.</x:t>
        </x:r>
      </x:text>
    </x:comment>
    <x:comment ref="S97" authorId="0">
      <x:text>
        <x:r>
          <x:t>Other long-term assets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=IF(NOT(CHOOSE($D$4,ISNUMBER(S98),ISNUMBER(S99),ISNUMBER(S100))),"n.a.",CHOOSE($D$4,S98,S99,S100))
Cross-sheet references identify the owning schedule. Same-sheet references identify intermediate calculations.</x:t>
        </x:r>
      </x:text>
    </x:comment>
    <x:comment ref="C98"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98" authorId="0">
      <x:text>
        <x:r>
          <x:t>Other long-term assets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98" authorId="0">
      <x:text>
        <x:r>
          <x:t>Other long-term assets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98" authorId="0">
      <x:text>
        <x:r>
          <x:t>Other long-term assets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98" authorId="0">
      <x:text>
        <x:r>
          <x:t>Other long-term assets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98" authorId="0">
      <x:text>
        <x:r>
          <x:t>Other long-term assets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99"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99" authorId="0">
      <x:text>
        <x:r>
          <x:t>Other long-term assets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99" authorId="0">
      <x:text>
        <x:r>
          <x:t>Other long-term assets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99" authorId="0">
      <x:text>
        <x:r>
          <x:t>Other long-term assets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99" authorId="0">
      <x:text>
        <x:r>
          <x:t>Other long-term assets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99" authorId="0">
      <x:text>
        <x:r>
          <x:t>Other long-term assets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00"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00" authorId="0">
      <x:text>
        <x:r>
          <x:t>Other long-term assets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00" authorId="0">
      <x:text>
        <x:r>
          <x:t>Other long-term assets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00" authorId="0">
      <x:text>
        <x:r>
          <x:t>Other long-term assets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00" authorId="0">
      <x:text>
        <x:r>
          <x:t>Other long-term assets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00" authorId="0">
      <x:text>
        <x:r>
          <x:t>Other long-term assets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01" authorId="0">
      <x:text>
        <x:r>
          <x:t>Ratio of the two measures named in the row label for the same fiscal year. Read the formula below for the exact numerator, denominator and sign treatment. Percentage or multiple formatting does not change the underlying value.</x:t>
        </x:r>
      </x:text>
    </x:comment>
    <x:comment ref="E101" authorId="0">
      <x:text>
        <x:r>
          <x:t>Long-term income tax liabilities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Sheet'!E35/'Income Statement'!E8
Cross-sheet references identify the owning schedule. Same-sheet references identify intermediate calculations.</x:t>
        </x:r>
      </x:text>
    </x:comment>
    <x:comment ref="F101" authorId="0">
      <x:text>
        <x:r>
          <x:t>Long-term income tax liabilities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Sheet'!F35/'Income Statement'!F8
Cross-sheet references identify the owning schedule. Same-sheet references identify intermediate calculations.</x:t>
        </x:r>
      </x:text>
    </x:comment>
    <x:comment ref="G101" authorId="0">
      <x:text>
        <x:r>
          <x:t>Long-term income tax liabilities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Sheet'!G35/'Income Statement'!G8
Cross-sheet references identify the owning schedule. Same-sheet references identify intermediate calculations.</x:t>
        </x:r>
      </x:text>
    </x:comment>
    <x:comment ref="H101" authorId="0">
      <x:text>
        <x:r>
          <x:t>Long-term income tax liabilities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Sheet'!H35/'Income Statement'!H8
Cross-sheet references identify the owning schedule. Same-sheet references identify intermediate calculations.</x:t>
        </x:r>
      </x:text>
    </x:comment>
    <x:comment ref="I101" authorId="0">
      <x:text>
        <x:r>
          <x:t>Long-term income tax liabilities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Sheet'!I35/'Income Statement'!I8
Cross-sheet references identify the owning schedule. Same-sheet references identify intermediate calculations.</x:t>
        </x:r>
      </x:text>
    </x:comment>
    <x:comment ref="J101" authorId="0">
      <x:text>
        <x:r>
          <x:t>Long-term income tax liabilities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Sheet'!J35/'Income Statement'!J8
Cross-sheet references identify the owning schedule. Same-sheet references identify intermediate calculations.</x:t>
        </x:r>
      </x:text>
    </x:comment>
    <x:comment ref="K101" authorId="0">
      <x:text>
        <x:r>
          <x:t>Long-term income tax liabilities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Sheet'!K35/'Income Statement'!K8
Cross-sheet references identify the owning schedule. Same-sheet references identify intermediate calculations.</x:t>
        </x:r>
      </x:text>
    </x:comment>
    <x:comment ref="L101" authorId="0">
      <x:text>
        <x:r>
          <x:t>Long-term income tax liabilities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Sheet'!L35/'Income Statement'!L8
Cross-sheet references identify the owning schedule. Same-sheet references identify intermediate calculations.</x:t>
        </x:r>
      </x:text>
    </x:comment>
    <x:comment ref="M101" authorId="0">
      <x:text>
        <x:r>
          <x:t>Long-term income tax liabilities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Sheet'!M35/'Income Statement'!M8
Cross-sheet references identify the owning schedule. Same-sheet references identify intermediate calculations.</x:t>
        </x:r>
      </x:text>
    </x:comment>
    <x:comment ref="N101" authorId="0">
      <x:text>
        <x:r>
          <x:t>Long-term income tax liabilities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Sheet'!N35/'Income Statement'!N8
Cross-sheet references identify the owning schedule. Same-sheet references identify intermediate calculations.</x:t>
        </x:r>
      </x:text>
    </x:comment>
    <x:comment ref="O101" authorId="0">
      <x:text>
        <x:r>
          <x:t>Long-term income tax liabilities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=IF(NOT(CHOOSE($D$4,ISNUMBER(O102),ISNUMBER(O103),ISNUMBER(O104))),"n.a.",CHOOSE($D$4,O102,O103,O104))
Cross-sheet references identify the owning schedule. Same-sheet references identify intermediate calculations.</x:t>
        </x:r>
      </x:text>
    </x:comment>
    <x:comment ref="P101" authorId="0">
      <x:text>
        <x:r>
          <x:t>Long-term income tax liabilities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=IF(NOT(CHOOSE($D$4,ISNUMBER(P102),ISNUMBER(P103),ISNUMBER(P104))),"n.a.",CHOOSE($D$4,P102,P103,P104))
Cross-sheet references identify the owning schedule. Same-sheet references identify intermediate calculations.</x:t>
        </x:r>
      </x:text>
    </x:comment>
    <x:comment ref="Q101" authorId="0">
      <x:text>
        <x:r>
          <x:t>Long-term income tax liabilities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=IF(NOT(CHOOSE($D$4,ISNUMBER(Q102),ISNUMBER(Q103),ISNUMBER(Q104))),"n.a.",CHOOSE($D$4,Q102,Q103,Q104))
Cross-sheet references identify the owning schedule. Same-sheet references identify intermediate calculations.</x:t>
        </x:r>
      </x:text>
    </x:comment>
    <x:comment ref="R101" authorId="0">
      <x:text>
        <x:r>
          <x:t>Long-term income tax liabilities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=IF(NOT(CHOOSE($D$4,ISNUMBER(R102),ISNUMBER(R103),ISNUMBER(R104))),"n.a.",CHOOSE($D$4,R102,R103,R104))
Cross-sheet references identify the owning schedule. Same-sheet references identify intermediate calculations.</x:t>
        </x:r>
      </x:text>
    </x:comment>
    <x:comment ref="S101" authorId="0">
      <x:text>
        <x:r>
          <x:t>Long-term income tax liabilities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=IF(NOT(CHOOSE($D$4,ISNUMBER(S102),ISNUMBER(S103),ISNUMBER(S104))),"n.a.",CHOOSE($D$4,S102,S103,S104))
Cross-sheet references identify the owning schedule. Same-sheet references identify intermediate calculations.</x:t>
        </x:r>
      </x:text>
    </x:comment>
    <x:comment ref="C102"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02" authorId="0">
      <x:text>
        <x:r>
          <x:t>Long-term income tax liabilities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02" authorId="0">
      <x:text>
        <x:r>
          <x:t>Long-term income tax liabilities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02" authorId="0">
      <x:text>
        <x:r>
          <x:t>Long-term income tax liabilities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02" authorId="0">
      <x:text>
        <x:r>
          <x:t>Long-term income tax liabilities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02" authorId="0">
      <x:text>
        <x:r>
          <x:t>Long-term income tax liabilities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03"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03" authorId="0">
      <x:text>
        <x:r>
          <x:t>Long-term income tax liabilities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03" authorId="0">
      <x:text>
        <x:r>
          <x:t>Long-term income tax liabilities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03" authorId="0">
      <x:text>
        <x:r>
          <x:t>Long-term income tax liabilities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03" authorId="0">
      <x:text>
        <x:r>
          <x:t>Long-term income tax liabilities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03" authorId="0">
      <x:text>
        <x:r>
          <x:t>Long-term income tax liabilities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04"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04" authorId="0">
      <x:text>
        <x:r>
          <x:t>Long-term income tax liabilities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04" authorId="0">
      <x:text>
        <x:r>
          <x:t>Long-term income tax liabilities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04" authorId="0">
      <x:text>
        <x:r>
          <x:t>Long-term income tax liabilities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04" authorId="0">
      <x:text>
        <x:r>
          <x:t>Long-term income tax liabilities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04" authorId="0">
      <x:text>
        <x:r>
          <x:t>Long-term income tax liabilities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05" authorId="0">
      <x:text>
        <x:r>
          <x:t>Ratio of the two measures named in the row label for the same fiscal year. Read the formula below for the exact numerator, denominator and sign treatment. Percentage or multiple formatting does not change the underlying value.</x:t>
        </x:r>
      </x:text>
    </x:comment>
    <x:comment ref="E105" authorId="0">
      <x:text>
        <x:r>
          <x:t>Long-term unearned revenue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Sheet'!E36/'Income Statement'!E8
Cross-sheet references identify the owning schedule. Same-sheet references identify intermediate calculations.</x:t>
        </x:r>
      </x:text>
    </x:comment>
    <x:comment ref="F105" authorId="0">
      <x:text>
        <x:r>
          <x:t>Long-term unearned revenue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Sheet'!F36/'Income Statement'!F8
Cross-sheet references identify the owning schedule. Same-sheet references identify intermediate calculations.</x:t>
        </x:r>
      </x:text>
    </x:comment>
    <x:comment ref="G105" authorId="0">
      <x:text>
        <x:r>
          <x:t>Long-term unearned revenue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Sheet'!G36/'Income Statement'!G8
Cross-sheet references identify the owning schedule. Same-sheet references identify intermediate calculations.</x:t>
        </x:r>
      </x:text>
    </x:comment>
    <x:comment ref="H105" authorId="0">
      <x:text>
        <x:r>
          <x:t>Long-term unearned revenue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Sheet'!H36/'Income Statement'!H8
Cross-sheet references identify the owning schedule. Same-sheet references identify intermediate calculations.</x:t>
        </x:r>
      </x:text>
    </x:comment>
    <x:comment ref="I105" authorId="0">
      <x:text>
        <x:r>
          <x:t>Long-term unearned revenue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Sheet'!I36/'Income Statement'!I8
Cross-sheet references identify the owning schedule. Same-sheet references identify intermediate calculations.</x:t>
        </x:r>
      </x:text>
    </x:comment>
    <x:comment ref="J105" authorId="0">
      <x:text>
        <x:r>
          <x:t>Long-term unearned revenue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Sheet'!J36/'Income Statement'!J8
Cross-sheet references identify the owning schedule. Same-sheet references identify intermediate calculations.</x:t>
        </x:r>
      </x:text>
    </x:comment>
    <x:comment ref="K105" authorId="0">
      <x:text>
        <x:r>
          <x:t>Long-term unearned revenue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Sheet'!K36/'Income Statement'!K8
Cross-sheet references identify the owning schedule. Same-sheet references identify intermediate calculations.</x:t>
        </x:r>
      </x:text>
    </x:comment>
    <x:comment ref="L105" authorId="0">
      <x:text>
        <x:r>
          <x:t>Long-term unearned revenue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Sheet'!L36/'Income Statement'!L8
Cross-sheet references identify the owning schedule. Same-sheet references identify intermediate calculations.</x:t>
        </x:r>
      </x:text>
    </x:comment>
    <x:comment ref="M105" authorId="0">
      <x:text>
        <x:r>
          <x:t>Long-term unearned revenue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Sheet'!M36/'Income Statement'!M8
Cross-sheet references identify the owning schedule. Same-sheet references identify intermediate calculations.</x:t>
        </x:r>
      </x:text>
    </x:comment>
    <x:comment ref="N105" authorId="0">
      <x:text>
        <x:r>
          <x:t>Long-term unearned revenue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Sheet'!N36/'Income Statement'!N8
Cross-sheet references identify the owning schedule. Same-sheet references identify intermediate calculations.</x:t>
        </x:r>
      </x:text>
    </x:comment>
    <x:comment ref="O105" authorId="0">
      <x:text>
        <x:r>
          <x:t>Long-term unearned revenue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=IF(NOT(CHOOSE($D$4,ISNUMBER(O106),ISNUMBER(O107),ISNUMBER(O108))),"n.a.",CHOOSE($D$4,O106,O107,O108))
Cross-sheet references identify the owning schedule. Same-sheet references identify intermediate calculations.</x:t>
        </x:r>
      </x:text>
    </x:comment>
    <x:comment ref="P105" authorId="0">
      <x:text>
        <x:r>
          <x:t>Long-term unearned revenue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=IF(NOT(CHOOSE($D$4,ISNUMBER(P106),ISNUMBER(P107),ISNUMBER(P108))),"n.a.",CHOOSE($D$4,P106,P107,P108))
Cross-sheet references identify the owning schedule. Same-sheet references identify intermediate calculations.</x:t>
        </x:r>
      </x:text>
    </x:comment>
    <x:comment ref="Q105" authorId="0">
      <x:text>
        <x:r>
          <x:t>Long-term unearned revenue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=IF(NOT(CHOOSE($D$4,ISNUMBER(Q106),ISNUMBER(Q107),ISNUMBER(Q108))),"n.a.",CHOOSE($D$4,Q106,Q107,Q108))
Cross-sheet references identify the owning schedule. Same-sheet references identify intermediate calculations.</x:t>
        </x:r>
      </x:text>
    </x:comment>
    <x:comment ref="R105" authorId="0">
      <x:text>
        <x:r>
          <x:t>Long-term unearned revenue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=IF(NOT(CHOOSE($D$4,ISNUMBER(R106),ISNUMBER(R107),ISNUMBER(R108))),"n.a.",CHOOSE($D$4,R106,R107,R108))
Cross-sheet references identify the owning schedule. Same-sheet references identify intermediate calculations.</x:t>
        </x:r>
      </x:text>
    </x:comment>
    <x:comment ref="S105" authorId="0">
      <x:text>
        <x:r>
          <x:t>Long-term unearned revenue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=IF(NOT(CHOOSE($D$4,ISNUMBER(S106),ISNUMBER(S107),ISNUMBER(S108))),"n.a.",CHOOSE($D$4,S106,S107,S108))
Cross-sheet references identify the owning schedule. Same-sheet references identify intermediate calculations.</x:t>
        </x:r>
      </x:text>
    </x:comment>
    <x:comment ref="C106"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06" authorId="0">
      <x:text>
        <x:r>
          <x:t>Long-term unearned revenue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06" authorId="0">
      <x:text>
        <x:r>
          <x:t>Long-term unearned revenue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06" authorId="0">
      <x:text>
        <x:r>
          <x:t>Long-term unearned revenue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06" authorId="0">
      <x:text>
        <x:r>
          <x:t>Long-term unearned revenue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06" authorId="0">
      <x:text>
        <x:r>
          <x:t>Long-term unearned revenue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07"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07" authorId="0">
      <x:text>
        <x:r>
          <x:t>Long-term unearned revenue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07" authorId="0">
      <x:text>
        <x:r>
          <x:t>Long-term unearned revenue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07" authorId="0">
      <x:text>
        <x:r>
          <x:t>Long-term unearned revenue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07" authorId="0">
      <x:text>
        <x:r>
          <x:t>Long-term unearned revenue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07" authorId="0">
      <x:text>
        <x:r>
          <x:t>Long-term unearned revenue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08"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08" authorId="0">
      <x:text>
        <x:r>
          <x:t>Long-term unearned revenue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08" authorId="0">
      <x:text>
        <x:r>
          <x:t>Long-term unearned revenue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08" authorId="0">
      <x:text>
        <x:r>
          <x:t>Long-term unearned revenue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08" authorId="0">
      <x:text>
        <x:r>
          <x:t>Long-term unearned revenue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08" authorId="0">
      <x:text>
        <x:r>
          <x:t>Long-term unearned revenue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09" authorId="0">
      <x:text>
        <x:r>
          <x:t>Ratio of the two measures named in the row label for the same fiscal year. Read the formula below for the exact numerator, denominator and sign treatment. Percentage or multiple formatting does not change the underlying value.</x:t>
        </x:r>
      </x:text>
    </x:comment>
    <x:comment ref="N109" authorId="0">
      <x:text>
        <x:r>
          <x:t>Other long-term liabilities excluding finance leases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='Working Capital'!N28/'Income Statement'!N8
Cross-sheet references identify the owning schedule. Same-sheet references identify intermediate calculations.</x:t>
        </x:r>
      </x:text>
    </x:comment>
    <x:comment ref="O109" authorId="0">
      <x:text>
        <x:r>
          <x:t>Other long-term liabilities excluding finance leases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=IF(NOT(CHOOSE($D$4,ISNUMBER(O110),ISNUMBER(O111),ISNUMBER(O112))),"n.a.",CHOOSE($D$4,O110,O111,O112))
Cross-sheet references identify the owning schedule. Same-sheet references identify intermediate calculations.</x:t>
        </x:r>
      </x:text>
    </x:comment>
    <x:comment ref="P109" authorId="0">
      <x:text>
        <x:r>
          <x:t>Other long-term liabilities excluding finance leases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=IF(NOT(CHOOSE($D$4,ISNUMBER(P110),ISNUMBER(P111),ISNUMBER(P112))),"n.a.",CHOOSE($D$4,P110,P111,P112))
Cross-sheet references identify the owning schedule. Same-sheet references identify intermediate calculations.</x:t>
        </x:r>
      </x:text>
    </x:comment>
    <x:comment ref="Q109" authorId="0">
      <x:text>
        <x:r>
          <x:t>Other long-term liabilities excluding finance leases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=IF(NOT(CHOOSE($D$4,ISNUMBER(Q110),ISNUMBER(Q111),ISNUMBER(Q112))),"n.a.",CHOOSE($D$4,Q110,Q111,Q112))
Cross-sheet references identify the owning schedule. Same-sheet references identify intermediate calculations.</x:t>
        </x:r>
      </x:text>
    </x:comment>
    <x:comment ref="R109" authorId="0">
      <x:text>
        <x:r>
          <x:t>Other long-term liabilities excluding finance leases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=IF(NOT(CHOOSE($D$4,ISNUMBER(R110),ISNUMBER(R111),ISNUMBER(R112))),"n.a.",CHOOSE($D$4,R110,R111,R112))
Cross-sheet references identify the owning schedule. Same-sheet references identify intermediate calculations.</x:t>
        </x:r>
      </x:text>
    </x:comment>
    <x:comment ref="S109" authorId="0">
      <x:text>
        <x:r>
          <x:t>Other long-term liabilities excluding finance leases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=IF(NOT(CHOOSE($D$4,ISNUMBER(S110),ISNUMBER(S111),ISNUMBER(S112))),"n.a.",CHOOSE($D$4,S110,S111,S112))
Cross-sheet references identify the owning schedule. Same-sheet references identify intermediate calculations.</x:t>
        </x:r>
      </x:text>
    </x:comment>
    <x:comment ref="C110"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10" authorId="0">
      <x:text>
        <x:r>
          <x:t>Other long-term liabilities excluding finance leases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10" authorId="0">
      <x:text>
        <x:r>
          <x:t>Other long-term liabilities excluding finance leases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10" authorId="0">
      <x:text>
        <x:r>
          <x:t>Other long-term liabilities excluding finance leases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10" authorId="0">
      <x:text>
        <x:r>
          <x:t>Other long-term liabilities excluding finance leases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10" authorId="0">
      <x:text>
        <x:r>
          <x:t>Other long-term liabilities excluding finance leases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11"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11" authorId="0">
      <x:text>
        <x:r>
          <x:t>Other long-term liabilities excluding finance leases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11" authorId="0">
      <x:text>
        <x:r>
          <x:t>Other long-term liabilities excluding finance leases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11" authorId="0">
      <x:text>
        <x:r>
          <x:t>Other long-term liabilities excluding finance leases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11" authorId="0">
      <x:text>
        <x:r>
          <x:t>Other long-term liabilities excluding finance leases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11" authorId="0">
      <x:text>
        <x:r>
          <x:t>Other long-term liabilities excluding finance leases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12"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12" authorId="0">
      <x:text>
        <x:r>
          <x:t>Other long-term liabilities excluding finance leases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12" authorId="0">
      <x:text>
        <x:r>
          <x:t>Other long-term liabilities excluding finance leases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12" authorId="0">
      <x:text>
        <x:r>
          <x:t>Other long-term liabilities excluding finance leases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12" authorId="0">
      <x:text>
        <x:r>
          <x:t>Other long-term liabilities excluding finance leases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12" authorId="0">
      <x:text>
        <x:r>
          <x:t>Other long-term liabilities excluding finance leases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13" authorId="0">
      <x:text>
        <x:r>
          <x:t>Ratio of the two measures named in the row label for the same fiscal year. Read the formula below for the exact numerator, denominator and sign treatment. Percentage or multiple formatting does not change the underlying value.</x:t>
        </x:r>
      </x:text>
    </x:comment>
    <x:comment ref="E113" authorId="0">
      <x:text>
        <x:r>
          <x:t>Deferred tax liabilities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Sheet'!E37/'Income Statement'!E8
Cross-sheet references identify the owning schedule. Same-sheet references identify intermediate calculations.</x:t>
        </x:r>
      </x:text>
    </x:comment>
    <x:comment ref="F113" authorId="0">
      <x:text>
        <x:r>
          <x:t>Deferred tax liabilities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Sheet'!F37/'Income Statement'!F8
Cross-sheet references identify the owning schedule. Same-sheet references identify intermediate calculations.</x:t>
        </x:r>
      </x:text>
    </x:comment>
    <x:comment ref="G113" authorId="0">
      <x:text>
        <x:r>
          <x:t>Deferred tax liabilities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Sheet'!G37/'Income Statement'!G8
Cross-sheet references identify the owning schedule. Same-sheet references identify intermediate calculations.</x:t>
        </x:r>
      </x:text>
    </x:comment>
    <x:comment ref="H113" authorId="0">
      <x:text>
        <x:r>
          <x:t>Deferred tax liabilities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Sheet'!H37/'Income Statement'!H8
Cross-sheet references identify the owning schedule. Same-sheet references identify intermediate calculations.</x:t>
        </x:r>
      </x:text>
    </x:comment>
    <x:comment ref="I113" authorId="0">
      <x:text>
        <x:r>
          <x:t>Deferred tax liabilities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Sheet'!I37/'Income Statement'!I8
Cross-sheet references identify the owning schedule. Same-sheet references identify intermediate calculations.</x:t>
        </x:r>
      </x:text>
    </x:comment>
    <x:comment ref="J113" authorId="0">
      <x:text>
        <x:r>
          <x:t>Deferred tax liabilities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Sheet'!J37/'Income Statement'!J8
Cross-sheet references identify the owning schedule. Same-sheet references identify intermediate calculations.</x:t>
        </x:r>
      </x:text>
    </x:comment>
    <x:comment ref="K113" authorId="0">
      <x:text>
        <x:r>
          <x:t>Deferred tax liabilities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Sheet'!K37/'Income Statement'!K8
Cross-sheet references identify the owning schedule. Same-sheet references identify intermediate calculations.</x:t>
        </x:r>
      </x:text>
    </x:comment>
    <x:comment ref="L113" authorId="0">
      <x:text>
        <x:r>
          <x:t>Deferred tax liabilities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Sheet'!L37/'Income Statement'!L8
Cross-sheet references identify the owning schedule. Same-sheet references identify intermediate calculations.</x:t>
        </x:r>
      </x:text>
    </x:comment>
    <x:comment ref="M113" authorId="0">
      <x:text>
        <x:r>
          <x:t>Deferred tax liabilities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Sheet'!M37/'Income Statement'!M8
Cross-sheet references identify the owning schedule. Same-sheet references identify intermediate calculations.</x:t>
        </x:r>
      </x:text>
    </x:comment>
    <x:comment ref="N113" authorId="0">
      <x:text>
        <x:r>
          <x:t>Deferred tax liabilities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='Balance Sheet'!N37/'Income Statement'!N8
Cross-sheet references identify the owning schedule. Same-sheet references identify intermediate calculations.</x:t>
        </x:r>
      </x:text>
    </x:comment>
    <x:comment ref="O113" authorId="0">
      <x:text>
        <x:r>
          <x:t>Deferred tax liabilities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=IF(NOT(CHOOSE($D$4,ISNUMBER(O114),ISNUMBER(O115),ISNUMBER(O116))),"n.a.",CHOOSE($D$4,O114,O115,O116))
Cross-sheet references identify the owning schedule. Same-sheet references identify intermediate calculations.</x:t>
        </x:r>
      </x:text>
    </x:comment>
    <x:comment ref="P113" authorId="0">
      <x:text>
        <x:r>
          <x:t>Deferred tax liabilities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=IF(NOT(CHOOSE($D$4,ISNUMBER(P114),ISNUMBER(P115),ISNUMBER(P116))),"n.a.",CHOOSE($D$4,P114,P115,P116))
Cross-sheet references identify the owning schedule. Same-sheet references identify intermediate calculations.</x:t>
        </x:r>
      </x:text>
    </x:comment>
    <x:comment ref="Q113" authorId="0">
      <x:text>
        <x:r>
          <x:t>Deferred tax liabilities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=IF(NOT(CHOOSE($D$4,ISNUMBER(Q114),ISNUMBER(Q115),ISNUMBER(Q116))),"n.a.",CHOOSE($D$4,Q114,Q115,Q116))
Cross-sheet references identify the owning schedule. Same-sheet references identify intermediate calculations.</x:t>
        </x:r>
      </x:text>
    </x:comment>
    <x:comment ref="R113" authorId="0">
      <x:text>
        <x:r>
          <x:t>Deferred tax liabilities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=IF(NOT(CHOOSE($D$4,ISNUMBER(R114),ISNUMBER(R115),ISNUMBER(R116))),"n.a.",CHOOSE($D$4,R114,R115,R116))
Cross-sheet references identify the owning schedule. Same-sheet references identify intermediate calculations.</x:t>
        </x:r>
      </x:text>
    </x:comment>
    <x:comment ref="S113" authorId="0">
      <x:text>
        <x:r>
          <x:t>Deferred tax liabilities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=IF(NOT(CHOOSE($D$4,ISNUMBER(S114),ISNUMBER(S115),ISNUMBER(S116))),"n.a.",CHOOSE($D$4,S114,S115,S116))
Cross-sheet references identify the owning schedule. Same-sheet references identify intermediate calculations.</x:t>
        </x:r>
      </x:text>
    </x:comment>
    <x:comment ref="C114"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14" authorId="0">
      <x:text>
        <x:r>
          <x:t>Deferred tax liabilities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14" authorId="0">
      <x:text>
        <x:r>
          <x:t>Deferred tax liabilities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14" authorId="0">
      <x:text>
        <x:r>
          <x:t>Deferred tax liabilities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14" authorId="0">
      <x:text>
        <x:r>
          <x:t>Deferred tax liabilities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14" authorId="0">
      <x:text>
        <x:r>
          <x:t>Deferred tax liabilities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15"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15" authorId="0">
      <x:text>
        <x:r>
          <x:t>Deferred tax liabilities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15" authorId="0">
      <x:text>
        <x:r>
          <x:t>Deferred tax liabilities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15" authorId="0">
      <x:text>
        <x:r>
          <x:t>Deferred tax liabilities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15" authorId="0">
      <x:text>
        <x:r>
          <x:t>Deferred tax liabilities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15" authorId="0">
      <x:text>
        <x:r>
          <x:t>Deferred tax liabilities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16"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16" authorId="0">
      <x:text>
        <x:r>
          <x:t>Deferred tax liabilities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16" authorId="0">
      <x:text>
        <x:r>
          <x:t>Deferred tax liabilities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16" authorId="0">
      <x:text>
        <x:r>
          <x:t>Deferred tax liabilities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16" authorId="0">
      <x:text>
        <x:r>
          <x:t>Deferred tax liabilities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16" authorId="0">
      <x:text>
        <x:r>
          <x:t>Deferred tax liabilities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17" authorId="0">
      <x:text>
        <x:r>
          <x:t>Cash balance or signed cash flow as named in the row. Positive cash-flow amounts are inflows and negative amounts are outflows. Follow the formula or source reference below for the classification.</x:t>
        </x:r>
      </x:text>
    </x:comment>
    <x:comment ref="O117" authorId="0">
      <x:text>
        <x:r>
          <x:t>Minimum cash balance (FY:27 E).
Cash balance or signed cash flow as named in the row. Positive cash-flow amounts are inflows and negative amounts are outflows. Follow the formula or source reference below for the classification. The active forecast row selects the case input below it and feeds the operating model.
Formula: =IF(NOT(CHOOSE($D$4,ISNUMBER(O118),ISNUMBER(O119),ISNUMBER(O120))),"n.a.",CHOOSE($D$4,O118,O119,O120))
Cross-sheet references identify the owning schedule. Same-sheet references identify intermediate calculations.</x:t>
        </x:r>
      </x:text>
    </x:comment>
    <x:comment ref="P117" authorId="0">
      <x:text>
        <x:r>
          <x:t>Minimum cash balance (FY:28 E).
Cash balance or signed cash flow as named in the row. Positive cash-flow amounts are inflows and negative amounts are outflows. Follow the formula or source reference below for the classification. The active forecast row selects the case input below it and feeds the operating model.
Formula: =IF(NOT(CHOOSE($D$4,ISNUMBER(P118),ISNUMBER(P119),ISNUMBER(P120))),"n.a.",CHOOSE($D$4,P118,P119,P120))
Cross-sheet references identify the owning schedule. Same-sheet references identify intermediate calculations.</x:t>
        </x:r>
      </x:text>
    </x:comment>
    <x:comment ref="Q117" authorId="0">
      <x:text>
        <x:r>
          <x:t>Minimum cash balance (FY:29 E).
Cash balance or signed cash flow as named in the row. Positive cash-flow amounts are inflows and negative amounts are outflows. Follow the formula or source reference below for the classification. The active forecast row selects the case input below it and feeds the operating model.
Formula: =IF(NOT(CHOOSE($D$4,ISNUMBER(Q118),ISNUMBER(Q119),ISNUMBER(Q120))),"n.a.",CHOOSE($D$4,Q118,Q119,Q120))
Cross-sheet references identify the owning schedule. Same-sheet references identify intermediate calculations.</x:t>
        </x:r>
      </x:text>
    </x:comment>
    <x:comment ref="R117" authorId="0">
      <x:text>
        <x:r>
          <x:t>Minimum cash balance (FY:30 E).
Cash balance or signed cash flow as named in the row. Positive cash-flow amounts are inflows and negative amounts are outflows. Follow the formula or source reference below for the classification. The active forecast row selects the case input below it and feeds the operating model.
Formula: =IF(NOT(CHOOSE($D$4,ISNUMBER(R118),ISNUMBER(R119),ISNUMBER(R120))),"n.a.",CHOOSE($D$4,R118,R119,R120))
Cross-sheet references identify the owning schedule. Same-sheet references identify intermediate calculations.</x:t>
        </x:r>
      </x:text>
    </x:comment>
    <x:comment ref="S117" authorId="0">
      <x:text>
        <x:r>
          <x:t>Minimum cash balance (FY:31 E).
Cash balance or signed cash flow as named in the row. Positive cash-flow amounts are inflows and negative amounts are outflows. Follow the formula or source reference below for the classification. The active forecast row selects the case input below it and feeds the operating model.
Formula: =IF(NOT(CHOOSE($D$4,ISNUMBER(S118),ISNUMBER(S119),ISNUMBER(S120))),"n.a.",CHOOSE($D$4,S118,S119,S120))
Cross-sheet references identify the owning schedule. Same-sheet references identify intermediate calculations.</x:t>
        </x:r>
      </x:text>
    </x:comment>
    <x:comment ref="C118" authorId="0">
      <x:text>
        <x:r>
          <x:t>Cash balance or signed cash flow as named in the row. Positive cash-flow amounts are inflows and negative amounts are outflows. Follow the formula or source reference below for the classification. This is the editable Base case input.</x:t>
        </x:r>
      </x:text>
    </x:comment>
    <x:comment ref="O118" authorId="0">
      <x:text>
        <x:r>
          <x:t>Minimum cash balance (FY:27 E).
Cash balance or signed cash flow as named in the row. Positive cash-flow amounts are inflows and negative amounts are outflows. Follow the formula or source reference below for the classification. Editable Base scenario input.
Stored input or primary source observation. It is not calculated in this cell.</x:t>
        </x:r>
      </x:text>
    </x:comment>
    <x:comment ref="P118" authorId="0">
      <x:text>
        <x:r>
          <x:t>Minimum cash balance (FY:28 E).
Cash balance or signed cash flow as named in the row. Positive cash-flow amounts are inflows and negative amounts are outflows. Follow the formula or source reference below for the classification. Editable Base scenario input.
Stored input or primary source observation. It is not calculated in this cell.</x:t>
        </x:r>
      </x:text>
    </x:comment>
    <x:comment ref="Q118" authorId="0">
      <x:text>
        <x:r>
          <x:t>Minimum cash balance (FY:29 E).
Cash balance or signed cash flow as named in the row. Positive cash-flow amounts are inflows and negative amounts are outflows. Follow the formula or source reference below for the classification. Editable Base scenario input.
Stored input or primary source observation. It is not calculated in this cell.</x:t>
        </x:r>
      </x:text>
    </x:comment>
    <x:comment ref="R118" authorId="0">
      <x:text>
        <x:r>
          <x:t>Minimum cash balance (FY:30 E).
Cash balance or signed cash flow as named in the row. Positive cash-flow amounts are inflows and negative amounts are outflows. Follow the formula or source reference below for the classification. Editable Base scenario input.
Stored input or primary source observation. It is not calculated in this cell.</x:t>
        </x:r>
      </x:text>
    </x:comment>
    <x:comment ref="S118" authorId="0">
      <x:text>
        <x:r>
          <x:t>Minimum cash balance (FY:31 E).
Cash balance or signed cash flow as named in the row. Positive cash-flow amounts are inflows and negative amounts are outflows. Follow the formula or source reference below for the classification. Editable Base scenario input.
Stored input or primary source observation. It is not calculated in this cell.</x:t>
        </x:r>
      </x:text>
    </x:comment>
    <x:comment ref="C119" authorId="0">
      <x:text>
        <x:r>
          <x:t>Cash balance or signed cash flow as named in the row. Positive cash-flow amounts are inflows and negative amounts are outflows. Follow the formula or source reference below for the classification. This is the editable Upside case input.</x:t>
        </x:r>
      </x:text>
    </x:comment>
    <x:comment ref="O119" authorId="0">
      <x:text>
        <x:r>
          <x:t>Minimum cash balance (FY:27 E).
Cash balance or signed cash flow as named in the row. Positive cash-flow amounts are inflows and negative amounts are outflows. Follow the formula or source reference below for the classification. Editable Upside scenario input.
Stored input or primary source observation. It is not calculated in this cell.</x:t>
        </x:r>
      </x:text>
    </x:comment>
    <x:comment ref="P119" authorId="0">
      <x:text>
        <x:r>
          <x:t>Minimum cash balance (FY:28 E).
Cash balance or signed cash flow as named in the row. Positive cash-flow amounts are inflows and negative amounts are outflows. Follow the formula or source reference below for the classification. Editable Upside scenario input.
Stored input or primary source observation. It is not calculated in this cell.</x:t>
        </x:r>
      </x:text>
    </x:comment>
    <x:comment ref="Q119" authorId="0">
      <x:text>
        <x:r>
          <x:t>Minimum cash balance (FY:29 E).
Cash balance or signed cash flow as named in the row. Positive cash-flow amounts are inflows and negative amounts are outflows. Follow the formula or source reference below for the classification. Editable Upside scenario input.
Stored input or primary source observation. It is not calculated in this cell.</x:t>
        </x:r>
      </x:text>
    </x:comment>
    <x:comment ref="R119" authorId="0">
      <x:text>
        <x:r>
          <x:t>Minimum cash balance (FY:30 E).
Cash balance or signed cash flow as named in the row. Positive cash-flow amounts are inflows and negative amounts are outflows. Follow the formula or source reference below for the classification. Editable Upside scenario input.
Stored input or primary source observation. It is not calculated in this cell.</x:t>
        </x:r>
      </x:text>
    </x:comment>
    <x:comment ref="S119" authorId="0">
      <x:text>
        <x:r>
          <x:t>Minimum cash balance (FY:31 E).
Cash balance or signed cash flow as named in the row. Positive cash-flow amounts are inflows and negative amounts are outflows. Follow the formula or source reference below for the classification. Editable Upside scenario input.
Stored input or primary source observation. It is not calculated in this cell.</x:t>
        </x:r>
      </x:text>
    </x:comment>
    <x:comment ref="C120" authorId="0">
      <x:text>
        <x:r>
          <x:t>Cash balance or signed cash flow as named in the row. Positive cash-flow amounts are inflows and negative amounts are outflows. Follow the formula or source reference below for the classification. This is the editable Downside case input.</x:t>
        </x:r>
      </x:text>
    </x:comment>
    <x:comment ref="O120" authorId="0">
      <x:text>
        <x:r>
          <x:t>Minimum cash balance (FY:27 E).
Cash balance or signed cash flow as named in the row. Positive cash-flow amounts are inflows and negative amounts are outflows. Follow the formula or source reference below for the classification. Editable Downside scenario input.
Stored input or primary source observation. It is not calculated in this cell.</x:t>
        </x:r>
      </x:text>
    </x:comment>
    <x:comment ref="P120" authorId="0">
      <x:text>
        <x:r>
          <x:t>Minimum cash balance (FY:28 E).
Cash balance or signed cash flow as named in the row. Positive cash-flow amounts are inflows and negative amounts are outflows. Follow the formula or source reference below for the classification. Editable Downside scenario input.
Stored input or primary source observation. It is not calculated in this cell.</x:t>
        </x:r>
      </x:text>
    </x:comment>
    <x:comment ref="Q120" authorId="0">
      <x:text>
        <x:r>
          <x:t>Minimum cash balance (FY:29 E).
Cash balance or signed cash flow as named in the row. Positive cash-flow amounts are inflows and negative amounts are outflows. Follow the formula or source reference below for the classification. Editable Downside scenario input.
Stored input or primary source observation. It is not calculated in this cell.</x:t>
        </x:r>
      </x:text>
    </x:comment>
    <x:comment ref="R120" authorId="0">
      <x:text>
        <x:r>
          <x:t>Minimum cash balance (FY:30 E).
Cash balance or signed cash flow as named in the row. Positive cash-flow amounts are inflows and negative amounts are outflows. Follow the formula or source reference below for the classification. Editable Downside scenario input.
Stored input or primary source observation. It is not calculated in this cell.</x:t>
        </x:r>
      </x:text>
    </x:comment>
    <x:comment ref="S120" authorId="0">
      <x:text>
        <x:r>
          <x:t>Minimum cash balance (FY:31 E).
Cash balance or signed cash flow as named in the row. Positive cash-flow amounts are inflows and negative amounts are outflows. Follow the formula or source reference below for the classification. Editable Downside scenario input.
Stored input or primary source observation. It is not calculated in this cell.</x:t>
        </x:r>
      </x:text>
    </x:comment>
    <x:comment ref="C121" authorId="0">
      <x:text>
        <x:r>
          <x:t>Minimum short-term investment reserve. This line belongs to the Assumptions calculation. Read its formula to trace the referenced inputs and intermediate totals.</x:t>
        </x:r>
      </x:text>
    </x:comment>
    <x:comment ref="O121" authorId="0">
      <x:text>
        <x:r>
          <x:t>Minimum short-term investment reserve (FY:27 E).
Minimum short-term investment reserve. This line belongs to the Assumptions calculation. Read its formula to trace the referenced inputs and intermediate totals. The active forecast row selects the case input below it and feeds the operating model.
Formula: =IF(NOT(CHOOSE($D$4,ISNUMBER(O122),ISNUMBER(O123),ISNUMBER(O124))),"n.a.",CHOOSE($D$4,O122,O123,O124))
Cross-sheet references identify the owning schedule. Same-sheet references identify intermediate calculations.</x:t>
        </x:r>
      </x:text>
    </x:comment>
    <x:comment ref="P121" authorId="0">
      <x:text>
        <x:r>
          <x:t>Minimum short-term investment reserve (FY:28 E).
Minimum short-term investment reserve. This line belongs to the Assumptions calculation. Read its formula to trace the referenced inputs and intermediate totals. The active forecast row selects the case input below it and feeds the operating model.
Formula: =IF(NOT(CHOOSE($D$4,ISNUMBER(P122),ISNUMBER(P123),ISNUMBER(P124))),"n.a.",CHOOSE($D$4,P122,P123,P124))
Cross-sheet references identify the owning schedule. Same-sheet references identify intermediate calculations.</x:t>
        </x:r>
      </x:text>
    </x:comment>
    <x:comment ref="Q121" authorId="0">
      <x:text>
        <x:r>
          <x:t>Minimum short-term investment reserve (FY:29 E).
Minimum short-term investment reserve. This line belongs to the Assumptions calculation. Read its formula to trace the referenced inputs and intermediate totals. The active forecast row selects the case input below it and feeds the operating model.
Formula: =IF(NOT(CHOOSE($D$4,ISNUMBER(Q122),ISNUMBER(Q123),ISNUMBER(Q124))),"n.a.",CHOOSE($D$4,Q122,Q123,Q124))
Cross-sheet references identify the owning schedule. Same-sheet references identify intermediate calculations.</x:t>
        </x:r>
      </x:text>
    </x:comment>
    <x:comment ref="R121" authorId="0">
      <x:text>
        <x:r>
          <x:t>Minimum short-term investment reserve (FY:30 E).
Minimum short-term investment reserve. This line belongs to the Assumptions calculation. Read its formula to trace the referenced inputs and intermediate totals. The active forecast row selects the case input below it and feeds the operating model.
Formula: =IF(NOT(CHOOSE($D$4,ISNUMBER(R122),ISNUMBER(R123),ISNUMBER(R124))),"n.a.",CHOOSE($D$4,R122,R123,R124))
Cross-sheet references identify the owning schedule. Same-sheet references identify intermediate calculations.</x:t>
        </x:r>
      </x:text>
    </x:comment>
    <x:comment ref="S121" authorId="0">
      <x:text>
        <x:r>
          <x:t>Minimum short-term investment reserve (FY:31 E).
Minimum short-term investment reserve. This line belongs to the Assumptions calculation. Read its formula to trace the referenced inputs and intermediate totals. The active forecast row selects the case input below it and feeds the operating model.
Formula: =IF(NOT(CHOOSE($D$4,ISNUMBER(S122),ISNUMBER(S123),ISNUMBER(S124))),"n.a.",CHOOSE($D$4,S122,S123,S124))
Cross-sheet references identify the owning schedule. Same-sheet references identify intermediate calculations.</x:t>
        </x:r>
      </x:text>
    </x:comment>
    <x:comment ref="C122" authorId="0">
      <x:text>
        <x:r>
          <x:t>Minimum short-term investment reserve. This line belongs to the Assumptions calculation. Read its formula to trace the referenced inputs and intermediate totals. This is the editable Base case input.</x:t>
        </x:r>
      </x:text>
    </x:comment>
    <x:comment ref="O122" authorId="0">
      <x:text>
        <x:r>
          <x:t>Minimum short-term investment reserve (FY:27 E).
Minimum short-term investment reserve. This line belongs to the Assumptions calculation. Read its formula to trace the referenced inputs and intermediate totals. Editable Base scenario input.
Stored input or primary source observation. It is not calculated in this cell.</x:t>
        </x:r>
      </x:text>
    </x:comment>
    <x:comment ref="P122" authorId="0">
      <x:text>
        <x:r>
          <x:t>Minimum short-term investment reserve (FY:28 E).
Minimum short-term investment reserve. This line belongs to the Assumptions calculation. Read its formula to trace the referenced inputs and intermediate totals. Editable Base scenario input.
Stored input or primary source observation. It is not calculated in this cell.</x:t>
        </x:r>
      </x:text>
    </x:comment>
    <x:comment ref="Q122" authorId="0">
      <x:text>
        <x:r>
          <x:t>Minimum short-term investment reserve (FY:29 E).
Minimum short-term investment reserve. This line belongs to the Assumptions calculation. Read its formula to trace the referenced inputs and intermediate totals. Editable Base scenario input.
Stored input or primary source observation. It is not calculated in this cell.</x:t>
        </x:r>
      </x:text>
    </x:comment>
    <x:comment ref="R122" authorId="0">
      <x:text>
        <x:r>
          <x:t>Minimum short-term investment reserve (FY:30 E).
Minimum short-term investment reserve. This line belongs to the Assumptions calculation. Read its formula to trace the referenced inputs and intermediate totals. Editable Base scenario input.
Stored input or primary source observation. It is not calculated in this cell.</x:t>
        </x:r>
      </x:text>
    </x:comment>
    <x:comment ref="S122" authorId="0">
      <x:text>
        <x:r>
          <x:t>Minimum short-term investment reserve (FY:31 E).
Minimum short-term investment reserve. This line belongs to the Assumptions calculation. Read its formula to trace the referenced inputs and intermediate totals. Editable Base scenario input.
Stored input or primary source observation. It is not calculated in this cell.</x:t>
        </x:r>
      </x:text>
    </x:comment>
    <x:comment ref="C123" authorId="0">
      <x:text>
        <x:r>
          <x:t>Minimum short-term investment reserve. This line belongs to the Assumptions calculation. Read its formula to trace the referenced inputs and intermediate totals. This is the editable Upside case input.</x:t>
        </x:r>
      </x:text>
    </x:comment>
    <x:comment ref="O123" authorId="0">
      <x:text>
        <x:r>
          <x:t>Minimum short-term investment reserve (FY:27 E).
Minimum short-term investment reserve. This line belongs to the Assumptions calculation. Read its formula to trace the referenced inputs and intermediate totals. Editable Upside scenario input.
Stored input or primary source observation. It is not calculated in this cell.</x:t>
        </x:r>
      </x:text>
    </x:comment>
    <x:comment ref="P123" authorId="0">
      <x:text>
        <x:r>
          <x:t>Minimum short-term investment reserve (FY:28 E).
Minimum short-term investment reserve. This line belongs to the Assumptions calculation. Read its formula to trace the referenced inputs and intermediate totals. Editable Upside scenario input.
Stored input or primary source observation. It is not calculated in this cell.</x:t>
        </x:r>
      </x:text>
    </x:comment>
    <x:comment ref="Q123" authorId="0">
      <x:text>
        <x:r>
          <x:t>Minimum short-term investment reserve (FY:29 E).
Minimum short-term investment reserve. This line belongs to the Assumptions calculation. Read its formula to trace the referenced inputs and intermediate totals. Editable Upside scenario input.
Stored input or primary source observation. It is not calculated in this cell.</x:t>
        </x:r>
      </x:text>
    </x:comment>
    <x:comment ref="R123" authorId="0">
      <x:text>
        <x:r>
          <x:t>Minimum short-term investment reserve (FY:30 E).
Minimum short-term investment reserve. This line belongs to the Assumptions calculation. Read its formula to trace the referenced inputs and intermediate totals. Editable Upside scenario input.
Stored input or primary source observation. It is not calculated in this cell.</x:t>
        </x:r>
      </x:text>
    </x:comment>
    <x:comment ref="S123" authorId="0">
      <x:text>
        <x:r>
          <x:t>Minimum short-term investment reserve (FY:31 E).
Minimum short-term investment reserve. This line belongs to the Assumptions calculation. Read its formula to trace the referenced inputs and intermediate totals. Editable Upside scenario input.
Stored input or primary source observation. It is not calculated in this cell.</x:t>
        </x:r>
      </x:text>
    </x:comment>
    <x:comment ref="C124" authorId="0">
      <x:text>
        <x:r>
          <x:t>Minimum short-term investment reserve. This line belongs to the Assumptions calculation. Read its formula to trace the referenced inputs and intermediate totals. This is the editable Downside case input.</x:t>
        </x:r>
      </x:text>
    </x:comment>
    <x:comment ref="O124" authorId="0">
      <x:text>
        <x:r>
          <x:t>Minimum short-term investment reserve (FY:27 E).
Minimum short-term investment reserve. This line belongs to the Assumptions calculation. Read its formula to trace the referenced inputs and intermediate totals. Editable Downside scenario input.
Stored input or primary source observation. It is not calculated in this cell.</x:t>
        </x:r>
      </x:text>
    </x:comment>
    <x:comment ref="P124" authorId="0">
      <x:text>
        <x:r>
          <x:t>Minimum short-term investment reserve (FY:28 E).
Minimum short-term investment reserve. This line belongs to the Assumptions calculation. Read its formula to trace the referenced inputs and intermediate totals. Editable Downside scenario input.
Stored input or primary source observation. It is not calculated in this cell.</x:t>
        </x:r>
      </x:text>
    </x:comment>
    <x:comment ref="Q124" authorId="0">
      <x:text>
        <x:r>
          <x:t>Minimum short-term investment reserve (FY:29 E).
Minimum short-term investment reserve. This line belongs to the Assumptions calculation. Read its formula to trace the referenced inputs and intermediate totals. Editable Downside scenario input.
Stored input or primary source observation. It is not calculated in this cell.</x:t>
        </x:r>
      </x:text>
    </x:comment>
    <x:comment ref="R124" authorId="0">
      <x:text>
        <x:r>
          <x:t>Minimum short-term investment reserve (FY:30 E).
Minimum short-term investment reserve. This line belongs to the Assumptions calculation. Read its formula to trace the referenced inputs and intermediate totals. Editable Downside scenario input.
Stored input or primary source observation. It is not calculated in this cell.</x:t>
        </x:r>
      </x:text>
    </x:comment>
    <x:comment ref="S124" authorId="0">
      <x:text>
        <x:r>
          <x:t>Minimum short-term investment reserve (FY:31 E).
Minimum short-term investment reserve. This line belongs to the Assumptions calculation. Read its formula to trace the referenced inputs and intermediate totals. Editable Downside scenario input.
Stored input or primary source observation. It is not calculated in this cell.</x:t>
        </x:r>
      </x:text>
    </x:comment>
    <x:comment ref="C125" authorId="0">
      <x:text>
        <x:r>
          <x:t>Beginning-of-year balance. Forecast periods carry forward the prior closing balance, with FY2026 providing the first forecast opening balance.</x:t>
        </x:r>
      </x:text>
    </x:comment>
    <x:comment ref="O125" authorId="0">
      <x:text>
        <x:r>
          <x:t>Cash coupon rate on opening debt face value (FY:27 E).
Beginning-of-year balance. Forecast periods carry forward the prior closing balance, with FY2026 providing the first forecast opening balance. The active forecast row selects the case input below it and feeds the operating model.
Formula: =IF(NOT(CHOOSE($D$4,ISNUMBER(O126),ISNUMBER(O127),ISNUMBER(O128))),"n.a.",CHOOSE($D$4,O126,O127,O128))
Cross-sheet references identify the owning schedule. Same-sheet references identify intermediate calculations.</x:t>
        </x:r>
      </x:text>
    </x:comment>
    <x:comment ref="P125" authorId="0">
      <x:text>
        <x:r>
          <x:t>Cash coupon rate on opening debt face value (FY:28 E).
Beginning-of-year balance. Forecast periods carry forward the prior closing balance, with FY2026 providing the first forecast opening balance. The active forecast row selects the case input below it and feeds the operating model.
Formula: =IF(NOT(CHOOSE($D$4,ISNUMBER(P126),ISNUMBER(P127),ISNUMBER(P128))),"n.a.",CHOOSE($D$4,P126,P127,P128))
Cross-sheet references identify the owning schedule. Same-sheet references identify intermediate calculations.</x:t>
        </x:r>
      </x:text>
    </x:comment>
    <x:comment ref="Q125" authorId="0">
      <x:text>
        <x:r>
          <x:t>Cash coupon rate on opening debt face value (FY:29 E).
Beginning-of-year balance. Forecast periods carry forward the prior closing balance, with FY2026 providing the first forecast opening balance. The active forecast row selects the case input below it and feeds the operating model.
Formula: =IF(NOT(CHOOSE($D$4,ISNUMBER(Q126),ISNUMBER(Q127),ISNUMBER(Q128))),"n.a.",CHOOSE($D$4,Q126,Q127,Q128))
Cross-sheet references identify the owning schedule. Same-sheet references identify intermediate calculations.</x:t>
        </x:r>
      </x:text>
    </x:comment>
    <x:comment ref="R125" authorId="0">
      <x:text>
        <x:r>
          <x:t>Cash coupon rate on opening debt face value (FY:30 E).
Beginning-of-year balance. Forecast periods carry forward the prior closing balance, with FY2026 providing the first forecast opening balance. The active forecast row selects the case input below it and feeds the operating model.
Formula: =IF(NOT(CHOOSE($D$4,ISNUMBER(R126),ISNUMBER(R127),ISNUMBER(R128))),"n.a.",CHOOSE($D$4,R126,R127,R128))
Cross-sheet references identify the owning schedule. Same-sheet references identify intermediate calculations.</x:t>
        </x:r>
      </x:text>
    </x:comment>
    <x:comment ref="S125" authorId="0">
      <x:text>
        <x:r>
          <x:t>Cash coupon rate on opening debt face value (FY:31 E).
Beginning-of-year balance. Forecast periods carry forward the prior closing balance, with FY2026 providing the first forecast opening balance. The active forecast row selects the case input below it and feeds the operating model.
Formula: =IF(NOT(CHOOSE($D$4,ISNUMBER(S126),ISNUMBER(S127),ISNUMBER(S128))),"n.a.",CHOOSE($D$4,S126,S127,S128))
Cross-sheet references identify the owning schedule. Same-sheet references identify intermediate calculations.</x:t>
        </x:r>
      </x:text>
    </x:comment>
    <x:comment ref="C126" authorId="0">
      <x:text>
        <x:r>
          <x:t>Beginning-of-year balance. Forecast periods carry forward the prior closing balance, with FY2026 providing the first forecast opening balance. This is the editable Base case input.</x:t>
        </x:r>
      </x:text>
    </x:comment>
    <x:comment ref="O126" authorId="0">
      <x:text>
        <x:r>
          <x:t>Cash coupon rate on opening debt face value (FY:27 E).
Beginning-of-year balance. Forecast periods carry forward the prior closing balance, with FY2026 providing the first forecast opening balance. Editable Base scenario input.
Stored input or primary source observation. It is not calculated in this cell.</x:t>
        </x:r>
      </x:text>
    </x:comment>
    <x:comment ref="P126" authorId="0">
      <x:text>
        <x:r>
          <x:t>Cash coupon rate on opening debt face value (FY:28 E).
Beginning-of-year balance. Forecast periods carry forward the prior closing balance, with FY2026 providing the first forecast opening balance. Editable Base scenario input.
Stored input or primary source observation. It is not calculated in this cell.</x:t>
        </x:r>
      </x:text>
    </x:comment>
    <x:comment ref="Q126" authorId="0">
      <x:text>
        <x:r>
          <x:t>Cash coupon rate on opening debt face value (FY:29 E).
Beginning-of-year balance. Forecast periods carry forward the prior closing balance, with FY2026 providing the first forecast opening balance. Editable Base scenario input.
Stored input or primary source observation. It is not calculated in this cell.</x:t>
        </x:r>
      </x:text>
    </x:comment>
    <x:comment ref="R126" authorId="0">
      <x:text>
        <x:r>
          <x:t>Cash coupon rate on opening debt face value (FY:30 E).
Beginning-of-year balance. Forecast periods carry forward the prior closing balance, with FY2026 providing the first forecast opening balance. Editable Base scenario input.
Stored input or primary source observation. It is not calculated in this cell.</x:t>
        </x:r>
      </x:text>
    </x:comment>
    <x:comment ref="S126" authorId="0">
      <x:text>
        <x:r>
          <x:t>Cash coupon rate on opening debt face value (FY:31 E).
Beginning-of-year balance. Forecast periods carry forward the prior closing balance, with FY2026 providing the first forecast opening balance. Editable Base scenario input.
Stored input or primary source observation. It is not calculated in this cell.</x:t>
        </x:r>
      </x:text>
    </x:comment>
    <x:comment ref="C127" authorId="0">
      <x:text>
        <x:r>
          <x:t>Beginning-of-year balance. Forecast periods carry forward the prior closing balance, with FY2026 providing the first forecast opening balance. This is the editable Upside case input.</x:t>
        </x:r>
      </x:text>
    </x:comment>
    <x:comment ref="O127" authorId="0">
      <x:text>
        <x:r>
          <x:t>Cash coupon rate on opening debt face value (FY:27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P127" authorId="0">
      <x:text>
        <x:r>
          <x:t>Cash coupon rate on opening debt face value (FY:28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Q127" authorId="0">
      <x:text>
        <x:r>
          <x:t>Cash coupon rate on opening debt face value (FY:29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R127" authorId="0">
      <x:text>
        <x:r>
          <x:t>Cash coupon rate on opening debt face value (FY:30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S127" authorId="0">
      <x:text>
        <x:r>
          <x:t>Cash coupon rate on opening debt face value (FY:31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C128" authorId="0">
      <x:text>
        <x:r>
          <x:t>Beginning-of-year balance. Forecast periods carry forward the prior closing balance, with FY2026 providing the first forecast opening balance. This is the editable Downside case input.</x:t>
        </x:r>
      </x:text>
    </x:comment>
    <x:comment ref="O128" authorId="0">
      <x:text>
        <x:r>
          <x:t>Cash coupon rate on opening debt face value (FY:27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P128" authorId="0">
      <x:text>
        <x:r>
          <x:t>Cash coupon rate on opening debt face value (FY:28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Q128" authorId="0">
      <x:text>
        <x:r>
          <x:t>Cash coupon rate on opening debt face value (FY:29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R128" authorId="0">
      <x:text>
        <x:r>
          <x:t>Cash coupon rate on opening debt face value (FY:30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S128" authorId="0">
      <x:text>
        <x:r>
          <x:t>Cash coupon rate on opening debt face value (FY:31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C129" authorId="0">
      <x:text>
        <x:r>
          <x:t>Beginning-of-year balance. Forecast periods carry forward the prior closing balance, with FY2026 providing the first forecast opening balance.</x:t>
        </x:r>
      </x:text>
    </x:comment>
    <x:comment ref="O129" authorId="0">
      <x:text>
        <x:r>
          <x:t>Yield on opening cash and short-term investments (FY:27 E).
Beginning-of-year balance. Forecast periods carry forward the prior closing balance, with FY2026 providing the first forecast opening balance. The active forecast row selects the case input below it and feeds the operating model.
Formula: =IF(NOT(CHOOSE($D$4,ISNUMBER(O130),ISNUMBER(O131),ISNUMBER(O132))),"n.a.",CHOOSE($D$4,O130,O131,O132))
Cross-sheet references identify the owning schedule. Same-sheet references identify intermediate calculations.</x:t>
        </x:r>
      </x:text>
    </x:comment>
    <x:comment ref="P129" authorId="0">
      <x:text>
        <x:r>
          <x:t>Yield on opening cash and short-term investments (FY:28 E).
Beginning-of-year balance. Forecast periods carry forward the prior closing balance, with FY2026 providing the first forecast opening balance. The active forecast row selects the case input below it and feeds the operating model.
Formula: =IF(NOT(CHOOSE($D$4,ISNUMBER(P130),ISNUMBER(P131),ISNUMBER(P132))),"n.a.",CHOOSE($D$4,P130,P131,P132))
Cross-sheet references identify the owning schedule. Same-sheet references identify intermediate calculations.</x:t>
        </x:r>
      </x:text>
    </x:comment>
    <x:comment ref="Q129" authorId="0">
      <x:text>
        <x:r>
          <x:t>Yield on opening cash and short-term investments (FY:29 E).
Beginning-of-year balance. Forecast periods carry forward the prior closing balance, with FY2026 providing the first forecast opening balance. The active forecast row selects the case input below it and feeds the operating model.
Formula: =IF(NOT(CHOOSE($D$4,ISNUMBER(Q130),ISNUMBER(Q131),ISNUMBER(Q132))),"n.a.",CHOOSE($D$4,Q130,Q131,Q132))
Cross-sheet references identify the owning schedule. Same-sheet references identify intermediate calculations.</x:t>
        </x:r>
      </x:text>
    </x:comment>
    <x:comment ref="R129" authorId="0">
      <x:text>
        <x:r>
          <x:t>Yield on opening cash and short-term investments (FY:30 E).
Beginning-of-year balance. Forecast periods carry forward the prior closing balance, with FY2026 providing the first forecast opening balance. The active forecast row selects the case input below it and feeds the operating model.
Formula: =IF(NOT(CHOOSE($D$4,ISNUMBER(R130),ISNUMBER(R131),ISNUMBER(R132))),"n.a.",CHOOSE($D$4,R130,R131,R132))
Cross-sheet references identify the owning schedule. Same-sheet references identify intermediate calculations.</x:t>
        </x:r>
      </x:text>
    </x:comment>
    <x:comment ref="S129" authorId="0">
      <x:text>
        <x:r>
          <x:t>Yield on opening cash and short-term investments (FY:31 E).
Beginning-of-year balance. Forecast periods carry forward the prior closing balance, with FY2026 providing the first forecast opening balance. The active forecast row selects the case input below it and feeds the operating model.
Formula: =IF(NOT(CHOOSE($D$4,ISNUMBER(S130),ISNUMBER(S131),ISNUMBER(S132))),"n.a.",CHOOSE($D$4,S130,S131,S132))
Cross-sheet references identify the owning schedule. Same-sheet references identify intermediate calculations.</x:t>
        </x:r>
      </x:text>
    </x:comment>
    <x:comment ref="C130" authorId="0">
      <x:text>
        <x:r>
          <x:t>Beginning-of-year balance. Forecast periods carry forward the prior closing balance, with FY2026 providing the first forecast opening balance. This is the editable Base case input.</x:t>
        </x:r>
      </x:text>
    </x:comment>
    <x:comment ref="O130" authorId="0">
      <x:text>
        <x:r>
          <x:t>Yield on opening cash and short-term investments (FY:27 E).
Beginning-of-year balance. Forecast periods carry forward the prior closing balance, with FY2026 providing the first forecast opening balance. Editable Base scenario input.
Stored input or primary source observation. It is not calculated in this cell.</x:t>
        </x:r>
      </x:text>
    </x:comment>
    <x:comment ref="P130" authorId="0">
      <x:text>
        <x:r>
          <x:t>Yield on opening cash and short-term investments (FY:28 E).
Beginning-of-year balance. Forecast periods carry forward the prior closing balance, with FY2026 providing the first forecast opening balance. Editable Base scenario input.
Stored input or primary source observation. It is not calculated in this cell.</x:t>
        </x:r>
      </x:text>
    </x:comment>
    <x:comment ref="Q130" authorId="0">
      <x:text>
        <x:r>
          <x:t>Yield on opening cash and short-term investments (FY:29 E).
Beginning-of-year balance. Forecast periods carry forward the prior closing balance, with FY2026 providing the first forecast opening balance. Editable Base scenario input.
Stored input or primary source observation. It is not calculated in this cell.</x:t>
        </x:r>
      </x:text>
    </x:comment>
    <x:comment ref="R130" authorId="0">
      <x:text>
        <x:r>
          <x:t>Yield on opening cash and short-term investments (FY:30 E).
Beginning-of-year balance. Forecast periods carry forward the prior closing balance, with FY2026 providing the first forecast opening balance. Editable Base scenario input.
Stored input or primary source observation. It is not calculated in this cell.</x:t>
        </x:r>
      </x:text>
    </x:comment>
    <x:comment ref="S130" authorId="0">
      <x:text>
        <x:r>
          <x:t>Yield on opening cash and short-term investments (FY:31 E).
Beginning-of-year balance. Forecast periods carry forward the prior closing balance, with FY2026 providing the first forecast opening balance. Editable Base scenario input.
Stored input or primary source observation. It is not calculated in this cell.</x:t>
        </x:r>
      </x:text>
    </x:comment>
    <x:comment ref="C131" authorId="0">
      <x:text>
        <x:r>
          <x:t>Beginning-of-year balance. Forecast periods carry forward the prior closing balance, with FY2026 providing the first forecast opening balance. This is the editable Upside case input.</x:t>
        </x:r>
      </x:text>
    </x:comment>
    <x:comment ref="O131" authorId="0">
      <x:text>
        <x:r>
          <x:t>Yield on opening cash and short-term investments (FY:27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P131" authorId="0">
      <x:text>
        <x:r>
          <x:t>Yield on opening cash and short-term investments (FY:28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Q131" authorId="0">
      <x:text>
        <x:r>
          <x:t>Yield on opening cash and short-term investments (FY:29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R131" authorId="0">
      <x:text>
        <x:r>
          <x:t>Yield on opening cash and short-term investments (FY:30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S131" authorId="0">
      <x:text>
        <x:r>
          <x:t>Yield on opening cash and short-term investments (FY:31 E).
Beginning-of-year balance. Forecast periods carry forward the prior closing balance, with FY2026 providing the first forecast opening balance. Editable Upside scenario input.
Stored input or primary source observation. It is not calculated in this cell.</x:t>
        </x:r>
      </x:text>
    </x:comment>
    <x:comment ref="C132" authorId="0">
      <x:text>
        <x:r>
          <x:t>Beginning-of-year balance. Forecast periods carry forward the prior closing balance, with FY2026 providing the first forecast opening balance. This is the editable Downside case input.</x:t>
        </x:r>
      </x:text>
    </x:comment>
    <x:comment ref="O132" authorId="0">
      <x:text>
        <x:r>
          <x:t>Yield on opening cash and short-term investments (FY:27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P132" authorId="0">
      <x:text>
        <x:r>
          <x:t>Yield on opening cash and short-term investments (FY:28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Q132" authorId="0">
      <x:text>
        <x:r>
          <x:t>Yield on opening cash and short-term investments (FY:29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R132" authorId="0">
      <x:text>
        <x:r>
          <x:t>Yield on opening cash and short-term investments (FY:30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S132" authorId="0">
      <x:text>
        <x:r>
          <x:t>Yield on opening cash and short-term investments (FY:31 E).
Beginning-of-year balance. Forecast periods carry forward the prior closing balance, with FY2026 providing the first forecast opening balance. Editable Downside scenario input.
Stored input or primary source observation. It is not calculated in this cell.</x:t>
        </x:r>
      </x:text>
    </x:comment>
    <x:comment ref="C133" authorId="0">
      <x:text>
        <x:r>
          <x:t>Interest or investment income calculated using the named rate and balance. Capitalized interest is part of the capex budget; the remaining recognized interest affects net income.</x:t>
        </x:r>
      </x:text>
    </x:comment>
    <x:comment ref="O133" authorId="0">
      <x:text>
        <x:r>
          <x:t>Cash interest capitalized within the capex budget (FY:27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=IF(NOT(CHOOSE($D$4,ISNUMBER(O134),ISNUMBER(O135),ISNUMBER(O136))),"n.a.",CHOOSE($D$4,O134,O135,O136))
Cross-sheet references identify the owning schedule. Same-sheet references identify intermediate calculations.</x:t>
        </x:r>
      </x:text>
    </x:comment>
    <x:comment ref="P133" authorId="0">
      <x:text>
        <x:r>
          <x:t>Cash interest capitalized within the capex budget (FY:28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=IF(NOT(CHOOSE($D$4,ISNUMBER(P134),ISNUMBER(P135),ISNUMBER(P136))),"n.a.",CHOOSE($D$4,P134,P135,P136))
Cross-sheet references identify the owning schedule. Same-sheet references identify intermediate calculations.</x:t>
        </x:r>
      </x:text>
    </x:comment>
    <x:comment ref="Q133" authorId="0">
      <x:text>
        <x:r>
          <x:t>Cash interest capitalized within the capex budget (FY:29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=IF(NOT(CHOOSE($D$4,ISNUMBER(Q134),ISNUMBER(Q135),ISNUMBER(Q136))),"n.a.",CHOOSE($D$4,Q134,Q135,Q136))
Cross-sheet references identify the owning schedule. Same-sheet references identify intermediate calculations.</x:t>
        </x:r>
      </x:text>
    </x:comment>
    <x:comment ref="R133" authorId="0">
      <x:text>
        <x:r>
          <x:t>Cash interest capitalized within the capex budget (FY:30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=IF(NOT(CHOOSE($D$4,ISNUMBER(R134),ISNUMBER(R135),ISNUMBER(R136))),"n.a.",CHOOSE($D$4,R134,R135,R136))
Cross-sheet references identify the owning schedule. Same-sheet references identify intermediate calculations.</x:t>
        </x:r>
      </x:text>
    </x:comment>
    <x:comment ref="S133" authorId="0">
      <x:text>
        <x:r>
          <x:t>Cash interest capitalized within the capex budget (FY:31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=IF(NOT(CHOOSE($D$4,ISNUMBER(S134),ISNUMBER(S135),ISNUMBER(S136))),"n.a.",CHOOSE($D$4,S134,S135,S136))
Cross-sheet references identify the owning schedule. Same-sheet references identify intermediate calculations.</x:t>
        </x:r>
      </x:text>
    </x:comment>
    <x:comment ref="C134" authorId="0">
      <x:text>
        <x:r>
          <x:t>Interest or investment income calculated using the named rate and balance. Capitalized interest is part of the capex budget; the remaining recognized interest affects net income. This is the editable Base case input.</x:t>
        </x:r>
      </x:text>
    </x:comment>
    <x:comment ref="O134" authorId="0">
      <x:text>
        <x:r>
          <x:t>Cash interest capitalized within the capex budget (FY:27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P134" authorId="0">
      <x:text>
        <x:r>
          <x:t>Cash interest capitalized within the capex budget (FY:28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Q134" authorId="0">
      <x:text>
        <x:r>
          <x:t>Cash interest capitalized within the capex budget (FY:29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R134" authorId="0">
      <x:text>
        <x:r>
          <x:t>Cash interest capitalized within the capex budget (FY:30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S134" authorId="0">
      <x:text>
        <x:r>
          <x:t>Cash interest capitalized within the capex budget (FY:31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C135" authorId="0">
      <x:text>
        <x:r>
          <x:t>Interest or investment income calculated using the named rate and balance. Capitalized interest is part of the capex budget; the remaining recognized interest affects net income. This is the editable Upside case input.</x:t>
        </x:r>
      </x:text>
    </x:comment>
    <x:comment ref="O135" authorId="0">
      <x:text>
        <x:r>
          <x:t>Cash interest capitalized within the capex budget (FY:27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P135" authorId="0">
      <x:text>
        <x:r>
          <x:t>Cash interest capitalized within the capex budget (FY:28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Q135" authorId="0">
      <x:text>
        <x:r>
          <x:t>Cash interest capitalized within the capex budget (FY:29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R135" authorId="0">
      <x:text>
        <x:r>
          <x:t>Cash interest capitalized within the capex budget (FY:30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S135" authorId="0">
      <x:text>
        <x:r>
          <x:t>Cash interest capitalized within the capex budget (FY:31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C136" authorId="0">
      <x:text>
        <x:r>
          <x:t>Interest or investment income calculated using the named rate and balance. Capitalized interest is part of the capex budget; the remaining recognized interest affects net income. This is the editable Downside case input.</x:t>
        </x:r>
      </x:text>
    </x:comment>
    <x:comment ref="O136" authorId="0">
      <x:text>
        <x:r>
          <x:t>Cash interest capitalized within the capex budget (FY:27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P136" authorId="0">
      <x:text>
        <x:r>
          <x:t>Cash interest capitalized within the capex budget (FY:28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Q136" authorId="0">
      <x:text>
        <x:r>
          <x:t>Cash interest capitalized within the capex budget (FY:29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R136" authorId="0">
      <x:text>
        <x:r>
          <x:t>Cash interest capitalized within the capex budget (FY:30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S136" authorId="0">
      <x:text>
        <x:r>
          <x:t>Cash interest capitalized within the capex budget (FY:31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C137" authorId="0">
      <x:text>
        <x:r>
          <x:t>Annual amortization of debt accounting adjustments. This line belongs to the Assumptions calculation. Read its formula to trace the referenced inputs and intermediate totals.</x:t>
        </x:r>
      </x:text>
    </x:comment>
    <x:comment ref="O137" authorId="0">
      <x:text>
        <x:r>
          <x:t>Annual amortization of debt accounting adjustments (FY:27 E).
Annual amortization of debt accounting adjustments. This line belongs to the Assumptions calculation. Read its formula to trace the referenced inputs and intermediate totals. The active forecast row selects the case input below it and feeds the operating model.
Formula: =IF(NOT(CHOOSE($D$4,ISNUMBER(O138),ISNUMBER(O139),ISNUMBER(O140))),"n.a.",CHOOSE($D$4,O138,O139,O140))
Cross-sheet references identify the owning schedule. Same-sheet references identify intermediate calculations.</x:t>
        </x:r>
      </x:text>
    </x:comment>
    <x:comment ref="P137" authorId="0">
      <x:text>
        <x:r>
          <x:t>Annual amortization of debt accounting adjustments (FY:28 E).
Annual amortization of debt accounting adjustments. This line belongs to the Assumptions calculation. Read its formula to trace the referenced inputs and intermediate totals. The active forecast row selects the case input below it and feeds the operating model.
Formula: =IF(NOT(CHOOSE($D$4,ISNUMBER(P138),ISNUMBER(P139),ISNUMBER(P140))),"n.a.",CHOOSE($D$4,P138,P139,P140))
Cross-sheet references identify the owning schedule. Same-sheet references identify intermediate calculations.</x:t>
        </x:r>
      </x:text>
    </x:comment>
    <x:comment ref="Q137" authorId="0">
      <x:text>
        <x:r>
          <x:t>Annual amortization of debt accounting adjustments (FY:29 E).
Annual amortization of debt accounting adjustments. This line belongs to the Assumptions calculation. Read its formula to trace the referenced inputs and intermediate totals. The active forecast row selects the case input below it and feeds the operating model.
Formula: =IF(NOT(CHOOSE($D$4,ISNUMBER(Q138),ISNUMBER(Q139),ISNUMBER(Q140))),"n.a.",CHOOSE($D$4,Q138,Q139,Q140))
Cross-sheet references identify the owning schedule. Same-sheet references identify intermediate calculations.</x:t>
        </x:r>
      </x:text>
    </x:comment>
    <x:comment ref="R137" authorId="0">
      <x:text>
        <x:r>
          <x:t>Annual amortization of debt accounting adjustments (FY:30 E).
Annual amortization of debt accounting adjustments. This line belongs to the Assumptions calculation. Read its formula to trace the referenced inputs and intermediate totals. The active forecast row selects the case input below it and feeds the operating model.
Formula: =IF(NOT(CHOOSE($D$4,ISNUMBER(R138),ISNUMBER(R139),ISNUMBER(R140))),"n.a.",CHOOSE($D$4,R138,R139,R140))
Cross-sheet references identify the owning schedule. Same-sheet references identify intermediate calculations.</x:t>
        </x:r>
      </x:text>
    </x:comment>
    <x:comment ref="S137" authorId="0">
      <x:text>
        <x:r>
          <x:t>Annual amortization of debt accounting adjustments (FY:31 E).
Annual amortization of debt accounting adjustments. This line belongs to the Assumptions calculation. Read its formula to trace the referenced inputs and intermediate totals. The active forecast row selects the case input below it and feeds the operating model.
Formula: =IF(NOT(CHOOSE($D$4,ISNUMBER(S138),ISNUMBER(S139),ISNUMBER(S140))),"n.a.",CHOOSE($D$4,S138,S139,S140))
Cross-sheet references identify the owning schedule. Same-sheet references identify intermediate calculations.</x:t>
        </x:r>
      </x:text>
    </x:comment>
    <x:comment ref="C138" authorId="0">
      <x:text>
        <x:r>
          <x:t>Annual amortization of debt accounting adjustments. This line belongs to the Assumptions calculation. Read its formula to trace the referenced inputs and intermediate totals. This is the editable Base case input.</x:t>
        </x:r>
      </x:text>
    </x:comment>
    <x:comment ref="O138" authorId="0">
      <x:text>
        <x:r>
          <x:t>Annual amortization of debt accounting adjustments (FY:27 E).
Annual amortization of debt accounting adjustments. This line belongs to the Assumptions calculation. Read its formula to trace the referenced inputs and intermediate totals. Editable Base scenario input.
Stored input or primary source observation. It is not calculated in this cell.</x:t>
        </x:r>
      </x:text>
    </x:comment>
    <x:comment ref="P138" authorId="0">
      <x:text>
        <x:r>
          <x:t>Annual amortization of debt accounting adjustments (FY:28 E).
Annual amortization of debt accounting adjustments. This line belongs to the Assumptions calculation. Read its formula to trace the referenced inputs and intermediate totals. Editable Base scenario input.
Stored input or primary source observation. It is not calculated in this cell.</x:t>
        </x:r>
      </x:text>
    </x:comment>
    <x:comment ref="Q138" authorId="0">
      <x:text>
        <x:r>
          <x:t>Annual amortization of debt accounting adjustments (FY:29 E).
Annual amortization of debt accounting adjustments. This line belongs to the Assumptions calculation. Read its formula to trace the referenced inputs and intermediate totals. Editable Base scenario input.
Stored input or primary source observation. It is not calculated in this cell.</x:t>
        </x:r>
      </x:text>
    </x:comment>
    <x:comment ref="R138" authorId="0">
      <x:text>
        <x:r>
          <x:t>Annual amortization of debt accounting adjustments (FY:30 E).
Annual amortization of debt accounting adjustments. This line belongs to the Assumptions calculation. Read its formula to trace the referenced inputs and intermediate totals. Editable Base scenario input.
Stored input or primary source observation. It is not calculated in this cell.</x:t>
        </x:r>
      </x:text>
    </x:comment>
    <x:comment ref="S138" authorId="0">
      <x:text>
        <x:r>
          <x:t>Annual amortization of debt accounting adjustments (FY:31 E).
Annual amortization of debt accounting adjustments. This line belongs to the Assumptions calculation. Read its formula to trace the referenced inputs and intermediate totals. Editable Base scenario input.
Stored input or primary source observation. It is not calculated in this cell.</x:t>
        </x:r>
      </x:text>
    </x:comment>
    <x:comment ref="C139" authorId="0">
      <x:text>
        <x:r>
          <x:t>Annual amortization of debt accounting adjustments. This line belongs to the Assumptions calculation. Read its formula to trace the referenced inputs and intermediate totals. This is the editable Upside case input.</x:t>
        </x:r>
      </x:text>
    </x:comment>
    <x:comment ref="O139" authorId="0">
      <x:text>
        <x:r>
          <x:t>Annual amortization of debt accounting adjustments (FY:27 E).
Annual amortization of debt accounting adjustments. This line belongs to the Assumptions calculation. Read its formula to trace the referenced inputs and intermediate totals. Editable Upside scenario input.
Stored input or primary source observation. It is not calculated in this cell.</x:t>
        </x:r>
      </x:text>
    </x:comment>
    <x:comment ref="P139" authorId="0">
      <x:text>
        <x:r>
          <x:t>Annual amortization of debt accounting adjustments (FY:28 E).
Annual amortization of debt accounting adjustments. This line belongs to the Assumptions calculation. Read its formula to trace the referenced inputs and intermediate totals. Editable Upside scenario input.
Stored input or primary source observation. It is not calculated in this cell.</x:t>
        </x:r>
      </x:text>
    </x:comment>
    <x:comment ref="Q139" authorId="0">
      <x:text>
        <x:r>
          <x:t>Annual amortization of debt accounting adjustments (FY:29 E).
Annual amortization of debt accounting adjustments. This line belongs to the Assumptions calculation. Read its formula to trace the referenced inputs and intermediate totals. Editable Upside scenario input.
Stored input or primary source observation. It is not calculated in this cell.</x:t>
        </x:r>
      </x:text>
    </x:comment>
    <x:comment ref="R139" authorId="0">
      <x:text>
        <x:r>
          <x:t>Annual amortization of debt accounting adjustments (FY:30 E).
Annual amortization of debt accounting adjustments. This line belongs to the Assumptions calculation. Read its formula to trace the referenced inputs and intermediate totals. Editable Upside scenario input.
Stored input or primary source observation. It is not calculated in this cell.</x:t>
        </x:r>
      </x:text>
    </x:comment>
    <x:comment ref="S139" authorId="0">
      <x:text>
        <x:r>
          <x:t>Annual amortization of debt accounting adjustments (FY:31 E).
Annual amortization of debt accounting adjustments. This line belongs to the Assumptions calculation. Read its formula to trace the referenced inputs and intermediate totals. Editable Upside scenario input.
Stored input or primary source observation. It is not calculated in this cell.</x:t>
        </x:r>
      </x:text>
    </x:comment>
    <x:comment ref="C140" authorId="0">
      <x:text>
        <x:r>
          <x:t>Annual amortization of debt accounting adjustments. This line belongs to the Assumptions calculation. Read its formula to trace the referenced inputs and intermediate totals. This is the editable Downside case input.</x:t>
        </x:r>
      </x:text>
    </x:comment>
    <x:comment ref="O140" authorId="0">
      <x:text>
        <x:r>
          <x:t>Annual amortization of debt accounting adjustments (FY:27 E).
Annual amortization of debt accounting adjustments. This line belongs to the Assumptions calculation. Read its formula to trace the referenced inputs and intermediate totals. Editable Downside scenario input.
Stored input or primary source observation. It is not calculated in this cell.</x:t>
        </x:r>
      </x:text>
    </x:comment>
    <x:comment ref="P140" authorId="0">
      <x:text>
        <x:r>
          <x:t>Annual amortization of debt accounting adjustments (FY:28 E).
Annual amortization of debt accounting adjustments. This line belongs to the Assumptions calculation. Read its formula to trace the referenced inputs and intermediate totals. Editable Downside scenario input.
Stored input or primary source observation. It is not calculated in this cell.</x:t>
        </x:r>
      </x:text>
    </x:comment>
    <x:comment ref="Q140" authorId="0">
      <x:text>
        <x:r>
          <x:t>Annual amortization of debt accounting adjustments (FY:29 E).
Annual amortization of debt accounting adjustments. This line belongs to the Assumptions calculation. Read its formula to trace the referenced inputs and intermediate totals. Editable Downside scenario input.
Stored input or primary source observation. It is not calculated in this cell.</x:t>
        </x:r>
      </x:text>
    </x:comment>
    <x:comment ref="R140" authorId="0">
      <x:text>
        <x:r>
          <x:t>Annual amortization of debt accounting adjustments (FY:30 E).
Annual amortization of debt accounting adjustments. This line belongs to the Assumptions calculation. Read its formula to trace the referenced inputs and intermediate totals. Editable Downside scenario input.
Stored input or primary source observation. It is not calculated in this cell.</x:t>
        </x:r>
      </x:text>
    </x:comment>
    <x:comment ref="S140" authorId="0">
      <x:text>
        <x:r>
          <x:t>Annual amortization of debt accounting adjustments (FY:31 E).
Annual amortization of debt accounting adjustments. This line belongs to the Assumptions calculation. Read its formula to trace the referenced inputs and intermediate totals. Editable Downside scenario input.
Stored input or primary source observation. It is not calculated in this cell.</x:t>
        </x:r>
      </x:text>
    </x:comment>
    <x:comment ref="C141" authorId="0">
      <x:text>
        <x:r>
          <x:t>Interest or investment income calculated using the named rate and balance. Capitalized interest is part of the capex budget; the remaining recognized interest affects net income.</x:t>
        </x:r>
      </x:text>
    </x:comment>
    <x:comment ref="O141" authorId="0">
      <x:text>
        <x:r>
          <x:t>Finance lease interest rate (FY:27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=IF(NOT(CHOOSE($D$4,ISNUMBER(O142),ISNUMBER(O143),ISNUMBER(O144))),"n.a.",CHOOSE($D$4,O142,O143,O144))
Cross-sheet references identify the owning schedule. Same-sheet references identify intermediate calculations.</x:t>
        </x:r>
      </x:text>
    </x:comment>
    <x:comment ref="P141" authorId="0">
      <x:text>
        <x:r>
          <x:t>Finance lease interest rate (FY:28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=IF(NOT(CHOOSE($D$4,ISNUMBER(P142),ISNUMBER(P143),ISNUMBER(P144))),"n.a.",CHOOSE($D$4,P142,P143,P144))
Cross-sheet references identify the owning schedule. Same-sheet references identify intermediate calculations.</x:t>
        </x:r>
      </x:text>
    </x:comment>
    <x:comment ref="Q141" authorId="0">
      <x:text>
        <x:r>
          <x:t>Finance lease interest rate (FY:29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=IF(NOT(CHOOSE($D$4,ISNUMBER(Q142),ISNUMBER(Q143),ISNUMBER(Q144))),"n.a.",CHOOSE($D$4,Q142,Q143,Q144))
Cross-sheet references identify the owning schedule. Same-sheet references identify intermediate calculations.</x:t>
        </x:r>
      </x:text>
    </x:comment>
    <x:comment ref="R141" authorId="0">
      <x:text>
        <x:r>
          <x:t>Finance lease interest rate (FY:30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=IF(NOT(CHOOSE($D$4,ISNUMBER(R142),ISNUMBER(R143),ISNUMBER(R144))),"n.a.",CHOOSE($D$4,R142,R143,R144))
Cross-sheet references identify the owning schedule. Same-sheet references identify intermediate calculations.</x:t>
        </x:r>
      </x:text>
    </x:comment>
    <x:comment ref="S141" authorId="0">
      <x:text>
        <x:r>
          <x:t>Finance lease interest rate (FY:31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=IF(NOT(CHOOSE($D$4,ISNUMBER(S142),ISNUMBER(S143),ISNUMBER(S144))),"n.a.",CHOOSE($D$4,S142,S143,S144))
Cross-sheet references identify the owning schedule. Same-sheet references identify intermediate calculations.</x:t>
        </x:r>
      </x:text>
    </x:comment>
    <x:comment ref="C142" authorId="0">
      <x:text>
        <x:r>
          <x:t>Interest or investment income calculated using the named rate and balance. Capitalized interest is part of the capex budget; the remaining recognized interest affects net income. This is the editable Base case input.</x:t>
        </x:r>
      </x:text>
    </x:comment>
    <x:comment ref="O142" authorId="0">
      <x:text>
        <x:r>
          <x:t>Finance lease interest rate (FY:27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P142" authorId="0">
      <x:text>
        <x:r>
          <x:t>Finance lease interest rate (FY:28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Q142" authorId="0">
      <x:text>
        <x:r>
          <x:t>Finance lease interest rate (FY:29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R142" authorId="0">
      <x:text>
        <x:r>
          <x:t>Finance lease interest rate (FY:30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S142" authorId="0">
      <x:text>
        <x:r>
          <x:t>Finance lease interest rate (FY:31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C143" authorId="0">
      <x:text>
        <x:r>
          <x:t>Interest or investment income calculated using the named rate and balance. Capitalized interest is part of the capex budget; the remaining recognized interest affects net income. This is the editable Upside case input.</x:t>
        </x:r>
      </x:text>
    </x:comment>
    <x:comment ref="O143" authorId="0">
      <x:text>
        <x:r>
          <x:t>Finance lease interest rate (FY:27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P143" authorId="0">
      <x:text>
        <x:r>
          <x:t>Finance lease interest rate (FY:28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Q143" authorId="0">
      <x:text>
        <x:r>
          <x:t>Finance lease interest rate (FY:29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R143" authorId="0">
      <x:text>
        <x:r>
          <x:t>Finance lease interest rate (FY:30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S143" authorId="0">
      <x:text>
        <x:r>
          <x:t>Finance lease interest rate (FY:31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C144" authorId="0">
      <x:text>
        <x:r>
          <x:t>Interest or investment income calculated using the named rate and balance. Capitalized interest is part of the capex budget; the remaining recognized interest affects net income. This is the editable Downside case input.</x:t>
        </x:r>
      </x:text>
    </x:comment>
    <x:comment ref="O144" authorId="0">
      <x:text>
        <x:r>
          <x:t>Finance lease interest rate (FY:27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P144" authorId="0">
      <x:text>
        <x:r>
          <x:t>Finance lease interest rate (FY:28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Q144" authorId="0">
      <x:text>
        <x:r>
          <x:t>Finance lease interest rate (FY:29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R144" authorId="0">
      <x:text>
        <x:r>
          <x:t>Finance lease interest rate (FY:30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S144" authorId="0">
      <x:text>
        <x:r>
          <x:t>Finance lease interest rate (FY:31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C145" authorId="0">
      <x:text>
        <x:r>
          <x:t>Interest or investment income calculated using the named rate and balance. Capitalized interest is part of the capex budget; the remaining recognized interest affects net income.</x:t>
        </x:r>
      </x:text>
    </x:comment>
    <x:comment ref="O145" authorId="0">
      <x:text>
        <x:r>
          <x:t>Operating lease interest rate (FY:27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=IF(NOT(CHOOSE($D$4,ISNUMBER(O146),ISNUMBER(O147),ISNUMBER(O148))),"n.a.",CHOOSE($D$4,O146,O147,O148))
Cross-sheet references identify the owning schedule. Same-sheet references identify intermediate calculations.</x:t>
        </x:r>
      </x:text>
    </x:comment>
    <x:comment ref="P145" authorId="0">
      <x:text>
        <x:r>
          <x:t>Operating lease interest rate (FY:28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=IF(NOT(CHOOSE($D$4,ISNUMBER(P146),ISNUMBER(P147),ISNUMBER(P148))),"n.a.",CHOOSE($D$4,P146,P147,P148))
Cross-sheet references identify the owning schedule. Same-sheet references identify intermediate calculations.</x:t>
        </x:r>
      </x:text>
    </x:comment>
    <x:comment ref="Q145" authorId="0">
      <x:text>
        <x:r>
          <x:t>Operating lease interest rate (FY:29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=IF(NOT(CHOOSE($D$4,ISNUMBER(Q146),ISNUMBER(Q147),ISNUMBER(Q148))),"n.a.",CHOOSE($D$4,Q146,Q147,Q148))
Cross-sheet references identify the owning schedule. Same-sheet references identify intermediate calculations.</x:t>
        </x:r>
      </x:text>
    </x:comment>
    <x:comment ref="R145" authorId="0">
      <x:text>
        <x:r>
          <x:t>Operating lease interest rate (FY:30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=IF(NOT(CHOOSE($D$4,ISNUMBER(R146),ISNUMBER(R147),ISNUMBER(R148))),"n.a.",CHOOSE($D$4,R146,R147,R148))
Cross-sheet references identify the owning schedule. Same-sheet references identify intermediate calculations.</x:t>
        </x:r>
      </x:text>
    </x:comment>
    <x:comment ref="S145" authorId="0">
      <x:text>
        <x:r>
          <x:t>Operating lease interest rate (FY:31 E).
Interest or investment income calculated using the named rate and balance. Capitalized interest is part of the capex budget; the remaining recognized interest affects net income. The active forecast row selects the case input below it and feeds the operating model.
Formula: =IF(NOT(CHOOSE($D$4,ISNUMBER(S146),ISNUMBER(S147),ISNUMBER(S148))),"n.a.",CHOOSE($D$4,S146,S147,S148))
Cross-sheet references identify the owning schedule. Same-sheet references identify intermediate calculations.</x:t>
        </x:r>
      </x:text>
    </x:comment>
    <x:comment ref="C146" authorId="0">
      <x:text>
        <x:r>
          <x:t>Interest or investment income calculated using the named rate and balance. Capitalized interest is part of the capex budget; the remaining recognized interest affects net income. This is the editable Base case input.</x:t>
        </x:r>
      </x:text>
    </x:comment>
    <x:comment ref="O146" authorId="0">
      <x:text>
        <x:r>
          <x:t>Operating lease interest rate (FY:27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P146" authorId="0">
      <x:text>
        <x:r>
          <x:t>Operating lease interest rate (FY:28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Q146" authorId="0">
      <x:text>
        <x:r>
          <x:t>Operating lease interest rate (FY:29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R146" authorId="0">
      <x:text>
        <x:r>
          <x:t>Operating lease interest rate (FY:30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S146" authorId="0">
      <x:text>
        <x:r>
          <x:t>Operating lease interest rate (FY:31 E).
Interest or investment income calculated using the named rate and balance. Capitalized interest is part of the capex budget; the remaining recognized interest affects net income. Editable Base scenario input.
Stored input or primary source observation. It is not calculated in this cell.</x:t>
        </x:r>
      </x:text>
    </x:comment>
    <x:comment ref="C147" authorId="0">
      <x:text>
        <x:r>
          <x:t>Interest or investment income calculated using the named rate and balance. Capitalized interest is part of the capex budget; the remaining recognized interest affects net income. This is the editable Upside case input.</x:t>
        </x:r>
      </x:text>
    </x:comment>
    <x:comment ref="O147" authorId="0">
      <x:text>
        <x:r>
          <x:t>Operating lease interest rate (FY:27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P147" authorId="0">
      <x:text>
        <x:r>
          <x:t>Operating lease interest rate (FY:28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Q147" authorId="0">
      <x:text>
        <x:r>
          <x:t>Operating lease interest rate (FY:29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R147" authorId="0">
      <x:text>
        <x:r>
          <x:t>Operating lease interest rate (FY:30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S147" authorId="0">
      <x:text>
        <x:r>
          <x:t>Operating lease interest rate (FY:31 E).
Interest or investment income calculated using the named rate and balance. Capitalized interest is part of the capex budget; the remaining recognized interest affects net income. Editable Upside scenario input.
Stored input or primary source observation. It is not calculated in this cell.</x:t>
        </x:r>
      </x:text>
    </x:comment>
    <x:comment ref="C148" authorId="0">
      <x:text>
        <x:r>
          <x:t>Interest or investment income calculated using the named rate and balance. Capitalized interest is part of the capex budget; the remaining recognized interest affects net income. This is the editable Downside case input.</x:t>
        </x:r>
      </x:text>
    </x:comment>
    <x:comment ref="O148" authorId="0">
      <x:text>
        <x:r>
          <x:t>Operating lease interest rate (FY:27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P148" authorId="0">
      <x:text>
        <x:r>
          <x:t>Operating lease interest rate (FY:28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Q148" authorId="0">
      <x:text>
        <x:r>
          <x:t>Operating lease interest rate (FY:29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R148" authorId="0">
      <x:text>
        <x:r>
          <x:t>Operating lease interest rate (FY:30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S148" authorId="0">
      <x:text>
        <x:r>
          <x:t>Operating lease interest rate (FY:31 E).
Interest or investment income calculated using the named rate and balance. Capitalized interest is part of the capex budget; the remaining recognized interest affects net income. Editable Downside scenario input.
Stored input or primary source observation. It is not calculated in this cell.</x:t>
        </x:r>
      </x:text>
    </x:comment>
    <x:comment ref="C149" authorId="0">
      <x:text>
        <x:r>
          <x:t>Reduction of debt or lease principal, separate from interest expense. Read the formula for the specific contractual or modeled payment schedule and sign.</x:t>
        </x:r>
      </x:text>
    </x:comment>
    <x:comment ref="O149" authorId="0">
      <x:text>
        <x:r>
          <x:t>New finance lease principal term in years (FY:27 E).
Reduction of debt or lease principal, separate from interest expense. Read the formula for the specific contractual or modeled payment schedule and sign. The active forecast row selects the case input below it and feeds the operating model.
Formula: =IF(NOT(CHOOSE($D$4,ISNUMBER(O150),ISNUMBER(O151),ISNUMBER(O152))),"n.a.",CHOOSE($D$4,O150,O151,O152))
Cross-sheet references identify the owning schedule. Same-sheet references identify intermediate calculations.</x:t>
        </x:r>
      </x:text>
    </x:comment>
    <x:comment ref="P149" authorId="0">
      <x:text>
        <x:r>
          <x:t>New finance lease principal term in years (FY:28 E).
Reduction of debt or lease principal, separate from interest expense. Read the formula for the specific contractual or modeled payment schedule and sign. The active forecast row selects the case input below it and feeds the operating model.
Formula: =IF(NOT(CHOOSE($D$4,ISNUMBER(P150),ISNUMBER(P151),ISNUMBER(P152))),"n.a.",CHOOSE($D$4,P150,P151,P152))
Cross-sheet references identify the owning schedule. Same-sheet references identify intermediate calculations.</x:t>
        </x:r>
      </x:text>
    </x:comment>
    <x:comment ref="Q149" authorId="0">
      <x:text>
        <x:r>
          <x:t>New finance lease principal term in years (FY:29 E).
Reduction of debt or lease principal, separate from interest expense. Read the formula for the specific contractual or modeled payment schedule and sign. The active forecast row selects the case input below it and feeds the operating model.
Formula: =IF(NOT(CHOOSE($D$4,ISNUMBER(Q150),ISNUMBER(Q151),ISNUMBER(Q152))),"n.a.",CHOOSE($D$4,Q150,Q151,Q152))
Cross-sheet references identify the owning schedule. Same-sheet references identify intermediate calculations.</x:t>
        </x:r>
      </x:text>
    </x:comment>
    <x:comment ref="R149" authorId="0">
      <x:text>
        <x:r>
          <x:t>New finance lease principal term in years (FY:30 E).
Reduction of debt or lease principal, separate from interest expense. Read the formula for the specific contractual or modeled payment schedule and sign. The active forecast row selects the case input below it and feeds the operating model.
Formula: =IF(NOT(CHOOSE($D$4,ISNUMBER(R150),ISNUMBER(R151),ISNUMBER(R152))),"n.a.",CHOOSE($D$4,R150,R151,R152))
Cross-sheet references identify the owning schedule. Same-sheet references identify intermediate calculations.</x:t>
        </x:r>
      </x:text>
    </x:comment>
    <x:comment ref="S149" authorId="0">
      <x:text>
        <x:r>
          <x:t>New finance lease principal term in years (FY:31 E).
Reduction of debt or lease principal, separate from interest expense. Read the formula for the specific contractual or modeled payment schedule and sign. The active forecast row selects the case input below it and feeds the operating model.
Formula: =IF(NOT(CHOOSE($D$4,ISNUMBER(S150),ISNUMBER(S151),ISNUMBER(S152))),"n.a.",CHOOSE($D$4,S150,S151,S152))
Cross-sheet references identify the owning schedule. Same-sheet references identify intermediate calculations.</x:t>
        </x:r>
      </x:text>
    </x:comment>
    <x:comment ref="C150" authorId="0">
      <x:text>
        <x:r>
          <x:t>Reduction of debt or lease principal, separate from interest expense. Read the formula for the specific contractual or modeled payment schedule and sign. This is the editable Base case input.</x:t>
        </x:r>
      </x:text>
    </x:comment>
    <x:comment ref="O150" authorId="0">
      <x:text>
        <x:r>
          <x:t>New finance lease principal term in years (FY:27 E).
Reduction of debt or lease principal, separate from interest expense. Read the formula for the specific contractual or modeled payment schedule and sign. Editable Base scenario input.
Stored input or primary source observation. It is not calculated in this cell.</x:t>
        </x:r>
      </x:text>
    </x:comment>
    <x:comment ref="P150" authorId="0">
      <x:text>
        <x:r>
          <x:t>New finance lease principal term in years (FY:28 E).
Reduction of debt or lease principal, separate from interest expense. Read the formula for the specific contractual or modeled payment schedule and sign. Editable Base scenario input.
Stored input or primary source observation. It is not calculated in this cell.</x:t>
        </x:r>
      </x:text>
    </x:comment>
    <x:comment ref="Q150" authorId="0">
      <x:text>
        <x:r>
          <x:t>New finance lease principal term in years (FY:29 E).
Reduction of debt or lease principal, separate from interest expense. Read the formula for the specific contractual or modeled payment schedule and sign. Editable Base scenario input.
Stored input or primary source observation. It is not calculated in this cell.</x:t>
        </x:r>
      </x:text>
    </x:comment>
    <x:comment ref="R150" authorId="0">
      <x:text>
        <x:r>
          <x:t>New finance lease principal term in years (FY:30 E).
Reduction of debt or lease principal, separate from interest expense. Read the formula for the specific contractual or modeled payment schedule and sign. Editable Base scenario input.
Stored input or primary source observation. It is not calculated in this cell.</x:t>
        </x:r>
      </x:text>
    </x:comment>
    <x:comment ref="S150" authorId="0">
      <x:text>
        <x:r>
          <x:t>New finance lease principal term in years (FY:31 E).
Reduction of debt or lease principal, separate from interest expense. Read the formula for the specific contractual or modeled payment schedule and sign. Editable Base scenario input.
Stored input or primary source observation. It is not calculated in this cell.</x:t>
        </x:r>
      </x:text>
    </x:comment>
    <x:comment ref="C151" authorId="0">
      <x:text>
        <x:r>
          <x:t>Reduction of debt or lease principal, separate from interest expense. Read the formula for the specific contractual or modeled payment schedule and sign. This is the editable Upside case input.</x:t>
        </x:r>
      </x:text>
    </x:comment>
    <x:comment ref="O151" authorId="0">
      <x:text>
        <x:r>
          <x:t>New finance lease principal term in years (FY:27 E).
Reduction of debt or lease principal, separate from interest expense. Read the formula for the specific contractual or modeled payment schedule and sign. Editable Upside scenario input.
Stored input or primary source observation. It is not calculated in this cell.</x:t>
        </x:r>
      </x:text>
    </x:comment>
    <x:comment ref="P151" authorId="0">
      <x:text>
        <x:r>
          <x:t>New finance lease principal term in years (FY:28 E).
Reduction of debt or lease principal, separate from interest expense. Read the formula for the specific contractual or modeled payment schedule and sign. Editable Upside scenario input.
Stored input or primary source observation. It is not calculated in this cell.</x:t>
        </x:r>
      </x:text>
    </x:comment>
    <x:comment ref="Q151" authorId="0">
      <x:text>
        <x:r>
          <x:t>New finance lease principal term in years (FY:29 E).
Reduction of debt or lease principal, separate from interest expense. Read the formula for the specific contractual or modeled payment schedule and sign. Editable Upside scenario input.
Stored input or primary source observation. It is not calculated in this cell.</x:t>
        </x:r>
      </x:text>
    </x:comment>
    <x:comment ref="R151" authorId="0">
      <x:text>
        <x:r>
          <x:t>New finance lease principal term in years (FY:30 E).
Reduction of debt or lease principal, separate from interest expense. Read the formula for the specific contractual or modeled payment schedule and sign. Editable Upside scenario input.
Stored input or primary source observation. It is not calculated in this cell.</x:t>
        </x:r>
      </x:text>
    </x:comment>
    <x:comment ref="S151" authorId="0">
      <x:text>
        <x:r>
          <x:t>New finance lease principal term in years (FY:31 E).
Reduction of debt or lease principal, separate from interest expense. Read the formula for the specific contractual or modeled payment schedule and sign. Editable Upside scenario input.
Stored input or primary source observation. It is not calculated in this cell.</x:t>
        </x:r>
      </x:text>
    </x:comment>
    <x:comment ref="C152" authorId="0">
      <x:text>
        <x:r>
          <x:t>Reduction of debt or lease principal, separate from interest expense. Read the formula for the specific contractual or modeled payment schedule and sign. This is the editable Downside case input.</x:t>
        </x:r>
      </x:text>
    </x:comment>
    <x:comment ref="O152" authorId="0">
      <x:text>
        <x:r>
          <x:t>New finance lease principal term in years (FY:27 E).
Reduction of debt or lease principal, separate from interest expense. Read the formula for the specific contractual or modeled payment schedule and sign. Editable Downside scenario input.
Stored input or primary source observation. It is not calculated in this cell.</x:t>
        </x:r>
      </x:text>
    </x:comment>
    <x:comment ref="P152" authorId="0">
      <x:text>
        <x:r>
          <x:t>New finance lease principal term in years (FY:28 E).
Reduction of debt or lease principal, separate from interest expense. Read the formula for the specific contractual or modeled payment schedule and sign. Editable Downside scenario input.
Stored input or primary source observation. It is not calculated in this cell.</x:t>
        </x:r>
      </x:text>
    </x:comment>
    <x:comment ref="Q152" authorId="0">
      <x:text>
        <x:r>
          <x:t>New finance lease principal term in years (FY:29 E).
Reduction of debt or lease principal, separate from interest expense. Read the formula for the specific contractual or modeled payment schedule and sign. Editable Downside scenario input.
Stored input or primary source observation. It is not calculated in this cell.</x:t>
        </x:r>
      </x:text>
    </x:comment>
    <x:comment ref="R152" authorId="0">
      <x:text>
        <x:r>
          <x:t>New finance lease principal term in years (FY:30 E).
Reduction of debt or lease principal, separate from interest expense. Read the formula for the specific contractual or modeled payment schedule and sign. Editable Downside scenario input.
Stored input or primary source observation. It is not calculated in this cell.</x:t>
        </x:r>
      </x:text>
    </x:comment>
    <x:comment ref="S152" authorId="0">
      <x:text>
        <x:r>
          <x:t>New finance lease principal term in years (FY:31 E).
Reduction of debt or lease principal, separate from interest expense. Read the formula for the specific contractual or modeled payment schedule and sign. Editable Downside scenario input.
Stored input or primary source observation. It is not calculated in this cell.</x:t>
        </x:r>
      </x:text>
    </x:comment>
    <x:comment ref="C153" authorId="0">
      <x:text>
        <x:r>
          <x:t>New operating lease term in years. This line belongs to the Assumptions calculation. Read its formula to trace the referenced inputs and intermediate totals.</x:t>
        </x:r>
      </x:text>
    </x:comment>
    <x:comment ref="O153" authorId="0">
      <x:text>
        <x:r>
          <x:t>New operating lease term in years (FY:27 E).
New operating lease term in years. This line belongs to the Assumptions calculation. Read its formula to trace the referenced inputs and intermediate totals. The active forecast row selects the case input below it and feeds the operating model.
Formula: =IF(NOT(CHOOSE($D$4,ISNUMBER(O154),ISNUMBER(O155),ISNUMBER(O156))),"n.a.",CHOOSE($D$4,O154,O155,O156))
Cross-sheet references identify the owning schedule. Same-sheet references identify intermediate calculations.</x:t>
        </x:r>
      </x:text>
    </x:comment>
    <x:comment ref="P153" authorId="0">
      <x:text>
        <x:r>
          <x:t>New operating lease term in years (FY:28 E).
New operating lease term in years. This line belongs to the Assumptions calculation. Read its formula to trace the referenced inputs and intermediate totals. The active forecast row selects the case input below it and feeds the operating model.
Formula: =IF(NOT(CHOOSE($D$4,ISNUMBER(P154),ISNUMBER(P155),ISNUMBER(P156))),"n.a.",CHOOSE($D$4,P154,P155,P156))
Cross-sheet references identify the owning schedule. Same-sheet references identify intermediate calculations.</x:t>
        </x:r>
      </x:text>
    </x:comment>
    <x:comment ref="Q153" authorId="0">
      <x:text>
        <x:r>
          <x:t>New operating lease term in years (FY:29 E).
New operating lease term in years. This line belongs to the Assumptions calculation. Read its formula to trace the referenced inputs and intermediate totals. The active forecast row selects the case input below it and feeds the operating model.
Formula: =IF(NOT(CHOOSE($D$4,ISNUMBER(Q154),ISNUMBER(Q155),ISNUMBER(Q156))),"n.a.",CHOOSE($D$4,Q154,Q155,Q156))
Cross-sheet references identify the owning schedule. Same-sheet references identify intermediate calculations.</x:t>
        </x:r>
      </x:text>
    </x:comment>
    <x:comment ref="R153" authorId="0">
      <x:text>
        <x:r>
          <x:t>New operating lease term in years (FY:30 E).
New operating lease term in years. This line belongs to the Assumptions calculation. Read its formula to trace the referenced inputs and intermediate totals. The active forecast row selects the case input below it and feeds the operating model.
Formula: =IF(NOT(CHOOSE($D$4,ISNUMBER(R154),ISNUMBER(R155),ISNUMBER(R156))),"n.a.",CHOOSE($D$4,R154,R155,R156))
Cross-sheet references identify the owning schedule. Same-sheet references identify intermediate calculations.</x:t>
        </x:r>
      </x:text>
    </x:comment>
    <x:comment ref="S153" authorId="0">
      <x:text>
        <x:r>
          <x:t>New operating lease term in years (FY:31 E).
New operating lease term in years. This line belongs to the Assumptions calculation. Read its formula to trace the referenced inputs and intermediate totals. The active forecast row selects the case input below it and feeds the operating model.
Formula: =IF(NOT(CHOOSE($D$4,ISNUMBER(S154),ISNUMBER(S155),ISNUMBER(S156))),"n.a.",CHOOSE($D$4,S154,S155,S156))
Cross-sheet references identify the owning schedule. Same-sheet references identify intermediate calculations.</x:t>
        </x:r>
      </x:text>
    </x:comment>
    <x:comment ref="C154" authorId="0">
      <x:text>
        <x:r>
          <x:t>New operating lease term in years. This line belongs to the Assumptions calculation. Read its formula to trace the referenced inputs and intermediate totals. This is the editable Base case input.</x:t>
        </x:r>
      </x:text>
    </x:comment>
    <x:comment ref="O154" authorId="0">
      <x:text>
        <x:r>
          <x:t>New operating lease term in years (FY:27 E).
New operating lease term in years. This line belongs to the Assumptions calculation. Read its formula to trace the referenced inputs and intermediate totals. Editable Base scenario input.
Stored input or primary source observation. It is not calculated in this cell.</x:t>
        </x:r>
      </x:text>
    </x:comment>
    <x:comment ref="P154" authorId="0">
      <x:text>
        <x:r>
          <x:t>New operating lease term in years (FY:28 E).
New operating lease term in years. This line belongs to the Assumptions calculation. Read its formula to trace the referenced inputs and intermediate totals. Editable Base scenario input.
Stored input or primary source observation. It is not calculated in this cell.</x:t>
        </x:r>
      </x:text>
    </x:comment>
    <x:comment ref="Q154" authorId="0">
      <x:text>
        <x:r>
          <x:t>New operating lease term in years (FY:29 E).
New operating lease term in years. This line belongs to the Assumptions calculation. Read its formula to trace the referenced inputs and intermediate totals. Editable Base scenario input.
Stored input or primary source observation. It is not calculated in this cell.</x:t>
        </x:r>
      </x:text>
    </x:comment>
    <x:comment ref="R154" authorId="0">
      <x:text>
        <x:r>
          <x:t>New operating lease term in years (FY:30 E).
New operating lease term in years. This line belongs to the Assumptions calculation. Read its formula to trace the referenced inputs and intermediate totals. Editable Base scenario input.
Stored input or primary source observation. It is not calculated in this cell.</x:t>
        </x:r>
      </x:text>
    </x:comment>
    <x:comment ref="S154" authorId="0">
      <x:text>
        <x:r>
          <x:t>New operating lease term in years (FY:31 E).
New operating lease term in years. This line belongs to the Assumptions calculation. Read its formula to trace the referenced inputs and intermediate totals. Editable Base scenario input.
Stored input or primary source observation. It is not calculated in this cell.</x:t>
        </x:r>
      </x:text>
    </x:comment>
    <x:comment ref="C155" authorId="0">
      <x:text>
        <x:r>
          <x:t>New operating lease term in years. This line belongs to the Assumptions calculation. Read its formula to trace the referenced inputs and intermediate totals. This is the editable Upside case input.</x:t>
        </x:r>
      </x:text>
    </x:comment>
    <x:comment ref="O155" authorId="0">
      <x:text>
        <x:r>
          <x:t>New operating lease term in years (FY:27 E).
New operating lease term in years. This line belongs to the Assumptions calculation. Read its formula to trace the referenced inputs and intermediate totals. Editable Upside scenario input.
Stored input or primary source observation. It is not calculated in this cell.</x:t>
        </x:r>
      </x:text>
    </x:comment>
    <x:comment ref="P155" authorId="0">
      <x:text>
        <x:r>
          <x:t>New operating lease term in years (FY:28 E).
New operating lease term in years. This line belongs to the Assumptions calculation. Read its formula to trace the referenced inputs and intermediate totals. Editable Upside scenario input.
Stored input or primary source observation. It is not calculated in this cell.</x:t>
        </x:r>
      </x:text>
    </x:comment>
    <x:comment ref="Q155" authorId="0">
      <x:text>
        <x:r>
          <x:t>New operating lease term in years (FY:29 E).
New operating lease term in years. This line belongs to the Assumptions calculation. Read its formula to trace the referenced inputs and intermediate totals. Editable Upside scenario input.
Stored input or primary source observation. It is not calculated in this cell.</x:t>
        </x:r>
      </x:text>
    </x:comment>
    <x:comment ref="R155" authorId="0">
      <x:text>
        <x:r>
          <x:t>New operating lease term in years (FY:30 E).
New operating lease term in years. This line belongs to the Assumptions calculation. Read its formula to trace the referenced inputs and intermediate totals. Editable Upside scenario input.
Stored input or primary source observation. It is not calculated in this cell.</x:t>
        </x:r>
      </x:text>
    </x:comment>
    <x:comment ref="S155" authorId="0">
      <x:text>
        <x:r>
          <x:t>New operating lease term in years (FY:31 E).
New operating lease term in years. This line belongs to the Assumptions calculation. Read its formula to trace the referenced inputs and intermediate totals. Editable Upside scenario input.
Stored input or primary source observation. It is not calculated in this cell.</x:t>
        </x:r>
      </x:text>
    </x:comment>
    <x:comment ref="C156" authorId="0">
      <x:text>
        <x:r>
          <x:t>New operating lease term in years. This line belongs to the Assumptions calculation. Read its formula to trace the referenced inputs and intermediate totals. This is the editable Downside case input.</x:t>
        </x:r>
      </x:text>
    </x:comment>
    <x:comment ref="O156" authorId="0">
      <x:text>
        <x:r>
          <x:t>New operating lease term in years (FY:27 E).
New operating lease term in years. This line belongs to the Assumptions calculation. Read its formula to trace the referenced inputs and intermediate totals. Editable Downside scenario input.
Stored input or primary source observation. It is not calculated in this cell.</x:t>
        </x:r>
      </x:text>
    </x:comment>
    <x:comment ref="P156" authorId="0">
      <x:text>
        <x:r>
          <x:t>New operating lease term in years (FY:28 E).
New operating lease term in years. This line belongs to the Assumptions calculation. Read its formula to trace the referenced inputs and intermediate totals. Editable Downside scenario input.
Stored input or primary source observation. It is not calculated in this cell.</x:t>
        </x:r>
      </x:text>
    </x:comment>
    <x:comment ref="Q156" authorId="0">
      <x:text>
        <x:r>
          <x:t>New operating lease term in years (FY:29 E).
New operating lease term in years. This line belongs to the Assumptions calculation. Read its formula to trace the referenced inputs and intermediate totals. Editable Downside scenario input.
Stored input or primary source observation. It is not calculated in this cell.</x:t>
        </x:r>
      </x:text>
    </x:comment>
    <x:comment ref="R156" authorId="0">
      <x:text>
        <x:r>
          <x:t>New operating lease term in years (FY:30 E).
New operating lease term in years. This line belongs to the Assumptions calculation. Read its formula to trace the referenced inputs and intermediate totals. Editable Downside scenario input.
Stored input or primary source observation. It is not calculated in this cell.</x:t>
        </x:r>
      </x:text>
    </x:comment>
    <x:comment ref="S156" authorId="0">
      <x:text>
        <x:r>
          <x:t>New operating lease term in years (FY:31 E).
New operating lease term in years. This line belongs to the Assumptions calculation. Read its formula to trace the referenced inputs and intermediate totals. Editable Downside scenario input.
Stored input or primary source observation. It is not calculated in this cell.</x:t>
        </x:r>
      </x:text>
    </x:comment>
    <x:comment ref="C157" authorId="0">
      <x:text>
        <x:r>
          <x:t>Legacy operating ROU remaining life in years. This line belongs to the Assumptions calculation. Read its formula to trace the referenced inputs and intermediate totals.</x:t>
        </x:r>
      </x:text>
    </x:comment>
    <x:comment ref="O157" authorId="0">
      <x:text>
        <x:r>
          <x:t>Legacy operating ROU remaining life in years (FY:27 E).
Legacy operating ROU remaining life in years. This line belongs to the Assumptions calculation. Read its formula to trace the referenced inputs and intermediate totals. The active forecast row selects the case input below it and feeds the operating model.
Formula: =IF(NOT(CHOOSE($D$4,ISNUMBER(O158),ISNUMBER(O159),ISNUMBER(O160))),"n.a.",CHOOSE($D$4,O158,O159,O160))
Cross-sheet references identify the owning schedule. Same-sheet references identify intermediate calculations.</x:t>
        </x:r>
      </x:text>
    </x:comment>
    <x:comment ref="P157" authorId="0">
      <x:text>
        <x:r>
          <x:t>Legacy operating ROU remaining life in years (FY:28 E).
Legacy operating ROU remaining life in years. This line belongs to the Assumptions calculation. Read its formula to trace the referenced inputs and intermediate totals. The active forecast row selects the case input below it and feeds the operating model.
Formula: =IF(NOT(CHOOSE($D$4,ISNUMBER(P158),ISNUMBER(P159),ISNUMBER(P160))),"n.a.",CHOOSE($D$4,P158,P159,P160))
Cross-sheet references identify the owning schedule. Same-sheet references identify intermediate calculations.</x:t>
        </x:r>
      </x:text>
    </x:comment>
    <x:comment ref="Q157" authorId="0">
      <x:text>
        <x:r>
          <x:t>Legacy operating ROU remaining life in years (FY:29 E).
Legacy operating ROU remaining life in years. This line belongs to the Assumptions calculation. Read its formula to trace the referenced inputs and intermediate totals. The active forecast row selects the case input below it and feeds the operating model.
Formula: =IF(NOT(CHOOSE($D$4,ISNUMBER(Q158),ISNUMBER(Q159),ISNUMBER(Q160))),"n.a.",CHOOSE($D$4,Q158,Q159,Q160))
Cross-sheet references identify the owning schedule. Same-sheet references identify intermediate calculations.</x:t>
        </x:r>
      </x:text>
    </x:comment>
    <x:comment ref="R157" authorId="0">
      <x:text>
        <x:r>
          <x:t>Legacy operating ROU remaining life in years (FY:30 E).
Legacy operating ROU remaining life in years. This line belongs to the Assumptions calculation. Read its formula to trace the referenced inputs and intermediate totals. The active forecast row selects the case input below it and feeds the operating model.
Formula: =IF(NOT(CHOOSE($D$4,ISNUMBER(R158),ISNUMBER(R159),ISNUMBER(R160))),"n.a.",CHOOSE($D$4,R158,R159,R160))
Cross-sheet references identify the owning schedule. Same-sheet references identify intermediate calculations.</x:t>
        </x:r>
      </x:text>
    </x:comment>
    <x:comment ref="S157" authorId="0">
      <x:text>
        <x:r>
          <x:t>Legacy operating ROU remaining life in years (FY:31 E).
Legacy operating ROU remaining life in years. This line belongs to the Assumptions calculation. Read its formula to trace the referenced inputs and intermediate totals. The active forecast row selects the case input below it and feeds the operating model.
Formula: =IF(NOT(CHOOSE($D$4,ISNUMBER(S158),ISNUMBER(S159),ISNUMBER(S160))),"n.a.",CHOOSE($D$4,S158,S159,S160))
Cross-sheet references identify the owning schedule. Same-sheet references identify intermediate calculations.</x:t>
        </x:r>
      </x:text>
    </x:comment>
    <x:comment ref="C158" authorId="0">
      <x:text>
        <x:r>
          <x:t>Legacy operating ROU remaining life in years. This line belongs to the Assumptions calculation. Read its formula to trace the referenced inputs and intermediate totals. This is the editable Base case input.</x:t>
        </x:r>
      </x:text>
    </x:comment>
    <x:comment ref="O158" authorId="0">
      <x:text>
        <x:r>
          <x:t>Legacy operating ROU remaining life in years (FY:27 E).
Legacy operating ROU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P158" authorId="0">
      <x:text>
        <x:r>
          <x:t>Legacy operating ROU remaining life in years (FY:28 E).
Legacy operating ROU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Q158" authorId="0">
      <x:text>
        <x:r>
          <x:t>Legacy operating ROU remaining life in years (FY:29 E).
Legacy operating ROU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R158" authorId="0">
      <x:text>
        <x:r>
          <x:t>Legacy operating ROU remaining life in years (FY:30 E).
Legacy operating ROU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S158" authorId="0">
      <x:text>
        <x:r>
          <x:t>Legacy operating ROU remaining life in years (FY:31 E).
Legacy operating ROU remaining life in years. This line belongs to the Assumptions calculation. Read its formula to trace the referenced inputs and intermediate totals. Editable Base scenario input.
Stored input or primary source observation. It is not calculated in this cell.</x:t>
        </x:r>
      </x:text>
    </x:comment>
    <x:comment ref="C159" authorId="0">
      <x:text>
        <x:r>
          <x:t>Legacy operating ROU remaining life in years. This line belongs to the Assumptions calculation. Read its formula to trace the referenced inputs and intermediate totals. This is the editable Upside case input.</x:t>
        </x:r>
      </x:text>
    </x:comment>
    <x:comment ref="O159" authorId="0">
      <x:text>
        <x:r>
          <x:t>Legacy operating ROU remaining life in years (FY:27 E).
Legacy operating ROU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P159" authorId="0">
      <x:text>
        <x:r>
          <x:t>Legacy operating ROU remaining life in years (FY:28 E).
Legacy operating ROU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Q159" authorId="0">
      <x:text>
        <x:r>
          <x:t>Legacy operating ROU remaining life in years (FY:29 E).
Legacy operating ROU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R159" authorId="0">
      <x:text>
        <x:r>
          <x:t>Legacy operating ROU remaining life in years (FY:30 E).
Legacy operating ROU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S159" authorId="0">
      <x:text>
        <x:r>
          <x:t>Legacy operating ROU remaining life in years (FY:31 E).
Legacy operating ROU remaining life in years. This line belongs to the Assumptions calculation. Read its formula to trace the referenced inputs and intermediate totals. Editable Upside scenario input.
Stored input or primary source observation. It is not calculated in this cell.</x:t>
        </x:r>
      </x:text>
    </x:comment>
    <x:comment ref="C160" authorId="0">
      <x:text>
        <x:r>
          <x:t>Legacy operating ROU remaining life in years. This line belongs to the Assumptions calculation. Read its formula to trace the referenced inputs and intermediate totals. This is the editable Downside case input.</x:t>
        </x:r>
      </x:text>
    </x:comment>
    <x:comment ref="O160" authorId="0">
      <x:text>
        <x:r>
          <x:t>Legacy operating ROU remaining life in years (FY:27 E).
Legacy operating ROU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P160" authorId="0">
      <x:text>
        <x:r>
          <x:t>Legacy operating ROU remaining life in years (FY:28 E).
Legacy operating ROU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Q160" authorId="0">
      <x:text>
        <x:r>
          <x:t>Legacy operating ROU remaining life in years (FY:29 E).
Legacy operating ROU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R160" authorId="0">
      <x:text>
        <x:r>
          <x:t>Legacy operating ROU remaining life in years (FY:30 E).
Legacy operating ROU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S160" authorId="0">
      <x:text>
        <x:r>
          <x:t>Legacy operating ROU remaining life in years (FY:31 E).
Legacy operating ROU remaining life in years. This line belongs to the Assumptions calculation. Read its formula to trace the referenced inputs and intermediate totals. Editable Downside scenario input.
Stored input or primary source observation. It is not calculated in this cell.</x:t>
        </x:r>
      </x:text>
    </x:comment>
    <x:comment ref="C161" authorId="0">
      <x:text>
        <x:r>
          <x:t>Planned new debt face value. This line belongs to the Assumptions calculation. Read its formula to trace the referenced inputs and intermediate totals.</x:t>
        </x:r>
      </x:text>
    </x:comment>
    <x:comment ref="O161" authorId="0">
      <x:text>
        <x:r>
          <x:t>Planned new debt face value (FY:27 E).
Planned new debt face value. This line belongs to the Assumptions calculation. Read its formula to trace the referenced inputs and intermediate totals. The active forecast row selects the case input below it and feeds the operating model.
Formula: =IF(NOT(CHOOSE($D$4,ISNUMBER(O162),ISNUMBER(O163),ISNUMBER(O164))),"n.a.",CHOOSE($D$4,O162,O163,O164))
Cross-sheet references identify the owning schedule. Same-sheet references identify intermediate calculations.</x:t>
        </x:r>
      </x:text>
    </x:comment>
    <x:comment ref="P161" authorId="0">
      <x:text>
        <x:r>
          <x:t>Planned new debt face value (FY:28 E).
Planned new debt face value. This line belongs to the Assumptions calculation. Read its formula to trace the referenced inputs and intermediate totals. The active forecast row selects the case input below it and feeds the operating model.
Formula: =IF(NOT(CHOOSE($D$4,ISNUMBER(P162),ISNUMBER(P163),ISNUMBER(P164))),"n.a.",CHOOSE($D$4,P162,P163,P164))
Cross-sheet references identify the owning schedule. Same-sheet references identify intermediate calculations.</x:t>
        </x:r>
      </x:text>
    </x:comment>
    <x:comment ref="Q161" authorId="0">
      <x:text>
        <x:r>
          <x:t>Planned new debt face value (FY:29 E).
Planned new debt face value. This line belongs to the Assumptions calculation. Read its formula to trace the referenced inputs and intermediate totals. The active forecast row selects the case input below it and feeds the operating model.
Formula: =IF(NOT(CHOOSE($D$4,ISNUMBER(Q162),ISNUMBER(Q163),ISNUMBER(Q164))),"n.a.",CHOOSE($D$4,Q162,Q163,Q164))
Cross-sheet references identify the owning schedule. Same-sheet references identify intermediate calculations.</x:t>
        </x:r>
      </x:text>
    </x:comment>
    <x:comment ref="R161" authorId="0">
      <x:text>
        <x:r>
          <x:t>Planned new debt face value (FY:30 E).
Planned new debt face value. This line belongs to the Assumptions calculation. Read its formula to trace the referenced inputs and intermediate totals. The active forecast row selects the case input below it and feeds the operating model.
Formula: =IF(NOT(CHOOSE($D$4,ISNUMBER(R162),ISNUMBER(R163),ISNUMBER(R164))),"n.a.",CHOOSE($D$4,R162,R163,R164))
Cross-sheet references identify the owning schedule. Same-sheet references identify intermediate calculations.</x:t>
        </x:r>
      </x:text>
    </x:comment>
    <x:comment ref="S161" authorId="0">
      <x:text>
        <x:r>
          <x:t>Planned new debt face value (FY:31 E).
Planned new debt face value. This line belongs to the Assumptions calculation. Read its formula to trace the referenced inputs and intermediate totals. The active forecast row selects the case input below it and feeds the operating model.
Formula: =IF(NOT(CHOOSE($D$4,ISNUMBER(S162),ISNUMBER(S163),ISNUMBER(S164))),"n.a.",CHOOSE($D$4,S162,S163,S164))
Cross-sheet references identify the owning schedule. Same-sheet references identify intermediate calculations.</x:t>
        </x:r>
      </x:text>
    </x:comment>
    <x:comment ref="C162" authorId="0">
      <x:text>
        <x:r>
          <x:t>Planned new debt face value. This line belongs to the Assumptions calculation. Read its formula to trace the referenced inputs and intermediate totals. This is the editable Base case input.</x:t>
        </x:r>
      </x:text>
    </x:comment>
    <x:comment ref="O162" authorId="0">
      <x:text>
        <x:r>
          <x:t>Planned new debt face value (FY:27 E).
Planned new debt face value. This line belongs to the Assumptions calculation. Read its formula to trace the referenced inputs and intermediate totals. Editable Base scenario input.
Stored input or primary source observation. It is not calculated in this cell.</x:t>
        </x:r>
      </x:text>
    </x:comment>
    <x:comment ref="P162" authorId="0">
      <x:text>
        <x:r>
          <x:t>Planned new debt face value (FY:28 E).
Planned new debt face value. This line belongs to the Assumptions calculation. Read its formula to trace the referenced inputs and intermediate totals. Editable Base scenario input.
Stored input or primary source observation. It is not calculated in this cell.</x:t>
        </x:r>
      </x:text>
    </x:comment>
    <x:comment ref="Q162" authorId="0">
      <x:text>
        <x:r>
          <x:t>Planned new debt face value (FY:29 E).
Planned new debt face value. This line belongs to the Assumptions calculation. Read its formula to trace the referenced inputs and intermediate totals. Editable Base scenario input.
Stored input or primary source observation. It is not calculated in this cell.</x:t>
        </x:r>
      </x:text>
    </x:comment>
    <x:comment ref="R162" authorId="0">
      <x:text>
        <x:r>
          <x:t>Planned new debt face value (FY:30 E).
Planned new debt face value. This line belongs to the Assumptions calculation. Read its formula to trace the referenced inputs and intermediate totals. Editable Base scenario input.
Stored input or primary source observation. It is not calculated in this cell.</x:t>
        </x:r>
      </x:text>
    </x:comment>
    <x:comment ref="S162" authorId="0">
      <x:text>
        <x:r>
          <x:t>Planned new debt face value (FY:31 E).
Planned new debt face value. This line belongs to the Assumptions calculation. Read its formula to trace the referenced inputs and intermediate totals. Editable Base scenario input.
Stored input or primary source observation. It is not calculated in this cell.</x:t>
        </x:r>
      </x:text>
    </x:comment>
    <x:comment ref="C163" authorId="0">
      <x:text>
        <x:r>
          <x:t>Planned new debt face value. This line belongs to the Assumptions calculation. Read its formula to trace the referenced inputs and intermediate totals. This is the editable Upside case input.</x:t>
        </x:r>
      </x:text>
    </x:comment>
    <x:comment ref="O163" authorId="0">
      <x:text>
        <x:r>
          <x:t>Planned new debt face value (FY:27 E).
Planned new debt face value. This line belongs to the Assumptions calculation. Read its formula to trace the referenced inputs and intermediate totals. Editable Upside scenario input.
Stored input or primary source observation. It is not calculated in this cell.</x:t>
        </x:r>
      </x:text>
    </x:comment>
    <x:comment ref="P163" authorId="0">
      <x:text>
        <x:r>
          <x:t>Planned new debt face value (FY:28 E).
Planned new debt face value. This line belongs to the Assumptions calculation. Read its formula to trace the referenced inputs and intermediate totals. Editable Upside scenario input.
Stored input or primary source observation. It is not calculated in this cell.</x:t>
        </x:r>
      </x:text>
    </x:comment>
    <x:comment ref="Q163" authorId="0">
      <x:text>
        <x:r>
          <x:t>Planned new debt face value (FY:29 E).
Planned new debt face value. This line belongs to the Assumptions calculation. Read its formula to trace the referenced inputs and intermediate totals. Editable Upside scenario input.
Stored input or primary source observation. It is not calculated in this cell.</x:t>
        </x:r>
      </x:text>
    </x:comment>
    <x:comment ref="R163" authorId="0">
      <x:text>
        <x:r>
          <x:t>Planned new debt face value (FY:30 E).
Planned new debt face value. This line belongs to the Assumptions calculation. Read its formula to trace the referenced inputs and intermediate totals. Editable Upside scenario input.
Stored input or primary source observation. It is not calculated in this cell.</x:t>
        </x:r>
      </x:text>
    </x:comment>
    <x:comment ref="S163" authorId="0">
      <x:text>
        <x:r>
          <x:t>Planned new debt face value (FY:31 E).
Planned new debt face value. This line belongs to the Assumptions calculation. Read its formula to trace the referenced inputs and intermediate totals. Editable Upside scenario input.
Stored input or primary source observation. It is not calculated in this cell.</x:t>
        </x:r>
      </x:text>
    </x:comment>
    <x:comment ref="C164" authorId="0">
      <x:text>
        <x:r>
          <x:t>Planned new debt face value. This line belongs to the Assumptions calculation. Read its formula to trace the referenced inputs and intermediate totals. This is the editable Downside case input.</x:t>
        </x:r>
      </x:text>
    </x:comment>
    <x:comment ref="O164" authorId="0">
      <x:text>
        <x:r>
          <x:t>Planned new debt face value (FY:27 E).
Planned new debt face value. This line belongs to the Assumptions calculation. Read its formula to trace the referenced inputs and intermediate totals. Editable Downside scenario input.
Stored input or primary source observation. It is not calculated in this cell.</x:t>
        </x:r>
      </x:text>
    </x:comment>
    <x:comment ref="P164" authorId="0">
      <x:text>
        <x:r>
          <x:t>Planned new debt face value (FY:28 E).
Planned new debt face value. This line belongs to the Assumptions calculation. Read its formula to trace the referenced inputs and intermediate totals. Editable Downside scenario input.
Stored input or primary source observation. It is not calculated in this cell.</x:t>
        </x:r>
      </x:text>
    </x:comment>
    <x:comment ref="Q164" authorId="0">
      <x:text>
        <x:r>
          <x:t>Planned new debt face value (FY:29 E).
Planned new debt face value. This line belongs to the Assumptions calculation. Read its formula to trace the referenced inputs and intermediate totals. Editable Downside scenario input.
Stored input or primary source observation. It is not calculated in this cell.</x:t>
        </x:r>
      </x:text>
    </x:comment>
    <x:comment ref="R164" authorId="0">
      <x:text>
        <x:r>
          <x:t>Planned new debt face value (FY:30 E).
Planned new debt face value. This line belongs to the Assumptions calculation. Read its formula to trace the referenced inputs and intermediate totals. Editable Downside scenario input.
Stored input or primary source observation. It is not calculated in this cell.</x:t>
        </x:r>
      </x:text>
    </x:comment>
    <x:comment ref="S164" authorId="0">
      <x:text>
        <x:r>
          <x:t>Planned new debt face value (FY:31 E).
Planned new debt face value. This line belongs to the Assumptions calculation. Read its formula to trace the referenced inputs and intermediate totals. Editable Downside scenario input.
Stored input or primary source observation. It is not calculated in this cell.</x:t>
        </x:r>
      </x:text>
    </x:comment>
    <x:comment ref="C165" authorId="0">
      <x:text>
        <x:r>
          <x:t>Current period divided by the prior matching period less one, or an editable forecast growth assumption. Preserve unavailable growth across definition changes.</x:t>
        </x:r>
      </x:text>
    </x:comment>
    <x:comment ref="O165" authorId="0">
      <x:text>
        <x:r>
          <x:t>Planned short-term investment balance growth (FY:27 E).
Current period divided by the prior matching period less one, or an editable forecast growth assumption. Preserve unavailable growth across definition changes. The active forecast row selects the case input below it and feeds the operating model.
Formula: =IF(NOT(CHOOSE($D$4,ISNUMBER(O166),ISNUMBER(O167),ISNUMBER(O168))),"n.a.",CHOOSE($D$4,O166,O167,O168))
Cross-sheet references identify the owning schedule. Same-sheet references identify intermediate calculations.</x:t>
        </x:r>
      </x:text>
    </x:comment>
    <x:comment ref="P165" authorId="0">
      <x:text>
        <x:r>
          <x:t>Planned short-term investment balance growth (FY:28 E).
Current period divided by the prior matching period less one, or an editable forecast growth assumption. Preserve unavailable growth across definition changes. The active forecast row selects the case input below it and feeds the operating model.
Formula: =IF(NOT(CHOOSE($D$4,ISNUMBER(P166),ISNUMBER(P167),ISNUMBER(P168))),"n.a.",CHOOSE($D$4,P166,P167,P168))
Cross-sheet references identify the owning schedule. Same-sheet references identify intermediate calculations.</x:t>
        </x:r>
      </x:text>
    </x:comment>
    <x:comment ref="Q165" authorId="0">
      <x:text>
        <x:r>
          <x:t>Planned short-term investment balance growth (FY:29 E).
Current period divided by the prior matching period less one, or an editable forecast growth assumption. Preserve unavailable growth across definition changes. The active forecast row selects the case input below it and feeds the operating model.
Formula: =IF(NOT(CHOOSE($D$4,ISNUMBER(Q166),ISNUMBER(Q167),ISNUMBER(Q168))),"n.a.",CHOOSE($D$4,Q166,Q167,Q168))
Cross-sheet references identify the owning schedule. Same-sheet references identify intermediate calculations.</x:t>
        </x:r>
      </x:text>
    </x:comment>
    <x:comment ref="R165" authorId="0">
      <x:text>
        <x:r>
          <x:t>Planned short-term investment balance growth (FY:30 E).
Current period divided by the prior matching period less one, or an editable forecast growth assumption. Preserve unavailable growth across definition changes. The active forecast row selects the case input below it and feeds the operating model.
Formula: =IF(NOT(CHOOSE($D$4,ISNUMBER(R166),ISNUMBER(R167),ISNUMBER(R168))),"n.a.",CHOOSE($D$4,R166,R167,R168))
Cross-sheet references identify the owning schedule. Same-sheet references identify intermediate calculations.</x:t>
        </x:r>
      </x:text>
    </x:comment>
    <x:comment ref="S165" authorId="0">
      <x:text>
        <x:r>
          <x:t>Planned short-term investment balance growth (FY:31 E).
Current period divided by the prior matching period less one, or an editable forecast growth assumption. Preserve unavailable growth across definition changes. The active forecast row selects the case input below it and feeds the operating model.
Formula: =IF(NOT(CHOOSE($D$4,ISNUMBER(S166),ISNUMBER(S167),ISNUMBER(S168))),"n.a.",CHOOSE($D$4,S166,S167,S168))
Cross-sheet references identify the owning schedule. Same-sheet references identify intermediate calculations.</x:t>
        </x:r>
      </x:text>
    </x:comment>
    <x:comment ref="C166" authorId="0">
      <x:text>
        <x:r>
          <x:t>Current period divided by the prior matching period less one, or an editable forecast growth assumption. Preserve unavailable growth across definition changes. This is the editable Base case input.</x:t>
        </x:r>
      </x:text>
    </x:comment>
    <x:comment ref="O166" authorId="0">
      <x:text>
        <x:r>
          <x:t>Planned short-term investment balance growth (FY:27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P166" authorId="0">
      <x:text>
        <x:r>
          <x:t>Planned short-term investment balance growth (FY:28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Q166" authorId="0">
      <x:text>
        <x:r>
          <x:t>Planned short-term investment balance growth (FY:29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R166" authorId="0">
      <x:text>
        <x:r>
          <x:t>Planned short-term investment balance growth (FY:30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S166" authorId="0">
      <x:text>
        <x:r>
          <x:t>Planned short-term investment balance growth (FY:31 E).
Current period divided by the prior matching period less one, or an editable forecast growth assumption. Preserve unavailable growth across definition changes. Editable Base scenario input.
Stored input or primary source observation. It is not calculated in this cell.</x:t>
        </x:r>
      </x:text>
    </x:comment>
    <x:comment ref="C167" authorId="0">
      <x:text>
        <x:r>
          <x:t>Current period divided by the prior matching period less one, or an editable forecast growth assumption. Preserve unavailable growth across definition changes. This is the editable Upside case input.</x:t>
        </x:r>
      </x:text>
    </x:comment>
    <x:comment ref="O167" authorId="0">
      <x:text>
        <x:r>
          <x:t>Planned short-term investment balance growth (FY:27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P167" authorId="0">
      <x:text>
        <x:r>
          <x:t>Planned short-term investment balance growth (FY:28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Q167" authorId="0">
      <x:text>
        <x:r>
          <x:t>Planned short-term investment balance growth (FY:29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R167" authorId="0">
      <x:text>
        <x:r>
          <x:t>Planned short-term investment balance growth (FY:30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S167" authorId="0">
      <x:text>
        <x:r>
          <x:t>Planned short-term investment balance growth (FY:31 E).
Current period divided by the prior matching period less one, or an editable forecast growth assumption. Preserve unavailable growth across definition changes. Editable Upside scenario input.
Stored input or primary source observation. It is not calculated in this cell.</x:t>
        </x:r>
      </x:text>
    </x:comment>
    <x:comment ref="C168" authorId="0">
      <x:text>
        <x:r>
          <x:t>Current period divided by the prior matching period less one, or an editable forecast growth assumption. Preserve unavailable growth across definition changes. This is the editable Downside case input.</x:t>
        </x:r>
      </x:text>
    </x:comment>
    <x:comment ref="O168" authorId="0">
      <x:text>
        <x:r>
          <x:t>Planned short-term investment balance growth (FY:27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P168" authorId="0">
      <x:text>
        <x:r>
          <x:t>Planned short-term investment balance growth (FY:28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Q168" authorId="0">
      <x:text>
        <x:r>
          <x:t>Planned short-term investment balance growth (FY:29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R168" authorId="0">
      <x:text>
        <x:r>
          <x:t>Planned short-term investment balance growth (FY:30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S168" authorId="0">
      <x:text>
        <x:r>
          <x:t>Planned short-term investment balance growth (FY:31 E).
Current period divided by the prior matching period less one, or an editable forecast growth assumption. Preserve unavailable growth across definition changes. Editable Downside scenario input.
Stored input or primary source observation. It is not calculated in this cell.</x:t>
        </x:r>
      </x:text>
    </x:comment>
    <x:comment ref="C169" authorId="0">
      <x:text>
        <x:r>
          <x:t>Ratio of the two measures named in the row label for the same fiscal year. Read the formula below for the exact numerator, denominator and sign treatment. Percentage or multiple formatting does not change the underlying value.</x:t>
        </x:r>
      </x:text>
    </x:comment>
    <x:comment ref="O169" authorId="0">
      <x:text>
        <x:r>
          <x:t>Cash purchases of equity investments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=IF(NOT(CHOOSE($D$4,ISNUMBER(O170),ISNUMBER(O171),ISNUMBER(O172))),"n.a.",CHOOSE($D$4,O170,O171,O172))
Cross-sheet references identify the owning schedule. Same-sheet references identify intermediate calculations.</x:t>
        </x:r>
      </x:text>
    </x:comment>
    <x:comment ref="P169" authorId="0">
      <x:text>
        <x:r>
          <x:t>Cash purchases of equity investments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=IF(NOT(CHOOSE($D$4,ISNUMBER(P170),ISNUMBER(P171),ISNUMBER(P172))),"n.a.",CHOOSE($D$4,P170,P171,P172))
Cross-sheet references identify the owning schedule. Same-sheet references identify intermediate calculations.</x:t>
        </x:r>
      </x:text>
    </x:comment>
    <x:comment ref="Q169" authorId="0">
      <x:text>
        <x:r>
          <x:t>Cash purchases of equity investments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=IF(NOT(CHOOSE($D$4,ISNUMBER(Q170),ISNUMBER(Q171),ISNUMBER(Q172))),"n.a.",CHOOSE($D$4,Q170,Q171,Q172))
Cross-sheet references identify the owning schedule. Same-sheet references identify intermediate calculations.</x:t>
        </x:r>
      </x:text>
    </x:comment>
    <x:comment ref="R169" authorId="0">
      <x:text>
        <x:r>
          <x:t>Cash purchases of equity investments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=IF(NOT(CHOOSE($D$4,ISNUMBER(R170),ISNUMBER(R171),ISNUMBER(R172))),"n.a.",CHOOSE($D$4,R170,R171,R172))
Cross-sheet references identify the owning schedule. Same-sheet references identify intermediate calculations.</x:t>
        </x:r>
      </x:text>
    </x:comment>
    <x:comment ref="S169" authorId="0">
      <x:text>
        <x:r>
          <x:t>Cash purchases of equity investments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=IF(NOT(CHOOSE($D$4,ISNUMBER(S170),ISNUMBER(S171),ISNUMBER(S172))),"n.a.",CHOOSE($D$4,S170,S171,S172))
Cross-sheet references identify the owning schedule. Same-sheet references identify intermediate calculations.</x:t>
        </x:r>
      </x:text>
    </x:comment>
    <x:comment ref="C170"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70" authorId="0">
      <x:text>
        <x:r>
          <x:t>Cash purchases of equity investments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70" authorId="0">
      <x:text>
        <x:r>
          <x:t>Cash purchases of equity investments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70" authorId="0">
      <x:text>
        <x:r>
          <x:t>Cash purchases of equity investments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70" authorId="0">
      <x:text>
        <x:r>
          <x:t>Cash purchases of equity investments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70" authorId="0">
      <x:text>
        <x:r>
          <x:t>Cash purchases of equity investments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71"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71" authorId="0">
      <x:text>
        <x:r>
          <x:t>Cash purchases of equity investments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71" authorId="0">
      <x:text>
        <x:r>
          <x:t>Cash purchases of equity investments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71" authorId="0">
      <x:text>
        <x:r>
          <x:t>Cash purchases of equity investments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71" authorId="0">
      <x:text>
        <x:r>
          <x:t>Cash purchases of equity investments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71" authorId="0">
      <x:text>
        <x:r>
          <x:t>Cash purchases of equity investments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72"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72" authorId="0">
      <x:text>
        <x:r>
          <x:t>Cash purchases of equity investments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72" authorId="0">
      <x:text>
        <x:r>
          <x:t>Cash purchases of equity investments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72" authorId="0">
      <x:text>
        <x:r>
          <x:t>Cash purchases of equity investments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72" authorId="0">
      <x:text>
        <x:r>
          <x:t>Cash purchases of equity investments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72" authorId="0">
      <x:text>
        <x:r>
          <x:t>Cash purchases of equity investments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73" authorId="0">
      <x:text>
        <x:r>
          <x:t>Ratio of the two measures named in the row label for the same fiscal year. Read the formula below for the exact numerator, denominator and sign treatment. Percentage or multiple formatting does not change the underlying value.</x:t>
        </x:r>
      </x:text>
    </x:comment>
    <x:comment ref="E173" authorId="0">
      <x:text>
        <x:r>
          <x:t>Cash proceeds from employee share issuance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Flow'!E43/'Income Statement'!E8
Cross-sheet references identify the owning schedule. Same-sheet references identify intermediate calculations.</x:t>
        </x:r>
      </x:text>
    </x:comment>
    <x:comment ref="F173" authorId="0">
      <x:text>
        <x:r>
          <x:t>Cash proceeds from employee share issuance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Flow'!F43/'Income Statement'!F8
Cross-sheet references identify the owning schedule. Same-sheet references identify intermediate calculations.</x:t>
        </x:r>
      </x:text>
    </x:comment>
    <x:comment ref="G173" authorId="0">
      <x:text>
        <x:r>
          <x:t>Cash proceeds from employee share issuance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Flow'!G43/'Income Statement'!G8
Cross-sheet references identify the owning schedule. Same-sheet references identify intermediate calculations.</x:t>
        </x:r>
      </x:text>
    </x:comment>
    <x:comment ref="H173" authorId="0">
      <x:text>
        <x:r>
          <x:t>Cash proceeds from employee share issuance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Flow'!H43/'Income Statement'!H8
Cross-sheet references identify the owning schedule. Same-sheet references identify intermediate calculations.</x:t>
        </x:r>
      </x:text>
    </x:comment>
    <x:comment ref="I173" authorId="0">
      <x:text>
        <x:r>
          <x:t>Cash proceeds from employee share issuance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Flow'!I43/'Income Statement'!I8
Cross-sheet references identify the owning schedule. Same-sheet references identify intermediate calculations.</x:t>
        </x:r>
      </x:text>
    </x:comment>
    <x:comment ref="J173" authorId="0">
      <x:text>
        <x:r>
          <x:t>Cash proceeds from employee share issuance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Flow'!J43/'Income Statement'!J8
Cross-sheet references identify the owning schedule. Same-sheet references identify intermediate calculations.</x:t>
        </x:r>
      </x:text>
    </x:comment>
    <x:comment ref="K173" authorId="0">
      <x:text>
        <x:r>
          <x:t>Cash proceeds from employee share issuance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Flow'!K43/'Income Statement'!K8
Cross-sheet references identify the owning schedule. Same-sheet references identify intermediate calculations.</x:t>
        </x:r>
      </x:text>
    </x:comment>
    <x:comment ref="L173" authorId="0">
      <x:text>
        <x:r>
          <x:t>Cash proceeds from employee share issuance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Flow'!L43/'Income Statement'!L8
Cross-sheet references identify the owning schedule. Same-sheet references identify intermediate calculations.</x:t>
        </x:r>
      </x:text>
    </x:comment>
    <x:comment ref="M173" authorId="0">
      <x:text>
        <x:r>
          <x:t>Cash proceeds from employee share issuance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Flow'!M43/'Income Statement'!M8
Cross-sheet references identify the owning schedule. Same-sheet references identify intermediate calculations.</x:t>
        </x:r>
      </x:text>
    </x:comment>
    <x:comment ref="N173" authorId="0">
      <x:text>
        <x:r>
          <x:t>Cash proceeds from employee share issuance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Flow'!N43/'Income Statement'!N8
Cross-sheet references identify the owning schedule. Same-sheet references identify intermediate calculations.</x:t>
        </x:r>
      </x:text>
    </x:comment>
    <x:comment ref="O173" authorId="0">
      <x:text>
        <x:r>
          <x:t>Cash proceeds from employee share issuance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=IF(NOT(CHOOSE($D$4,ISNUMBER(O174),ISNUMBER(O175),ISNUMBER(O176))),"n.a.",CHOOSE($D$4,O174,O175,O176))
Cross-sheet references identify the owning schedule. Same-sheet references identify intermediate calculations.</x:t>
        </x:r>
      </x:text>
    </x:comment>
    <x:comment ref="P173" authorId="0">
      <x:text>
        <x:r>
          <x:t>Cash proceeds from employee share issuance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=IF(NOT(CHOOSE($D$4,ISNUMBER(P174),ISNUMBER(P175),ISNUMBER(P176))),"n.a.",CHOOSE($D$4,P174,P175,P176))
Cross-sheet references identify the owning schedule. Same-sheet references identify intermediate calculations.</x:t>
        </x:r>
      </x:text>
    </x:comment>
    <x:comment ref="Q173" authorId="0">
      <x:text>
        <x:r>
          <x:t>Cash proceeds from employee share issuance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=IF(NOT(CHOOSE($D$4,ISNUMBER(Q174),ISNUMBER(Q175),ISNUMBER(Q176))),"n.a.",CHOOSE($D$4,Q174,Q175,Q176))
Cross-sheet references identify the owning schedule. Same-sheet references identify intermediate calculations.</x:t>
        </x:r>
      </x:text>
    </x:comment>
    <x:comment ref="R173" authorId="0">
      <x:text>
        <x:r>
          <x:t>Cash proceeds from employee share issuance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=IF(NOT(CHOOSE($D$4,ISNUMBER(R174),ISNUMBER(R175),ISNUMBER(R176))),"n.a.",CHOOSE($D$4,R174,R175,R176))
Cross-sheet references identify the owning schedule. Same-sheet references identify intermediate calculations.</x:t>
        </x:r>
      </x:text>
    </x:comment>
    <x:comment ref="S173" authorId="0">
      <x:text>
        <x:r>
          <x:t>Cash proceeds from employee share issuance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=IF(NOT(CHOOSE($D$4,ISNUMBER(S174),ISNUMBER(S175),ISNUMBER(S176))),"n.a.",CHOOSE($D$4,S174,S175,S176))
Cross-sheet references identify the owning schedule. Same-sheet references identify intermediate calculations.</x:t>
        </x:r>
      </x:text>
    </x:comment>
    <x:comment ref="C174"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74" authorId="0">
      <x:text>
        <x:r>
          <x:t>Cash proceeds from employee share issuance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74" authorId="0">
      <x:text>
        <x:r>
          <x:t>Cash proceeds from employee share issuance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74" authorId="0">
      <x:text>
        <x:r>
          <x:t>Cash proceeds from employee share issuance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74" authorId="0">
      <x:text>
        <x:r>
          <x:t>Cash proceeds from employee share issuance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74" authorId="0">
      <x:text>
        <x:r>
          <x:t>Cash proceeds from employee share issuance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75"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75" authorId="0">
      <x:text>
        <x:r>
          <x:t>Cash proceeds from employee share issuance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75" authorId="0">
      <x:text>
        <x:r>
          <x:t>Cash proceeds from employee share issuance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75" authorId="0">
      <x:text>
        <x:r>
          <x:t>Cash proceeds from employee share issuance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75" authorId="0">
      <x:text>
        <x:r>
          <x:t>Cash proceeds from employee share issuance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75" authorId="0">
      <x:text>
        <x:r>
          <x:t>Cash proceeds from employee share issuance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76"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76" authorId="0">
      <x:text>
        <x:r>
          <x:t>Cash proceeds from employee share issuance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76" authorId="0">
      <x:text>
        <x:r>
          <x:t>Cash proceeds from employee share issuance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76" authorId="0">
      <x:text>
        <x:r>
          <x:t>Cash proceeds from employee share issuance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76" authorId="0">
      <x:text>
        <x:r>
          <x:t>Cash proceeds from employee share issuance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76" authorId="0">
      <x:text>
        <x:r>
          <x:t>Cash proceeds from employee share issuance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77" authorId="0">
      <x:text>
        <x:r>
          <x:t>Ratio of the two measures named in the row label for the same fiscal year. Read the formula below for the exact numerator, denominator and sign treatment. Percentage or multiple formatting does not change the underlying value.</x:t>
        </x:r>
      </x:text>
    </x:comment>
    <x:comment ref="E177" authorId="0">
      <x:text>
        <x:r>
          <x:t>Stock-based compensation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Flow'!E12/'Income Statement'!E8
Cross-sheet references identify the owning schedule. Same-sheet references identify intermediate calculations.</x:t>
        </x:r>
      </x:text>
    </x:comment>
    <x:comment ref="F177" authorId="0">
      <x:text>
        <x:r>
          <x:t>Stock-based compensation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Flow'!F12/'Income Statement'!F8
Cross-sheet references identify the owning schedule. Same-sheet references identify intermediate calculations.</x:t>
        </x:r>
      </x:text>
    </x:comment>
    <x:comment ref="G177" authorId="0">
      <x:text>
        <x:r>
          <x:t>Stock-based compensation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Flow'!G12/'Income Statement'!G8
Cross-sheet references identify the owning schedule. Same-sheet references identify intermediate calculations.</x:t>
        </x:r>
      </x:text>
    </x:comment>
    <x:comment ref="H177" authorId="0">
      <x:text>
        <x:r>
          <x:t>Stock-based compensation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Flow'!H12/'Income Statement'!H8
Cross-sheet references identify the owning schedule. Same-sheet references identify intermediate calculations.</x:t>
        </x:r>
      </x:text>
    </x:comment>
    <x:comment ref="I177" authorId="0">
      <x:text>
        <x:r>
          <x:t>Stock-based compensation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Flow'!I12/'Income Statement'!I8
Cross-sheet references identify the owning schedule. Same-sheet references identify intermediate calculations.</x:t>
        </x:r>
      </x:text>
    </x:comment>
    <x:comment ref="J177" authorId="0">
      <x:text>
        <x:r>
          <x:t>Stock-based compensation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Flow'!J12/'Income Statement'!J8
Cross-sheet references identify the owning schedule. Same-sheet references identify intermediate calculations.</x:t>
        </x:r>
      </x:text>
    </x:comment>
    <x:comment ref="K177" authorId="0">
      <x:text>
        <x:r>
          <x:t>Stock-based compensation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Flow'!K12/'Income Statement'!K8
Cross-sheet references identify the owning schedule. Same-sheet references identify intermediate calculations.</x:t>
        </x:r>
      </x:text>
    </x:comment>
    <x:comment ref="L177" authorId="0">
      <x:text>
        <x:r>
          <x:t>Stock-based compensation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Flow'!L12/'Income Statement'!L8
Cross-sheet references identify the owning schedule. Same-sheet references identify intermediate calculations.</x:t>
        </x:r>
      </x:text>
    </x:comment>
    <x:comment ref="M177" authorId="0">
      <x:text>
        <x:r>
          <x:t>Stock-based compensation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Flow'!M12/'Income Statement'!M8
Cross-sheet references identify the owning schedule. Same-sheet references identify intermediate calculations.</x:t>
        </x:r>
      </x:text>
    </x:comment>
    <x:comment ref="N177" authorId="0">
      <x:text>
        <x:r>
          <x:t>Stock-based compensation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Flow'!N12/'Income Statement'!N8
Cross-sheet references identify the owning schedule. Same-sheet references identify intermediate calculations.</x:t>
        </x:r>
      </x:text>
    </x:comment>
    <x:comment ref="O177" authorId="0">
      <x:text>
        <x:r>
          <x:t>Stock-based compensation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=IF(NOT(CHOOSE($D$4,ISNUMBER(O178),ISNUMBER(O179),ISNUMBER(O180))),"n.a.",CHOOSE($D$4,O178,O179,O180))
Cross-sheet references identify the owning schedule. Same-sheet references identify intermediate calculations.</x:t>
        </x:r>
      </x:text>
    </x:comment>
    <x:comment ref="P177" authorId="0">
      <x:text>
        <x:r>
          <x:t>Stock-based compensation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=IF(NOT(CHOOSE($D$4,ISNUMBER(P178),ISNUMBER(P179),ISNUMBER(P180))),"n.a.",CHOOSE($D$4,P178,P179,P180))
Cross-sheet references identify the owning schedule. Same-sheet references identify intermediate calculations.</x:t>
        </x:r>
      </x:text>
    </x:comment>
    <x:comment ref="Q177" authorId="0">
      <x:text>
        <x:r>
          <x:t>Stock-based compensation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=IF(NOT(CHOOSE($D$4,ISNUMBER(Q178),ISNUMBER(Q179),ISNUMBER(Q180))),"n.a.",CHOOSE($D$4,Q178,Q179,Q180))
Cross-sheet references identify the owning schedule. Same-sheet references identify intermediate calculations.</x:t>
        </x:r>
      </x:text>
    </x:comment>
    <x:comment ref="R177" authorId="0">
      <x:text>
        <x:r>
          <x:t>Stock-based compensation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=IF(NOT(CHOOSE($D$4,ISNUMBER(R178),ISNUMBER(R179),ISNUMBER(R180))),"n.a.",CHOOSE($D$4,R178,R179,R180))
Cross-sheet references identify the owning schedule. Same-sheet references identify intermediate calculations.</x:t>
        </x:r>
      </x:text>
    </x:comment>
    <x:comment ref="S177" authorId="0">
      <x:text>
        <x:r>
          <x:t>Stock-based compensation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=IF(NOT(CHOOSE($D$4,ISNUMBER(S178),ISNUMBER(S179),ISNUMBER(S180))),"n.a.",CHOOSE($D$4,S178,S179,S180))
Cross-sheet references identify the owning schedule. Same-sheet references identify intermediate calculations.</x:t>
        </x:r>
      </x:text>
    </x:comment>
    <x:comment ref="C178"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78" authorId="0">
      <x:text>
        <x:r>
          <x:t>Stock-based compensation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78" authorId="0">
      <x:text>
        <x:r>
          <x:t>Stock-based compensation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78" authorId="0">
      <x:text>
        <x:r>
          <x:t>Stock-based compensation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78" authorId="0">
      <x:text>
        <x:r>
          <x:t>Stock-based compensation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78" authorId="0">
      <x:text>
        <x:r>
          <x:t>Stock-based compensation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79"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79" authorId="0">
      <x:text>
        <x:r>
          <x:t>Stock-based compensation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79" authorId="0">
      <x:text>
        <x:r>
          <x:t>Stock-based compensation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79" authorId="0">
      <x:text>
        <x:r>
          <x:t>Stock-based compensation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79" authorId="0">
      <x:text>
        <x:r>
          <x:t>Stock-based compensation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79" authorId="0">
      <x:text>
        <x:r>
          <x:t>Stock-based compensation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80"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80" authorId="0">
      <x:text>
        <x:r>
          <x:t>Stock-based compensation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80" authorId="0">
      <x:text>
        <x:r>
          <x:t>Stock-based compensation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80" authorId="0">
      <x:text>
        <x:r>
          <x:t>Stock-based compensation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80" authorId="0">
      <x:text>
        <x:r>
          <x:t>Stock-based compensation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80" authorId="0">
      <x:text>
        <x:r>
          <x:t>Stock-based compensation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81" authorId="0">
      <x:text>
        <x:r>
          <x:t>Share of buybacks charged to retained earnings. This line belongs to the Assumptions calculation. Read its formula to trace the referenced inputs and intermediate totals.</x:t>
        </x:r>
      </x:text>
    </x:comment>
    <x:comment ref="O181" authorId="0">
      <x:text>
        <x:r>
          <x:t>Share of buybacks charged to retained earnings (FY:27 E).
Share of buybacks charged to retained earnings. This line belongs to the Assumptions calculation. Read its formula to trace the referenced inputs and intermediate totals. The active forecast row selects the case input below it and feeds the operating model.
Formula: =IF(NOT(CHOOSE($D$4,ISNUMBER(O182),ISNUMBER(O183),ISNUMBER(O184))),"n.a.",CHOOSE($D$4,O182,O183,O184))
Cross-sheet references identify the owning schedule. Same-sheet references identify intermediate calculations.</x:t>
        </x:r>
      </x:text>
    </x:comment>
    <x:comment ref="P181" authorId="0">
      <x:text>
        <x:r>
          <x:t>Share of buybacks charged to retained earnings (FY:28 E).
Share of buybacks charged to retained earnings. This line belongs to the Assumptions calculation. Read its formula to trace the referenced inputs and intermediate totals. The active forecast row selects the case input below it and feeds the operating model.
Formula: =IF(NOT(CHOOSE($D$4,ISNUMBER(P182),ISNUMBER(P183),ISNUMBER(P184))),"n.a.",CHOOSE($D$4,P182,P183,P184))
Cross-sheet references identify the owning schedule. Same-sheet references identify intermediate calculations.</x:t>
        </x:r>
      </x:text>
    </x:comment>
    <x:comment ref="Q181" authorId="0">
      <x:text>
        <x:r>
          <x:t>Share of buybacks charged to retained earnings (FY:29 E).
Share of buybacks charged to retained earnings. This line belongs to the Assumptions calculation. Read its formula to trace the referenced inputs and intermediate totals. The active forecast row selects the case input below it and feeds the operating model.
Formula: =IF(NOT(CHOOSE($D$4,ISNUMBER(Q182),ISNUMBER(Q183),ISNUMBER(Q184))),"n.a.",CHOOSE($D$4,Q182,Q183,Q184))
Cross-sheet references identify the owning schedule. Same-sheet references identify intermediate calculations.</x:t>
        </x:r>
      </x:text>
    </x:comment>
    <x:comment ref="R181" authorId="0">
      <x:text>
        <x:r>
          <x:t>Share of buybacks charged to retained earnings (FY:30 E).
Share of buybacks charged to retained earnings. This line belongs to the Assumptions calculation. Read its formula to trace the referenced inputs and intermediate totals. The active forecast row selects the case input below it and feeds the operating model.
Formula: =IF(NOT(CHOOSE($D$4,ISNUMBER(R182),ISNUMBER(R183),ISNUMBER(R184))),"n.a.",CHOOSE($D$4,R182,R183,R184))
Cross-sheet references identify the owning schedule. Same-sheet references identify intermediate calculations.</x:t>
        </x:r>
      </x:text>
    </x:comment>
    <x:comment ref="S181" authorId="0">
      <x:text>
        <x:r>
          <x:t>Share of buybacks charged to retained earnings (FY:31 E).
Share of buybacks charged to retained earnings. This line belongs to the Assumptions calculation. Read its formula to trace the referenced inputs and intermediate totals. The active forecast row selects the case input below it and feeds the operating model.
Formula: =IF(NOT(CHOOSE($D$4,ISNUMBER(S182),ISNUMBER(S183),ISNUMBER(S184))),"n.a.",CHOOSE($D$4,S182,S183,S184))
Cross-sheet references identify the owning schedule. Same-sheet references identify intermediate calculations.</x:t>
        </x:r>
      </x:text>
    </x:comment>
    <x:comment ref="C182" authorId="0">
      <x:text>
        <x:r>
          <x:t>Share of buybacks charged to retained earnings. This line belongs to the Assumptions calculation. Read its formula to trace the referenced inputs and intermediate totals. This is the editable Base case input.</x:t>
        </x:r>
      </x:text>
    </x:comment>
    <x:comment ref="O182" authorId="0">
      <x:text>
        <x:r>
          <x:t>Share of buybacks charged to retained earnings (FY:27 E).
Share of buybacks charged to retained earnings. This line belongs to the Assumptions calculation. Read its formula to trace the referenced inputs and intermediate totals. Editable Base scenario input.
Stored input or primary source observation. It is not calculated in this cell.</x:t>
        </x:r>
      </x:text>
    </x:comment>
    <x:comment ref="P182" authorId="0">
      <x:text>
        <x:r>
          <x:t>Share of buybacks charged to retained earnings (FY:28 E).
Share of buybacks charged to retained earnings. This line belongs to the Assumptions calculation. Read its formula to trace the referenced inputs and intermediate totals. Editable Base scenario input.
Stored input or primary source observation. It is not calculated in this cell.</x:t>
        </x:r>
      </x:text>
    </x:comment>
    <x:comment ref="Q182" authorId="0">
      <x:text>
        <x:r>
          <x:t>Share of buybacks charged to retained earnings (FY:29 E).
Share of buybacks charged to retained earnings. This line belongs to the Assumptions calculation. Read its formula to trace the referenced inputs and intermediate totals. Editable Base scenario input.
Stored input or primary source observation. It is not calculated in this cell.</x:t>
        </x:r>
      </x:text>
    </x:comment>
    <x:comment ref="R182" authorId="0">
      <x:text>
        <x:r>
          <x:t>Share of buybacks charged to retained earnings (FY:30 E).
Share of buybacks charged to retained earnings. This line belongs to the Assumptions calculation. Read its formula to trace the referenced inputs and intermediate totals. Editable Base scenario input.
Stored input or primary source observation. It is not calculated in this cell.</x:t>
        </x:r>
      </x:text>
    </x:comment>
    <x:comment ref="S182" authorId="0">
      <x:text>
        <x:r>
          <x:t>Share of buybacks charged to retained earnings (FY:31 E).
Share of buybacks charged to retained earnings. This line belongs to the Assumptions calculation. Read its formula to trace the referenced inputs and intermediate totals. Editable Base scenario input.
Stored input or primary source observation. It is not calculated in this cell.</x:t>
        </x:r>
      </x:text>
    </x:comment>
    <x:comment ref="C183" authorId="0">
      <x:text>
        <x:r>
          <x:t>Share of buybacks charged to retained earnings. This line belongs to the Assumptions calculation. Read its formula to trace the referenced inputs and intermediate totals. This is the editable Upside case input.</x:t>
        </x:r>
      </x:text>
    </x:comment>
    <x:comment ref="O183" authorId="0">
      <x:text>
        <x:r>
          <x:t>Share of buybacks charged to retained earnings (FY:27 E).
Share of buybacks charged to retained earnings. This line belongs to the Assumptions calculation. Read its formula to trace the referenced inputs and intermediate totals. Editable Upside scenario input.
Stored input or primary source observation. It is not calculated in this cell.</x:t>
        </x:r>
      </x:text>
    </x:comment>
    <x:comment ref="P183" authorId="0">
      <x:text>
        <x:r>
          <x:t>Share of buybacks charged to retained earnings (FY:28 E).
Share of buybacks charged to retained earnings. This line belongs to the Assumptions calculation. Read its formula to trace the referenced inputs and intermediate totals. Editable Upside scenario input.
Stored input or primary source observation. It is not calculated in this cell.</x:t>
        </x:r>
      </x:text>
    </x:comment>
    <x:comment ref="Q183" authorId="0">
      <x:text>
        <x:r>
          <x:t>Share of buybacks charged to retained earnings (FY:29 E).
Share of buybacks charged to retained earnings. This line belongs to the Assumptions calculation. Read its formula to trace the referenced inputs and intermediate totals. Editable Upside scenario input.
Stored input or primary source observation. It is not calculated in this cell.</x:t>
        </x:r>
      </x:text>
    </x:comment>
    <x:comment ref="R183" authorId="0">
      <x:text>
        <x:r>
          <x:t>Share of buybacks charged to retained earnings (FY:30 E).
Share of buybacks charged to retained earnings. This line belongs to the Assumptions calculation. Read its formula to trace the referenced inputs and intermediate totals. Editable Upside scenario input.
Stored input or primary source observation. It is not calculated in this cell.</x:t>
        </x:r>
      </x:text>
    </x:comment>
    <x:comment ref="S183" authorId="0">
      <x:text>
        <x:r>
          <x:t>Share of buybacks charged to retained earnings (FY:31 E).
Share of buybacks charged to retained earnings. This line belongs to the Assumptions calculation. Read its formula to trace the referenced inputs and intermediate totals. Editable Upside scenario input.
Stored input or primary source observation. It is not calculated in this cell.</x:t>
        </x:r>
      </x:text>
    </x:comment>
    <x:comment ref="C184" authorId="0">
      <x:text>
        <x:r>
          <x:t>Share of buybacks charged to retained earnings. This line belongs to the Assumptions calculation. Read its formula to trace the referenced inputs and intermediate totals. This is the editable Downside case input.</x:t>
        </x:r>
      </x:text>
    </x:comment>
    <x:comment ref="O184" authorId="0">
      <x:text>
        <x:r>
          <x:t>Share of buybacks charged to retained earnings (FY:27 E).
Share of buybacks charged to retained earnings. This line belongs to the Assumptions calculation. Read its formula to trace the referenced inputs and intermediate totals. Editable Downside scenario input.
Stored input or primary source observation. It is not calculated in this cell.</x:t>
        </x:r>
      </x:text>
    </x:comment>
    <x:comment ref="P184" authorId="0">
      <x:text>
        <x:r>
          <x:t>Share of buybacks charged to retained earnings (FY:28 E).
Share of buybacks charged to retained earnings. This line belongs to the Assumptions calculation. Read its formula to trace the referenced inputs and intermediate totals. Editable Downside scenario input.
Stored input or primary source observation. It is not calculated in this cell.</x:t>
        </x:r>
      </x:text>
    </x:comment>
    <x:comment ref="Q184" authorId="0">
      <x:text>
        <x:r>
          <x:t>Share of buybacks charged to retained earnings (FY:29 E).
Share of buybacks charged to retained earnings. This line belongs to the Assumptions calculation. Read its formula to trace the referenced inputs and intermediate totals. Editable Downside scenario input.
Stored input or primary source observation. It is not calculated in this cell.</x:t>
        </x:r>
      </x:text>
    </x:comment>
    <x:comment ref="R184" authorId="0">
      <x:text>
        <x:r>
          <x:t>Share of buybacks charged to retained earnings (FY:30 E).
Share of buybacks charged to retained earnings. This line belongs to the Assumptions calculation. Read its formula to trace the referenced inputs and intermediate totals. Editable Downside scenario input.
Stored input or primary source observation. It is not calculated in this cell.</x:t>
        </x:r>
      </x:text>
    </x:comment>
    <x:comment ref="S184" authorId="0">
      <x:text>
        <x:r>
          <x:t>Share of buybacks charged to retained earnings (FY:31 E).
Share of buybacks charged to retained earnings. This line belongs to the Assumptions calculation. Read its formula to trace the referenced inputs and intermediate totals. Editable Downside scenario input.
Stored input or primary source observation. It is not calculated in this cell.</x:t>
        </x:r>
      </x:text>
    </x:comment>
    <x:comment ref="C185" authorId="0">
      <x:text>
        <x:r>
          <x:t>Dividends as share of positive net income. This line belongs to the Assumptions calculation. Read its formula to trace the referenced inputs and intermediate totals.</x:t>
        </x:r>
      </x:text>
    </x:comment>
    <x:comment ref="E185" authorId="0">
      <x:text>
        <x:r>
          <x:t>Dividends as share of positive net income (FY:17 A).
Dividends as share of positive net income. This line belongs to the Assumptions calculation. Read its formula to trace the referenced inputs and intermediate totals. The active forecast row selects the case input below it and feeds the operating model.
Formula: =-'Cash Flow'!E45/'Income Statement'!E28
Cross-sheet references identify the owning schedule. Same-sheet references identify intermediate calculations.</x:t>
        </x:r>
      </x:text>
    </x:comment>
    <x:comment ref="F185" authorId="0">
      <x:text>
        <x:r>
          <x:t>Dividends as share of positive net income (FY:18 A).
Dividends as share of positive net income. This line belongs to the Assumptions calculation. Read its formula to trace the referenced inputs and intermediate totals. The active forecast row selects the case input below it and feeds the operating model.
Formula: =-'Cash Flow'!F45/'Income Statement'!F28
Cross-sheet references identify the owning schedule. Same-sheet references identify intermediate calculations.</x:t>
        </x:r>
      </x:text>
    </x:comment>
    <x:comment ref="G185" authorId="0">
      <x:text>
        <x:r>
          <x:t>Dividends as share of positive net income (FY:19 A).
Dividends as share of positive net income. This line belongs to the Assumptions calculation. Read its formula to trace the referenced inputs and intermediate totals. The active forecast row selects the case input below it and feeds the operating model.
Formula: =-'Cash Flow'!G45/'Income Statement'!G28
Cross-sheet references identify the owning schedule. Same-sheet references identify intermediate calculations.</x:t>
        </x:r>
      </x:text>
    </x:comment>
    <x:comment ref="H185" authorId="0">
      <x:text>
        <x:r>
          <x:t>Dividends as share of positive net income (FY:20 A).
Dividends as share of positive net income. This line belongs to the Assumptions calculation. Read its formula to trace the referenced inputs and intermediate totals. The active forecast row selects the case input below it and feeds the operating model.
Formula: =-'Cash Flow'!H45/'Income Statement'!H28
Cross-sheet references identify the owning schedule. Same-sheet references identify intermediate calculations.</x:t>
        </x:r>
      </x:text>
    </x:comment>
    <x:comment ref="I185" authorId="0">
      <x:text>
        <x:r>
          <x:t>Dividends as share of positive net income (FY:21 A).
Dividends as share of positive net income. This line belongs to the Assumptions calculation. Read its formula to trace the referenced inputs and intermediate totals. The active forecast row selects the case input below it and feeds the operating model.
Formula: =-'Cash Flow'!I45/'Income Statement'!I28
Cross-sheet references identify the owning schedule. Same-sheet references identify intermediate calculations.</x:t>
        </x:r>
      </x:text>
    </x:comment>
    <x:comment ref="J185" authorId="0">
      <x:text>
        <x:r>
          <x:t>Dividends as share of positive net income (FY:22 A).
Dividends as share of positive net income. This line belongs to the Assumptions calculation. Read its formula to trace the referenced inputs and intermediate totals. The active forecast row selects the case input below it and feeds the operating model.
Formula: =-'Cash Flow'!J45/'Income Statement'!J28
Cross-sheet references identify the owning schedule. Same-sheet references identify intermediate calculations.</x:t>
        </x:r>
      </x:text>
    </x:comment>
    <x:comment ref="K185" authorId="0">
      <x:text>
        <x:r>
          <x:t>Dividends as share of positive net income (FY:23 A).
Dividends as share of positive net income. This line belongs to the Assumptions calculation. Read its formula to trace the referenced inputs and intermediate totals. The active forecast row selects the case input below it and feeds the operating model.
Formula: =-'Cash Flow'!K45/'Income Statement'!K28
Cross-sheet references identify the owning schedule. Same-sheet references identify intermediate calculations.</x:t>
        </x:r>
      </x:text>
    </x:comment>
    <x:comment ref="L185" authorId="0">
      <x:text>
        <x:r>
          <x:t>Dividends as share of positive net income (FY:24 A).
Dividends as share of positive net income. This line belongs to the Assumptions calculation. Read its formula to trace the referenced inputs and intermediate totals. The active forecast row selects the case input below it and feeds the operating model.
Formula: =-'Cash Flow'!L45/'Income Statement'!L28
Cross-sheet references identify the owning schedule. Same-sheet references identify intermediate calculations.</x:t>
        </x:r>
      </x:text>
    </x:comment>
    <x:comment ref="M185" authorId="0">
      <x:text>
        <x:r>
          <x:t>Dividends as share of positive net income (FY:25 A).
Dividends as share of positive net income. This line belongs to the Assumptions calculation. Read its formula to trace the referenced inputs and intermediate totals. The active forecast row selects the case input below it and feeds the operating model.
Formula: =-'Cash Flow'!M45/'Income Statement'!M28
Cross-sheet references identify the owning schedule. Same-sheet references identify intermediate calculations.</x:t>
        </x:r>
      </x:text>
    </x:comment>
    <x:comment ref="N185" authorId="0">
      <x:text>
        <x:r>
          <x:t>Dividends as share of positive net income (FY:26 A).
Dividends as share of positive net income. This line belongs to the Assumptions calculation. Read its formula to trace the referenced inputs and intermediate totals. The active forecast row selects the case input below it and feeds the operating model.
Formula: =-'Cash Flow'!N45/'Income Statement'!N28
Cross-sheet references identify the owning schedule. Same-sheet references identify intermediate calculations.</x:t>
        </x:r>
      </x:text>
    </x:comment>
    <x:comment ref="O185" authorId="0">
      <x:text>
        <x:r>
          <x:t>Dividends as share of positive net income (FY:27 E).
Dividends as share of positive net income. This line belongs to the Assumptions calculation. Read its formula to trace the referenced inputs and intermediate totals. The active forecast row selects the case input below it and feeds the operating model.
Formula: =IF(NOT(CHOOSE($D$4,ISNUMBER(O186),ISNUMBER(O187),ISNUMBER(O188))),"n.a.",CHOOSE($D$4,O186,O187,O188))
Cross-sheet references identify the owning schedule. Same-sheet references identify intermediate calculations.</x:t>
        </x:r>
      </x:text>
    </x:comment>
    <x:comment ref="P185" authorId="0">
      <x:text>
        <x:r>
          <x:t>Dividends as share of positive net income (FY:28 E).
Dividends as share of positive net income. This line belongs to the Assumptions calculation. Read its formula to trace the referenced inputs and intermediate totals. The active forecast row selects the case input below it and feeds the operating model.
Formula: =IF(NOT(CHOOSE($D$4,ISNUMBER(P186),ISNUMBER(P187),ISNUMBER(P188))),"n.a.",CHOOSE($D$4,P186,P187,P188))
Cross-sheet references identify the owning schedule. Same-sheet references identify intermediate calculations.</x:t>
        </x:r>
      </x:text>
    </x:comment>
    <x:comment ref="Q185" authorId="0">
      <x:text>
        <x:r>
          <x:t>Dividends as share of positive net income (FY:29 E).
Dividends as share of positive net income. This line belongs to the Assumptions calculation. Read its formula to trace the referenced inputs and intermediate totals. The active forecast row selects the case input below it and feeds the operating model.
Formula: =IF(NOT(CHOOSE($D$4,ISNUMBER(Q186),ISNUMBER(Q187),ISNUMBER(Q188))),"n.a.",CHOOSE($D$4,Q186,Q187,Q188))
Cross-sheet references identify the owning schedule. Same-sheet references identify intermediate calculations.</x:t>
        </x:r>
      </x:text>
    </x:comment>
    <x:comment ref="R185" authorId="0">
      <x:text>
        <x:r>
          <x:t>Dividends as share of positive net income (FY:30 E).
Dividends as share of positive net income. This line belongs to the Assumptions calculation. Read its formula to trace the referenced inputs and intermediate totals. The active forecast row selects the case input below it and feeds the operating model.
Formula: =IF(NOT(CHOOSE($D$4,ISNUMBER(R186),ISNUMBER(R187),ISNUMBER(R188))),"n.a.",CHOOSE($D$4,R186,R187,R188))
Cross-sheet references identify the owning schedule. Same-sheet references identify intermediate calculations.</x:t>
        </x:r>
      </x:text>
    </x:comment>
    <x:comment ref="S185" authorId="0">
      <x:text>
        <x:r>
          <x:t>Dividends as share of positive net income (FY:31 E).
Dividends as share of positive net income. This line belongs to the Assumptions calculation. Read its formula to trace the referenced inputs and intermediate totals. The active forecast row selects the case input below it and feeds the operating model.
Formula: =IF(NOT(CHOOSE($D$4,ISNUMBER(S186),ISNUMBER(S187),ISNUMBER(S188))),"n.a.",CHOOSE($D$4,S186,S187,S188))
Cross-sheet references identify the owning schedule. Same-sheet references identify intermediate calculations.</x:t>
        </x:r>
      </x:text>
    </x:comment>
    <x:comment ref="C186" authorId="0">
      <x:text>
        <x:r>
          <x:t>Dividends as share of positive net income. This line belongs to the Assumptions calculation. Read its formula to trace the referenced inputs and intermediate totals. This is the editable Base case input.</x:t>
        </x:r>
      </x:text>
    </x:comment>
    <x:comment ref="O186" authorId="0">
      <x:text>
        <x:r>
          <x:t>Dividends as share of positive net income (FY:27 E).
Dividends as share of positive net income. This line belongs to the Assumptions calculation. Read its formula to trace the referenced inputs and intermediate totals. Editable Base scenario input.
Stored input or primary source observation. It is not calculated in this cell.</x:t>
        </x:r>
      </x:text>
    </x:comment>
    <x:comment ref="P186" authorId="0">
      <x:text>
        <x:r>
          <x:t>Dividends as share of positive net income (FY:28 E).
Dividends as share of positive net income. This line belongs to the Assumptions calculation. Read its formula to trace the referenced inputs and intermediate totals. Editable Base scenario input.
Stored input or primary source observation. It is not calculated in this cell.</x:t>
        </x:r>
      </x:text>
    </x:comment>
    <x:comment ref="Q186" authorId="0">
      <x:text>
        <x:r>
          <x:t>Dividends as share of positive net income (FY:29 E).
Dividends as share of positive net income. This line belongs to the Assumptions calculation. Read its formula to trace the referenced inputs and intermediate totals. Editable Base scenario input.
Stored input or primary source observation. It is not calculated in this cell.</x:t>
        </x:r>
      </x:text>
    </x:comment>
    <x:comment ref="R186" authorId="0">
      <x:text>
        <x:r>
          <x:t>Dividends as share of positive net income (FY:30 E).
Dividends as share of positive net income. This line belongs to the Assumptions calculation. Read its formula to trace the referenced inputs and intermediate totals. Editable Base scenario input.
Stored input or primary source observation. It is not calculated in this cell.</x:t>
        </x:r>
      </x:text>
    </x:comment>
    <x:comment ref="S186" authorId="0">
      <x:text>
        <x:r>
          <x:t>Dividends as share of positive net income (FY:31 E).
Dividends as share of positive net income. This line belongs to the Assumptions calculation. Read its formula to trace the referenced inputs and intermediate totals. Editable Base scenario input.
Stored input or primary source observation. It is not calculated in this cell.</x:t>
        </x:r>
      </x:text>
    </x:comment>
    <x:comment ref="C187" authorId="0">
      <x:text>
        <x:r>
          <x:t>Dividends as share of positive net income. This line belongs to the Assumptions calculation. Read its formula to trace the referenced inputs and intermediate totals. This is the editable Upside case input.</x:t>
        </x:r>
      </x:text>
    </x:comment>
    <x:comment ref="O187" authorId="0">
      <x:text>
        <x:r>
          <x:t>Dividends as share of positive net income (FY:27 E).
Dividends as share of positive net income. This line belongs to the Assumptions calculation. Read its formula to trace the referenced inputs and intermediate totals. Editable Upside scenario input.
Stored input or primary source observation. It is not calculated in this cell.</x:t>
        </x:r>
      </x:text>
    </x:comment>
    <x:comment ref="P187" authorId="0">
      <x:text>
        <x:r>
          <x:t>Dividends as share of positive net income (FY:28 E).
Dividends as share of positive net income. This line belongs to the Assumptions calculation. Read its formula to trace the referenced inputs and intermediate totals. Editable Upside scenario input.
Stored input or primary source observation. It is not calculated in this cell.</x:t>
        </x:r>
      </x:text>
    </x:comment>
    <x:comment ref="Q187" authorId="0">
      <x:text>
        <x:r>
          <x:t>Dividends as share of positive net income (FY:29 E).
Dividends as share of positive net income. This line belongs to the Assumptions calculation. Read its formula to trace the referenced inputs and intermediate totals. Editable Upside scenario input.
Stored input or primary source observation. It is not calculated in this cell.</x:t>
        </x:r>
      </x:text>
    </x:comment>
    <x:comment ref="R187" authorId="0">
      <x:text>
        <x:r>
          <x:t>Dividends as share of positive net income (FY:30 E).
Dividends as share of positive net income. This line belongs to the Assumptions calculation. Read its formula to trace the referenced inputs and intermediate totals. Editable Upside scenario input.
Stored input or primary source observation. It is not calculated in this cell.</x:t>
        </x:r>
      </x:text>
    </x:comment>
    <x:comment ref="S187" authorId="0">
      <x:text>
        <x:r>
          <x:t>Dividends as share of positive net income (FY:31 E).
Dividends as share of positive net income. This line belongs to the Assumptions calculation. Read its formula to trace the referenced inputs and intermediate totals. Editable Upside scenario input.
Stored input or primary source observation. It is not calculated in this cell.</x:t>
        </x:r>
      </x:text>
    </x:comment>
    <x:comment ref="C188" authorId="0">
      <x:text>
        <x:r>
          <x:t>Dividends as share of positive net income. This line belongs to the Assumptions calculation. Read its formula to trace the referenced inputs and intermediate totals. This is the editable Downside case input.</x:t>
        </x:r>
      </x:text>
    </x:comment>
    <x:comment ref="O188" authorId="0">
      <x:text>
        <x:r>
          <x:t>Dividends as share of positive net income (FY:27 E).
Dividends as share of positive net income. This line belongs to the Assumptions calculation. Read its formula to trace the referenced inputs and intermediate totals. Editable Downside scenario input.
Stored input or primary source observation. It is not calculated in this cell.</x:t>
        </x:r>
      </x:text>
    </x:comment>
    <x:comment ref="P188" authorId="0">
      <x:text>
        <x:r>
          <x:t>Dividends as share of positive net income (FY:28 E).
Dividends as share of positive net income. This line belongs to the Assumptions calculation. Read its formula to trace the referenced inputs and intermediate totals. Editable Downside scenario input.
Stored input or primary source observation. It is not calculated in this cell.</x:t>
        </x:r>
      </x:text>
    </x:comment>
    <x:comment ref="Q188" authorId="0">
      <x:text>
        <x:r>
          <x:t>Dividends as share of positive net income (FY:29 E).
Dividends as share of positive net income. This line belongs to the Assumptions calculation. Read its formula to trace the referenced inputs and intermediate totals. Editable Downside scenario input.
Stored input or primary source observation. It is not calculated in this cell.</x:t>
        </x:r>
      </x:text>
    </x:comment>
    <x:comment ref="R188" authorId="0">
      <x:text>
        <x:r>
          <x:t>Dividends as share of positive net income (FY:30 E).
Dividends as share of positive net income. This line belongs to the Assumptions calculation. Read its formula to trace the referenced inputs and intermediate totals. Editable Downside scenario input.
Stored input or primary source observation. It is not calculated in this cell.</x:t>
        </x:r>
      </x:text>
    </x:comment>
    <x:comment ref="S188" authorId="0">
      <x:text>
        <x:r>
          <x:t>Dividends as share of positive net income (FY:31 E).
Dividends as share of positive net income. This line belongs to the Assumptions calculation. Read its formula to trace the referenced inputs and intermediate totals. Editable Downside scenario input.
Stored input or primary source observation. It is not calculated in this cell.</x:t>
        </x:r>
      </x:text>
    </x:comment>
    <x:comment ref="C189" authorId="0">
      <x:text>
        <x:r>
          <x:t>Effective income tax rate. This line belongs to the Assumptions calculation. Read its formula to trace the referenced inputs and intermediate totals.</x:t>
        </x:r>
      </x:text>
    </x:comment>
    <x:comment ref="E189" authorId="0">
      <x:text>
        <x:r>
          <x:t>Effective income tax rate (FY:17 A).
Effective income tax rate. This line belongs to the Assumptions calculation. Read its formula to trace the referenced inputs and intermediate totals. The active forecast row selects the case input below it and feeds the operating model.
Formula: ='Income Statement'!E26
Cross-sheet references identify the owning schedule. Same-sheet references identify intermediate calculations.</x:t>
        </x:r>
      </x:text>
    </x:comment>
    <x:comment ref="F189" authorId="0">
      <x:text>
        <x:r>
          <x:t>Effective income tax rate (FY:18 A).
Effective income tax rate. This line belongs to the Assumptions calculation. Read its formula to trace the referenced inputs and intermediate totals. The active forecast row selects the case input below it and feeds the operating model.
Formula: ='Income Statement'!F26
Cross-sheet references identify the owning schedule. Same-sheet references identify intermediate calculations.</x:t>
        </x:r>
      </x:text>
    </x:comment>
    <x:comment ref="G189" authorId="0">
      <x:text>
        <x:r>
          <x:t>Effective income tax rate (FY:19 A).
Effective income tax rate. This line belongs to the Assumptions calculation. Read its formula to trace the referenced inputs and intermediate totals. The active forecast row selects the case input below it and feeds the operating model.
Formula: ='Income Statement'!G26
Cross-sheet references identify the owning schedule. Same-sheet references identify intermediate calculations.</x:t>
        </x:r>
      </x:text>
    </x:comment>
    <x:comment ref="H189" authorId="0">
      <x:text>
        <x:r>
          <x:t>Effective income tax rate (FY:20 A).
Effective income tax rate. This line belongs to the Assumptions calculation. Read its formula to trace the referenced inputs and intermediate totals. The active forecast row selects the case input below it and feeds the operating model.
Formula: ='Income Statement'!H26
Cross-sheet references identify the owning schedule. Same-sheet references identify intermediate calculations.</x:t>
        </x:r>
      </x:text>
    </x:comment>
    <x:comment ref="I189" authorId="0">
      <x:text>
        <x:r>
          <x:t>Effective income tax rate (FY:21 A).
Effective income tax rate. This line belongs to the Assumptions calculation. Read its formula to trace the referenced inputs and intermediate totals. The active forecast row selects the case input below it and feeds the operating model.
Formula: ='Income Statement'!I26
Cross-sheet references identify the owning schedule. Same-sheet references identify intermediate calculations.</x:t>
        </x:r>
      </x:text>
    </x:comment>
    <x:comment ref="J189" authorId="0">
      <x:text>
        <x:r>
          <x:t>Effective income tax rate (FY:22 A).
Effective income tax rate. This line belongs to the Assumptions calculation. Read its formula to trace the referenced inputs and intermediate totals. The active forecast row selects the case input below it and feeds the operating model.
Formula: ='Income Statement'!J26
Cross-sheet references identify the owning schedule. Same-sheet references identify intermediate calculations.</x:t>
        </x:r>
      </x:text>
    </x:comment>
    <x:comment ref="K189" authorId="0">
      <x:text>
        <x:r>
          <x:t>Effective income tax rate (FY:23 A).
Effective income tax rate. This line belongs to the Assumptions calculation. Read its formula to trace the referenced inputs and intermediate totals. The active forecast row selects the case input below it and feeds the operating model.
Formula: ='Income Statement'!K26
Cross-sheet references identify the owning schedule. Same-sheet references identify intermediate calculations.</x:t>
        </x:r>
      </x:text>
    </x:comment>
    <x:comment ref="L189" authorId="0">
      <x:text>
        <x:r>
          <x:t>Effective income tax rate (FY:24 A).
Effective income tax rate. This line belongs to the Assumptions calculation. Read its formula to trace the referenced inputs and intermediate totals. The active forecast row selects the case input below it and feeds the operating model.
Formula: ='Income Statement'!L26
Cross-sheet references identify the owning schedule. Same-sheet references identify intermediate calculations.</x:t>
        </x:r>
      </x:text>
    </x:comment>
    <x:comment ref="M189" authorId="0">
      <x:text>
        <x:r>
          <x:t>Effective income tax rate (FY:25 A).
Effective income tax rate. This line belongs to the Assumptions calculation. Read its formula to trace the referenced inputs and intermediate totals. The active forecast row selects the case input below it and feeds the operating model.
Formula: ='Income Statement'!M26
Cross-sheet references identify the owning schedule. Same-sheet references identify intermediate calculations.</x:t>
        </x:r>
      </x:text>
    </x:comment>
    <x:comment ref="N189" authorId="0">
      <x:text>
        <x:r>
          <x:t>Effective income tax rate (FY:26 A).
Effective income tax rate. This line belongs to the Assumptions calculation. Read its formula to trace the referenced inputs and intermediate totals. The active forecast row selects the case input below it and feeds the operating model.
Formula: ='Income Statement'!N26
Cross-sheet references identify the owning schedule. Same-sheet references identify intermediate calculations.</x:t>
        </x:r>
      </x:text>
    </x:comment>
    <x:comment ref="O189" authorId="0">
      <x:text>
        <x:r>
          <x:t>Effective income tax rate (FY:27 E).
Effective income tax rate. This line belongs to the Assumptions calculation. Read its formula to trace the referenced inputs and intermediate totals. The active forecast row selects the case input below it and feeds the operating model.
Formula: =IF(NOT(CHOOSE($D$4,ISNUMBER(O190),ISNUMBER(O191),ISNUMBER(O192))),"n.a.",CHOOSE($D$4,O190,O191,O192))
Cross-sheet references identify the owning schedule. Same-sheet references identify intermediate calculations.</x:t>
        </x:r>
      </x:text>
    </x:comment>
    <x:comment ref="P189" authorId="0">
      <x:text>
        <x:r>
          <x:t>Effective income tax rate (FY:28 E).
Effective income tax rate. This line belongs to the Assumptions calculation. Read its formula to trace the referenced inputs and intermediate totals. The active forecast row selects the case input below it and feeds the operating model.
Formula: =IF(NOT(CHOOSE($D$4,ISNUMBER(P190),ISNUMBER(P191),ISNUMBER(P192))),"n.a.",CHOOSE($D$4,P190,P191,P192))
Cross-sheet references identify the owning schedule. Same-sheet references identify intermediate calculations.</x:t>
        </x:r>
      </x:text>
    </x:comment>
    <x:comment ref="Q189" authorId="0">
      <x:text>
        <x:r>
          <x:t>Effective income tax rate (FY:29 E).
Effective income tax rate. This line belongs to the Assumptions calculation. Read its formula to trace the referenced inputs and intermediate totals. The active forecast row selects the case input below it and feeds the operating model.
Formula: =IF(NOT(CHOOSE($D$4,ISNUMBER(Q190),ISNUMBER(Q191),ISNUMBER(Q192))),"n.a.",CHOOSE($D$4,Q190,Q191,Q192))
Cross-sheet references identify the owning schedule. Same-sheet references identify intermediate calculations.</x:t>
        </x:r>
      </x:text>
    </x:comment>
    <x:comment ref="R189" authorId="0">
      <x:text>
        <x:r>
          <x:t>Effective income tax rate (FY:30 E).
Effective income tax rate. This line belongs to the Assumptions calculation. Read its formula to trace the referenced inputs and intermediate totals. The active forecast row selects the case input below it and feeds the operating model.
Formula: =IF(NOT(CHOOSE($D$4,ISNUMBER(R190),ISNUMBER(R191),ISNUMBER(R192))),"n.a.",CHOOSE($D$4,R190,R191,R192))
Cross-sheet references identify the owning schedule. Same-sheet references identify intermediate calculations.</x:t>
        </x:r>
      </x:text>
    </x:comment>
    <x:comment ref="S189" authorId="0">
      <x:text>
        <x:r>
          <x:t>Effective income tax rate (FY:31 E).
Effective income tax rate. This line belongs to the Assumptions calculation. Read its formula to trace the referenced inputs and intermediate totals. The active forecast row selects the case input below it and feeds the operating model.
Formula: =IF(NOT(CHOOSE($D$4,ISNUMBER(S190),ISNUMBER(S191),ISNUMBER(S192))),"n.a.",CHOOSE($D$4,S190,S191,S192))
Cross-sheet references identify the owning schedule. Same-sheet references identify intermediate calculations.</x:t>
        </x:r>
      </x:text>
    </x:comment>
    <x:comment ref="C190" authorId="0">
      <x:text>
        <x:r>
          <x:t>Effective income tax rate. This line belongs to the Assumptions calculation. Read its formula to trace the referenced inputs and intermediate totals. This is the editable Base case input.</x:t>
        </x:r>
      </x:text>
    </x:comment>
    <x:comment ref="O190" authorId="0">
      <x:text>
        <x:r>
          <x:t>Effective income tax rate (FY:27 E).
Effective income tax rate. This line belongs to the Assumptions calculation. Read its formula to trace the referenced inputs and intermediate totals. Editable Base scenario input.
Stored input or primary source observation. It is not calculated in this cell.</x:t>
        </x:r>
      </x:text>
    </x:comment>
    <x:comment ref="P190" authorId="0">
      <x:text>
        <x:r>
          <x:t>Effective income tax rate (FY:28 E).
Effective income tax rate. This line belongs to the Assumptions calculation. Read its formula to trace the referenced inputs and intermediate totals. Editable Base scenario input.
Stored input or primary source observation. It is not calculated in this cell.</x:t>
        </x:r>
      </x:text>
    </x:comment>
    <x:comment ref="Q190" authorId="0">
      <x:text>
        <x:r>
          <x:t>Effective income tax rate (FY:29 E).
Effective income tax rate. This line belongs to the Assumptions calculation. Read its formula to trace the referenced inputs and intermediate totals. Editable Base scenario input.
Stored input or primary source observation. It is not calculated in this cell.</x:t>
        </x:r>
      </x:text>
    </x:comment>
    <x:comment ref="R190" authorId="0">
      <x:text>
        <x:r>
          <x:t>Effective income tax rate (FY:30 E).
Effective income tax rate. This line belongs to the Assumptions calculation. Read its formula to trace the referenced inputs and intermediate totals. Editable Base scenario input.
Stored input or primary source observation. It is not calculated in this cell.</x:t>
        </x:r>
      </x:text>
    </x:comment>
    <x:comment ref="S190" authorId="0">
      <x:text>
        <x:r>
          <x:t>Effective income tax rate (FY:31 E).
Effective income tax rate. This line belongs to the Assumptions calculation. Read its formula to trace the referenced inputs and intermediate totals. Editable Base scenario input.
Stored input or primary source observation. It is not calculated in this cell.</x:t>
        </x:r>
      </x:text>
    </x:comment>
    <x:comment ref="C191" authorId="0">
      <x:text>
        <x:r>
          <x:t>Effective income tax rate. This line belongs to the Assumptions calculation. Read its formula to trace the referenced inputs and intermediate totals. This is the editable Upside case input.</x:t>
        </x:r>
      </x:text>
    </x:comment>
    <x:comment ref="O191" authorId="0">
      <x:text>
        <x:r>
          <x:t>Effective income tax rate (FY:27 E).
Effective income tax rate. This line belongs to the Assumptions calculation. Read its formula to trace the referenced inputs and intermediate totals. Editable Upside scenario input.
Stored input or primary source observation. It is not calculated in this cell.</x:t>
        </x:r>
      </x:text>
    </x:comment>
    <x:comment ref="P191" authorId="0">
      <x:text>
        <x:r>
          <x:t>Effective income tax rate (FY:28 E).
Effective income tax rate. This line belongs to the Assumptions calculation. Read its formula to trace the referenced inputs and intermediate totals. Editable Upside scenario input.
Stored input or primary source observation. It is not calculated in this cell.</x:t>
        </x:r>
      </x:text>
    </x:comment>
    <x:comment ref="Q191" authorId="0">
      <x:text>
        <x:r>
          <x:t>Effective income tax rate (FY:29 E).
Effective income tax rate. This line belongs to the Assumptions calculation. Read its formula to trace the referenced inputs and intermediate totals. Editable Upside scenario input.
Stored input or primary source observation. It is not calculated in this cell.</x:t>
        </x:r>
      </x:text>
    </x:comment>
    <x:comment ref="R191" authorId="0">
      <x:text>
        <x:r>
          <x:t>Effective income tax rate (FY:30 E).
Effective income tax rate. This line belongs to the Assumptions calculation. Read its formula to trace the referenced inputs and intermediate totals. Editable Upside scenario input.
Stored input or primary source observation. It is not calculated in this cell.</x:t>
        </x:r>
      </x:text>
    </x:comment>
    <x:comment ref="S191" authorId="0">
      <x:text>
        <x:r>
          <x:t>Effective income tax rate (FY:31 E).
Effective income tax rate. This line belongs to the Assumptions calculation. Read its formula to trace the referenced inputs and intermediate totals. Editable Upside scenario input.
Stored input or primary source observation. It is not calculated in this cell.</x:t>
        </x:r>
      </x:text>
    </x:comment>
    <x:comment ref="C192" authorId="0">
      <x:text>
        <x:r>
          <x:t>Effective income tax rate. This line belongs to the Assumptions calculation. Read its formula to trace the referenced inputs and intermediate totals. This is the editable Downside case input.</x:t>
        </x:r>
      </x:text>
    </x:comment>
    <x:comment ref="O192" authorId="0">
      <x:text>
        <x:r>
          <x:t>Effective income tax rate (FY:27 E).
Effective income tax rate. This line belongs to the Assumptions calculation. Read its formula to trace the referenced inputs and intermediate totals. Editable Downside scenario input.
Stored input or primary source observation. It is not calculated in this cell.</x:t>
        </x:r>
      </x:text>
    </x:comment>
    <x:comment ref="P192" authorId="0">
      <x:text>
        <x:r>
          <x:t>Effective income tax rate (FY:28 E).
Effective income tax rate. This line belongs to the Assumptions calculation. Read its formula to trace the referenced inputs and intermediate totals. Editable Downside scenario input.
Stored input or primary source observation. It is not calculated in this cell.</x:t>
        </x:r>
      </x:text>
    </x:comment>
    <x:comment ref="Q192" authorId="0">
      <x:text>
        <x:r>
          <x:t>Effective income tax rate (FY:29 E).
Effective income tax rate. This line belongs to the Assumptions calculation. Read its formula to trace the referenced inputs and intermediate totals. Editable Downside scenario input.
Stored input or primary source observation. It is not calculated in this cell.</x:t>
        </x:r>
      </x:text>
    </x:comment>
    <x:comment ref="R192" authorId="0">
      <x:text>
        <x:r>
          <x:t>Effective income tax rate (FY:30 E).
Effective income tax rate. This line belongs to the Assumptions calculation. Read its formula to trace the referenced inputs and intermediate totals. Editable Downside scenario input.
Stored input or primary source observation. It is not calculated in this cell.</x:t>
        </x:r>
      </x:text>
    </x:comment>
    <x:comment ref="S192" authorId="0">
      <x:text>
        <x:r>
          <x:t>Effective income tax rate (FY:31 E).
Effective income tax rate. This line belongs to the Assumptions calculation. Read its formula to trace the referenced inputs and intermediate totals. Editable Downside scenario input.
Stored input or primary source observation. It is not calculated in this cell.</x:t>
        </x:r>
      </x:text>
    </x:comment>
    <x:comment ref="C193" authorId="0">
      <x:text>
        <x:r>
          <x:t>Ratio of the two measures named in the row label for the same fiscal year. Read the formula below for the exact numerator, denominator and sign treatment. Percentage or multiple formatting does not change the underlying value.</x:t>
        </x:r>
      </x:text>
    </x:comment>
    <x:comment ref="E193" authorId="0">
      <x:text>
        <x:r>
          <x:t>Cash share repurchases / revenue (FY:17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Flow'!E44/'Income Statement'!E8
Cross-sheet references identify the owning schedule. Same-sheet references identify intermediate calculations.</x:t>
        </x:r>
      </x:text>
    </x:comment>
    <x:comment ref="F193" authorId="0">
      <x:text>
        <x:r>
          <x:t>Cash share repurchases / revenue (FY:18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Flow'!F44/'Income Statement'!F8
Cross-sheet references identify the owning schedule. Same-sheet references identify intermediate calculations.</x:t>
        </x:r>
      </x:text>
    </x:comment>
    <x:comment ref="G193" authorId="0">
      <x:text>
        <x:r>
          <x:t>Cash share repurchases / revenue (FY:19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Flow'!G44/'Income Statement'!G8
Cross-sheet references identify the owning schedule. Same-sheet references identify intermediate calculations.</x:t>
        </x:r>
      </x:text>
    </x:comment>
    <x:comment ref="H193" authorId="0">
      <x:text>
        <x:r>
          <x:t>Cash share repurchases / revenue (FY:20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Flow'!H44/'Income Statement'!H8
Cross-sheet references identify the owning schedule. Same-sheet references identify intermediate calculations.</x:t>
        </x:r>
      </x:text>
    </x:comment>
    <x:comment ref="I193" authorId="0">
      <x:text>
        <x:r>
          <x:t>Cash share repurchases / revenue (FY:21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Flow'!I44/'Income Statement'!I8
Cross-sheet references identify the owning schedule. Same-sheet references identify intermediate calculations.</x:t>
        </x:r>
      </x:text>
    </x:comment>
    <x:comment ref="J193" authorId="0">
      <x:text>
        <x:r>
          <x:t>Cash share repurchases / revenue (FY:22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Flow'!J44/'Income Statement'!J8
Cross-sheet references identify the owning schedule. Same-sheet references identify intermediate calculations.</x:t>
        </x:r>
      </x:text>
    </x:comment>
    <x:comment ref="K193" authorId="0">
      <x:text>
        <x:r>
          <x:t>Cash share repurchases / revenue (FY:23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Flow'!K44/'Income Statement'!K8
Cross-sheet references identify the owning schedule. Same-sheet references identify intermediate calculations.</x:t>
        </x:r>
      </x:text>
    </x:comment>
    <x:comment ref="L193" authorId="0">
      <x:text>
        <x:r>
          <x:t>Cash share repurchases / revenue (FY:24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Flow'!L44/'Income Statement'!L8
Cross-sheet references identify the owning schedule. Same-sheet references identify intermediate calculations.</x:t>
        </x:r>
      </x:text>
    </x:comment>
    <x:comment ref="M193" authorId="0">
      <x:text>
        <x:r>
          <x:t>Cash share repurchases / revenue (FY:25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Flow'!M44/'Income Statement'!M8
Cross-sheet references identify the owning schedule. Same-sheet references identify intermediate calculations.</x:t>
        </x:r>
      </x:text>
    </x:comment>
    <x:comment ref="N193" authorId="0">
      <x:text>
        <x:r>
          <x:t>Cash share repurchases / revenue (FY:26 A).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=-'Cash Flow'!N44/'Income Statement'!N8
Cross-sheet references identify the owning schedule. Same-sheet references identify intermediate calculations.</x:t>
        </x:r>
      </x:text>
    </x:comment>
    <x:comment ref="O193" authorId="0">
      <x:text>
        <x:r>
          <x:t>Cash share repurchases / revenue (FY:27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=IF(NOT(CHOOSE($D$4,ISNUMBER(O194),ISNUMBER(O195),ISNUMBER(O196))),"n.a.",CHOOSE($D$4,O194,O195,O196))
Cross-sheet references identify the owning schedule. Same-sheet references identify intermediate calculations.</x:t>
        </x:r>
      </x:text>
    </x:comment>
    <x:comment ref="P193" authorId="0">
      <x:text>
        <x:r>
          <x:t>Cash share repurchases / revenue (FY:28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=IF(NOT(CHOOSE($D$4,ISNUMBER(P194),ISNUMBER(P195),ISNUMBER(P196))),"n.a.",CHOOSE($D$4,P194,P195,P196))
Cross-sheet references identify the owning schedule. Same-sheet references identify intermediate calculations.</x:t>
        </x:r>
      </x:text>
    </x:comment>
    <x:comment ref="Q193" authorId="0">
      <x:text>
        <x:r>
          <x:t>Cash share repurchases / revenue (FY:29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=IF(NOT(CHOOSE($D$4,ISNUMBER(Q194),ISNUMBER(Q195),ISNUMBER(Q196))),"n.a.",CHOOSE($D$4,Q194,Q195,Q196))
Cross-sheet references identify the owning schedule. Same-sheet references identify intermediate calculations.</x:t>
        </x:r>
      </x:text>
    </x:comment>
    <x:comment ref="R193" authorId="0">
      <x:text>
        <x:r>
          <x:t>Cash share repurchases / revenue (FY:30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=IF(NOT(CHOOSE($D$4,ISNUMBER(R194),ISNUMBER(R195),ISNUMBER(R196))),"n.a.",CHOOSE($D$4,R194,R195,R196))
Cross-sheet references identify the owning schedule. Same-sheet references identify intermediate calculations.</x:t>
        </x:r>
      </x:text>
    </x:comment>
    <x:comment ref="S193" authorId="0">
      <x:text>
        <x:r>
          <x:t>Cash share repurchases / revenue (FY:31 E).
Ratio of the two measures named in the row label for the same fiscal year. Read the formula below for the exact numerator, denominator and sign treatment. Percentage or multiple formatting does not change the underlying value. The active forecast row selects the case input below it and feeds the operating model.
Formula: =IF(NOT(CHOOSE($D$4,ISNUMBER(S194),ISNUMBER(S195),ISNUMBER(S196))),"n.a.",CHOOSE($D$4,S194,S195,S196))
Cross-sheet references identify the owning schedule. Same-sheet references identify intermediate calculations.</x:t>
        </x:r>
      </x:text>
    </x:comment>
    <x:comment ref="C194" authorId="0">
      <x:text>
        <x:r>
          <x:t>Ratio of the two measures named in the row label for the same fiscal year. Read the formula below for the exact numerator, denominator and sign treatment. Percentage or multiple formatting does not change the underlying value. This is the editable Base case input.</x:t>
        </x:r>
      </x:text>
    </x:comment>
    <x:comment ref="O194" authorId="0">
      <x:text>
        <x:r>
          <x:t>Cash share repurchases / revenue (FY:27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P194" authorId="0">
      <x:text>
        <x:r>
          <x:t>Cash share repurchases / revenue (FY:28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Q194" authorId="0">
      <x:text>
        <x:r>
          <x:t>Cash share repurchases / revenue (FY:29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R194" authorId="0">
      <x:text>
        <x:r>
          <x:t>Cash share repurchases / revenue (FY:30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S194" authorId="0">
      <x:text>
        <x:r>
          <x:t>Cash share repurchases / revenue (FY:31 E).
Ratio of the two measures named in the row label for the same fiscal year. Read the formula below for the exact numerator, denominator and sign treatment. Percentage or multiple formatting does not change the underlying value. Editable Base scenario input.
Stored input or primary source observation. It is not calculated in this cell.</x:t>
        </x:r>
      </x:text>
    </x:comment>
    <x:comment ref="C195" authorId="0">
      <x:text>
        <x:r>
          <x:t>Ratio of the two measures named in the row label for the same fiscal year. Read the formula below for the exact numerator, denominator and sign treatment. Percentage or multiple formatting does not change the underlying value. This is the editable Upside case input.</x:t>
        </x:r>
      </x:text>
    </x:comment>
    <x:comment ref="O195" authorId="0">
      <x:text>
        <x:r>
          <x:t>Cash share repurchases / revenue (FY:27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P195" authorId="0">
      <x:text>
        <x:r>
          <x:t>Cash share repurchases / revenue (FY:28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Q195" authorId="0">
      <x:text>
        <x:r>
          <x:t>Cash share repurchases / revenue (FY:29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R195" authorId="0">
      <x:text>
        <x:r>
          <x:t>Cash share repurchases / revenue (FY:30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S195" authorId="0">
      <x:text>
        <x:r>
          <x:t>Cash share repurchases / revenue (FY:31 E).
Ratio of the two measures named in the row label for the same fiscal year. Read the formula below for the exact numerator, denominator and sign treatment. Percentage or multiple formatting does not change the underlying value. Editable Upside scenario input.
Stored input or primary source observation. It is not calculated in this cell.</x:t>
        </x:r>
      </x:text>
    </x:comment>
    <x:comment ref="C196" authorId="0">
      <x:text>
        <x:r>
          <x:t>Ratio of the two measures named in the row label for the same fiscal year. Read the formula below for the exact numerator, denominator and sign treatment. Percentage or multiple formatting does not change the underlying value. This is the editable Downside case input.</x:t>
        </x:r>
      </x:text>
    </x:comment>
    <x:comment ref="O196" authorId="0">
      <x:text>
        <x:r>
          <x:t>Cash share repurchases / revenue (FY:27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P196" authorId="0">
      <x:text>
        <x:r>
          <x:t>Cash share repurchases / revenue (FY:28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Q196" authorId="0">
      <x:text>
        <x:r>
          <x:t>Cash share repurchases / revenue (FY:29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R196" authorId="0">
      <x:text>
        <x:r>
          <x:t>Cash share repurchases / revenue (FY:30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S196" authorId="0">
      <x:text>
        <x:r>
          <x:t>Cash share repurchases / revenue (FY:31 E).
Ratio of the two measures named in the row label for the same fiscal year. Read the formula below for the exact numerator, denominator and sign treatment. Percentage or multiple formatting does not change the underlying value. Editable Downside scenario input.
Stored input or primary source observation. It is not calculated in this cell.</x:t>
        </x:r>
      </x:text>
    </x:comment>
    <x:comment ref="C197" authorId="0">
      <x:text>
        <x:r>
          <x:t>Net change in diluted weighted average shares. This line belongs to the Assumptions calculation. Read its formula to trace the referenced inputs and intermediate totals.</x:t>
        </x:r>
      </x:text>
    </x:comment>
    <x:comment ref="E197" authorId="0">
      <x:text>
        <x:r>
          <x:t>Net change in diluted weighted average shares (FY:17 A).
Net change in diluted weighted average shares. This line belongs to the Assumptions calculation. Read its formula to trace the referenced inputs and intermediate totals. The active forecast row selects the case input below it and feeds the operating model. This period is unavailable or not applicable. Do not interpret it as zero.
Formula: ="n.a."
Cross-sheet references identify the owning schedule. Same-sheet references identify intermediate calculations.</x:t>
        </x:r>
      </x:text>
    </x:comment>
    <x:comment ref="F197" authorId="0">
      <x:text>
        <x:r>
          <x:t>Net change in diluted weighted average shares (FY:18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Statement'!F32/'Income Statement'!E32-1
Cross-sheet references identify the owning schedule. Same-sheet references identify intermediate calculations.</x:t>
        </x:r>
      </x:text>
    </x:comment>
    <x:comment ref="G197" authorId="0">
      <x:text>
        <x:r>
          <x:t>Net change in diluted weighted average shares (FY:19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Statement'!G32/'Income Statement'!F32-1
Cross-sheet references identify the owning schedule. Same-sheet references identify intermediate calculations.</x:t>
        </x:r>
      </x:text>
    </x:comment>
    <x:comment ref="H197" authorId="0">
      <x:text>
        <x:r>
          <x:t>Net change in diluted weighted average shares (FY:20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Statement'!H32/'Income Statement'!G32-1
Cross-sheet references identify the owning schedule. Same-sheet references identify intermediate calculations.</x:t>
        </x:r>
      </x:text>
    </x:comment>
    <x:comment ref="I197" authorId="0">
      <x:text>
        <x:r>
          <x:t>Net change in diluted weighted average shares (FY:21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Statement'!I32/'Income Statement'!H32-1
Cross-sheet references identify the owning schedule. Same-sheet references identify intermediate calculations.</x:t>
        </x:r>
      </x:text>
    </x:comment>
    <x:comment ref="J197" authorId="0">
      <x:text>
        <x:r>
          <x:t>Net change in diluted weighted average shares (FY:22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Statement'!J32/'Income Statement'!I32-1
Cross-sheet references identify the owning schedule. Same-sheet references identify intermediate calculations.</x:t>
        </x:r>
      </x:text>
    </x:comment>
    <x:comment ref="K197" authorId="0">
      <x:text>
        <x:r>
          <x:t>Net change in diluted weighted average shares (FY:23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Statement'!K32/'Income Statement'!J32-1
Cross-sheet references identify the owning schedule. Same-sheet references identify intermediate calculations.</x:t>
        </x:r>
      </x:text>
    </x:comment>
    <x:comment ref="L197" authorId="0">
      <x:text>
        <x:r>
          <x:t>Net change in diluted weighted average shares (FY:24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Statement'!L32/'Income Statement'!K32-1
Cross-sheet references identify the owning schedule. Same-sheet references identify intermediate calculations.</x:t>
        </x:r>
      </x:text>
    </x:comment>
    <x:comment ref="M197" authorId="0">
      <x:text>
        <x:r>
          <x:t>Net change in diluted weighted average shares (FY:25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Statement'!M32/'Income Statement'!L32-1
Cross-sheet references identify the owning schedule. Same-sheet references identify intermediate calculations.</x:t>
        </x:r>
      </x:text>
    </x:comment>
    <x:comment ref="N197" authorId="0">
      <x:text>
        <x:r>
          <x:t>Net change in diluted weighted average shares (FY:26 A).
Net change in diluted weighted average shares. This line belongs to the Assumptions calculation. Read its formula to trace the referenced inputs and intermediate totals. The active forecast row selects the case input below it and feeds the operating model.
Formula: ='Income Statement'!N32/'Income Statement'!M32-1
Cross-sheet references identify the owning schedule. Same-sheet references identify intermediate calculations.</x:t>
        </x:r>
      </x:text>
    </x:comment>
    <x:comment ref="O197" authorId="0">
      <x:text>
        <x:r>
          <x:t>Net change in diluted weighted average shares (FY:27 E).
Net change in diluted weighted average shares. This line belongs to the Assumptions calculation. Read its formula to trace the referenced inputs and intermediate totals. The active forecast row selects the case input below it and feeds the operating model.
Formula: =IF(NOT(CHOOSE($D$4,ISNUMBER(O198),ISNUMBER(O199),ISNUMBER(O200))),"n.a.",CHOOSE($D$4,O198,O199,O200))
Cross-sheet references identify the owning schedule. Same-sheet references identify intermediate calculations.</x:t>
        </x:r>
      </x:text>
    </x:comment>
    <x:comment ref="P197" authorId="0">
      <x:text>
        <x:r>
          <x:t>Net change in diluted weighted average shares (FY:28 E).
Net change in diluted weighted average shares. This line belongs to the Assumptions calculation. Read its formula to trace the referenced inputs and intermediate totals. The active forecast row selects the case input below it and feeds the operating model.
Formula: =IF(NOT(CHOOSE($D$4,ISNUMBER(P198),ISNUMBER(P199),ISNUMBER(P200))),"n.a.",CHOOSE($D$4,P198,P199,P200))
Cross-sheet references identify the owning schedule. Same-sheet references identify intermediate calculations.</x:t>
        </x:r>
      </x:text>
    </x:comment>
    <x:comment ref="Q197" authorId="0">
      <x:text>
        <x:r>
          <x:t>Net change in diluted weighted average shares (FY:29 E).
Net change in diluted weighted average shares. This line belongs to the Assumptions calculation. Read its formula to trace the referenced inputs and intermediate totals. The active forecast row selects the case input below it and feeds the operating model.
Formula: =IF(NOT(CHOOSE($D$4,ISNUMBER(Q198),ISNUMBER(Q199),ISNUMBER(Q200))),"n.a.",CHOOSE($D$4,Q198,Q199,Q200))
Cross-sheet references identify the owning schedule. Same-sheet references identify intermediate calculations.</x:t>
        </x:r>
      </x:text>
    </x:comment>
    <x:comment ref="R197" authorId="0">
      <x:text>
        <x:r>
          <x:t>Net change in diluted weighted average shares (FY:30 E).
Net change in diluted weighted average shares. This line belongs to the Assumptions calculation. Read its formula to trace the referenced inputs and intermediate totals. The active forecast row selects the case input below it and feeds the operating model.
Formula: =IF(NOT(CHOOSE($D$4,ISNUMBER(R198),ISNUMBER(R199),ISNUMBER(R200))),"n.a.",CHOOSE($D$4,R198,R199,R200))
Cross-sheet references identify the owning schedule. Same-sheet references identify intermediate calculations.</x:t>
        </x:r>
      </x:text>
    </x:comment>
    <x:comment ref="S197" authorId="0">
      <x:text>
        <x:r>
          <x:t>Net change in diluted weighted average shares (FY:31 E).
Net change in diluted weighted average shares. This line belongs to the Assumptions calculation. Read its formula to trace the referenced inputs and intermediate totals. The active forecast row selects the case input below it and feeds the operating model.
Formula: =IF(NOT(CHOOSE($D$4,ISNUMBER(S198),ISNUMBER(S199),ISNUMBER(S200))),"n.a.",CHOOSE($D$4,S198,S199,S200))
Cross-sheet references identify the owning schedule. Same-sheet references identify intermediate calculations.</x:t>
        </x:r>
      </x:text>
    </x:comment>
    <x:comment ref="C198" authorId="0">
      <x:text>
        <x:r>
          <x:t>Net change in diluted weighted average shares. This line belongs to the Assumptions calculation. Read its formula to trace the referenced inputs and intermediate totals. This is the editable Base case input.</x:t>
        </x:r>
      </x:text>
    </x:comment>
    <x:comment ref="O198" authorId="0">
      <x:text>
        <x:r>
          <x:t>Net change in diluted weighted average shares (FY:27 E).
Net change in diluted weighted average shares. This line belongs to the Assumptions calculation. Read its formula to trace the referenced inputs and intermediate totals. Editable Base scenario input.
Stored input or primary source observation. It is not calculated in this cell.</x:t>
        </x:r>
      </x:text>
    </x:comment>
    <x:comment ref="P198" authorId="0">
      <x:text>
        <x:r>
          <x:t>Net change in diluted weighted average shares (FY:28 E).
Net change in diluted weighted average shares. This line belongs to the Assumptions calculation. Read its formula to trace the referenced inputs and intermediate totals. Editable Base scenario input.
Stored input or primary source observation. It is not calculated in this cell.</x:t>
        </x:r>
      </x:text>
    </x:comment>
    <x:comment ref="Q198" authorId="0">
      <x:text>
        <x:r>
          <x:t>Net change in diluted weighted average shares (FY:29 E).
Net change in diluted weighted average shares. This line belongs to the Assumptions calculation. Read its formula to trace the referenced inputs and intermediate totals. Editable Base scenario input.
Stored input or primary source observation. It is not calculated in this cell.</x:t>
        </x:r>
      </x:text>
    </x:comment>
    <x:comment ref="R198" authorId="0">
      <x:text>
        <x:r>
          <x:t>Net change in diluted weighted average shares (FY:30 E).
Net change in diluted weighted average shares. This line belongs to the Assumptions calculation. Read its formula to trace the referenced inputs and intermediate totals. Editable Base scenario input.
Stored input or primary source observation. It is not calculated in this cell.</x:t>
        </x:r>
      </x:text>
    </x:comment>
    <x:comment ref="S198" authorId="0">
      <x:text>
        <x:r>
          <x:t>Net change in diluted weighted average shares (FY:31 E).
Net change in diluted weighted average shares. This line belongs to the Assumptions calculation. Read its formula to trace the referenced inputs and intermediate totals. Editable Base scenario input.
Stored input or primary source observation. It is not calculated in this cell.</x:t>
        </x:r>
      </x:text>
    </x:comment>
    <x:comment ref="C199" authorId="0">
      <x:text>
        <x:r>
          <x:t>Net change in diluted weighted average shares. This line belongs to the Assumptions calculation. Read its formula to trace the referenced inputs and intermediate totals. This is the editable Upside case input.</x:t>
        </x:r>
      </x:text>
    </x:comment>
    <x:comment ref="O199" authorId="0">
      <x:text>
        <x:r>
          <x:t>Net change in diluted weighted average shares (FY:27 E).
Net change in diluted weighted average shares. This line belongs to the Assumptions calculation. Read its formula to trace the referenced inputs and intermediate totals. Editable Upside scenario input.
Stored input or primary source observation. It is not calculated in this cell.</x:t>
        </x:r>
      </x:text>
    </x:comment>
    <x:comment ref="P199" authorId="0">
      <x:text>
        <x:r>
          <x:t>Net change in diluted weighted average shares (FY:28 E).
Net change in diluted weighted average shares. This line belongs to the Assumptions calculation. Read its formula to trace the referenced inputs and intermediate totals. Editable Upside scenario input.
Stored input or primary source observation. It is not calculated in this cell.</x:t>
        </x:r>
      </x:text>
    </x:comment>
    <x:comment ref="Q199" authorId="0">
      <x:text>
        <x:r>
          <x:t>Net change in diluted weighted average shares (FY:29 E).
Net change in diluted weighted average shares. This line belongs to the Assumptions calculation. Read its formula to trace the referenced inputs and intermediate totals. Editable Upside scenario input.
Stored input or primary source observation. It is not calculated in this cell.</x:t>
        </x:r>
      </x:text>
    </x:comment>
    <x:comment ref="R199" authorId="0">
      <x:text>
        <x:r>
          <x:t>Net change in diluted weighted average shares (FY:30 E).
Net change in diluted weighted average shares. This line belongs to the Assumptions calculation. Read its formula to trace the referenced inputs and intermediate totals. Editable Upside scenario input.
Stored input or primary source observation. It is not calculated in this cell.</x:t>
        </x:r>
      </x:text>
    </x:comment>
    <x:comment ref="S199" authorId="0">
      <x:text>
        <x:r>
          <x:t>Net change in diluted weighted average shares (FY:31 E).
Net change in diluted weighted average shares. This line belongs to the Assumptions calculation. Read its formula to trace the referenced inputs and intermediate totals. Editable Upside scenario input.
Stored input or primary source observation. It is not calculated in this cell.</x:t>
        </x:r>
      </x:text>
    </x:comment>
    <x:comment ref="C200" authorId="0">
      <x:text>
        <x:r>
          <x:t>Net change in diluted weighted average shares. This line belongs to the Assumptions calculation. Read its formula to trace the referenced inputs and intermediate totals. This is the editable Downside case input.</x:t>
        </x:r>
      </x:text>
    </x:comment>
    <x:comment ref="O200" authorId="0">
      <x:text>
        <x:r>
          <x:t>Net change in diluted weighted average shares (FY:27 E).
Net change in diluted weighted average shares. This line belongs to the Assumptions calculation. Read its formula to trace the referenced inputs and intermediate totals. Editable Downside scenario input.
Stored input or primary source observation. It is not calculated in this cell.</x:t>
        </x:r>
      </x:text>
    </x:comment>
    <x:comment ref="P200" authorId="0">
      <x:text>
        <x:r>
          <x:t>Net change in diluted weighted average shares (FY:28 E).
Net change in diluted weighted average shares. This line belongs to the Assumptions calculation. Read its formula to trace the referenced inputs and intermediate totals. Editable Downside scenario input.
Stored input or primary source observation. It is not calculated in this cell.</x:t>
        </x:r>
      </x:text>
    </x:comment>
    <x:comment ref="Q200" authorId="0">
      <x:text>
        <x:r>
          <x:t>Net change in diluted weighted average shares (FY:29 E).
Net change in diluted weighted average shares. This line belongs to the Assumptions calculation. Read its formula to trace the referenced inputs and intermediate totals. Editable Downside scenario input.
Stored input or primary source observation. It is not calculated in this cell.</x:t>
        </x:r>
      </x:text>
    </x:comment>
    <x:comment ref="R200" authorId="0">
      <x:text>
        <x:r>
          <x:t>Net change in diluted weighted average shares (FY:30 E).
Net change in diluted weighted average shares. This line belongs to the Assumptions calculation. Read its formula to trace the referenced inputs and intermediate totals. Editable Downside scenario input.
Stored input or primary source observation. It is not calculated in this cell.</x:t>
        </x:r>
      </x:text>
    </x:comment>
    <x:comment ref="S200" authorId="0">
      <x:text>
        <x:r>
          <x:t>Net change in diluted weighted average shares (FY:31 E).
Net change in diluted weighted average shares. This line belongs to the Assumptions calculation. Read its formula to trace the referenced inputs and intermediate totals. Editable Downside scenario input.
Stored input or primary source observation. It is not calculated in this cell.</x:t>
        </x:r>
      </x:text>
    </x:comment>
    <x:comment ref="C205" authorId="0">
      <x:text>
        <x:r>
          <x:t>ppe expense allocation. This line belongs to the Assumptions calculation. Read its formula to trace the referenced inputs and intermediate totals.</x:t>
        </x:r>
      </x:text>
    </x:comment>
    <x:comment ref="E205" authorId="0">
      <x:text>
        <x:r>
          <x:t>ppe expense allocation (FY:17 A).
ppe expense allocation. This line belongs to the Assumptions calculation. Read its formula to trace the referenced inputs and intermediate totals.
Stored input or primary source observation. It is not calculated in this cell.</x:t>
        </x:r>
      </x:text>
    </x:comment>
    <x:comment ref="F205" authorId="0">
      <x:text>
        <x:r>
          <x:t>ppe expense allocation (FY:18 A).
ppe expense allocation. This line belongs to the Assumptions calculation. Read its formula to trace the referenced inputs and intermediate totals.
Stored input or primary source observation. It is not calculated in this cell.</x:t>
        </x:r>
      </x:text>
    </x:comment>
    <x:comment ref="G205" authorId="0">
      <x:text>
        <x:r>
          <x:t>ppe expense allocation (FY:19 A).
ppe expense allocation. This line belongs to the Assumptions calculation. Read its formula to trace the referenced inputs and intermediate totals.
Stored input or primary source observation. It is not calculated in this cell.</x:t>
        </x:r>
      </x:text>
    </x:comment>
    <x:comment ref="H205" authorId="0">
      <x:text>
        <x:r>
          <x:t>ppe expense allocation (FY:20 A).
ppe expense allocation. This line belongs to the Assumptions calculation. Read its formula to trace the referenced inputs and intermediate totals.
Stored input or primary source observation. It is not calculated in this cell.</x:t>
        </x:r>
      </x:text>
    </x:comment>
    <x:comment ref="C206" authorId="0">
      <x:text>
        <x:r>
          <x:t>intangibles expense allocation. This line belongs to the Assumptions calculation. Read its formula to trace the referenced inputs and intermediate totals.</x:t>
        </x:r>
      </x:text>
    </x:comment>
    <x:comment ref="E206" authorId="0">
      <x:text>
        <x:r>
          <x:t>intangibles expense allocation (FY:17 A).
intangibles expense allocation. This line belongs to the Assumptions calculation. Read its formula to trace the referenced inputs and intermediate totals.
Stored input or primary source observation. It is not calculated in this cell.</x:t>
        </x:r>
      </x:text>
    </x:comment>
    <x:comment ref="F206" authorId="0">
      <x:text>
        <x:r>
          <x:t>intangibles expense allocation (FY:18 A).
intangibles expense allocation. This line belongs to the Assumptions calculation. Read its formula to trace the referenced inputs and intermediate totals.
Stored input or primary source observation. It is not calculated in this cell.</x:t>
        </x:r>
      </x:text>
    </x:comment>
    <x:comment ref="G206" authorId="0">
      <x:text>
        <x:r>
          <x:t>intangibles expense allocation (FY:19 A).
intangibles expense allocation. This line belongs to the Assumptions calculation. Read its formula to trace the referenced inputs and intermediate totals.
Stored input or primary source observation. It is not calculated in this cell.</x:t>
        </x:r>
      </x:text>
    </x:comment>
    <x:comment ref="H206" authorId="0">
      <x:text>
        <x:r>
          <x:t>intangibles expense allocation (FY:20 A).
intangibles expense allocation. This line belongs to the Assumptions calculation. Read its formula to trace the referenced inputs and intermediate totals.
Stored input or primary source observation. It is not calculated in this cell.</x:t>
        </x:r>
      </x:text>
    </x:comment>
    <x:comment ref="C207" authorId="0">
      <x:text>
        <x:r>
          <x:t>operating leases expense allocation. This line belongs to the Assumptions calculation. Read its formula to trace the referenced inputs and intermediate totals.</x:t>
        </x:r>
      </x:text>
    </x:comment>
    <x:comment ref="E207" authorId="0">
      <x:text>
        <x:r>
          <x:t>operating leases expense allocation (FY:17 A).
operating leases expense allocation. This line belongs to the Assumptions calculation. Read its formula to trace the referenced inputs and intermediate totals.
Stored input or primary source observation. It is not calculated in this cell.</x:t>
        </x:r>
      </x:text>
    </x:comment>
    <x:comment ref="F207" authorId="0">
      <x:text>
        <x:r>
          <x:t>operating leases expense allocation (FY:18 A).
operating leases expense allocation. This line belongs to the Assumptions calculation. Read its formula to trace the referenced inputs and intermediate totals.
Stored input or primary source observation. It is not calculated in this cell.</x:t>
        </x:r>
      </x:text>
    </x:comment>
    <x:comment ref="G207" authorId="0">
      <x:text>
        <x:r>
          <x:t>operating leases expense allocation (FY:19 A).
operating leases expense allocation. This line belongs to the Assumptions calculation. Read its formula to trace the referenced inputs and intermediate totals.
Stored input or primary source observation. It is not calculated in this cell.</x:t>
        </x:r>
      </x:text>
    </x:comment>
    <x:comment ref="H207" authorId="0">
      <x:text>
        <x:r>
          <x:t>operating leases expense allocation (FY:20 A).
operating leases expense allocation. This line belongs to the Assumptions calculation. Read its formula to trace the referenced inputs and intermediate totals.
Stored input or primary source observation. It is not calculated in this cell.</x:t>
        </x:r>
      </x:text>
    </x:comment>
    <x:comment ref="C208" authorId="0">
      <x:text>
        <x:r>
          <x:t>Operating expense allocation. This line belongs to the Assumptions calculation. Read its formula to trace the referenced inputs and intermediate totals.</x:t>
        </x:r>
      </x:text>
    </x:comment>
    <x:comment ref="E208" authorId="0">
      <x:text>
        <x:r>
          <x:t>Operating expense allocation (FY:17 A).
Operating expense allocation. This line belongs to the Assumptions calculation. Read its formula to trace the referenced inputs and intermediate totals.
Stored input or primary source observation. It is not calculated in this cell.</x:t>
        </x:r>
      </x:text>
    </x:comment>
    <x:comment ref="F208" authorId="0">
      <x:text>
        <x:r>
          <x:t>Operating expense allocation (FY:18 A).
Operating expense allocation. This line belongs to the Assumptions calculation. Read its formula to trace the referenced inputs and intermediate totals.
Stored input or primary source observation. It is not calculated in this cell.</x:t>
        </x:r>
      </x:text>
    </x:comment>
    <x:comment ref="G208" authorId="0">
      <x:text>
        <x:r>
          <x:t>Operating expense allocation (FY:19 A).
Operating expense allocation. This line belongs to the Assumptions calculation. Read its formula to trace the referenced inputs and intermediate totals.
Stored input or primary source observation. It is not calculated in this cell.</x:t>
        </x:r>
      </x:text>
    </x:comment>
    <x:comment ref="H208" authorId="0">
      <x:text>
        <x:r>
          <x:t>Operating expense allocation (FY:20 A).
Operating expense allocation. This line belongs to the Assumptions calculation. Read its formula to trace the referenced inputs and intermediate totals.
Stored input or primary source observation. It is not calculated in this cell.</x:t>
        </x:r>
      </x:text>
    </x:comment>
    <x:comment ref="C211" authorId="0">
      <x:text>
        <x:r>
          <x:t>Assumed FY2032 legacy debt maturity. This line belongs to the Assumptions calculation. Read its formula to trace the referenced inputs and intermediate totals.</x:t>
        </x:r>
      </x:text>
    </x:comment>
    <x:comment ref="O211" authorId="0">
      <x:text>
        <x:r>
          <x:t>Assumed FY2032 legacy debt maturity (FY:27 E).
Assumed FY2032 legacy debt maturity. This line belongs to the Assumptions calculation. Read its formula to trace the referenced inputs and intermediate totals.
Stored input or primary source observation. It is not calculated in this cell.</x:t>
        </x:r>
      </x:text>
    </x:comment>
    <x:comment ref="C212" authorId="0">
      <x:text>
        <x:r>
          <x:t>Assumed FY2032 legacy operating lease payment. This line belongs to the Assumptions calculation. Read its formula to trace the referenced inputs and intermediate totals.</x:t>
        </x:r>
      </x:text>
    </x:comment>
    <x:comment ref="O212" authorId="0">
      <x:text>
        <x:r>
          <x:t>Assumed FY2032 legacy operating lease payment (FY:27 E).
Assumed FY2032 legacy operating lease payment. This line belongs to the Assumptions calculation. Read its formula to trace the referenced inputs and intermediate totals.
Stored input or primary source observation. It is not calculated in this cell.</x:t>
        </x:r>
      </x:text>
    </x:comment>
    <x:comment ref="C213" authorId="0">
      <x:text>
        <x:r>
          <x:t>Assumed FY2032 legacy finance lease payment. This line belongs to the Assumptions calculation. Read its formula to trace the referenced inputs and intermediate totals.</x:t>
        </x:r>
      </x:text>
    </x:comment>
    <x:comment ref="O213" authorId="0">
      <x:text>
        <x:r>
          <x:t>Assumed FY2032 legacy finance lease payment (FY:27 E).
Assumed FY2032 legacy finance lease payment. This line belongs to the Assumptions calculation. Read its formula to trace the referenced inputs and intermediate totals.
Stored input or primary source observation. It is not calculated in this cell.</x:t>
        </x:r>
      </x:text>
    </x:comment>
    <x:comment ref="D4" authorId="0">
      <x:text>
        <x:r>
          <x:t>Authoritative editable scenario selector. Enter 1 for Base, 2 for Upside or 3 for Downside. The existing validation and active driver rows remain in place.</x:t>
        </x:r>
      </x:text>
    </x:comment>
    <x:comment ref="C230" authorId="0">
      <x:text>
        <x:r>
          <x:t>Live analytical observation. This formula reads the existing statement or schedule and updates with the selected case. ="FY2031 segment growth: PBP "&amp;(FIXED((S9)*100,1,TRUE)&amp;"%")&amp;", IC "&amp;(FIXED((S13)*100,1,TRUE)&amp;"%")&amp;", MPC "&amp;(FIXED((S17)*100,1,TRUE)&amp;"%")&amp;"."</x:t>
        </x:r>
      </x:text>
    </x:comment>
    <x:comment ref="C231" authorId="0">
      <x:text>
        <x:r>
          <x:t>Live analytical observation. This formula reads the existing statement or schedule and updates with the selected case. ="FY2031 cash capex / revenue: "&amp;(FIXED((S45)*100,1,TRUE)&amp;"%")&amp;". New finance lease assets / revenue: "&amp;(FIXED((S53)*100,1,TRUE)&amp;"%")&amp;"."</x:t>
        </x:r>
      </x:text>
    </x:comment>
    <x:comment ref="C232" authorId="0">
      <x:text>
        <x:r>
          <x:t>Live analytical observation. This formula reads the existing statement or schedule and updates with the selected case. ="FY2031 collection days: "&amp;FIXED(S69,1,TRUE)&amp;"; operating payable days: "&amp;FIXED(S77,1,TRUE)&amp;". These drivers affect cash conversion."</x:t>
        </x:r>
      </x:text>
    </x:comment>
    <x:comment ref="C256" authorId="0">
      <x:text>
        <x:r>
          <x:t>Active segment revenue growth. Formula-linked chart data. A means actual and E means the active-case estimate. Unavailable historical observations remain blank.</x:t>
        </x:r>
      </x:text>
    </x:comment>
    <x:comment ref="C275" authorId="0">
      <x:text>
        <x:r>
          <x:t>Active capital investment ratios. Formula-linked chart data. A means actual and E means the active-case estimate. Unavailable historical observations remain blank.</x:t>
        </x:r>
      </x:text>
    </x:comment>
  </x:commentList>
</x:comments>
</file>

<file path=xl/comments7.xml><?xml version="1.0" encoding="utf-8"?>
<x:comments xmlns:x="http://schemas.openxmlformats.org/spreadsheetml/2006/main">
  <x:authors>
    <x:author>Goran Brkich</x:author>
  </x:authors>
  <x:commentList>
    <x:comment ref="C2" authorId="0">
      <x:text>
        <x:r>
          <x:t>Income Statement.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Recognized sales from products and services. Consolidated forecast revenue is the sum of the three segment forecasts. Revenue is different from cash collected.</x:t>
        </x:r>
      </x:text>
    </x:comment>
    <x:comment ref="E8" authorId="0">
      <x:text>
        <x:r>
          <x:t>Revenue (FY:17 A).
Recognized sales from products and services. Consolidated forecast revenue is the sum of the three segment forecasts. Revenue is different from cash collected.
Formula: ='Historical Inputs'!E9
Cross-sheet references identify the owning schedule. Same-sheet references identify intermediate calculations.</x:t>
        </x:r>
      </x:text>
    </x:comment>
    <x:comment ref="F8" authorId="0">
      <x:text>
        <x:r>
          <x:t>Revenue (FY:18 A).
Recognized sales from products and services. Consolidated forecast revenue is the sum of the three segment forecasts. Revenue is different from cash collected.
Formula: ='Historical Inputs'!F9
Cross-sheet references identify the owning schedule. Same-sheet references identify intermediate calculations.</x:t>
        </x:r>
      </x:text>
    </x:comment>
    <x:comment ref="G8" authorId="0">
      <x:text>
        <x:r>
          <x:t>Revenue (FY:19 A).
Recognized sales from products and services. Consolidated forecast revenue is the sum of the three segment forecasts. Revenue is different from cash collected.
Formula: ='Historical Inputs'!G9
Cross-sheet references identify the owning schedule. Same-sheet references identify intermediate calculations.</x:t>
        </x:r>
      </x:text>
    </x:comment>
    <x:comment ref="H8" authorId="0">
      <x:text>
        <x:r>
          <x:t>Revenue (FY:20 A).
Recognized sales from products and services. Consolidated forecast revenue is the sum of the three segment forecasts. Revenue is different from cash collected.
Formula: ='Historical Inputs'!H9
Cross-sheet references identify the owning schedule. Same-sheet references identify intermediate calculations.</x:t>
        </x:r>
      </x:text>
    </x:comment>
    <x:comment ref="I8" authorId="0">
      <x:text>
        <x:r>
          <x:t>Revenue (FY:21 A).
Recognized sales from products and services. Consolidated forecast revenue is the sum of the three segment forecasts. Revenue is different from cash collected.
Formula: ='Historical Inputs'!I9
Cross-sheet references identify the owning schedule. Same-sheet references identify intermediate calculations.</x:t>
        </x:r>
      </x:text>
    </x:comment>
    <x:comment ref="J8" authorId="0">
      <x:text>
        <x:r>
          <x:t>Revenue (FY:22 A).
Recognized sales from products and services. Consolidated forecast revenue is the sum of the three segment forecasts. Revenue is different from cash collected.
Formula: ='Historical Inputs'!J9
Cross-sheet references identify the owning schedule. Same-sheet references identify intermediate calculations.</x:t>
        </x:r>
      </x:text>
    </x:comment>
    <x:comment ref="K8" authorId="0">
      <x:text>
        <x:r>
          <x:t>Revenue (FY:23 A).
Recognized sales from products and services. Consolidated forecast revenue is the sum of the three segment forecasts. Revenue is different from cash collected.
Formula: ='Historical Inputs'!K9
Cross-sheet references identify the owning schedule. Same-sheet references identify intermediate calculations.</x:t>
        </x:r>
      </x:text>
    </x:comment>
    <x:comment ref="L8" authorId="0">
      <x:text>
        <x:r>
          <x:t>Revenue (FY:24 A).
Recognized sales from products and services. Consolidated forecast revenue is the sum of the three segment forecasts. Revenue is different from cash collected.
Formula: ='Historical Inputs'!L9
Cross-sheet references identify the owning schedule. Same-sheet references identify intermediate calculations.</x:t>
        </x:r>
      </x:text>
    </x:comment>
    <x:comment ref="M8" authorId="0">
      <x:text>
        <x:r>
          <x:t>Revenue (FY:25 A).
Recognized sales from products and services. Consolidated forecast revenue is the sum of the three segment forecasts. Revenue is different from cash collected.
Formula: ='Historical Inputs'!M9
Cross-sheet references identify the owning schedule. Same-sheet references identify intermediate calculations.</x:t>
        </x:r>
      </x:text>
    </x:comment>
    <x:comment ref="N8" authorId="0">
      <x:text>
        <x:r>
          <x:t>Revenue (FY:26 A).
Recognized sales from products and services. Consolidated forecast revenue is the sum of the three segment forecasts. Revenue is different from cash collected.
Formula: ='Historical Inputs'!N9
Cross-sheet references identify the owning schedule. Same-sheet references identify intermediate calculations.</x:t>
        </x:r>
      </x:text>
    </x:comment>
    <x:comment ref="O8" authorId="0">
      <x:text>
        <x:r>
          <x:t>Revenue (FY:27 E).
Recognized sales from products and services. Consolidated forecast revenue is the sum of the three segment forecasts. Revenue is different from cash collected.
Formula: ='Segments'!O51
Cross-sheet references identify the owning schedule. Same-sheet references identify intermediate calculations.</x:t>
        </x:r>
      </x:text>
    </x:comment>
    <x:comment ref="P8" authorId="0">
      <x:text>
        <x:r>
          <x:t>Revenue (FY:28 E).
Recognized sales from products and services. Consolidated forecast revenue is the sum of the three segment forecasts. Revenue is different from cash collected.
Formula: ='Segments'!P51
Cross-sheet references identify the owning schedule. Same-sheet references identify intermediate calculations.</x:t>
        </x:r>
      </x:text>
    </x:comment>
    <x:comment ref="Q8" authorId="0">
      <x:text>
        <x:r>
          <x:t>Revenue (FY:29 E).
Recognized sales from products and services. Consolidated forecast revenue is the sum of the three segment forecasts. Revenue is different from cash collected.
Formula: ='Segments'!Q51
Cross-sheet references identify the owning schedule. Same-sheet references identify intermediate calculations.</x:t>
        </x:r>
      </x:text>
    </x:comment>
    <x:comment ref="R8" authorId="0">
      <x:text>
        <x:r>
          <x:t>Revenue (FY:30 E).
Recognized sales from products and services. Consolidated forecast revenue is the sum of the three segment forecasts. Revenue is different from cash collected.
Formula: ='Segments'!R51
Cross-sheet references identify the owning schedule. Same-sheet references identify intermediate calculations.</x:t>
        </x:r>
      </x:text>
    </x:comment>
    <x:comment ref="S8" authorId="0">
      <x:text>
        <x:r>
          <x:t>Revenue (FY:31 E).
Recognized sales from products and services. Consolidated forecast revenue is the sum of the three segment forecasts. Revenue is different from cash collected.
Formula: ='Segments'!S51
Cross-sheet references identify the owning schedule. Same-sheet references identify intermediate calculations.</x:t>
        </x:r>
      </x:text>
    </x:comment>
    <x:comment ref="C9" authorId="0">
      <x:text>
        <x:r>
          <x:t>Current-year revenue divided by prior-year revenue less one. Growth across a segment definition change is unavailable.</x:t>
        </x:r>
      </x:text>
    </x:comment>
    <x:comment ref="E9" authorId="0">
      <x:text>
        <x:r>
          <x:t>Revenue growth (FY:17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F9" authorId="0">
      <x:text>
        <x:r>
          <x:t>Revenue growth (FY:18 A).
Current-year revenue divided by prior-year revenue less one. Growth across a segment definition change is unavailable.
Formula: =F8/E8-1
Cross-sheet references identify the owning schedule. Same-sheet references identify intermediate calculations.</x:t>
        </x:r>
      </x:text>
    </x:comment>
    <x:comment ref="G9" authorId="0">
      <x:text>
        <x:r>
          <x:t>Revenue growth (FY:19 A).
Current-year revenue divided by prior-year revenue less one. Growth across a segment definition change is unavailable.
Formula: =G8/F8-1
Cross-sheet references identify the owning schedule. Same-sheet references identify intermediate calculations.</x:t>
        </x:r>
      </x:text>
    </x:comment>
    <x:comment ref="H9" authorId="0">
      <x:text>
        <x:r>
          <x:t>Revenue growth (FY:20 A).
Current-year revenue divided by prior-year revenue less one. Growth across a segment definition change is unavailable.
Formula: =H8/G8-1
Cross-sheet references identify the owning schedule. Same-sheet references identify intermediate calculations.</x:t>
        </x:r>
      </x:text>
    </x:comment>
    <x:comment ref="I9" authorId="0">
      <x:text>
        <x:r>
          <x:t>Revenue growth (FY:21 A).
Current-year revenue divided by prior-year revenue less one. Growth across a segment definition change is unavailable.
Formula: =I8/H8-1
Cross-sheet references identify the owning schedule. Same-sheet references identify intermediate calculations.</x:t>
        </x:r>
      </x:text>
    </x:comment>
    <x:comment ref="J9" authorId="0">
      <x:text>
        <x:r>
          <x:t>Revenue growth (FY:22 A).
Current-year revenue divided by prior-year revenue less one. Growth across a segment definition change is unavailable.
Formula: =J8/I8-1
Cross-sheet references identify the owning schedule. Same-sheet references identify intermediate calculations.</x:t>
        </x:r>
      </x:text>
    </x:comment>
    <x:comment ref="K9" authorId="0">
      <x:text>
        <x:r>
          <x:t>Revenue growth (FY:23 A).
Current-year revenue divided by prior-year revenue less one. Growth across a segment definition change is unavailable.
Formula: =K8/J8-1
Cross-sheet references identify the owning schedule. Same-sheet references identify intermediate calculations.</x:t>
        </x:r>
      </x:text>
    </x:comment>
    <x:comment ref="L9" authorId="0">
      <x:text>
        <x:r>
          <x:t>Revenue growth (FY:24 A).
Current-year revenue divided by prior-year revenue less one. Growth across a segment definition change is unavailable.
Formula: =L8/K8-1
Cross-sheet references identify the owning schedule. Same-sheet references identify intermediate calculations.</x:t>
        </x:r>
      </x:text>
    </x:comment>
    <x:comment ref="M9" authorId="0">
      <x:text>
        <x:r>
          <x:t>Revenue growth (FY:25 A).
Current-year revenue divided by prior-year revenue less one. Growth across a segment definition change is unavailable.
Formula: =M8/L8-1
Cross-sheet references identify the owning schedule. Same-sheet references identify intermediate calculations.</x:t>
        </x:r>
      </x:text>
    </x:comment>
    <x:comment ref="N9" authorId="0">
      <x:text>
        <x:r>
          <x:t>Revenue growth (FY:26 A).
Current-year revenue divided by prior-year revenue less one. Growth across a segment definition change is unavailable.
Formula: =N8/M8-1
Cross-sheet references identify the owning schedule. Same-sheet references identify intermediate calculations.</x:t>
        </x:r>
      </x:text>
    </x:comment>
    <x:comment ref="O9" authorId="0">
      <x:text>
        <x:r>
          <x:t>Revenue growth (FY:27 E).
Current-year revenue divided by prior-year revenue less one. Growth across a segment definition change is unavailable.
Formula: =O8/N8-1
Cross-sheet references identify the owning schedule. Same-sheet references identify intermediate calculations.</x:t>
        </x:r>
      </x:text>
    </x:comment>
    <x:comment ref="P9" authorId="0">
      <x:text>
        <x:r>
          <x:t>Revenue growth (FY:28 E).
Current-year revenue divided by prior-year revenue less one. Growth across a segment definition change is unavailable.
Formula: =P8/O8-1
Cross-sheet references identify the owning schedule. Same-sheet references identify intermediate calculations.</x:t>
        </x:r>
      </x:text>
    </x:comment>
    <x:comment ref="Q9" authorId="0">
      <x:text>
        <x:r>
          <x:t>Revenue growth (FY:29 E).
Current-year revenue divided by prior-year revenue less one. Growth across a segment definition change is unavailable.
Formula: =Q8/P8-1
Cross-sheet references identify the owning schedule. Same-sheet references identify intermediate calculations.</x:t>
        </x:r>
      </x:text>
    </x:comment>
    <x:comment ref="R9" authorId="0">
      <x:text>
        <x:r>
          <x:t>Revenue growth (FY:30 E).
Current-year revenue divided by prior-year revenue less one. Growth across a segment definition change is unavailable.
Formula: =R8/Q8-1
Cross-sheet references identify the owning schedule. Same-sheet references identify intermediate calculations.</x:t>
        </x:r>
      </x:text>
    </x:comment>
    <x:comment ref="S9" authorId="0">
      <x:text>
        <x:r>
          <x:t>Revenue growth (FY:31 E).
Current-year revenue divided by prior-year revenue less one. Growth across a segment definition change is unavailable.
Formula: =S8/R8-1
Cross-sheet references identify the owning schedule. Same-sheet references identify intermediate calculations.</x:t>
        </x:r>
      </x:text>
    </x:comment>
    <x:comment ref="C10" authorId="0">
      <x:text>
        <x:r>
          <x:t>Expenses assigned to delivering products and services. Forecast amounts include allocated depreciation, amortization and operating lease expense.</x:t>
        </x:r>
      </x:text>
    </x:comment>
    <x:comment ref="E10" authorId="0">
      <x:text>
        <x:r>
          <x:t>Cost of revenue (FY:17 A).
Expenses assigned to delivering products and services. Forecast amounts include allocated depreciation, amortization and operating lease expense.
Formula: ='Historical Inputs'!E10
Cross-sheet references identify the owning schedule. Same-sheet references identify intermediate calculations.</x:t>
        </x:r>
      </x:text>
    </x:comment>
    <x:comment ref="F10" authorId="0">
      <x:text>
        <x:r>
          <x:t>Cost of revenue (FY:18 A).
Expenses assigned to delivering products and services. Forecast amounts include allocated depreciation, amortization and operating lease expense.
Formula: ='Historical Inputs'!F10
Cross-sheet references identify the owning schedule. Same-sheet references identify intermediate calculations.</x:t>
        </x:r>
      </x:text>
    </x:comment>
    <x:comment ref="G10" authorId="0">
      <x:text>
        <x:r>
          <x:t>Cost of revenue (FY:19 A).
Expenses assigned to delivering products and services. Forecast amounts include allocated depreciation, amortization and operating lease expense.
Formula: ='Historical Inputs'!G10
Cross-sheet references identify the owning schedule. Same-sheet references identify intermediate calculations.</x:t>
        </x:r>
      </x:text>
    </x:comment>
    <x:comment ref="H10" authorId="0">
      <x:text>
        <x:r>
          <x:t>Cost of revenue (FY:20 A).
Expenses assigned to delivering products and services. Forecast amounts include allocated depreciation, amortization and operating lease expense.
Formula: ='Historical Inputs'!H10
Cross-sheet references identify the owning schedule. Same-sheet references identify intermediate calculations.</x:t>
        </x:r>
      </x:text>
    </x:comment>
    <x:comment ref="I10" authorId="0">
      <x:text>
        <x:r>
          <x:t>Cost of revenue (FY:21 A).
Expenses assigned to delivering products and services. Forecast amounts include allocated depreciation, amortization and operating lease expense.
Formula: ='Historical Inputs'!I10
Cross-sheet references identify the owning schedule. Same-sheet references identify intermediate calculations.</x:t>
        </x:r>
      </x:text>
    </x:comment>
    <x:comment ref="J10" authorId="0">
      <x:text>
        <x:r>
          <x:t>Cost of revenue (FY:22 A).
Expenses assigned to delivering products and services. Forecast amounts include allocated depreciation, amortization and operating lease expense.
Formula: ='Historical Inputs'!J10
Cross-sheet references identify the owning schedule. Same-sheet references identify intermediate calculations.</x:t>
        </x:r>
      </x:text>
    </x:comment>
    <x:comment ref="K10" authorId="0">
      <x:text>
        <x:r>
          <x:t>Cost of revenue (FY:23 A).
Expenses assigned to delivering products and services. Forecast amounts include allocated depreciation, amortization and operating lease expense.
Formula: ='Historical Inputs'!K10
Cross-sheet references identify the owning schedule. Same-sheet references identify intermediate calculations.</x:t>
        </x:r>
      </x:text>
    </x:comment>
    <x:comment ref="L10" authorId="0">
      <x:text>
        <x:r>
          <x:t>Cost of revenue (FY:24 A).
Expenses assigned to delivering products and services. Forecast amounts include allocated depreciation, amortization and operating lease expense.
Formula: ='Historical Inputs'!L10
Cross-sheet references identify the owning schedule. Same-sheet references identify intermediate calculations.</x:t>
        </x:r>
      </x:text>
    </x:comment>
    <x:comment ref="M10" authorId="0">
      <x:text>
        <x:r>
          <x:t>Cost of revenue (FY:25 A).
Expenses assigned to delivering products and services. Forecast amounts include allocated depreciation, amortization and operating lease expense.
Formula: ='Historical Inputs'!M10
Cross-sheet references identify the owning schedule. Same-sheet references identify intermediate calculations.</x:t>
        </x:r>
      </x:text>
    </x:comment>
    <x:comment ref="N10" authorId="0">
      <x:text>
        <x:r>
          <x:t>Cost of revenue (FY:26 A).
Expenses assigned to delivering products and services. Forecast amounts include allocated depreciation, amortization and operating lease expense.
Formula: ='Historical Inputs'!N10
Cross-sheet references identify the owning schedule. Same-sheet references identify intermediate calculations.</x:t>
        </x:r>
      </x:text>
    </x:comment>
    <x:comment ref="O10" authorId="0">
      <x:text>
        <x:r>
          <x:t>Cost of revenue (FY:27 E).
Expenses assigned to delivering products and services. Forecast amounts include allocated depreciation, amortization and operating lease expense.
Formula: ='Segments'!O52
Cross-sheet references identify the owning schedule. Same-sheet references identify intermediate calculations.</x:t>
        </x:r>
      </x:text>
    </x:comment>
    <x:comment ref="P10" authorId="0">
      <x:text>
        <x:r>
          <x:t>Cost of revenue (FY:28 E).
Expenses assigned to delivering products and services. Forecast amounts include allocated depreciation, amortization and operating lease expense.
Formula: ='Segments'!P52
Cross-sheet references identify the owning schedule. Same-sheet references identify intermediate calculations.</x:t>
        </x:r>
      </x:text>
    </x:comment>
    <x:comment ref="Q10" authorId="0">
      <x:text>
        <x:r>
          <x:t>Cost of revenue (FY:29 E).
Expenses assigned to delivering products and services. Forecast amounts include allocated depreciation, amortization and operating lease expense.
Formula: ='Segments'!Q52
Cross-sheet references identify the owning schedule. Same-sheet references identify intermediate calculations.</x:t>
        </x:r>
      </x:text>
    </x:comment>
    <x:comment ref="R10" authorId="0">
      <x:text>
        <x:r>
          <x:t>Cost of revenue (FY:30 E).
Expenses assigned to delivering products and services. Forecast amounts include allocated depreciation, amortization and operating lease expense.
Formula: ='Segments'!R52
Cross-sheet references identify the owning schedule. Same-sheet references identify intermediate calculations.</x:t>
        </x:r>
      </x:text>
    </x:comment>
    <x:comment ref="S10" authorId="0">
      <x:text>
        <x:r>
          <x:t>Cost of revenue (FY:31 E).
Expenses assigned to delivering products and services. Forecast amounts include allocated depreciation, amortization and operating lease expense.
Formula: ='Segments'!S52
Cross-sheet references identify the owning schedule. Same-sheet references identify intermediate calculations.</x:t>
        </x:r>
      </x:text>
    </x:comment>
    <x:comment ref="C11" authorId="0">
      <x:text>
        <x:r>
          <x:t>Revenue less cost of revenue. It measures profit before operating expenses.</x:t>
        </x:r>
      </x:text>
    </x:comment>
    <x:comment ref="E11" authorId="0">
      <x:text>
        <x:r>
          <x:t>Gross profit (FY:17 A).
Revenue less cost of revenue. It measures profit before operating expenses.
Formula: ='Historical Inputs'!E11
Cross-sheet references identify the owning schedule. Same-sheet references identify intermediate calculations.</x:t>
        </x:r>
      </x:text>
    </x:comment>
    <x:comment ref="F11" authorId="0">
      <x:text>
        <x:r>
          <x:t>Gross profit (FY:18 A).
Revenue less cost of revenue. It measures profit before operating expenses.
Formula: ='Historical Inputs'!F11
Cross-sheet references identify the owning schedule. Same-sheet references identify intermediate calculations.</x:t>
        </x:r>
      </x:text>
    </x:comment>
    <x:comment ref="G11" authorId="0">
      <x:text>
        <x:r>
          <x:t>Gross profit (FY:19 A).
Revenue less cost of revenue. It measures profit before operating expenses.
Formula: ='Historical Inputs'!G11
Cross-sheet references identify the owning schedule. Same-sheet references identify intermediate calculations.</x:t>
        </x:r>
      </x:text>
    </x:comment>
    <x:comment ref="H11" authorId="0">
      <x:text>
        <x:r>
          <x:t>Gross profit (FY:20 A).
Revenue less cost of revenue. It measures profit before operating expenses.
Formula: ='Historical Inputs'!H11
Cross-sheet references identify the owning schedule. Same-sheet references identify intermediate calculations.</x:t>
        </x:r>
      </x:text>
    </x:comment>
    <x:comment ref="I11" authorId="0">
      <x:text>
        <x:r>
          <x:t>Gross profit (FY:21 A).
Revenue less cost of revenue. It measures profit before operating expenses.
Formula: ='Historical Inputs'!I11
Cross-sheet references identify the owning schedule. Same-sheet references identify intermediate calculations.</x:t>
        </x:r>
      </x:text>
    </x:comment>
    <x:comment ref="J11" authorId="0">
      <x:text>
        <x:r>
          <x:t>Gross profit (FY:22 A).
Revenue less cost of revenue. It measures profit before operating expenses.
Formula: ='Historical Inputs'!J11
Cross-sheet references identify the owning schedule. Same-sheet references identify intermediate calculations.</x:t>
        </x:r>
      </x:text>
    </x:comment>
    <x:comment ref="K11" authorId="0">
      <x:text>
        <x:r>
          <x:t>Gross profit (FY:23 A).
Revenue less cost of revenue. It measures profit before operating expenses.
Formula: ='Historical Inputs'!K11
Cross-sheet references identify the owning schedule. Same-sheet references identify intermediate calculations.</x:t>
        </x:r>
      </x:text>
    </x:comment>
    <x:comment ref="L11" authorId="0">
      <x:text>
        <x:r>
          <x:t>Gross profit (FY:24 A).
Revenue less cost of revenue. It measures profit before operating expenses.
Formula: ='Historical Inputs'!L11
Cross-sheet references identify the owning schedule. Same-sheet references identify intermediate calculations.</x:t>
        </x:r>
      </x:text>
    </x:comment>
    <x:comment ref="M11" authorId="0">
      <x:text>
        <x:r>
          <x:t>Gross profit (FY:25 A).
Revenue less cost of revenue. It measures profit before operating expenses.
Formula: ='Historical Inputs'!M11
Cross-sheet references identify the owning schedule. Same-sheet references identify intermediate calculations.</x:t>
        </x:r>
      </x:text>
    </x:comment>
    <x:comment ref="N11" authorId="0">
      <x:text>
        <x:r>
          <x:t>Gross profit (FY:26 A).
Revenue less cost of revenue. It measures profit before operating expenses.
Formula: ='Historical Inputs'!N11
Cross-sheet references identify the owning schedule. Same-sheet references identify intermediate calculations.</x:t>
        </x:r>
      </x:text>
    </x:comment>
    <x:comment ref="O11" authorId="0">
      <x:text>
        <x:r>
          <x:t>Gross profit (FY:27 E).
Revenue less cost of revenue. It measures profit before operating expenses.
Formula: =O8-O10
Cross-sheet references identify the owning schedule. Same-sheet references identify intermediate calculations.</x:t>
        </x:r>
      </x:text>
    </x:comment>
    <x:comment ref="P11" authorId="0">
      <x:text>
        <x:r>
          <x:t>Gross profit (FY:28 E).
Revenue less cost of revenue. It measures profit before operating expenses.
Formula: =P8-P10
Cross-sheet references identify the owning schedule. Same-sheet references identify intermediate calculations.</x:t>
        </x:r>
      </x:text>
    </x:comment>
    <x:comment ref="Q11" authorId="0">
      <x:text>
        <x:r>
          <x:t>Gross profit (FY:29 E).
Revenue less cost of revenue. It measures profit before operating expenses.
Formula: =Q8-Q10
Cross-sheet references identify the owning schedule. Same-sheet references identify intermediate calculations.</x:t>
        </x:r>
      </x:text>
    </x:comment>
    <x:comment ref="R11" authorId="0">
      <x:text>
        <x:r>
          <x:t>Gross profit (FY:30 E).
Revenue less cost of revenue. It measures profit before operating expenses.
Formula: =R8-R10
Cross-sheet references identify the owning schedule. Same-sheet references identify intermediate calculations.</x:t>
        </x:r>
      </x:text>
    </x:comment>
    <x:comment ref="S11" authorId="0">
      <x:text>
        <x:r>
          <x:t>Gross profit (FY:31 E).
Revenue less cost of revenue. It measures profit before operating expenses.
Formula: =S8-S10
Cross-sheet references identify the owning schedule. Same-sheet references identify intermediate calculations.</x:t>
        </x:r>
      </x:text>
    </x:comment>
    <x:comment ref="C12" authorId="0">
      <x:text>
        <x:r>
          <x:t>Gross profit divided by revenue for the same fiscal year.</x:t>
        </x:r>
      </x:text>
    </x:comment>
    <x:comment ref="E12" authorId="0">
      <x:text>
        <x:r>
          <x:t>Gross margin (FY:17 A).
Gross profit divided by revenue for the same fiscal year.
Formula: =E11/E8
Cross-sheet references identify the owning schedule. Same-sheet references identify intermediate calculations.</x:t>
        </x:r>
      </x:text>
    </x:comment>
    <x:comment ref="F12" authorId="0">
      <x:text>
        <x:r>
          <x:t>Gross margin (FY:18 A).
Gross profit divided by revenue for the same fiscal year.
Formula: =F11/F8
Cross-sheet references identify the owning schedule. Same-sheet references identify intermediate calculations.</x:t>
        </x:r>
      </x:text>
    </x:comment>
    <x:comment ref="G12" authorId="0">
      <x:text>
        <x:r>
          <x:t>Gross margin (FY:19 A).
Gross profit divided by revenue for the same fiscal year.
Formula: =G11/G8
Cross-sheet references identify the owning schedule. Same-sheet references identify intermediate calculations.</x:t>
        </x:r>
      </x:text>
    </x:comment>
    <x:comment ref="H12" authorId="0">
      <x:text>
        <x:r>
          <x:t>Gross margin (FY:20 A).
Gross profit divided by revenue for the same fiscal year.
Formula: =H11/H8
Cross-sheet references identify the owning schedule. Same-sheet references identify intermediate calculations.</x:t>
        </x:r>
      </x:text>
    </x:comment>
    <x:comment ref="I12" authorId="0">
      <x:text>
        <x:r>
          <x:t>Gross margin (FY:21 A).
Gross profit divided by revenue for the same fiscal year.
Formula: =I11/I8
Cross-sheet references identify the owning schedule. Same-sheet references identify intermediate calculations.</x:t>
        </x:r>
      </x:text>
    </x:comment>
    <x:comment ref="J12" authorId="0">
      <x:text>
        <x:r>
          <x:t>Gross margin (FY:22 A).
Gross profit divided by revenue for the same fiscal year.
Formula: =J11/J8
Cross-sheet references identify the owning schedule. Same-sheet references identify intermediate calculations.</x:t>
        </x:r>
      </x:text>
    </x:comment>
    <x:comment ref="K12" authorId="0">
      <x:text>
        <x:r>
          <x:t>Gross margin (FY:23 A).
Gross profit divided by revenue for the same fiscal year.
Formula: =K11/K8
Cross-sheet references identify the owning schedule. Same-sheet references identify intermediate calculations.</x:t>
        </x:r>
      </x:text>
    </x:comment>
    <x:comment ref="L12" authorId="0">
      <x:text>
        <x:r>
          <x:t>Gross margin (FY:24 A).
Gross profit divided by revenue for the same fiscal year.
Formula: =L11/L8
Cross-sheet references identify the owning schedule. Same-sheet references identify intermediate calculations.</x:t>
        </x:r>
      </x:text>
    </x:comment>
    <x:comment ref="M12" authorId="0">
      <x:text>
        <x:r>
          <x:t>Gross margin (FY:25 A).
Gross profit divided by revenue for the same fiscal year.
Formula: =M11/M8
Cross-sheet references identify the owning schedule. Same-sheet references identify intermediate calculations.</x:t>
        </x:r>
      </x:text>
    </x:comment>
    <x:comment ref="N12" authorId="0">
      <x:text>
        <x:r>
          <x:t>Gross margin (FY:26 A).
Gross profit divided by revenue for the same fiscal year.
Formula: =N11/N8
Cross-sheet references identify the owning schedule. Same-sheet references identify intermediate calculations.</x:t>
        </x:r>
      </x:text>
    </x:comment>
    <x:comment ref="O12" authorId="0">
      <x:text>
        <x:r>
          <x:t>Gross margin (FY:27 E).
Gross profit divided by revenue for the same fiscal year.
Formula: =O11/O8
Cross-sheet references identify the owning schedule. Same-sheet references identify intermediate calculations.</x:t>
        </x:r>
      </x:text>
    </x:comment>
    <x:comment ref="P12" authorId="0">
      <x:text>
        <x:r>
          <x:t>Gross margin (FY:28 E).
Gross profit divided by revenue for the same fiscal year.
Formula: =P11/P8
Cross-sheet references identify the owning schedule. Same-sheet references identify intermediate calculations.</x:t>
        </x:r>
      </x:text>
    </x:comment>
    <x:comment ref="Q12" authorId="0">
      <x:text>
        <x:r>
          <x:t>Gross margin (FY:29 E).
Gross profit divided by revenue for the same fiscal year.
Formula: =Q11/Q8
Cross-sheet references identify the owning schedule. Same-sheet references identify intermediate calculations.</x:t>
        </x:r>
      </x:text>
    </x:comment>
    <x:comment ref="R12" authorId="0">
      <x:text>
        <x:r>
          <x:t>Gross margin (FY:30 E).
Gross profit divided by revenue for the same fiscal year.
Formula: =R11/R8
Cross-sheet references identify the owning schedule. Same-sheet references identify intermediate calculations.</x:t>
        </x:r>
      </x:text>
    </x:comment>
    <x:comment ref="S12" authorId="0">
      <x:text>
        <x:r>
          <x:t>Gross margin (FY:31 E).
Gross profit divided by revenue for the same fiscal year.
Formula: =S11/S8
Cross-sheet references identify the owning schedule. Same-sheet references identify intermediate calculations.</x:t>
        </x:r>
      </x:text>
    </x:comment>
    <x:comment ref="C14" authorId="0">
      <x:text>
        <x:r>
          <x:t>Research and product development expense. Forecast base costs are driven by revenue and then receive allocated D&amp;A and lease expense.</x:t>
        </x:r>
      </x:text>
    </x:comment>
    <x:comment ref="E14" authorId="0">
      <x:text>
        <x:r>
          <x:t>Research and development (FY:17 A).
Research and product development expense. Forecast base costs are driven by revenue and then receive allocated D&amp;A and lease expense.
Formula: ='Historical Inputs'!E12
Cross-sheet references identify the owning schedule. Same-sheet references identify intermediate calculations.</x:t>
        </x:r>
      </x:text>
    </x:comment>
    <x:comment ref="F14" authorId="0">
      <x:text>
        <x:r>
          <x:t>Research and development (FY:18 A).
Research and product development expense. Forecast base costs are driven by revenue and then receive allocated D&amp;A and lease expense.
Formula: ='Historical Inputs'!F12
Cross-sheet references identify the owning schedule. Same-sheet references identify intermediate calculations.</x:t>
        </x:r>
      </x:text>
    </x:comment>
    <x:comment ref="G14" authorId="0">
      <x:text>
        <x:r>
          <x:t>Research and development (FY:19 A).
Research and product development expense. Forecast base costs are driven by revenue and then receive allocated D&amp;A and lease expense.
Formula: ='Historical Inputs'!G12
Cross-sheet references identify the owning schedule. Same-sheet references identify intermediate calculations.</x:t>
        </x:r>
      </x:text>
    </x:comment>
    <x:comment ref="H14" authorId="0">
      <x:text>
        <x:r>
          <x:t>Research and development (FY:20 A).
Research and product development expense. Forecast base costs are driven by revenue and then receive allocated D&amp;A and lease expense.
Formula: ='Historical Inputs'!H12
Cross-sheet references identify the owning schedule. Same-sheet references identify intermediate calculations.</x:t>
        </x:r>
      </x:text>
    </x:comment>
    <x:comment ref="I14" authorId="0">
      <x:text>
        <x:r>
          <x:t>Research and development (FY:21 A).
Research and product development expense. Forecast base costs are driven by revenue and then receive allocated D&amp;A and lease expense.
Formula: ='Historical Inputs'!I12
Cross-sheet references identify the owning schedule. Same-sheet references identify intermediate calculations.</x:t>
        </x:r>
      </x:text>
    </x:comment>
    <x:comment ref="J14" authorId="0">
      <x:text>
        <x:r>
          <x:t>Research and development (FY:22 A).
Research and product development expense. Forecast base costs are driven by revenue and then receive allocated D&amp;A and lease expense.
Formula: ='Historical Inputs'!J12
Cross-sheet references identify the owning schedule. Same-sheet references identify intermediate calculations.</x:t>
        </x:r>
      </x:text>
    </x:comment>
    <x:comment ref="K14" authorId="0">
      <x:text>
        <x:r>
          <x:t>Research and development (FY:23 A).
Research and product development expense. Forecast base costs are driven by revenue and then receive allocated D&amp;A and lease expense.
Formula: ='Historical Inputs'!K12
Cross-sheet references identify the owning schedule. Same-sheet references identify intermediate calculations.</x:t>
        </x:r>
      </x:text>
    </x:comment>
    <x:comment ref="L14" authorId="0">
      <x:text>
        <x:r>
          <x:t>Research and development (FY:24 A).
Research and product development expense. Forecast base costs are driven by revenue and then receive allocated D&amp;A and lease expense.
Formula: ='Historical Inputs'!L12
Cross-sheet references identify the owning schedule. Same-sheet references identify intermediate calculations.</x:t>
        </x:r>
      </x:text>
    </x:comment>
    <x:comment ref="M14" authorId="0">
      <x:text>
        <x:r>
          <x:t>Research and development (FY:25 A).
Research and product development expense. Forecast base costs are driven by revenue and then receive allocated D&amp;A and lease expense.
Formula: ='Historical Inputs'!M12
Cross-sheet references identify the owning schedule. Same-sheet references identify intermediate calculations.</x:t>
        </x:r>
      </x:text>
    </x:comment>
    <x:comment ref="N14" authorId="0">
      <x:text>
        <x:r>
          <x:t>Research and development (FY:26 A).
Research and product development expense. Forecast base costs are driven by revenue and then receive allocated D&amp;A and lease expense.
Formula: ='Historical Inputs'!N12
Cross-sheet references identify the owning schedule. Same-sheet references identify intermediate calculations.</x:t>
        </x:r>
      </x:text>
    </x:comment>
    <x:comment ref="O14" authorId="0">
      <x:text>
        <x:r>
          <x:t>Research and development (FY:27 E).
Research and product development expense. Forecast base costs are driven by revenue and then receive allocated D&amp;A and lease expense.
Formula: ='Expense Plan'!O18
Cross-sheet references identify the owning schedule. Same-sheet references identify intermediate calculations.</x:t>
        </x:r>
      </x:text>
    </x:comment>
    <x:comment ref="P14" authorId="0">
      <x:text>
        <x:r>
          <x:t>Research and development (FY:28 E).
Research and product development expense. Forecast base costs are driven by revenue and then receive allocated D&amp;A and lease expense.
Formula: ='Expense Plan'!P18
Cross-sheet references identify the owning schedule. Same-sheet references identify intermediate calculations.</x:t>
        </x:r>
      </x:text>
    </x:comment>
    <x:comment ref="Q14" authorId="0">
      <x:text>
        <x:r>
          <x:t>Research and development (FY:29 E).
Research and product development expense. Forecast base costs are driven by revenue and then receive allocated D&amp;A and lease expense.
Formula: ='Expense Plan'!Q18
Cross-sheet references identify the owning schedule. Same-sheet references identify intermediate calculations.</x:t>
        </x:r>
      </x:text>
    </x:comment>
    <x:comment ref="R14" authorId="0">
      <x:text>
        <x:r>
          <x:t>Research and development (FY:30 E).
Research and product development expense. Forecast base costs are driven by revenue and then receive allocated D&amp;A and lease expense.
Formula: ='Expense Plan'!R18
Cross-sheet references identify the owning schedule. Same-sheet references identify intermediate calculations.</x:t>
        </x:r>
      </x:text>
    </x:comment>
    <x:comment ref="S14" authorId="0">
      <x:text>
        <x:r>
          <x:t>Research and development (FY:31 E).
Research and product development expense. Forecast base costs are driven by revenue and then receive allocated D&amp;A and lease expense.
Formula: ='Expense Plan'!S18
Cross-sheet references identify the owning schedule. Same-sheet references identify intermediate calculations.</x:t>
        </x:r>
      </x:text>
    </x:comment>
    <x:comment ref="C15" authorId="0">
      <x:text>
        <x:r>
          <x:t>Selling and marketing expense driven by its revenue-based forecast assumption.</x:t>
        </x:r>
      </x:text>
    </x:comment>
    <x:comment ref="E15" authorId="0">
      <x:text>
        <x:r>
          <x:t>Sales and marketing (FY:17 A).
Selling and marketing expense driven by its revenue-based forecast assumption.
Formula: ='Historical Inputs'!E13
Cross-sheet references identify the owning schedule. Same-sheet references identify intermediate calculations.</x:t>
        </x:r>
      </x:text>
    </x:comment>
    <x:comment ref="F15" authorId="0">
      <x:text>
        <x:r>
          <x:t>Sales and marketing (FY:18 A).
Selling and marketing expense driven by its revenue-based forecast assumption.
Formula: ='Historical Inputs'!F13
Cross-sheet references identify the owning schedule. Same-sheet references identify intermediate calculations.</x:t>
        </x:r>
      </x:text>
    </x:comment>
    <x:comment ref="G15" authorId="0">
      <x:text>
        <x:r>
          <x:t>Sales and marketing (FY:19 A).
Selling and marketing expense driven by its revenue-based forecast assumption.
Formula: ='Historical Inputs'!G13
Cross-sheet references identify the owning schedule. Same-sheet references identify intermediate calculations.</x:t>
        </x:r>
      </x:text>
    </x:comment>
    <x:comment ref="H15" authorId="0">
      <x:text>
        <x:r>
          <x:t>Sales and marketing (FY:20 A).
Selling and marketing expense driven by its revenue-based forecast assumption.
Formula: ='Historical Inputs'!H13
Cross-sheet references identify the owning schedule. Same-sheet references identify intermediate calculations.</x:t>
        </x:r>
      </x:text>
    </x:comment>
    <x:comment ref="I15" authorId="0">
      <x:text>
        <x:r>
          <x:t>Sales and marketing (FY:21 A).
Selling and marketing expense driven by its revenue-based forecast assumption.
Formula: ='Historical Inputs'!I13
Cross-sheet references identify the owning schedule. Same-sheet references identify intermediate calculations.</x:t>
        </x:r>
      </x:text>
    </x:comment>
    <x:comment ref="J15" authorId="0">
      <x:text>
        <x:r>
          <x:t>Sales and marketing (FY:22 A).
Selling and marketing expense driven by its revenue-based forecast assumption.
Formula: ='Historical Inputs'!J13
Cross-sheet references identify the owning schedule. Same-sheet references identify intermediate calculations.</x:t>
        </x:r>
      </x:text>
    </x:comment>
    <x:comment ref="K15" authorId="0">
      <x:text>
        <x:r>
          <x:t>Sales and marketing (FY:23 A).
Selling and marketing expense driven by its revenue-based forecast assumption.
Formula: ='Historical Inputs'!K13
Cross-sheet references identify the owning schedule. Same-sheet references identify intermediate calculations.</x:t>
        </x:r>
      </x:text>
    </x:comment>
    <x:comment ref="L15" authorId="0">
      <x:text>
        <x:r>
          <x:t>Sales and marketing (FY:24 A).
Selling and marketing expense driven by its revenue-based forecast assumption.
Formula: ='Historical Inputs'!L13
Cross-sheet references identify the owning schedule. Same-sheet references identify intermediate calculations.</x:t>
        </x:r>
      </x:text>
    </x:comment>
    <x:comment ref="M15" authorId="0">
      <x:text>
        <x:r>
          <x:t>Sales and marketing (FY:25 A).
Selling and marketing expense driven by its revenue-based forecast assumption.
Formula: ='Historical Inputs'!M13
Cross-sheet references identify the owning schedule. Same-sheet references identify intermediate calculations.</x:t>
        </x:r>
      </x:text>
    </x:comment>
    <x:comment ref="N15" authorId="0">
      <x:text>
        <x:r>
          <x:t>Sales and marketing (FY:26 A).
Selling and marketing expense driven by its revenue-based forecast assumption.
Formula: ='Historical Inputs'!N13
Cross-sheet references identify the owning schedule. Same-sheet references identify intermediate calculations.</x:t>
        </x:r>
      </x:text>
    </x:comment>
    <x:comment ref="O15" authorId="0">
      <x:text>
        <x:r>
          <x:t>Sales and marketing (FY:27 E).
Selling and marketing expense driven by its revenue-based forecast assumption.
Formula: ='Expense Plan'!O20
Cross-sheet references identify the owning schedule. Same-sheet references identify intermediate calculations.</x:t>
        </x:r>
      </x:text>
    </x:comment>
    <x:comment ref="P15" authorId="0">
      <x:text>
        <x:r>
          <x:t>Sales and marketing (FY:28 E).
Selling and marketing expense driven by its revenue-based forecast assumption.
Formula: ='Expense Plan'!P20
Cross-sheet references identify the owning schedule. Same-sheet references identify intermediate calculations.</x:t>
        </x:r>
      </x:text>
    </x:comment>
    <x:comment ref="Q15" authorId="0">
      <x:text>
        <x:r>
          <x:t>Sales and marketing (FY:29 E).
Selling and marketing expense driven by its revenue-based forecast assumption.
Formula: ='Expense Plan'!Q20
Cross-sheet references identify the owning schedule. Same-sheet references identify intermediate calculations.</x:t>
        </x:r>
      </x:text>
    </x:comment>
    <x:comment ref="R15" authorId="0">
      <x:text>
        <x:r>
          <x:t>Sales and marketing (FY:30 E).
Selling and marketing expense driven by its revenue-based forecast assumption.
Formula: ='Expense Plan'!R20
Cross-sheet references identify the owning schedule. Same-sheet references identify intermediate calculations.</x:t>
        </x:r>
      </x:text>
    </x:comment>
    <x:comment ref="S15" authorId="0">
      <x:text>
        <x:r>
          <x:t>Sales and marketing (FY:31 E).
Selling and marketing expense driven by its revenue-based forecast assumption.
Formula: ='Expense Plan'!S20
Cross-sheet references identify the owning schedule. Same-sheet references identify intermediate calculations.</x:t>
        </x:r>
      </x:text>
    </x:comment>
    <x:comment ref="C16" authorId="0">
      <x:text>
        <x:r>
          <x:t>Corporate administration expense driven by its revenue-based forecast assumption.</x:t>
        </x:r>
      </x:text>
    </x:comment>
    <x:comment ref="E16" authorId="0">
      <x:text>
        <x:r>
          <x:t>General and administrative (FY:17 A).
Corporate administration expense driven by its revenue-based forecast assumption.
Formula: ='Historical Inputs'!E14
Cross-sheet references identify the owning schedule. Same-sheet references identify intermediate calculations.</x:t>
        </x:r>
      </x:text>
    </x:comment>
    <x:comment ref="F16" authorId="0">
      <x:text>
        <x:r>
          <x:t>General and administrative (FY:18 A).
Corporate administration expense driven by its revenue-based forecast assumption.
Formula: ='Historical Inputs'!F14
Cross-sheet references identify the owning schedule. Same-sheet references identify intermediate calculations.</x:t>
        </x:r>
      </x:text>
    </x:comment>
    <x:comment ref="G16" authorId="0">
      <x:text>
        <x:r>
          <x:t>General and administrative (FY:19 A).
Corporate administration expense driven by its revenue-based forecast assumption.
Formula: ='Historical Inputs'!G14
Cross-sheet references identify the owning schedule. Same-sheet references identify intermediate calculations.</x:t>
        </x:r>
      </x:text>
    </x:comment>
    <x:comment ref="H16" authorId="0">
      <x:text>
        <x:r>
          <x:t>General and administrative (FY:20 A).
Corporate administration expense driven by its revenue-based forecast assumption.
Formula: ='Historical Inputs'!H14
Cross-sheet references identify the owning schedule. Same-sheet references identify intermediate calculations.</x:t>
        </x:r>
      </x:text>
    </x:comment>
    <x:comment ref="I16" authorId="0">
      <x:text>
        <x:r>
          <x:t>General and administrative (FY:21 A).
Corporate administration expense driven by its revenue-based forecast assumption.
Formula: ='Historical Inputs'!I14
Cross-sheet references identify the owning schedule. Same-sheet references identify intermediate calculations.</x:t>
        </x:r>
      </x:text>
    </x:comment>
    <x:comment ref="J16" authorId="0">
      <x:text>
        <x:r>
          <x:t>General and administrative (FY:22 A).
Corporate administration expense driven by its revenue-based forecast assumption.
Formula: ='Historical Inputs'!J14
Cross-sheet references identify the owning schedule. Same-sheet references identify intermediate calculations.</x:t>
        </x:r>
      </x:text>
    </x:comment>
    <x:comment ref="K16" authorId="0">
      <x:text>
        <x:r>
          <x:t>General and administrative (FY:23 A).
Corporate administration expense driven by its revenue-based forecast assumption.
Formula: ='Historical Inputs'!K14
Cross-sheet references identify the owning schedule. Same-sheet references identify intermediate calculations.</x:t>
        </x:r>
      </x:text>
    </x:comment>
    <x:comment ref="L16" authorId="0">
      <x:text>
        <x:r>
          <x:t>General and administrative (FY:24 A).
Corporate administration expense driven by its revenue-based forecast assumption.
Formula: ='Historical Inputs'!L14
Cross-sheet references identify the owning schedule. Same-sheet references identify intermediate calculations.</x:t>
        </x:r>
      </x:text>
    </x:comment>
    <x:comment ref="M16" authorId="0">
      <x:text>
        <x:r>
          <x:t>General and administrative (FY:25 A).
Corporate administration expense driven by its revenue-based forecast assumption.
Formula: ='Historical Inputs'!M14
Cross-sheet references identify the owning schedule. Same-sheet references identify intermediate calculations.</x:t>
        </x:r>
      </x:text>
    </x:comment>
    <x:comment ref="N16" authorId="0">
      <x:text>
        <x:r>
          <x:t>General and administrative (FY:26 A).
Corporate administration expense driven by its revenue-based forecast assumption.
Formula: ='Historical Inputs'!N14
Cross-sheet references identify the owning schedule. Same-sheet references identify intermediate calculations.</x:t>
        </x:r>
      </x:text>
    </x:comment>
    <x:comment ref="O16" authorId="0">
      <x:text>
        <x:r>
          <x:t>General and administrative (FY:27 E).
Corporate administration expense driven by its revenue-based forecast assumption.
Formula: ='Expense Plan'!O21
Cross-sheet references identify the owning schedule. Same-sheet references identify intermediate calculations.</x:t>
        </x:r>
      </x:text>
    </x:comment>
    <x:comment ref="P16" authorId="0">
      <x:text>
        <x:r>
          <x:t>General and administrative (FY:28 E).
Corporate administration expense driven by its revenue-based forecast assumption.
Formula: ='Expense Plan'!P21
Cross-sheet references identify the owning schedule. Same-sheet references identify intermediate calculations.</x:t>
        </x:r>
      </x:text>
    </x:comment>
    <x:comment ref="Q16" authorId="0">
      <x:text>
        <x:r>
          <x:t>General and administrative (FY:29 E).
Corporate administration expense driven by its revenue-based forecast assumption.
Formula: ='Expense Plan'!Q21
Cross-sheet references identify the owning schedule. Same-sheet references identify intermediate calculations.</x:t>
        </x:r>
      </x:text>
    </x:comment>
    <x:comment ref="R16" authorId="0">
      <x:text>
        <x:r>
          <x:t>General and administrative (FY:30 E).
Corporate administration expense driven by its revenue-based forecast assumption.
Formula: ='Expense Plan'!R21
Cross-sheet references identify the owning schedule. Same-sheet references identify intermediate calculations.</x:t>
        </x:r>
      </x:text>
    </x:comment>
    <x:comment ref="S16" authorId="0">
      <x:text>
        <x:r>
          <x:t>General and administrative (FY:31 E).
Corporate administration expense driven by its revenue-based forecast assumption.
Formula: ='Expense Plan'!S21
Cross-sheet references identify the owning schedule. Same-sheet references identify intermediate calculations.</x:t>
        </x:r>
      </x:text>
    </x:comment>
    <x:comment ref="C17" authorId="0">
      <x:text>
        <x:r>
          <x:t>Historical reported other operating expenses. No unannounced impairment, integration or restructuring events are forecast.</x:t>
        </x:r>
      </x:text>
    </x:comment>
    <x:comment ref="E17" authorId="0">
      <x:text>
        <x:r>
          <x:t>Impairment, integration and restructuring (FY:17 A).
Historical reported other operating expenses. No unannounced impairment, integration or restructuring events are forecast.
Formula: ='Historical Inputs'!E24
Cross-sheet references identify the owning schedule. Same-sheet references identify intermediate calculations.</x:t>
        </x:r>
      </x:text>
    </x:comment>
    <x:comment ref="F17" authorId="0">
      <x:text>
        <x:r>
          <x:t>Impairment, integration and restructuring (FY:18 A).
Historical reported other operating expenses. No unannounced impairment, integration or restructuring events are forecast.
Formula: ='Historical Inputs'!F24
Cross-sheet references identify the owning schedule. Same-sheet references identify intermediate calculations.</x:t>
        </x:r>
      </x:text>
    </x:comment>
    <x:comment ref="G17" authorId="0">
      <x:text>
        <x:r>
          <x:t>Impairment, integration and restructuring (FY:19 A).
Historical reported other operating expenses. No unannounced impairment, integration or restructuring events are forecast.
Formula: ='Historical Inputs'!G24
Cross-sheet references identify the owning schedule. Same-sheet references identify intermediate calculations.</x:t>
        </x:r>
      </x:text>
    </x:comment>
    <x:comment ref="H17" authorId="0">
      <x:text>
        <x:r>
          <x:t>Impairment, integration and restructuring (FY:20 A).
Historical reported other operating expenses. No unannounced impairment, integration or restructuring events are forecast.
Formula: ='Historical Inputs'!H24
Cross-sheet references identify the owning schedule. Same-sheet references identify intermediate calculations.</x:t>
        </x:r>
      </x:text>
    </x:comment>
    <x:comment ref="I17" authorId="0">
      <x:text>
        <x:r>
          <x:t>Impairment, integration and restructuring (FY:21 A).
Historical reported other operating expenses. No unannounced impairment, integration or restructuring events are forecast.
Formula: ='Historical Inputs'!I24
Cross-sheet references identify the owning schedule. Same-sheet references identify intermediate calculations.</x:t>
        </x:r>
      </x:text>
    </x:comment>
    <x:comment ref="J17" authorId="0">
      <x:text>
        <x:r>
          <x:t>Impairment, integration and restructuring (FY:22 A).
Historical reported other operating expenses. No unannounced impairment, integration or restructuring events are forecast.
Formula: ='Historical Inputs'!J24
Cross-sheet references identify the owning schedule. Same-sheet references identify intermediate calculations.</x:t>
        </x:r>
      </x:text>
    </x:comment>
    <x:comment ref="K17" authorId="0">
      <x:text>
        <x:r>
          <x:t>Impairment, integration and restructuring (FY:23 A).
Historical reported other operating expenses. No unannounced impairment, integration or restructuring events are forecast.
Formula: ='Historical Inputs'!K24
Cross-sheet references identify the owning schedule. Same-sheet references identify intermediate calculations.</x:t>
        </x:r>
      </x:text>
    </x:comment>
    <x:comment ref="L17" authorId="0">
      <x:text>
        <x:r>
          <x:t>Impairment, integration and restructuring (FY:24 A).
Historical reported other operating expenses. No unannounced impairment, integration or restructuring events are forecast.
Formula: ='Historical Inputs'!L24
Cross-sheet references identify the owning schedule. Same-sheet references identify intermediate calculations.</x:t>
        </x:r>
      </x:text>
    </x:comment>
    <x:comment ref="M17" authorId="0">
      <x:text>
        <x:r>
          <x:t>Impairment, integration and restructuring (FY:25 A).
Historical reported other operating expenses. No unannounced impairment, integration or restructuring events are forecast.
Formula: ='Historical Inputs'!M24
Cross-sheet references identify the owning schedule. Same-sheet references identify intermediate calculations.</x:t>
        </x:r>
      </x:text>
    </x:comment>
    <x:comment ref="N17" authorId="0">
      <x:text>
        <x:r>
          <x:t>Impairment, integration and restructuring (FY:26 A).
Historical reported other operating expenses. No unannounced impairment, integration or restructuring events are forecast.
Formula: ='Historical Inputs'!N24
Cross-sheet references identify the owning schedule. Same-sheet references identify intermediate calculations.</x:t>
        </x:r>
      </x:text>
    </x:comment>
    <x:comment ref="O17" authorId="0">
      <x:text>
        <x:r>
          <x:t>Impairment, integration and restructuring (FY:27 E).
Historical reported other operating expenses. No unannounced impairment, integration or restructuring events are forecast.
Formula: ='Expense Plan'!O22
Cross-sheet references identify the owning schedule. Same-sheet references identify intermediate calculations.</x:t>
        </x:r>
      </x:text>
    </x:comment>
    <x:comment ref="P17" authorId="0">
      <x:text>
        <x:r>
          <x:t>Impairment, integration and restructuring (FY:28 E).
Historical reported other operating expenses. No unannounced impairment, integration or restructuring events are forecast.
Formula: ='Expense Plan'!P22
Cross-sheet references identify the owning schedule. Same-sheet references identify intermediate calculations.</x:t>
        </x:r>
      </x:text>
    </x:comment>
    <x:comment ref="Q17" authorId="0">
      <x:text>
        <x:r>
          <x:t>Impairment, integration and restructuring (FY:29 E).
Historical reported other operating expenses. No unannounced impairment, integration or restructuring events are forecast.
Formula: ='Expense Plan'!Q22
Cross-sheet references identify the owning schedule. Same-sheet references identify intermediate calculations.</x:t>
        </x:r>
      </x:text>
    </x:comment>
    <x:comment ref="R17" authorId="0">
      <x:text>
        <x:r>
          <x:t>Impairment, integration and restructuring (FY:30 E).
Historical reported other operating expenses. No unannounced impairment, integration or restructuring events are forecast.
Formula: ='Expense Plan'!R22
Cross-sheet references identify the owning schedule. Same-sheet references identify intermediate calculations.</x:t>
        </x:r>
      </x:text>
    </x:comment>
    <x:comment ref="S17" authorId="0">
      <x:text>
        <x:r>
          <x:t>Impairment, integration and restructuring (FY:31 E).
Historical reported other operating expenses. No unannounced impairment, integration or restructuring events are forecast.
Formula: ='Expense Plan'!S22
Cross-sheet references identify the owning schedule. Same-sheet references identify intermediate calculations.</x:t>
        </x:r>
      </x:text>
    </x:comment>
    <x:comment ref="C18" authorId="0">
      <x:text>
        <x:r>
          <x:t>Total operating expenses. This line belongs to the Income Statement calculation. Read its formula to trace the referenced inputs and intermediate totals.</x:t>
        </x:r>
      </x:text>
    </x:comment>
    <x:comment ref="E18" authorId="0">
      <x:text>
        <x:r>
          <x:t>Total operating expenses (FY:17 A).
Total operating expenses. This line belongs to the Income Statement calculation. Read its formula to trace the referenced inputs and intermediate totals.
Formula: =SUM(E14:E17)
Cross-sheet references identify the owning schedule. Same-sheet references identify intermediate calculations.</x:t>
        </x:r>
      </x:text>
    </x:comment>
    <x:comment ref="F18" authorId="0">
      <x:text>
        <x:r>
          <x:t>Total operating expenses (FY:18 A).
Total operating expenses. This line belongs to the Income Statement calculation. Read its formula to trace the referenced inputs and intermediate totals.
Formula: =SUM(F14:F17)
Cross-sheet references identify the owning schedule. Same-sheet references identify intermediate calculations.</x:t>
        </x:r>
      </x:text>
    </x:comment>
    <x:comment ref="G18" authorId="0">
      <x:text>
        <x:r>
          <x:t>Total operating expenses (FY:19 A).
Total operating expenses. This line belongs to the Income Statement calculation. Read its formula to trace the referenced inputs and intermediate totals.
Formula: =SUM(G14:G17)
Cross-sheet references identify the owning schedule. Same-sheet references identify intermediate calculations.</x:t>
        </x:r>
      </x:text>
    </x:comment>
    <x:comment ref="H18" authorId="0">
      <x:text>
        <x:r>
          <x:t>Total operating expenses (FY:20 A).
Total operating expenses. This line belongs to the Income Statement calculation. Read its formula to trace the referenced inputs and intermediate totals.
Formula: =SUM(H14:H17)
Cross-sheet references identify the owning schedule. Same-sheet references identify intermediate calculations.</x:t>
        </x:r>
      </x:text>
    </x:comment>
    <x:comment ref="I18" authorId="0">
      <x:text>
        <x:r>
          <x:t>Total operating expenses (FY:21 A).
Total operating expenses. This line belongs to the Income Statement calculation. Read its formula to trace the referenced inputs and intermediate totals.
Formula: =SUM(I14:I17)
Cross-sheet references identify the owning schedule. Same-sheet references identify intermediate calculations.</x:t>
        </x:r>
      </x:text>
    </x:comment>
    <x:comment ref="J18" authorId="0">
      <x:text>
        <x:r>
          <x:t>Total operating expenses (FY:22 A).
Total operating expenses. This line belongs to the Income Statement calculation. Read its formula to trace the referenced inputs and intermediate totals.
Formula: =SUM(J14:J17)
Cross-sheet references identify the owning schedule. Same-sheet references identify intermediate calculations.</x:t>
        </x:r>
      </x:text>
    </x:comment>
    <x:comment ref="K18" authorId="0">
      <x:text>
        <x:r>
          <x:t>Total operating expenses (FY:23 A).
Total operating expenses. This line belongs to the Income Statement calculation. Read its formula to trace the referenced inputs and intermediate totals.
Formula: =SUM(K14:K17)
Cross-sheet references identify the owning schedule. Same-sheet references identify intermediate calculations.</x:t>
        </x:r>
      </x:text>
    </x:comment>
    <x:comment ref="L18" authorId="0">
      <x:text>
        <x:r>
          <x:t>Total operating expenses (FY:24 A).
Total operating expenses. This line belongs to the Income Statement calculation. Read its formula to trace the referenced inputs and intermediate totals.
Formula: =SUM(L14:L17)
Cross-sheet references identify the owning schedule. Same-sheet references identify intermediate calculations.</x:t>
        </x:r>
      </x:text>
    </x:comment>
    <x:comment ref="M18" authorId="0">
      <x:text>
        <x:r>
          <x:t>Total operating expenses (FY:25 A).
Total operating expenses. This line belongs to the Income Statement calculation. Read its formula to trace the referenced inputs and intermediate totals.
Formula: =SUM(M14:M17)
Cross-sheet references identify the owning schedule. Same-sheet references identify intermediate calculations.</x:t>
        </x:r>
      </x:text>
    </x:comment>
    <x:comment ref="N18" authorId="0">
      <x:text>
        <x:r>
          <x:t>Total operating expenses (FY:26 A).
Total operating expenses. This line belongs to the Income Statement calculation. Read its formula to trace the referenced inputs and intermediate totals.
Formula: =SUM(N14:N17)
Cross-sheet references identify the owning schedule. Same-sheet references identify intermediate calculations.</x:t>
        </x:r>
      </x:text>
    </x:comment>
    <x:comment ref="O18" authorId="0">
      <x:text>
        <x:r>
          <x:t>Total operating expenses (FY:27 E).
Total operating expenses. This line belongs to the Income Statement calculation. Read its formula to trace the referenced inputs and intermediate totals.
Formula: =SUM(O14:O17)
Cross-sheet references identify the owning schedule. Same-sheet references identify intermediate calculations.</x:t>
        </x:r>
      </x:text>
    </x:comment>
    <x:comment ref="P18" authorId="0">
      <x:text>
        <x:r>
          <x:t>Total operating expenses (FY:28 E).
Total operating expenses. This line belongs to the Income Statement calculation. Read its formula to trace the referenced inputs and intermediate totals.
Formula: =SUM(P14:P17)
Cross-sheet references identify the owning schedule. Same-sheet references identify intermediate calculations.</x:t>
        </x:r>
      </x:text>
    </x:comment>
    <x:comment ref="Q18" authorId="0">
      <x:text>
        <x:r>
          <x:t>Total operating expenses (FY:29 E).
Total operating expenses. This line belongs to the Income Statement calculation. Read its formula to trace the referenced inputs and intermediate totals.
Formula: =SUM(Q14:Q17)
Cross-sheet references identify the owning schedule. Same-sheet references identify intermediate calculations.</x:t>
        </x:r>
      </x:text>
    </x:comment>
    <x:comment ref="R18" authorId="0">
      <x:text>
        <x:r>
          <x:t>Total operating expenses (FY:30 E).
Total operating expenses. This line belongs to the Income Statement calculation. Read its formula to trace the referenced inputs and intermediate totals.
Formula: =SUM(R14:R17)
Cross-sheet references identify the owning schedule. Same-sheet references identify intermediate calculations.</x:t>
        </x:r>
      </x:text>
    </x:comment>
    <x:comment ref="S18" authorId="0">
      <x:text>
        <x:r>
          <x:t>Total operating expenses (FY:31 E).
Total operating expenses. This line belongs to the Income Statement calculation. Read its formula to trace the referenced inputs and intermediate totals.
Formula: =SUM(S14:S17)
Cross-sheet references identify the owning schedule. Same-sheet references identify intermediate calculations.</x:t>
        </x:r>
      </x:text>
    </x:comment>
    <x:comment ref="C19" authorId="0">
      <x:text>
        <x:r>
          <x:t>Gross profit less research and development, sales and marketing, general and administrative costs, and other operating expenses. It excludes nonoperating items and income tax.</x:t>
        </x:r>
      </x:text>
    </x:comment>
    <x:comment ref="E19" authorId="0">
      <x:text>
        <x:r>
          <x:t>Operating income (FY:17 A).
Gross profit less research and development, sales and marketing, general and administrative costs, and other operating expenses. It excludes nonoperating items and income tax.
Formula: ='Historical Inputs'!E15
Cross-sheet references identify the owning schedule. Same-sheet references identify intermediate calculations.</x:t>
        </x:r>
      </x:text>
    </x:comment>
    <x:comment ref="F19" authorId="0">
      <x:text>
        <x:r>
          <x:t>Operating income (FY:18 A).
Gross profit less research and development, sales and marketing, general and administrative costs, and other operating expenses. It excludes nonoperating items and income tax.
Formula: ='Historical Inputs'!F15
Cross-sheet references identify the owning schedule. Same-sheet references identify intermediate calculations.</x:t>
        </x:r>
      </x:text>
    </x:comment>
    <x:comment ref="G19" authorId="0">
      <x:text>
        <x:r>
          <x:t>Operating income (FY:19 A).
Gross profit less research and development, sales and marketing, general and administrative costs, and other operating expenses. It excludes nonoperating items and income tax.
Formula: ='Historical Inputs'!G15
Cross-sheet references identify the owning schedule. Same-sheet references identify intermediate calculations.</x:t>
        </x:r>
      </x:text>
    </x:comment>
    <x:comment ref="H19" authorId="0">
      <x:text>
        <x:r>
          <x:t>Operating income (FY:20 A).
Gross profit less research and development, sales and marketing, general and administrative costs, and other operating expenses. It excludes nonoperating items and income tax.
Formula: ='Historical Inputs'!H15
Cross-sheet references identify the owning schedule. Same-sheet references identify intermediate calculations.</x:t>
        </x:r>
      </x:text>
    </x:comment>
    <x:comment ref="I19" authorId="0">
      <x:text>
        <x:r>
          <x:t>Operating income (FY:21 A).
Gross profit less research and development, sales and marketing, general and administrative costs, and other operating expenses. It excludes nonoperating items and income tax.
Formula: ='Historical Inputs'!I15
Cross-sheet references identify the owning schedule. Same-sheet references identify intermediate calculations.</x:t>
        </x:r>
      </x:text>
    </x:comment>
    <x:comment ref="J19" authorId="0">
      <x:text>
        <x:r>
          <x:t>Operating income (FY:22 A).
Gross profit less research and development, sales and marketing, general and administrative costs, and other operating expenses. It excludes nonoperating items and income tax.
Formula: ='Historical Inputs'!J15
Cross-sheet references identify the owning schedule. Same-sheet references identify intermediate calculations.</x:t>
        </x:r>
      </x:text>
    </x:comment>
    <x:comment ref="K19" authorId="0">
      <x:text>
        <x:r>
          <x:t>Operating income (FY:23 A).
Gross profit less research and development, sales and marketing, general and administrative costs, and other operating expenses. It excludes nonoperating items and income tax.
Formula: ='Historical Inputs'!K15
Cross-sheet references identify the owning schedule. Same-sheet references identify intermediate calculations.</x:t>
        </x:r>
      </x:text>
    </x:comment>
    <x:comment ref="L19" authorId="0">
      <x:text>
        <x:r>
          <x:t>Operating income (FY:24 A).
Gross profit less research and development, sales and marketing, general and administrative costs, and other operating expenses. It excludes nonoperating items and income tax.
Formula: ='Historical Inputs'!L15
Cross-sheet references identify the owning schedule. Same-sheet references identify intermediate calculations.</x:t>
        </x:r>
      </x:text>
    </x:comment>
    <x:comment ref="M19" authorId="0">
      <x:text>
        <x:r>
          <x:t>Operating income (FY:25 A).
Gross profit less research and development, sales and marketing, general and administrative costs, and other operating expenses. It excludes nonoperating items and income tax.
Formula: ='Historical Inputs'!M15
Cross-sheet references identify the owning schedule. Same-sheet references identify intermediate calculations.</x:t>
        </x:r>
      </x:text>
    </x:comment>
    <x:comment ref="N19" authorId="0">
      <x:text>
        <x:r>
          <x:t>Operating income (FY:26 A).
Gross profit less research and development, sales and marketing, general and administrative costs, and other operating expenses. It excludes nonoperating items and income tax.
Formula: ='Historical Inputs'!N15
Cross-sheet references identify the owning schedule. Same-sheet references identify intermediate calculations.</x:t>
        </x:r>
      </x:text>
    </x:comment>
    <x:comment ref="O19" authorId="0">
      <x:text>
        <x:r>
          <x:t>Operating income (FY:27 E).
Gross profit less research and development, sales and marketing, general and administrative costs, and other operating expenses. It excludes nonoperating items and income tax.
Formula: =O11-O18
Cross-sheet references identify the owning schedule. Same-sheet references identify intermediate calculations.</x:t>
        </x:r>
      </x:text>
    </x:comment>
    <x:comment ref="P19" authorId="0">
      <x:text>
        <x:r>
          <x:t>Operating income (FY:28 E).
Gross profit less research and development, sales and marketing, general and administrative costs, and other operating expenses. It excludes nonoperating items and income tax.
Formula: =P11-P18
Cross-sheet references identify the owning schedule. Same-sheet references identify intermediate calculations.</x:t>
        </x:r>
      </x:text>
    </x:comment>
    <x:comment ref="Q19" authorId="0">
      <x:text>
        <x:r>
          <x:t>Operating income (FY:29 E).
Gross profit less research and development, sales and marketing, general and administrative costs, and other operating expenses. It excludes nonoperating items and income tax.
Formula: =Q11-Q18
Cross-sheet references identify the owning schedule. Same-sheet references identify intermediate calculations.</x:t>
        </x:r>
      </x:text>
    </x:comment>
    <x:comment ref="R19" authorId="0">
      <x:text>
        <x:r>
          <x:t>Operating income (FY:30 E).
Gross profit less research and development, sales and marketing, general and administrative costs, and other operating expenses. It excludes nonoperating items and income tax.
Formula: =R11-R18
Cross-sheet references identify the owning schedule. Same-sheet references identify intermediate calculations.</x:t>
        </x:r>
      </x:text>
    </x:comment>
    <x:comment ref="S19" authorId="0">
      <x:text>
        <x:r>
          <x:t>Operating income (FY:31 E).
Gross profit less research and development, sales and marketing, general and administrative costs, and other operating expenses. It excludes nonoperating items and income tax.
Formula: =S11-S18
Cross-sheet references identify the owning schedule. Same-sheet references identify intermediate calculations.</x:t>
        </x:r>
      </x:text>
    </x:comment>
    <x:comment ref="C20" authorId="0">
      <x:text>
        <x:r>
          <x:t>Operating income divided by revenue for the same fiscal year. A declining margin can reflect infrastructure depreciation and operating cost assumptions.</x:t>
        </x:r>
      </x:text>
    </x:comment>
    <x:comment ref="E20" authorId="0">
      <x:text>
        <x:r>
          <x:t>Operating margin (FY:17 A).
Operating income divided by revenue for the same fiscal year. A declining margin can reflect infrastructure depreciation and operating cost assumptions.
Formula: =E19/E8
Cross-sheet references identify the owning schedule. Same-sheet references identify intermediate calculations.</x:t>
        </x:r>
      </x:text>
    </x:comment>
    <x:comment ref="F20" authorId="0">
      <x:text>
        <x:r>
          <x:t>Operating margin (FY:18 A).
Operating income divided by revenue for the same fiscal year. A declining margin can reflect infrastructure depreciation and operating cost assumptions.
Formula: =F19/F8
Cross-sheet references identify the owning schedule. Same-sheet references identify intermediate calculations.</x:t>
        </x:r>
      </x:text>
    </x:comment>
    <x:comment ref="G20" authorId="0">
      <x:text>
        <x:r>
          <x:t>Operating margin (FY:19 A).
Operating income divided by revenue for the same fiscal year. A declining margin can reflect infrastructure depreciation and operating cost assumptions.
Formula: =G19/G8
Cross-sheet references identify the owning schedule. Same-sheet references identify intermediate calculations.</x:t>
        </x:r>
      </x:text>
    </x:comment>
    <x:comment ref="H20" authorId="0">
      <x:text>
        <x:r>
          <x:t>Operating margin (FY:20 A).
Operating income divided by revenue for the same fiscal year. A declining margin can reflect infrastructure depreciation and operating cost assumptions.
Formula: =H19/H8
Cross-sheet references identify the owning schedule. Same-sheet references identify intermediate calculations.</x:t>
        </x:r>
      </x:text>
    </x:comment>
    <x:comment ref="I20" authorId="0">
      <x:text>
        <x:r>
          <x:t>Operating margin (FY:21 A).
Operating income divided by revenue for the same fiscal year. A declining margin can reflect infrastructure depreciation and operating cost assumptions.
Formula: =I19/I8
Cross-sheet references identify the owning schedule. Same-sheet references identify intermediate calculations.</x:t>
        </x:r>
      </x:text>
    </x:comment>
    <x:comment ref="J20" authorId="0">
      <x:text>
        <x:r>
          <x:t>Operating margin (FY:22 A).
Operating income divided by revenue for the same fiscal year. A declining margin can reflect infrastructure depreciation and operating cost assumptions.
Formula: =J19/J8
Cross-sheet references identify the owning schedule. Same-sheet references identify intermediate calculations.</x:t>
        </x:r>
      </x:text>
    </x:comment>
    <x:comment ref="K20" authorId="0">
      <x:text>
        <x:r>
          <x:t>Operating margin (FY:23 A).
Operating income divided by revenue for the same fiscal year. A declining margin can reflect infrastructure depreciation and operating cost assumptions.
Formula: =K19/K8
Cross-sheet references identify the owning schedule. Same-sheet references identify intermediate calculations.</x:t>
        </x:r>
      </x:text>
    </x:comment>
    <x:comment ref="L20" authorId="0">
      <x:text>
        <x:r>
          <x:t>Operating margin (FY:24 A).
Operating income divided by revenue for the same fiscal year. A declining margin can reflect infrastructure depreciation and operating cost assumptions.
Formula: =L19/L8
Cross-sheet references identify the owning schedule. Same-sheet references identify intermediate calculations.</x:t>
        </x:r>
      </x:text>
    </x:comment>
    <x:comment ref="M20" authorId="0">
      <x:text>
        <x:r>
          <x:t>Operating margin (FY:25 A).
Operating income divided by revenue for the same fiscal year. A declining margin can reflect infrastructure depreciation and operating cost assumptions.
Formula: =M19/M8
Cross-sheet references identify the owning schedule. Same-sheet references identify intermediate calculations.</x:t>
        </x:r>
      </x:text>
    </x:comment>
    <x:comment ref="N20" authorId="0">
      <x:text>
        <x:r>
          <x:t>Operating margin (FY:26 A).
Operating income divided by revenue for the same fiscal year. A declining margin can reflect infrastructure depreciation and operating cost assumptions.
Formula: =N19/N8
Cross-sheet references identify the owning schedule. Same-sheet references identify intermediate calculations.</x:t>
        </x:r>
      </x:text>
    </x:comment>
    <x:comment ref="O20" authorId="0">
      <x:text>
        <x:r>
          <x:t>Operating margin (FY:27 E).
Operating income divided by revenue for the same fiscal year. A declining margin can reflect infrastructure depreciation and operating cost assumptions.
Formula: =O19/O8
Cross-sheet references identify the owning schedule. Same-sheet references identify intermediate calculations.</x:t>
        </x:r>
      </x:text>
    </x:comment>
    <x:comment ref="P20" authorId="0">
      <x:text>
        <x:r>
          <x:t>Operating margin (FY:28 E).
Operating income divided by revenue for the same fiscal year. A declining margin can reflect infrastructure depreciation and operating cost assumptions.
Formula: =P19/P8
Cross-sheet references identify the owning schedule. Same-sheet references identify intermediate calculations.</x:t>
        </x:r>
      </x:text>
    </x:comment>
    <x:comment ref="Q20" authorId="0">
      <x:text>
        <x:r>
          <x:t>Operating margin (FY:29 E).
Operating income divided by revenue for the same fiscal year. A declining margin can reflect infrastructure depreciation and operating cost assumptions.
Formula: =Q19/Q8
Cross-sheet references identify the owning schedule. Same-sheet references identify intermediate calculations.</x:t>
        </x:r>
      </x:text>
    </x:comment>
    <x:comment ref="R20" authorId="0">
      <x:text>
        <x:r>
          <x:t>Operating margin (FY:30 E).
Operating income divided by revenue for the same fiscal year. A declining margin can reflect infrastructure depreciation and operating cost assumptions.
Formula: =R19/R8
Cross-sheet references identify the owning schedule. Same-sheet references identify intermediate calculations.</x:t>
        </x:r>
      </x:text>
    </x:comment>
    <x:comment ref="S20" authorId="0">
      <x:text>
        <x:r>
          <x:t>Operating margin (FY:31 E).
Operating income divided by revenue for the same fiscal year. A declining margin can reflect infrastructure depreciation and operating cost assumptions.
Formula: =S19/S8
Cross-sheet references identify the owning schedule. Same-sheet references identify intermediate calculations.</x:t>
        </x:r>
      </x:text>
    </x:comment>
    <x:comment ref="C22" authorId="0">
      <x:text>
        <x:r>
          <x:t>Net nonoperating items. The forecast uses investment income less recognized interest expense and does not extrapolate FY2026 investment gains.</x:t>
        </x:r>
      </x:text>
    </x:comment>
    <x:comment ref="E22" authorId="0">
      <x:text>
        <x:r>
          <x:t>Other income and expense, net (FY:17 A).
Net nonoperating items. The forecast uses investment income less recognized interest expense and does not extrapolate FY2026 investment gains.
Formula: ='Historical Inputs'!E16
Cross-sheet references identify the owning schedule. Same-sheet references identify intermediate calculations.</x:t>
        </x:r>
      </x:text>
    </x:comment>
    <x:comment ref="F22" authorId="0">
      <x:text>
        <x:r>
          <x:t>Other income and expense, net (FY:18 A).
Net nonoperating items. The forecast uses investment income less recognized interest expense and does not extrapolate FY2026 investment gains.
Formula: ='Historical Inputs'!F16
Cross-sheet references identify the owning schedule. Same-sheet references identify intermediate calculations.</x:t>
        </x:r>
      </x:text>
    </x:comment>
    <x:comment ref="G22" authorId="0">
      <x:text>
        <x:r>
          <x:t>Other income and expense, net (FY:19 A).
Net nonoperating items. The forecast uses investment income less recognized interest expense and does not extrapolate FY2026 investment gains.
Formula: ='Historical Inputs'!G16
Cross-sheet references identify the owning schedule. Same-sheet references identify intermediate calculations.</x:t>
        </x:r>
      </x:text>
    </x:comment>
    <x:comment ref="H22" authorId="0">
      <x:text>
        <x:r>
          <x:t>Other income and expense, net (FY:20 A).
Net nonoperating items. The forecast uses investment income less recognized interest expense and does not extrapolate FY2026 investment gains.
Formula: ='Historical Inputs'!H16
Cross-sheet references identify the owning schedule. Same-sheet references identify intermediate calculations.</x:t>
        </x:r>
      </x:text>
    </x:comment>
    <x:comment ref="I22" authorId="0">
      <x:text>
        <x:r>
          <x:t>Other income and expense, net (FY:21 A).
Net nonoperating items. The forecast uses investment income less recognized interest expense and does not extrapolate FY2026 investment gains.
Formula: ='Historical Inputs'!I16
Cross-sheet references identify the owning schedule. Same-sheet references identify intermediate calculations.</x:t>
        </x:r>
      </x:text>
    </x:comment>
    <x:comment ref="J22" authorId="0">
      <x:text>
        <x:r>
          <x:t>Other income and expense, net (FY:22 A).
Net nonoperating items. The forecast uses investment income less recognized interest expense and does not extrapolate FY2026 investment gains.
Formula: ='Historical Inputs'!J16
Cross-sheet references identify the owning schedule. Same-sheet references identify intermediate calculations.</x:t>
        </x:r>
      </x:text>
    </x:comment>
    <x:comment ref="K22" authorId="0">
      <x:text>
        <x:r>
          <x:t>Other income and expense, net (FY:23 A).
Net nonoperating items. The forecast uses investment income less recognized interest expense and does not extrapolate FY2026 investment gains.
Formula: ='Historical Inputs'!K16
Cross-sheet references identify the owning schedule. Same-sheet references identify intermediate calculations.</x:t>
        </x:r>
      </x:text>
    </x:comment>
    <x:comment ref="L22" authorId="0">
      <x:text>
        <x:r>
          <x:t>Other income and expense, net (FY:24 A).
Net nonoperating items. The forecast uses investment income less recognized interest expense and does not extrapolate FY2026 investment gains.
Formula: ='Historical Inputs'!L16
Cross-sheet references identify the owning schedule. Same-sheet references identify intermediate calculations.</x:t>
        </x:r>
      </x:text>
    </x:comment>
    <x:comment ref="M22" authorId="0">
      <x:text>
        <x:r>
          <x:t>Other income and expense, net (FY:25 A).
Net nonoperating items. The forecast uses investment income less recognized interest expense and does not extrapolate FY2026 investment gains.
Formula: ='Historical Inputs'!M16
Cross-sheet references identify the owning schedule. Same-sheet references identify intermediate calculations.</x:t>
        </x:r>
      </x:text>
    </x:comment>
    <x:comment ref="N22" authorId="0">
      <x:text>
        <x:r>
          <x:t>Other income and expense, net (FY:26 A).
Net nonoperating items. The forecast uses investment income less recognized interest expense and does not extrapolate FY2026 investment gains.
Formula: ='Historical Inputs'!N16
Cross-sheet references identify the owning schedule. Same-sheet references identify intermediate calculations.</x:t>
        </x:r>
      </x:text>
    </x:comment>
    <x:comment ref="O22" authorId="0">
      <x:text>
        <x:r>
          <x:t>Other income and expense, net (FY:27 E).
Net nonoperating items. The forecast uses investment income less recognized interest expense and does not extrapolate FY2026 investment gains.
Formula: ='Debt and Leases'!O26-'Debt and Leases'!O25
Cross-sheet references identify the owning schedule. Same-sheet references identify intermediate calculations.</x:t>
        </x:r>
      </x:text>
    </x:comment>
    <x:comment ref="P22" authorId="0">
      <x:text>
        <x:r>
          <x:t>Other income and expense, net (FY:28 E).
Net nonoperating items. The forecast uses investment income less recognized interest expense and does not extrapolate FY2026 investment gains.
Formula: ='Debt and Leases'!P26-'Debt and Leases'!P25
Cross-sheet references identify the owning schedule. Same-sheet references identify intermediate calculations.</x:t>
        </x:r>
      </x:text>
    </x:comment>
    <x:comment ref="Q22" authorId="0">
      <x:text>
        <x:r>
          <x:t>Other income and expense, net (FY:29 E).
Net nonoperating items. The forecast uses investment income less recognized interest expense and does not extrapolate FY2026 investment gains.
Formula: ='Debt and Leases'!Q26-'Debt and Leases'!Q25
Cross-sheet references identify the owning schedule. Same-sheet references identify intermediate calculations.</x:t>
        </x:r>
      </x:text>
    </x:comment>
    <x:comment ref="R22" authorId="0">
      <x:text>
        <x:r>
          <x:t>Other income and expense, net (FY:30 E).
Net nonoperating items. The forecast uses investment income less recognized interest expense and does not extrapolate FY2026 investment gains.
Formula: ='Debt and Leases'!R26-'Debt and Leases'!R25
Cross-sheet references identify the owning schedule. Same-sheet references identify intermediate calculations.</x:t>
        </x:r>
      </x:text>
    </x:comment>
    <x:comment ref="S22" authorId="0">
      <x:text>
        <x:r>
          <x:t>Other income and expense, net (FY:31 E).
Net nonoperating items. The forecast uses investment income less recognized interest expense and does not extrapolate FY2026 investment gains.
Formula: ='Debt and Leases'!S26-'Debt and Leases'!S25
Cross-sheet references identify the owning schedule. Same-sheet references identify intermediate calculations.</x:t>
        </x:r>
      </x:text>
    </x:comment>
    <x:comment ref="C23" authorId="0">
      <x:text>
        <x:r>
          <x:t>Income before income taxes. This line belongs to the Income Statement calculation. Read its formula to trace the referenced inputs and intermediate totals.</x:t>
        </x:r>
      </x:text>
    </x:comment>
    <x:comment ref="E23" authorId="0">
      <x:text>
        <x:r>
          <x:t>Income before income taxes (FY:17 A).
Income before income taxes. This line belongs to the Income Statement calculation. Read its formula to trace the referenced inputs and intermediate totals.
Formula: ='Historical Inputs'!E17
Cross-sheet references identify the owning schedule. Same-sheet references identify intermediate calculations.</x:t>
        </x:r>
      </x:text>
    </x:comment>
    <x:comment ref="F23" authorId="0">
      <x:text>
        <x:r>
          <x:t>Income before income taxes (FY:18 A).
Income before income taxes. This line belongs to the Income Statement calculation. Read its formula to trace the referenced inputs and intermediate totals.
Formula: ='Historical Inputs'!F17
Cross-sheet references identify the owning schedule. Same-sheet references identify intermediate calculations.</x:t>
        </x:r>
      </x:text>
    </x:comment>
    <x:comment ref="G23" authorId="0">
      <x:text>
        <x:r>
          <x:t>Income before income taxes (FY:19 A).
Income before income taxes. This line belongs to the Income Statement calculation. Read its formula to trace the referenced inputs and intermediate totals.
Formula: ='Historical Inputs'!G17
Cross-sheet references identify the owning schedule. Same-sheet references identify intermediate calculations.</x:t>
        </x:r>
      </x:text>
    </x:comment>
    <x:comment ref="H23" authorId="0">
      <x:text>
        <x:r>
          <x:t>Income before income taxes (FY:20 A).
Income before income taxes. This line belongs to the Income Statement calculation. Read its formula to trace the referenced inputs and intermediate totals.
Formula: ='Historical Inputs'!H17
Cross-sheet references identify the owning schedule. Same-sheet references identify intermediate calculations.</x:t>
        </x:r>
      </x:text>
    </x:comment>
    <x:comment ref="I23" authorId="0">
      <x:text>
        <x:r>
          <x:t>Income before income taxes (FY:21 A).
Income before income taxes. This line belongs to the Income Statement calculation. Read its formula to trace the referenced inputs and intermediate totals.
Formula: ='Historical Inputs'!I17
Cross-sheet references identify the owning schedule. Same-sheet references identify intermediate calculations.</x:t>
        </x:r>
      </x:text>
    </x:comment>
    <x:comment ref="J23" authorId="0">
      <x:text>
        <x:r>
          <x:t>Income before income taxes (FY:22 A).
Income before income taxes. This line belongs to the Income Statement calculation. Read its formula to trace the referenced inputs and intermediate totals.
Formula: ='Historical Inputs'!J17
Cross-sheet references identify the owning schedule. Same-sheet references identify intermediate calculations.</x:t>
        </x:r>
      </x:text>
    </x:comment>
    <x:comment ref="K23" authorId="0">
      <x:text>
        <x:r>
          <x:t>Income before income taxes (FY:23 A).
Income before income taxes. This line belongs to the Income Statement calculation. Read its formula to trace the referenced inputs and intermediate totals.
Formula: ='Historical Inputs'!K17
Cross-sheet references identify the owning schedule. Same-sheet references identify intermediate calculations.</x:t>
        </x:r>
      </x:text>
    </x:comment>
    <x:comment ref="L23" authorId="0">
      <x:text>
        <x:r>
          <x:t>Income before income taxes (FY:24 A).
Income before income taxes. This line belongs to the Income Statement calculation. Read its formula to trace the referenced inputs and intermediate totals.
Formula: ='Historical Inputs'!L17
Cross-sheet references identify the owning schedule. Same-sheet references identify intermediate calculations.</x:t>
        </x:r>
      </x:text>
    </x:comment>
    <x:comment ref="M23" authorId="0">
      <x:text>
        <x:r>
          <x:t>Income before income taxes (FY:25 A).
Income before income taxes. This line belongs to the Income Statement calculation. Read its formula to trace the referenced inputs and intermediate totals.
Formula: ='Historical Inputs'!M17
Cross-sheet references identify the owning schedule. Same-sheet references identify intermediate calculations.</x:t>
        </x:r>
      </x:text>
    </x:comment>
    <x:comment ref="N23" authorId="0">
      <x:text>
        <x:r>
          <x:t>Income before income taxes (FY:26 A).
Income before income taxes. This line belongs to the Income Statement calculation. Read its formula to trace the referenced inputs and intermediate totals.
Formula: ='Historical Inputs'!N17
Cross-sheet references identify the owning schedule. Same-sheet references identify intermediate calculations.</x:t>
        </x:r>
      </x:text>
    </x:comment>
    <x:comment ref="O23" authorId="0">
      <x:text>
        <x:r>
          <x:t>Income before income taxes (FY:27 E).
Income before income taxes. This line belongs to the Income Statement calculation. Read its formula to trace the referenced inputs and intermediate totals.
Formula: =O19+O22
Cross-sheet references identify the owning schedule. Same-sheet references identify intermediate calculations.</x:t>
        </x:r>
      </x:text>
    </x:comment>
    <x:comment ref="P23" authorId="0">
      <x:text>
        <x:r>
          <x:t>Income before income taxes (FY:28 E).
Income before income taxes. This line belongs to the Income Statement calculation. Read its formula to trace the referenced inputs and intermediate totals.
Formula: =P19+P22
Cross-sheet references identify the owning schedule. Same-sheet references identify intermediate calculations.</x:t>
        </x:r>
      </x:text>
    </x:comment>
    <x:comment ref="Q23" authorId="0">
      <x:text>
        <x:r>
          <x:t>Income before income taxes (FY:29 E).
Income before income taxes. This line belongs to the Income Statement calculation. Read its formula to trace the referenced inputs and intermediate totals.
Formula: =Q19+Q22
Cross-sheet references identify the owning schedule. Same-sheet references identify intermediate calculations.</x:t>
        </x:r>
      </x:text>
    </x:comment>
    <x:comment ref="R23" authorId="0">
      <x:text>
        <x:r>
          <x:t>Income before income taxes (FY:30 E).
Income before income taxes. This line belongs to the Income Statement calculation. Read its formula to trace the referenced inputs and intermediate totals.
Formula: =R19+R22
Cross-sheet references identify the owning schedule. Same-sheet references identify intermediate calculations.</x:t>
        </x:r>
      </x:text>
    </x:comment>
    <x:comment ref="S23" authorId="0">
      <x:text>
        <x:r>
          <x:t>Income before income taxes (FY:31 E).
Income before income taxes. This line belongs to the Income Statement calculation. Read its formula to trace the referenced inputs and intermediate totals.
Formula: =S19+S22
Cross-sheet references identify the owning schedule. Same-sheet references identify intermediate calculations.</x:t>
        </x:r>
      </x:text>
    </x:comment>
    <x:comment ref="C25" authorId="0">
      <x:text>
        <x:r>
          <x:t>Historical reported tax expense. Forecast income before taxes multiplied by the effective tax-rate assumption.</x:t>
        </x:r>
      </x:text>
    </x:comment>
    <x:comment ref="E25" authorId="0">
      <x:text>
        <x:r>
          <x:t>Income tax expense (FY:17 A).
Historical reported tax expense. Forecast income before taxes multiplied by the effective tax-rate assumption.
Formula: ='Historical Inputs'!E18
Cross-sheet references identify the owning schedule. Same-sheet references identify intermediate calculations.</x:t>
        </x:r>
      </x:text>
    </x:comment>
    <x:comment ref="F25" authorId="0">
      <x:text>
        <x:r>
          <x:t>Income tax expense (FY:18 A).
Historical reported tax expense. Forecast income before taxes multiplied by the effective tax-rate assumption.
Formula: ='Historical Inputs'!F18
Cross-sheet references identify the owning schedule. Same-sheet references identify intermediate calculations.</x:t>
        </x:r>
      </x:text>
    </x:comment>
    <x:comment ref="G25" authorId="0">
      <x:text>
        <x:r>
          <x:t>Income tax expense (FY:19 A).
Historical reported tax expense. Forecast income before taxes multiplied by the effective tax-rate assumption.
Formula: ='Historical Inputs'!G18
Cross-sheet references identify the owning schedule. Same-sheet references identify intermediate calculations.</x:t>
        </x:r>
      </x:text>
    </x:comment>
    <x:comment ref="H25" authorId="0">
      <x:text>
        <x:r>
          <x:t>Income tax expense (FY:20 A).
Historical reported tax expense. Forecast income before taxes multiplied by the effective tax-rate assumption.
Formula: ='Historical Inputs'!H18
Cross-sheet references identify the owning schedule. Same-sheet references identify intermediate calculations.</x:t>
        </x:r>
      </x:text>
    </x:comment>
    <x:comment ref="I25" authorId="0">
      <x:text>
        <x:r>
          <x:t>Income tax expense (FY:21 A).
Historical reported tax expense. Forecast income before taxes multiplied by the effective tax-rate assumption.
Formula: ='Historical Inputs'!I18
Cross-sheet references identify the owning schedule. Same-sheet references identify intermediate calculations.</x:t>
        </x:r>
      </x:text>
    </x:comment>
    <x:comment ref="J25" authorId="0">
      <x:text>
        <x:r>
          <x:t>Income tax expense (FY:22 A).
Historical reported tax expense. Forecast income before taxes multiplied by the effective tax-rate assumption.
Formula: ='Historical Inputs'!J18
Cross-sheet references identify the owning schedule. Same-sheet references identify intermediate calculations.</x:t>
        </x:r>
      </x:text>
    </x:comment>
    <x:comment ref="K25" authorId="0">
      <x:text>
        <x:r>
          <x:t>Income tax expense (FY:23 A).
Historical reported tax expense. Forecast income before taxes multiplied by the effective tax-rate assumption.
Formula: ='Historical Inputs'!K18
Cross-sheet references identify the owning schedule. Same-sheet references identify intermediate calculations.</x:t>
        </x:r>
      </x:text>
    </x:comment>
    <x:comment ref="L25" authorId="0">
      <x:text>
        <x:r>
          <x:t>Income tax expense (FY:24 A).
Historical reported tax expense. Forecast income before taxes multiplied by the effective tax-rate assumption.
Formula: ='Historical Inputs'!L18
Cross-sheet references identify the owning schedule. Same-sheet references identify intermediate calculations.</x:t>
        </x:r>
      </x:text>
    </x:comment>
    <x:comment ref="M25" authorId="0">
      <x:text>
        <x:r>
          <x:t>Income tax expense (FY:25 A).
Historical reported tax expense. Forecast income before taxes multiplied by the effective tax-rate assumption.
Formula: ='Historical Inputs'!M18
Cross-sheet references identify the owning schedule. Same-sheet references identify intermediate calculations.</x:t>
        </x:r>
      </x:text>
    </x:comment>
    <x:comment ref="N25" authorId="0">
      <x:text>
        <x:r>
          <x:t>Income tax expense (FY:26 A).
Historical reported tax expense. Forecast income before taxes multiplied by the effective tax-rate assumption.
Formula: ='Historical Inputs'!N18
Cross-sheet references identify the owning schedule. Same-sheet references identify intermediate calculations.</x:t>
        </x:r>
      </x:text>
    </x:comment>
    <x:comment ref="O25" authorId="0">
      <x:text>
        <x:r>
          <x:t>Income tax expense (FY:27 E).
Historical reported tax expense. Forecast income before taxes multiplied by the effective tax-rate assumption.
Formula: ='Tax and Equity'!O10
Cross-sheet references identify the owning schedule. Same-sheet references identify intermediate calculations.</x:t>
        </x:r>
      </x:text>
    </x:comment>
    <x:comment ref="P25" authorId="0">
      <x:text>
        <x:r>
          <x:t>Income tax expense (FY:28 E).
Historical reported tax expense. Forecast income before taxes multiplied by the effective tax-rate assumption.
Formula: ='Tax and Equity'!P10
Cross-sheet references identify the owning schedule. Same-sheet references identify intermediate calculations.</x:t>
        </x:r>
      </x:text>
    </x:comment>
    <x:comment ref="Q25" authorId="0">
      <x:text>
        <x:r>
          <x:t>Income tax expense (FY:29 E).
Historical reported tax expense. Forecast income before taxes multiplied by the effective tax-rate assumption.
Formula: ='Tax and Equity'!Q10
Cross-sheet references identify the owning schedule. Same-sheet references identify intermediate calculations.</x:t>
        </x:r>
      </x:text>
    </x:comment>
    <x:comment ref="R25" authorId="0">
      <x:text>
        <x:r>
          <x:t>Income tax expense (FY:30 E).
Historical reported tax expense. Forecast income before taxes multiplied by the effective tax-rate assumption.
Formula: ='Tax and Equity'!R10
Cross-sheet references identify the owning schedule. Same-sheet references identify intermediate calculations.</x:t>
        </x:r>
      </x:text>
    </x:comment>
    <x:comment ref="S25" authorId="0">
      <x:text>
        <x:r>
          <x:t>Income tax expense (FY:31 E).
Historical reported tax expense. Forecast income before taxes multiplied by the effective tax-rate assumption.
Formula: ='Tax and Equity'!S10
Cross-sheet references identify the owning schedule. Same-sheet references identify intermediate calculations.</x:t>
        </x:r>
      </x:text>
    </x:comment>
    <x:comment ref="C26" authorId="0">
      <x:text>
        <x:r>
          <x:t>Income tax expense divided by income before tax for the same period. The forecast is a planning assumption, not statutory tax advice.</x:t>
        </x:r>
      </x:text>
    </x:comment>
    <x:comment ref="E26" authorId="0">
      <x:text>
        <x:r>
          <x:t>Effective tax rate (FY:17 A).
Income tax expense divided by income before tax for the same period. The forecast is a planning assumption, not statutory tax advice.
Formula: =E25/E23
Cross-sheet references identify the owning schedule. Same-sheet references identify intermediate calculations.</x:t>
        </x:r>
      </x:text>
    </x:comment>
    <x:comment ref="F26" authorId="0">
      <x:text>
        <x:r>
          <x:t>Effective tax rate (FY:18 A).
Income tax expense divided by income before tax for the same period. The forecast is a planning assumption, not statutory tax advice.
Formula: =F25/F23
Cross-sheet references identify the owning schedule. Same-sheet references identify intermediate calculations.</x:t>
        </x:r>
      </x:text>
    </x:comment>
    <x:comment ref="G26" authorId="0">
      <x:text>
        <x:r>
          <x:t>Effective tax rate (FY:19 A).
Income tax expense divided by income before tax for the same period. The forecast is a planning assumption, not statutory tax advice.
Formula: =G25/G23
Cross-sheet references identify the owning schedule. Same-sheet references identify intermediate calculations.</x:t>
        </x:r>
      </x:text>
    </x:comment>
    <x:comment ref="H26" authorId="0">
      <x:text>
        <x:r>
          <x:t>Effective tax rate (FY:20 A).
Income tax expense divided by income before tax for the same period. The forecast is a planning assumption, not statutory tax advice.
Formula: =H25/H23
Cross-sheet references identify the owning schedule. Same-sheet references identify intermediate calculations.</x:t>
        </x:r>
      </x:text>
    </x:comment>
    <x:comment ref="I26" authorId="0">
      <x:text>
        <x:r>
          <x:t>Effective tax rate (FY:21 A).
Income tax expense divided by income before tax for the same period. The forecast is a planning assumption, not statutory tax advice.
Formula: =I25/I23
Cross-sheet references identify the owning schedule. Same-sheet references identify intermediate calculations.</x:t>
        </x:r>
      </x:text>
    </x:comment>
    <x:comment ref="J26" authorId="0">
      <x:text>
        <x:r>
          <x:t>Effective tax rate (FY:22 A).
Income tax expense divided by income before tax for the same period. The forecast is a planning assumption, not statutory tax advice.
Formula: =J25/J23
Cross-sheet references identify the owning schedule. Same-sheet references identify intermediate calculations.</x:t>
        </x:r>
      </x:text>
    </x:comment>
    <x:comment ref="K26" authorId="0">
      <x:text>
        <x:r>
          <x:t>Effective tax rate (FY:23 A).
Income tax expense divided by income before tax for the same period. The forecast is a planning assumption, not statutory tax advice.
Formula: =K25/K23
Cross-sheet references identify the owning schedule. Same-sheet references identify intermediate calculations.</x:t>
        </x:r>
      </x:text>
    </x:comment>
    <x:comment ref="L26" authorId="0">
      <x:text>
        <x:r>
          <x:t>Effective tax rate (FY:24 A).
Income tax expense divided by income before tax for the same period. The forecast is a planning assumption, not statutory tax advice.
Formula: =L25/L23
Cross-sheet references identify the owning schedule. Same-sheet references identify intermediate calculations.</x:t>
        </x:r>
      </x:text>
    </x:comment>
    <x:comment ref="M26" authorId="0">
      <x:text>
        <x:r>
          <x:t>Effective tax rate (FY:25 A).
Income tax expense divided by income before tax for the same period. The forecast is a planning assumption, not statutory tax advice.
Formula: =M25/M23
Cross-sheet references identify the owning schedule. Same-sheet references identify intermediate calculations.</x:t>
        </x:r>
      </x:text>
    </x:comment>
    <x:comment ref="N26" authorId="0">
      <x:text>
        <x:r>
          <x:t>Effective tax rate (FY:26 A).
Income tax expense divided by income before tax for the same period. The forecast is a planning assumption, not statutory tax advice.
Formula: =N25/N23
Cross-sheet references identify the owning schedule. Same-sheet references identify intermediate calculations.</x:t>
        </x:r>
      </x:text>
    </x:comment>
    <x:comment ref="O26" authorId="0">
      <x:text>
        <x:r>
          <x:t>Effective tax rate (FY:27 E).
Income tax expense divided by income before tax for the same period. The forecast is a planning assumption, not statutory tax advice.
Formula: =O25/O23
Cross-sheet references identify the owning schedule. Same-sheet references identify intermediate calculations.</x:t>
        </x:r>
      </x:text>
    </x:comment>
    <x:comment ref="P26" authorId="0">
      <x:text>
        <x:r>
          <x:t>Effective tax rate (FY:28 E).
Income tax expense divided by income before tax for the same period. The forecast is a planning assumption, not statutory tax advice.
Formula: =P25/P23
Cross-sheet references identify the owning schedule. Same-sheet references identify intermediate calculations.</x:t>
        </x:r>
      </x:text>
    </x:comment>
    <x:comment ref="Q26" authorId="0">
      <x:text>
        <x:r>
          <x:t>Effective tax rate (FY:29 E).
Income tax expense divided by income before tax for the same period. The forecast is a planning assumption, not statutory tax advice.
Formula: =Q25/Q23
Cross-sheet references identify the owning schedule. Same-sheet references identify intermediate calculations.</x:t>
        </x:r>
      </x:text>
    </x:comment>
    <x:comment ref="R26" authorId="0">
      <x:text>
        <x:r>
          <x:t>Effective tax rate (FY:30 E).
Income tax expense divided by income before tax for the same period. The forecast is a planning assumption, not statutory tax advice.
Formula: =R25/R23
Cross-sheet references identify the owning schedule. Same-sheet references identify intermediate calculations.</x:t>
        </x:r>
      </x:text>
    </x:comment>
    <x:comment ref="S26" authorId="0">
      <x:text>
        <x:r>
          <x:t>Effective tax rate (FY:31 E).
Income tax expense divided by income before tax for the same period. The forecast is a planning assumption, not statutory tax advice.
Formula: =S25/S23
Cross-sheet references identify the owning schedule. Same-sheet references identify intermediate calculations.</x:t>
        </x:r>
      </x:text>
    </x:comment>
    <x:comment ref="C28" authorId="0">
      <x:text>
        <x:r>
          <x:t>Income before taxes less income tax expense. It includes noncash items, so it differs from operating cash flow.</x:t>
        </x:r>
      </x:text>
    </x:comment>
    <x:comment ref="E28" authorId="0">
      <x:text>
        <x:r>
          <x:t>Net income (FY:17 A).
Income before taxes less income tax expense. It includes noncash items, so it differs from operating cash flow.
Formula: ='Historical Inputs'!E19
Cross-sheet references identify the owning schedule. Same-sheet references identify intermediate calculations.</x:t>
        </x:r>
      </x:text>
    </x:comment>
    <x:comment ref="F28" authorId="0">
      <x:text>
        <x:r>
          <x:t>Net income (FY:18 A).
Income before taxes less income tax expense. It includes noncash items, so it differs from operating cash flow.
Formula: ='Historical Inputs'!F19
Cross-sheet references identify the owning schedule. Same-sheet references identify intermediate calculations.</x:t>
        </x:r>
      </x:text>
    </x:comment>
    <x:comment ref="G28" authorId="0">
      <x:text>
        <x:r>
          <x:t>Net income (FY:19 A).
Income before taxes less income tax expense. It includes noncash items, so it differs from operating cash flow.
Formula: ='Historical Inputs'!G19
Cross-sheet references identify the owning schedule. Same-sheet references identify intermediate calculations.</x:t>
        </x:r>
      </x:text>
    </x:comment>
    <x:comment ref="H28" authorId="0">
      <x:text>
        <x:r>
          <x:t>Net income (FY:20 A).
Income before taxes less income tax expense. It includes noncash items, so it differs from operating cash flow.
Formula: ='Historical Inputs'!H19
Cross-sheet references identify the owning schedule. Same-sheet references identify intermediate calculations.</x:t>
        </x:r>
      </x:text>
    </x:comment>
    <x:comment ref="I28" authorId="0">
      <x:text>
        <x:r>
          <x:t>Net income (FY:21 A).
Income before taxes less income tax expense. It includes noncash items, so it differs from operating cash flow.
Formula: ='Historical Inputs'!I19
Cross-sheet references identify the owning schedule. Same-sheet references identify intermediate calculations.</x:t>
        </x:r>
      </x:text>
    </x:comment>
    <x:comment ref="J28" authorId="0">
      <x:text>
        <x:r>
          <x:t>Net income (FY:22 A).
Income before taxes less income tax expense. It includes noncash items, so it differs from operating cash flow.
Formula: ='Historical Inputs'!J19
Cross-sheet references identify the owning schedule. Same-sheet references identify intermediate calculations.</x:t>
        </x:r>
      </x:text>
    </x:comment>
    <x:comment ref="K28" authorId="0">
      <x:text>
        <x:r>
          <x:t>Net income (FY:23 A).
Income before taxes less income tax expense. It includes noncash items, so it differs from operating cash flow.
Formula: ='Historical Inputs'!K19
Cross-sheet references identify the owning schedule. Same-sheet references identify intermediate calculations.</x:t>
        </x:r>
      </x:text>
    </x:comment>
    <x:comment ref="L28" authorId="0">
      <x:text>
        <x:r>
          <x:t>Net income (FY:24 A).
Income before taxes less income tax expense. It includes noncash items, so it differs from operating cash flow.
Formula: ='Historical Inputs'!L19
Cross-sheet references identify the owning schedule. Same-sheet references identify intermediate calculations.</x:t>
        </x:r>
      </x:text>
    </x:comment>
    <x:comment ref="M28" authorId="0">
      <x:text>
        <x:r>
          <x:t>Net income (FY:25 A).
Income before taxes less income tax expense. It includes noncash items, so it differs from operating cash flow.
Formula: ='Historical Inputs'!M19
Cross-sheet references identify the owning schedule. Same-sheet references identify intermediate calculations.</x:t>
        </x:r>
      </x:text>
    </x:comment>
    <x:comment ref="N28" authorId="0">
      <x:text>
        <x:r>
          <x:t>Net income (FY:26 A).
Income before taxes less income tax expense. It includes noncash items, so it differs from operating cash flow.
Formula: ='Historical Inputs'!N19
Cross-sheet references identify the owning schedule. Same-sheet references identify intermediate calculations.</x:t>
        </x:r>
      </x:text>
    </x:comment>
    <x:comment ref="O28" authorId="0">
      <x:text>
        <x:r>
          <x:t>Net income (FY:27 E).
Income before taxes less income tax expense. It includes noncash items, so it differs from operating cash flow.
Formula: =O23-O25
Cross-sheet references identify the owning schedule. Same-sheet references identify intermediate calculations.</x:t>
        </x:r>
      </x:text>
    </x:comment>
    <x:comment ref="P28" authorId="0">
      <x:text>
        <x:r>
          <x:t>Net income (FY:28 E).
Income before taxes less income tax expense. It includes noncash items, so it differs from operating cash flow.
Formula: =P23-P25
Cross-sheet references identify the owning schedule. Same-sheet references identify intermediate calculations.</x:t>
        </x:r>
      </x:text>
    </x:comment>
    <x:comment ref="Q28" authorId="0">
      <x:text>
        <x:r>
          <x:t>Net income (FY:29 E).
Income before taxes less income tax expense. It includes noncash items, so it differs from operating cash flow.
Formula: =Q23-Q25
Cross-sheet references identify the owning schedule. Same-sheet references identify intermediate calculations.</x:t>
        </x:r>
      </x:text>
    </x:comment>
    <x:comment ref="R28" authorId="0">
      <x:text>
        <x:r>
          <x:t>Net income (FY:30 E).
Income before taxes less income tax expense. It includes noncash items, so it differs from operating cash flow.
Formula: =R23-R25
Cross-sheet references identify the owning schedule. Same-sheet references identify intermediate calculations.</x:t>
        </x:r>
      </x:text>
    </x:comment>
    <x:comment ref="S28" authorId="0">
      <x:text>
        <x:r>
          <x:t>Net income (FY:31 E).
Income before taxes less income tax expense. It includes noncash items, so it differs from operating cash flow.
Formula: =S23-S25
Cross-sheet references identify the owning schedule. Same-sheet references identify intermediate calculations.</x:t>
        </x:r>
      </x:text>
    </x:comment>
    <x:comment ref="C29" authorId="0">
      <x:text>
        <x:r>
          <x:t>Net income divided by revenue for the same fiscal year.</x:t>
        </x:r>
      </x:text>
    </x:comment>
    <x:comment ref="E29" authorId="0">
      <x:text>
        <x:r>
          <x:t>Net margin (FY:17 A).
Net income divided by revenue for the same fiscal year.
Formula: =E28/E8
Cross-sheet references identify the owning schedule. Same-sheet references identify intermediate calculations.</x:t>
        </x:r>
      </x:text>
    </x:comment>
    <x:comment ref="F29" authorId="0">
      <x:text>
        <x:r>
          <x:t>Net margin (FY:18 A).
Net income divided by revenue for the same fiscal year.
Formula: =F28/F8
Cross-sheet references identify the owning schedule. Same-sheet references identify intermediate calculations.</x:t>
        </x:r>
      </x:text>
    </x:comment>
    <x:comment ref="G29" authorId="0">
      <x:text>
        <x:r>
          <x:t>Net margin (FY:19 A).
Net income divided by revenue for the same fiscal year.
Formula: =G28/G8
Cross-sheet references identify the owning schedule. Same-sheet references identify intermediate calculations.</x:t>
        </x:r>
      </x:text>
    </x:comment>
    <x:comment ref="H29" authorId="0">
      <x:text>
        <x:r>
          <x:t>Net margin (FY:20 A).
Net income divided by revenue for the same fiscal year.
Formula: =H28/H8
Cross-sheet references identify the owning schedule. Same-sheet references identify intermediate calculations.</x:t>
        </x:r>
      </x:text>
    </x:comment>
    <x:comment ref="I29" authorId="0">
      <x:text>
        <x:r>
          <x:t>Net margin (FY:21 A).
Net income divided by revenue for the same fiscal year.
Formula: =I28/I8
Cross-sheet references identify the owning schedule. Same-sheet references identify intermediate calculations.</x:t>
        </x:r>
      </x:text>
    </x:comment>
    <x:comment ref="J29" authorId="0">
      <x:text>
        <x:r>
          <x:t>Net margin (FY:22 A).
Net income divided by revenue for the same fiscal year.
Formula: =J28/J8
Cross-sheet references identify the owning schedule. Same-sheet references identify intermediate calculations.</x:t>
        </x:r>
      </x:text>
    </x:comment>
    <x:comment ref="K29" authorId="0">
      <x:text>
        <x:r>
          <x:t>Net margin (FY:23 A).
Net income divided by revenue for the same fiscal year.
Formula: =K28/K8
Cross-sheet references identify the owning schedule. Same-sheet references identify intermediate calculations.</x:t>
        </x:r>
      </x:text>
    </x:comment>
    <x:comment ref="L29" authorId="0">
      <x:text>
        <x:r>
          <x:t>Net margin (FY:24 A).
Net income divided by revenue for the same fiscal year.
Formula: =L28/L8
Cross-sheet references identify the owning schedule. Same-sheet references identify intermediate calculations.</x:t>
        </x:r>
      </x:text>
    </x:comment>
    <x:comment ref="M29" authorId="0">
      <x:text>
        <x:r>
          <x:t>Net margin (FY:25 A).
Net income divided by revenue for the same fiscal year.
Formula: =M28/M8
Cross-sheet references identify the owning schedule. Same-sheet references identify intermediate calculations.</x:t>
        </x:r>
      </x:text>
    </x:comment>
    <x:comment ref="N29" authorId="0">
      <x:text>
        <x:r>
          <x:t>Net margin (FY:26 A).
Net income divided by revenue for the same fiscal year.
Formula: =N28/N8
Cross-sheet references identify the owning schedule. Same-sheet references identify intermediate calculations.</x:t>
        </x:r>
      </x:text>
    </x:comment>
    <x:comment ref="O29" authorId="0">
      <x:text>
        <x:r>
          <x:t>Net margin (FY:27 E).
Net income divided by revenue for the same fiscal year.
Formula: =O28/O8
Cross-sheet references identify the owning schedule. Same-sheet references identify intermediate calculations.</x:t>
        </x:r>
      </x:text>
    </x:comment>
    <x:comment ref="P29" authorId="0">
      <x:text>
        <x:r>
          <x:t>Net margin (FY:28 E).
Net income divided by revenue for the same fiscal year.
Formula: =P28/P8
Cross-sheet references identify the owning schedule. Same-sheet references identify intermediate calculations.</x:t>
        </x:r>
      </x:text>
    </x:comment>
    <x:comment ref="Q29" authorId="0">
      <x:text>
        <x:r>
          <x:t>Net margin (FY:29 E).
Net income divided by revenue for the same fiscal year.
Formula: =Q28/Q8
Cross-sheet references identify the owning schedule. Same-sheet references identify intermediate calculations.</x:t>
        </x:r>
      </x:text>
    </x:comment>
    <x:comment ref="R29" authorId="0">
      <x:text>
        <x:r>
          <x:t>Net margin (FY:30 E).
Net income divided by revenue for the same fiscal year.
Formula: =R28/R8
Cross-sheet references identify the owning schedule. Same-sheet references identify intermediate calculations.</x:t>
        </x:r>
      </x:text>
    </x:comment>
    <x:comment ref="S29" authorId="0">
      <x:text>
        <x:r>
          <x:t>Net margin (FY:31 E).
Net income divided by revenue for the same fiscal year.
Formula: =S28/S8
Cross-sheet references identify the owning schedule. Same-sheet references identify intermediate calculations.</x:t>
        </x:r>
      </x:text>
    </x:comment>
    <x:comment ref="C31" authorId="0">
      <x:text>
        <x:r>
          <x:t>Average shares outstanding during the fiscal year, in millions. This is not the year-end share count.</x:t>
        </x:r>
      </x:text>
    </x:comment>
    <x:comment ref="E31" authorId="0">
      <x:text>
        <x:r>
          <x:t>Basic weighted average shares (FY:17 A).
Average shares outstanding during the fiscal year, in millions. This is not the year-end share count.
Formula: ='Historical Inputs'!E22
Cross-sheet references identify the owning schedule. Same-sheet references identify intermediate calculations.</x:t>
        </x:r>
      </x:text>
    </x:comment>
    <x:comment ref="F31" authorId="0">
      <x:text>
        <x:r>
          <x:t>Basic weighted average shares (FY:18 A).
Average shares outstanding during the fiscal year, in millions. This is not the year-end share count.
Formula: ='Historical Inputs'!F22
Cross-sheet references identify the owning schedule. Same-sheet references identify intermediate calculations.</x:t>
        </x:r>
      </x:text>
    </x:comment>
    <x:comment ref="G31" authorId="0">
      <x:text>
        <x:r>
          <x:t>Basic weighted average shares (FY:19 A).
Average shares outstanding during the fiscal year, in millions. This is not the year-end share count.
Formula: ='Historical Inputs'!G22
Cross-sheet references identify the owning schedule. Same-sheet references identify intermediate calculations.</x:t>
        </x:r>
      </x:text>
    </x:comment>
    <x:comment ref="H31" authorId="0">
      <x:text>
        <x:r>
          <x:t>Basic weighted average shares (FY:20 A).
Average shares outstanding during the fiscal year, in millions. This is not the year-end share count.
Formula: ='Historical Inputs'!H22
Cross-sheet references identify the owning schedule. Same-sheet references identify intermediate calculations.</x:t>
        </x:r>
      </x:text>
    </x:comment>
    <x:comment ref="I31" authorId="0">
      <x:text>
        <x:r>
          <x:t>Basic weighted average shares (FY:21 A).
Average shares outstanding during the fiscal year, in millions. This is not the year-end share count.
Formula: ='Historical Inputs'!I22
Cross-sheet references identify the owning schedule. Same-sheet references identify intermediate calculations.</x:t>
        </x:r>
      </x:text>
    </x:comment>
    <x:comment ref="J31" authorId="0">
      <x:text>
        <x:r>
          <x:t>Basic weighted average shares (FY:22 A).
Average shares outstanding during the fiscal year, in millions. This is not the year-end share count.
Formula: ='Historical Inputs'!J22
Cross-sheet references identify the owning schedule. Same-sheet references identify intermediate calculations.</x:t>
        </x:r>
      </x:text>
    </x:comment>
    <x:comment ref="K31" authorId="0">
      <x:text>
        <x:r>
          <x:t>Basic weighted average shares (FY:23 A).
Average shares outstanding during the fiscal year, in millions. This is not the year-end share count.
Formula: ='Historical Inputs'!K22
Cross-sheet references identify the owning schedule. Same-sheet references identify intermediate calculations.</x:t>
        </x:r>
      </x:text>
    </x:comment>
    <x:comment ref="L31" authorId="0">
      <x:text>
        <x:r>
          <x:t>Basic weighted average shares (FY:24 A).
Average shares outstanding during the fiscal year, in millions. This is not the year-end share count.
Formula: ='Historical Inputs'!L22
Cross-sheet references identify the owning schedule. Same-sheet references identify intermediate calculations.</x:t>
        </x:r>
      </x:text>
    </x:comment>
    <x:comment ref="M31" authorId="0">
      <x:text>
        <x:r>
          <x:t>Basic weighted average shares (FY:25 A).
Average shares outstanding during the fiscal year, in millions. This is not the year-end share count.
Formula: ='Historical Inputs'!M22
Cross-sheet references identify the owning schedule. Same-sheet references identify intermediate calculations.</x:t>
        </x:r>
      </x:text>
    </x:comment>
    <x:comment ref="N31" authorId="0">
      <x:text>
        <x:r>
          <x:t>Basic weighted average shares (FY:26 A).
Average shares outstanding during the fiscal year, in millions. This is not the year-end share count.
Formula: ='Historical Inputs'!N22
Cross-sheet references identify the owning schedule. Same-sheet references identify intermediate calculations.</x:t>
        </x:r>
      </x:text>
    </x:comment>
    <x:comment ref="O31" authorId="0">
      <x:text>
        <x:r>
          <x:t>Basic weighted average shares (FY:27 E).
Average shares outstanding during the fiscal year, in millions. This is not the year-end share count.
Formula: ='Tax and Equity'!O35
Cross-sheet references identify the owning schedule. Same-sheet references identify intermediate calculations.</x:t>
        </x:r>
      </x:text>
    </x:comment>
    <x:comment ref="P31" authorId="0">
      <x:text>
        <x:r>
          <x:t>Basic weighted average shares (FY:28 E).
Average shares outstanding during the fiscal year, in millions. This is not the year-end share count.
Formula: ='Tax and Equity'!P35
Cross-sheet references identify the owning schedule. Same-sheet references identify intermediate calculations.</x:t>
        </x:r>
      </x:text>
    </x:comment>
    <x:comment ref="Q31" authorId="0">
      <x:text>
        <x:r>
          <x:t>Basic weighted average shares (FY:29 E).
Average shares outstanding during the fiscal year, in millions. This is not the year-end share count.
Formula: ='Tax and Equity'!Q35
Cross-sheet references identify the owning schedule. Same-sheet references identify intermediate calculations.</x:t>
        </x:r>
      </x:text>
    </x:comment>
    <x:comment ref="R31" authorId="0">
      <x:text>
        <x:r>
          <x:t>Basic weighted average shares (FY:30 E).
Average shares outstanding during the fiscal year, in millions. This is not the year-end share count.
Formula: ='Tax and Equity'!R35
Cross-sheet references identify the owning schedule. Same-sheet references identify intermediate calculations.</x:t>
        </x:r>
      </x:text>
    </x:comment>
    <x:comment ref="S31" authorId="0">
      <x:text>
        <x:r>
          <x:t>Basic weighted average shares (FY:31 E).
Average shares outstanding during the fiscal year, in millions. This is not the year-end share count.
Formula: ='Tax and Equity'!S35
Cross-sheet references identify the owning schedule. Same-sheet references identify intermediate calculations.</x:t>
        </x:r>
      </x:text>
    </x:comment>
    <x:comment ref="C32" authorId="0">
      <x:text>
        <x:r>
          <x:t>Weighted average shares including potential dilution, in millions. The forecast uses a separate net-change assumption.</x:t>
        </x:r>
      </x:text>
    </x:comment>
    <x:comment ref="E32" authorId="0">
      <x:text>
        <x:r>
          <x:t>Diluted weighted average shares (FY:17 A).
Weighted average shares including potential dilution, in millions. The forecast uses a separate net-change assumption.
Formula: ='Historical Inputs'!E23
Cross-sheet references identify the owning schedule. Same-sheet references identify intermediate calculations.</x:t>
        </x:r>
      </x:text>
    </x:comment>
    <x:comment ref="F32" authorId="0">
      <x:text>
        <x:r>
          <x:t>Diluted weighted average shares (FY:18 A).
Weighted average shares including potential dilution, in millions. The forecast uses a separate net-change assumption.
Formula: ='Historical Inputs'!F23
Cross-sheet references identify the owning schedule. Same-sheet references identify intermediate calculations.</x:t>
        </x:r>
      </x:text>
    </x:comment>
    <x:comment ref="G32" authorId="0">
      <x:text>
        <x:r>
          <x:t>Diluted weighted average shares (FY:19 A).
Weighted average shares including potential dilution, in millions. The forecast uses a separate net-change assumption.
Formula: ='Historical Inputs'!G23
Cross-sheet references identify the owning schedule. Same-sheet references identify intermediate calculations.</x:t>
        </x:r>
      </x:text>
    </x:comment>
    <x:comment ref="H32" authorId="0">
      <x:text>
        <x:r>
          <x:t>Diluted weighted average shares (FY:20 A).
Weighted average shares including potential dilution, in millions. The forecast uses a separate net-change assumption.
Formula: ='Historical Inputs'!H23
Cross-sheet references identify the owning schedule. Same-sheet references identify intermediate calculations.</x:t>
        </x:r>
      </x:text>
    </x:comment>
    <x:comment ref="I32" authorId="0">
      <x:text>
        <x:r>
          <x:t>Diluted weighted average shares (FY:21 A).
Weighted average shares including potential dilution, in millions. The forecast uses a separate net-change assumption.
Formula: ='Historical Inputs'!I23
Cross-sheet references identify the owning schedule. Same-sheet references identify intermediate calculations.</x:t>
        </x:r>
      </x:text>
    </x:comment>
    <x:comment ref="J32" authorId="0">
      <x:text>
        <x:r>
          <x:t>Diluted weighted average shares (FY:22 A).
Weighted average shares including potential dilution, in millions. The forecast uses a separate net-change assumption.
Formula: ='Historical Inputs'!J23
Cross-sheet references identify the owning schedule. Same-sheet references identify intermediate calculations.</x:t>
        </x:r>
      </x:text>
    </x:comment>
    <x:comment ref="K32" authorId="0">
      <x:text>
        <x:r>
          <x:t>Diluted weighted average shares (FY:23 A).
Weighted average shares including potential dilution, in millions. The forecast uses a separate net-change assumption.
Formula: ='Historical Inputs'!K23
Cross-sheet references identify the owning schedule. Same-sheet references identify intermediate calculations.</x:t>
        </x:r>
      </x:text>
    </x:comment>
    <x:comment ref="L32" authorId="0">
      <x:text>
        <x:r>
          <x:t>Diluted weighted average shares (FY:24 A).
Weighted average shares including potential dilution, in millions. The forecast uses a separate net-change assumption.
Formula: ='Historical Inputs'!L23
Cross-sheet references identify the owning schedule. Same-sheet references identify intermediate calculations.</x:t>
        </x:r>
      </x:text>
    </x:comment>
    <x:comment ref="M32" authorId="0">
      <x:text>
        <x:r>
          <x:t>Diluted weighted average shares (FY:25 A).
Weighted average shares including potential dilution, in millions. The forecast uses a separate net-change assumption.
Formula: ='Historical Inputs'!M23
Cross-sheet references identify the owning schedule. Same-sheet references identify intermediate calculations.</x:t>
        </x:r>
      </x:text>
    </x:comment>
    <x:comment ref="N32" authorId="0">
      <x:text>
        <x:r>
          <x:t>Diluted weighted average shares (FY:26 A).
Weighted average shares including potential dilution, in millions. The forecast uses a separate net-change assumption.
Formula: ='Historical Inputs'!N23
Cross-sheet references identify the owning schedule. Same-sheet references identify intermediate calculations.</x:t>
        </x:r>
      </x:text>
    </x:comment>
    <x:comment ref="O32" authorId="0">
      <x:text>
        <x:r>
          <x:t>Diluted weighted average shares (FY:27 E).
Weighted average shares including potential dilution, in millions. The forecast uses a separate net-change assumption.
Formula: ='Tax and Equity'!O34
Cross-sheet references identify the owning schedule. Same-sheet references identify intermediate calculations.</x:t>
        </x:r>
      </x:text>
    </x:comment>
    <x:comment ref="P32" authorId="0">
      <x:text>
        <x:r>
          <x:t>Diluted weighted average shares (FY:28 E).
Weighted average shares including potential dilution, in millions. The forecast uses a separate net-change assumption.
Formula: ='Tax and Equity'!P34
Cross-sheet references identify the owning schedule. Same-sheet references identify intermediate calculations.</x:t>
        </x:r>
      </x:text>
    </x:comment>
    <x:comment ref="Q32" authorId="0">
      <x:text>
        <x:r>
          <x:t>Diluted weighted average shares (FY:29 E).
Weighted average shares including potential dilution, in millions. The forecast uses a separate net-change assumption.
Formula: ='Tax and Equity'!Q34
Cross-sheet references identify the owning schedule. Same-sheet references identify intermediate calculations.</x:t>
        </x:r>
      </x:text>
    </x:comment>
    <x:comment ref="R32" authorId="0">
      <x:text>
        <x:r>
          <x:t>Diluted weighted average shares (FY:30 E).
Weighted average shares including potential dilution, in millions. The forecast uses a separate net-change assumption.
Formula: ='Tax and Equity'!R34
Cross-sheet references identify the owning schedule. Same-sheet references identify intermediate calculations.</x:t>
        </x:r>
      </x:text>
    </x:comment>
    <x:comment ref="S32" authorId="0">
      <x:text>
        <x:r>
          <x:t>Diluted weighted average shares (FY:31 E).
Weighted average shares including potential dilution, in millions. The forecast uses a separate net-change assumption.
Formula: ='Tax and Equity'!S34
Cross-sheet references identify the owning schedule. Same-sheet references identify intermediate calculations.</x:t>
        </x:r>
      </x:text>
    </x:comment>
    <x:comment ref="C33" authorId="0">
      <x:text>
        <x:r>
          <x:t>Net income divided by diluted weighted average shares. Both numerator and shares are in millions, producing dollars per share.</x:t>
        </x:r>
      </x:text>
    </x:comment>
    <x:comment ref="E33" authorId="0">
      <x:text>
        <x:r>
          <x:t>Diluted earnings per share (FY:17 A).
Net income divided by diluted weighted average shares. Both numerator and shares are in millions, producing dollars per share.
Formula: ='Historical Inputs'!E21
Cross-sheet references identify the owning schedule. Same-sheet references identify intermediate calculations.</x:t>
        </x:r>
      </x:text>
    </x:comment>
    <x:comment ref="F33" authorId="0">
      <x:text>
        <x:r>
          <x:t>Diluted earnings per share (FY:18 A).
Net income divided by diluted weighted average shares. Both numerator and shares are in millions, producing dollars per share.
Formula: ='Historical Inputs'!F21
Cross-sheet references identify the owning schedule. Same-sheet references identify intermediate calculations.</x:t>
        </x:r>
      </x:text>
    </x:comment>
    <x:comment ref="G33" authorId="0">
      <x:text>
        <x:r>
          <x:t>Diluted earnings per share (FY:19 A).
Net income divided by diluted weighted average shares. Both numerator and shares are in millions, producing dollars per share.
Formula: ='Historical Inputs'!G21
Cross-sheet references identify the owning schedule. Same-sheet references identify intermediate calculations.</x:t>
        </x:r>
      </x:text>
    </x:comment>
    <x:comment ref="H33" authorId="0">
      <x:text>
        <x:r>
          <x:t>Diluted earnings per share (FY:20 A).
Net income divided by diluted weighted average shares. Both numerator and shares are in millions, producing dollars per share.
Formula: ='Historical Inputs'!H21
Cross-sheet references identify the owning schedule. Same-sheet references identify intermediate calculations.</x:t>
        </x:r>
      </x:text>
    </x:comment>
    <x:comment ref="I33" authorId="0">
      <x:text>
        <x:r>
          <x:t>Diluted earnings per share (FY:21 A).
Net income divided by diluted weighted average shares. Both numerator and shares are in millions, producing dollars per share.
Formula: ='Historical Inputs'!I21
Cross-sheet references identify the owning schedule. Same-sheet references identify intermediate calculations.</x:t>
        </x:r>
      </x:text>
    </x:comment>
    <x:comment ref="J33" authorId="0">
      <x:text>
        <x:r>
          <x:t>Diluted earnings per share (FY:22 A).
Net income divided by diluted weighted average shares. Both numerator and shares are in millions, producing dollars per share.
Formula: ='Historical Inputs'!J21
Cross-sheet references identify the owning schedule. Same-sheet references identify intermediate calculations.</x:t>
        </x:r>
      </x:text>
    </x:comment>
    <x:comment ref="K33" authorId="0">
      <x:text>
        <x:r>
          <x:t>Diluted earnings per share (FY:23 A).
Net income divided by diluted weighted average shares. Both numerator and shares are in millions, producing dollars per share.
Formula: ='Historical Inputs'!K21
Cross-sheet references identify the owning schedule. Same-sheet references identify intermediate calculations.</x:t>
        </x:r>
      </x:text>
    </x:comment>
    <x:comment ref="L33" authorId="0">
      <x:text>
        <x:r>
          <x:t>Diluted earnings per share (FY:24 A).
Net income divided by diluted weighted average shares. Both numerator and shares are in millions, producing dollars per share.
Formula: ='Historical Inputs'!L21
Cross-sheet references identify the owning schedule. Same-sheet references identify intermediate calculations.</x:t>
        </x:r>
      </x:text>
    </x:comment>
    <x:comment ref="M33" authorId="0">
      <x:text>
        <x:r>
          <x:t>Diluted earnings per share (FY:25 A).
Net income divided by diluted weighted average shares. Both numerator and shares are in millions, producing dollars per share.
Formula: ='Historical Inputs'!M21
Cross-sheet references identify the owning schedule. Same-sheet references identify intermediate calculations.</x:t>
        </x:r>
      </x:text>
    </x:comment>
    <x:comment ref="N33" authorId="0">
      <x:text>
        <x:r>
          <x:t>Diluted earnings per share (FY:26 A).
Net income divided by diluted weighted average shares. Both numerator and shares are in millions, producing dollars per share.
Formula: ='Historical Inputs'!N21
Cross-sheet references identify the owning schedule. Same-sheet references identify intermediate calculations.</x:t>
        </x:r>
      </x:text>
    </x:comment>
    <x:comment ref="O33" authorId="0">
      <x:text>
        <x:r>
          <x:t>Diluted earnings per share (FY:27 E).
Net income divided by diluted weighted average shares. Both numerator and shares are in millions, producing dollars per share.
Formula: =O28/O32
Cross-sheet references identify the owning schedule. Same-sheet references identify intermediate calculations.</x:t>
        </x:r>
      </x:text>
    </x:comment>
    <x:comment ref="P33" authorId="0">
      <x:text>
        <x:r>
          <x:t>Diluted earnings per share (FY:28 E).
Net income divided by diluted weighted average shares. Both numerator and shares are in millions, producing dollars per share.
Formula: =P28/P32
Cross-sheet references identify the owning schedule. Same-sheet references identify intermediate calculations.</x:t>
        </x:r>
      </x:text>
    </x:comment>
    <x:comment ref="Q33" authorId="0">
      <x:text>
        <x:r>
          <x:t>Diluted earnings per share (FY:29 E).
Net income divided by diluted weighted average shares. Both numerator and shares are in millions, producing dollars per share.
Formula: =Q28/Q32
Cross-sheet references identify the owning schedule. Same-sheet references identify intermediate calculations.</x:t>
        </x:r>
      </x:text>
    </x:comment>
    <x:comment ref="R33" authorId="0">
      <x:text>
        <x:r>
          <x:t>Diluted earnings per share (FY:30 E).
Net income divided by diluted weighted average shares. Both numerator and shares are in millions, producing dollars per share.
Formula: =R28/R32
Cross-sheet references identify the owning schedule. Same-sheet references identify intermediate calculations.</x:t>
        </x:r>
      </x:text>
    </x:comment>
    <x:comment ref="S33" authorId="0">
      <x:text>
        <x:r>
          <x:t>Diluted earnings per share (FY:31 E).
Net income divided by diluted weighted average shares. Both numerator and shares are in millions, producing dollars per share.
Formula: =S28/S32
Cross-sheet references identify the owning schedule. Same-sheet references identify intermediate calculations.</x:t>
        </x:r>
      </x:text>
    </x:comment>
    <x:comment ref="C34" authorId="0">
      <x:text>
        <x:r>
          <x:t>Net income divided by basic weighted average shares, before dilution from potentially dilutive securities.</x:t>
        </x:r>
      </x:text>
    </x:comment>
    <x:comment ref="E34" authorId="0">
      <x:text>
        <x:r>
          <x:t>Basic earnings per share (FY:17 A).
Net income divided by basic weighted average shares, before dilution from potentially dilutive securities.
Formula: ='Historical Inputs'!E20
Cross-sheet references identify the owning schedule. Same-sheet references identify intermediate calculations.</x:t>
        </x:r>
      </x:text>
    </x:comment>
    <x:comment ref="F34" authorId="0">
      <x:text>
        <x:r>
          <x:t>Basic earnings per share (FY:18 A).
Net income divided by basic weighted average shares, before dilution from potentially dilutive securities.
Formula: ='Historical Inputs'!F20
Cross-sheet references identify the owning schedule. Same-sheet references identify intermediate calculations.</x:t>
        </x:r>
      </x:text>
    </x:comment>
    <x:comment ref="G34" authorId="0">
      <x:text>
        <x:r>
          <x:t>Basic earnings per share (FY:19 A).
Net income divided by basic weighted average shares, before dilution from potentially dilutive securities.
Formula: ='Historical Inputs'!G20
Cross-sheet references identify the owning schedule. Same-sheet references identify intermediate calculations.</x:t>
        </x:r>
      </x:text>
    </x:comment>
    <x:comment ref="H34" authorId="0">
      <x:text>
        <x:r>
          <x:t>Basic earnings per share (FY:20 A).
Net income divided by basic weighted average shares, before dilution from potentially dilutive securities.
Formula: ='Historical Inputs'!H20
Cross-sheet references identify the owning schedule. Same-sheet references identify intermediate calculations.</x:t>
        </x:r>
      </x:text>
    </x:comment>
    <x:comment ref="I34" authorId="0">
      <x:text>
        <x:r>
          <x:t>Basic earnings per share (FY:21 A).
Net income divided by basic weighted average shares, before dilution from potentially dilutive securities.
Formula: ='Historical Inputs'!I20
Cross-sheet references identify the owning schedule. Same-sheet references identify intermediate calculations.</x:t>
        </x:r>
      </x:text>
    </x:comment>
    <x:comment ref="J34" authorId="0">
      <x:text>
        <x:r>
          <x:t>Basic earnings per share (FY:22 A).
Net income divided by basic weighted average shares, before dilution from potentially dilutive securities.
Formula: ='Historical Inputs'!J20
Cross-sheet references identify the owning schedule. Same-sheet references identify intermediate calculations.</x:t>
        </x:r>
      </x:text>
    </x:comment>
    <x:comment ref="K34" authorId="0">
      <x:text>
        <x:r>
          <x:t>Basic earnings per share (FY:23 A).
Net income divided by basic weighted average shares, before dilution from potentially dilutive securities.
Formula: ='Historical Inputs'!K20
Cross-sheet references identify the owning schedule. Same-sheet references identify intermediate calculations.</x:t>
        </x:r>
      </x:text>
    </x:comment>
    <x:comment ref="L34" authorId="0">
      <x:text>
        <x:r>
          <x:t>Basic earnings per share (FY:24 A).
Net income divided by basic weighted average shares, before dilution from potentially dilutive securities.
Formula: ='Historical Inputs'!L20
Cross-sheet references identify the owning schedule. Same-sheet references identify intermediate calculations.</x:t>
        </x:r>
      </x:text>
    </x:comment>
    <x:comment ref="M34" authorId="0">
      <x:text>
        <x:r>
          <x:t>Basic earnings per share (FY:25 A).
Net income divided by basic weighted average shares, before dilution from potentially dilutive securities.
Formula: ='Historical Inputs'!M20
Cross-sheet references identify the owning schedule. Same-sheet references identify intermediate calculations.</x:t>
        </x:r>
      </x:text>
    </x:comment>
    <x:comment ref="N34" authorId="0">
      <x:text>
        <x:r>
          <x:t>Basic earnings per share (FY:26 A).
Net income divided by basic weighted average shares, before dilution from potentially dilutive securities.
Formula: ='Historical Inputs'!N20
Cross-sheet references identify the owning schedule. Same-sheet references identify intermediate calculations.</x:t>
        </x:r>
      </x:text>
    </x:comment>
    <x:comment ref="O34" authorId="0">
      <x:text>
        <x:r>
          <x:t>Basic earnings per share (FY:27 E).
Net income divided by basic weighted average shares, before dilution from potentially dilutive securities.
Formula: =O28/O31
Cross-sheet references identify the owning schedule. Same-sheet references identify intermediate calculations.</x:t>
        </x:r>
      </x:text>
    </x:comment>
    <x:comment ref="P34" authorId="0">
      <x:text>
        <x:r>
          <x:t>Basic earnings per share (FY:28 E).
Net income divided by basic weighted average shares, before dilution from potentially dilutive securities.
Formula: =P28/P31
Cross-sheet references identify the owning schedule. Same-sheet references identify intermediate calculations.</x:t>
        </x:r>
      </x:text>
    </x:comment>
    <x:comment ref="Q34" authorId="0">
      <x:text>
        <x:r>
          <x:t>Basic earnings per share (FY:29 E).
Net income divided by basic weighted average shares, before dilution from potentially dilutive securities.
Formula: =Q28/Q31
Cross-sheet references identify the owning schedule. Same-sheet references identify intermediate calculations.</x:t>
        </x:r>
      </x:text>
    </x:comment>
    <x:comment ref="R34" authorId="0">
      <x:text>
        <x:r>
          <x:t>Basic earnings per share (FY:30 E).
Net income divided by basic weighted average shares, before dilution from potentially dilutive securities.
Formula: =R28/R31
Cross-sheet references identify the owning schedule. Same-sheet references identify intermediate calculations.</x:t>
        </x:r>
      </x:text>
    </x:comment>
    <x:comment ref="S34" authorId="0">
      <x:text>
        <x:r>
          <x:t>Basic earnings per share (FY:31 E).
Net income divided by basic weighted average shares, before dilution from potentially dilutive securities.
Formula: =S28/S31
Cross-sheet references identify the owning schedule. Same-sheet references identify intermediate calculations.</x:t>
        </x:r>
      </x:text>
    </x:comment>
    <x:comment ref="C36" authorId="0">
      <x:text>
        <x:r>
          <x:t>Operating income plus separately disclosed PPE depreciation and intangible amortization. This is an analytical earnings proxy, not Microsoft-reported EBITDA.</x:t>
        </x:r>
      </x:text>
    </x:comment>
    <x:comment ref="E36" authorId="0">
      <x:text>
        <x:r>
          <x:t>Operating income plus disclosed D&amp;A (FY:17 A).
Operating income plus separately disclosed PPE depreciation and intangible amortization. This is an analytical earnings proxy, not Microsoft-reported EBITDA.
Formula: =E19+'PPE and Intangibles'!E21+'PPE and Intangibles'!E42
Cross-sheet references identify the owning schedule. Same-sheet references identify intermediate calculations.</x:t>
        </x:r>
      </x:text>
    </x:comment>
    <x:comment ref="F36" authorId="0">
      <x:text>
        <x:r>
          <x:t>Operating income plus disclosed D&amp;A (FY:18 A).
Operating income plus separately disclosed PPE depreciation and intangible amortization. This is an analytical earnings proxy, not Microsoft-reported EBITDA.
Formula: =F19+'PPE and Intangibles'!F21+'PPE and Intangibles'!F42
Cross-sheet references identify the owning schedule. Same-sheet references identify intermediate calculations.</x:t>
        </x:r>
      </x:text>
    </x:comment>
    <x:comment ref="G36" authorId="0">
      <x:text>
        <x:r>
          <x:t>Operating income plus disclosed D&amp;A (FY:19 A).
Operating income plus separately disclosed PPE depreciation and intangible amortization. This is an analytical earnings proxy, not Microsoft-reported EBITDA.
Formula: =G19+'PPE and Intangibles'!G21+'PPE and Intangibles'!G42
Cross-sheet references identify the owning schedule. Same-sheet references identify intermediate calculations.</x:t>
        </x:r>
      </x:text>
    </x:comment>
    <x:comment ref="H36" authorId="0">
      <x:text>
        <x:r>
          <x:t>Operating income plus disclosed D&amp;A (FY:20 A).
Operating income plus separately disclosed PPE depreciation and intangible amortization. This is an analytical earnings proxy, not Microsoft-reported EBITDA.
Formula: =H19+'PPE and Intangibles'!H21+'PPE and Intangibles'!H42
Cross-sheet references identify the owning schedule. Same-sheet references identify intermediate calculations.</x:t>
        </x:r>
      </x:text>
    </x:comment>
    <x:comment ref="I36" authorId="0">
      <x:text>
        <x:r>
          <x:t>Operating income plus disclosed D&amp;A (FY:21 A).
Operating income plus separately disclosed PPE depreciation and intangible amortization. This is an analytical earnings proxy, not Microsoft-reported EBITDA.
Formula: =I19+'PPE and Intangibles'!I21+'PPE and Intangibles'!I42
Cross-sheet references identify the owning schedule. Same-sheet references identify intermediate calculations.</x:t>
        </x:r>
      </x:text>
    </x:comment>
    <x:comment ref="J36" authorId="0">
      <x:text>
        <x:r>
          <x:t>Operating income plus disclosed D&amp;A (FY:22 A).
Operating income plus separately disclosed PPE depreciation and intangible amortization. This is an analytical earnings proxy, not Microsoft-reported EBITDA.
Formula: =J19+'PPE and Intangibles'!J21+'PPE and Intangibles'!J42
Cross-sheet references identify the owning schedule. Same-sheet references identify intermediate calculations.</x:t>
        </x:r>
      </x:text>
    </x:comment>
    <x:comment ref="K36" authorId="0">
      <x:text>
        <x:r>
          <x:t>Operating income plus disclosed D&amp;A (FY:23 A).
Operating income plus separately disclosed PPE depreciation and intangible amortization. This is an analytical earnings proxy, not Microsoft-reported EBITDA.
Formula: =K19+'PPE and Intangibles'!K21+'PPE and Intangibles'!K42
Cross-sheet references identify the owning schedule. Same-sheet references identify intermediate calculations.</x:t>
        </x:r>
      </x:text>
    </x:comment>
    <x:comment ref="L36" authorId="0">
      <x:text>
        <x:r>
          <x:t>Operating income plus disclosed D&amp;A (FY:24 A).
Operating income plus separately disclosed PPE depreciation and intangible amortization. This is an analytical earnings proxy, not Microsoft-reported EBITDA.
Formula: =L19+'PPE and Intangibles'!L21+'PPE and Intangibles'!L42
Cross-sheet references identify the owning schedule. Same-sheet references identify intermediate calculations.</x:t>
        </x:r>
      </x:text>
    </x:comment>
    <x:comment ref="M36" authorId="0">
      <x:text>
        <x:r>
          <x:t>Operating income plus disclosed D&amp;A (FY:25 A).
Operating income plus separately disclosed PPE depreciation and intangible amortization. This is an analytical earnings proxy, not Microsoft-reported EBITDA.
Formula: =M19+'PPE and Intangibles'!M21+'PPE and Intangibles'!M42
Cross-sheet references identify the owning schedule. Same-sheet references identify intermediate calculations.</x:t>
        </x:r>
      </x:text>
    </x:comment>
    <x:comment ref="N36" authorId="0">
      <x:text>
        <x:r>
          <x:t>Operating income plus disclosed D&amp;A (FY:26 A).
Operating income plus separately disclosed PPE depreciation and intangible amortization. This is an analytical earnings proxy, not Microsoft-reported EBITDA.
Formula: =N19+'PPE and Intangibles'!N21+'PPE and Intangibles'!N42
Cross-sheet references identify the owning schedule. Same-sheet references identify intermediate calculations.</x:t>
        </x:r>
      </x:text>
    </x:comment>
    <x:comment ref="O36" authorId="0">
      <x:text>
        <x:r>
          <x:t>Operating income plus disclosed D&amp;A (FY:27 E).
Operating income plus separately disclosed PPE depreciation and intangible amortization. This is an analytical earnings proxy, not Microsoft-reported EBITDA.
Formula: =O19+'PPE and Intangibles'!O21+'PPE and Intangibles'!O42
Cross-sheet references identify the owning schedule. Same-sheet references identify intermediate calculations.</x:t>
        </x:r>
      </x:text>
    </x:comment>
    <x:comment ref="P36" authorId="0">
      <x:text>
        <x:r>
          <x:t>Operating income plus disclosed D&amp;A (FY:28 E).
Operating income plus separately disclosed PPE depreciation and intangible amortization. This is an analytical earnings proxy, not Microsoft-reported EBITDA.
Formula: =P19+'PPE and Intangibles'!P21+'PPE and Intangibles'!P42
Cross-sheet references identify the owning schedule. Same-sheet references identify intermediate calculations.</x:t>
        </x:r>
      </x:text>
    </x:comment>
    <x:comment ref="Q36" authorId="0">
      <x:text>
        <x:r>
          <x:t>Operating income plus disclosed D&amp;A (FY:29 E).
Operating income plus separately disclosed PPE depreciation and intangible amortization. This is an analytical earnings proxy, not Microsoft-reported EBITDA.
Formula: =Q19+'PPE and Intangibles'!Q21+'PPE and Intangibles'!Q42
Cross-sheet references identify the owning schedule. Same-sheet references identify intermediate calculations.</x:t>
        </x:r>
      </x:text>
    </x:comment>
    <x:comment ref="R36" authorId="0">
      <x:text>
        <x:r>
          <x:t>Operating income plus disclosed D&amp;A (FY:30 E).
Operating income plus separately disclosed PPE depreciation and intangible amortization. This is an analytical earnings proxy, not Microsoft-reported EBITDA.
Formula: =R19+'PPE and Intangibles'!R21+'PPE and Intangibles'!R42
Cross-sheet references identify the owning schedule. Same-sheet references identify intermediate calculations.</x:t>
        </x:r>
      </x:text>
    </x:comment>
    <x:comment ref="S36" authorId="0">
      <x:text>
        <x:r>
          <x:t>Operating income plus disclosed D&amp;A (FY:31 E).
Operating income plus separately disclosed PPE depreciation and intangible amortization. This is an analytical earnings proxy, not Microsoft-reported EBITDA.
Formula: =S19+'PPE and Intangibles'!S21+'PPE and Intangibles'!S42
Cross-sheet references identify the owning schedule. Same-sheet references identify intermediate calculations.</x:t>
        </x:r>
      </x:text>
    </x:comment>
    <x:comment ref="C54" authorId="0">
      <x:text>
        <x:r>
          <x:t>Live analytical observation. This formula reads the existing statement or schedule and updates with the selected case. ="FY2026 to FY2031 revenue CAGR: "&amp;(FIXED(((S8/N8)^(1/5)-1)*100,1,TRUE)&amp;"%")&amp;"."</x:t>
        </x:r>
      </x:text>
    </x:comment>
    <x:comment ref="C55" authorId="0">
      <x:text>
        <x:r>
          <x:t>Live analytical observation. This formula reads the existing statement or schedule and updates with the selected case. ="Operating margin changes from "&amp;(FIXED((N20)*100,1,TRUE)&amp;"%")&amp;" to "&amp;(FIXED((S20)*100,1,TRUE)&amp;"%")&amp;"; net margin changes from "&amp;(FIXED((N29)*100,1,TRUE)&amp;"%")&amp;" to "&amp;(FIXED((S29)*100,1,TRUE)&amp;"%")&amp;"."</x:t>
        </x:r>
      </x:text>
    </x:comment>
    <x:comment ref="C56" authorId="0">
      <x:text>
        <x:r>
          <x:t>Live analytical observation. This formula reads the existing statement or schedule and updates with the selected case. ="FY2031 diluted shares: "&amp;FIXED(S32,0,FALSE)&amp;"m. EPS: "&amp;FIXED(S33,2,TRUE)&amp;" dollars."</x:t>
        </x:r>
      </x:text>
    </x:comment>
    <x:comment ref="C80" authorId="0">
      <x:text>
        <x:r>
          <x:t>Revenue and earnings (USD billions). Formula-linked chart data. A means actual and E means the active-case estimate. Unavailable historical observations remain blank.</x:t>
        </x:r>
      </x:text>
    </x:comment>
    <x:comment ref="C99" authorId="0">
      <x:text>
        <x:r>
          <x:t>Profit margins. Formula-linked chart data. A means actual and E means the active-case estimate. Unavailable historical observations remain blank.</x:t>
        </x:r>
      </x:text>
    </x:comment>
  </x:commentList>
</x:comments>
</file>

<file path=xl/comments8.xml><?xml version="1.0" encoding="utf-8"?>
<x:comments xmlns:x="http://schemas.openxmlformats.org/spreadsheetml/2006/main">
  <x:authors>
    <x:author>Goran Brkich</x:author>
  </x:authors>
  <x:commentList>
    <x:comment ref="C2" authorId="0">
      <x:text>
        <x:r>
          <x:t>Balance Sheet.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Cash balance or signed cash flow as named in the row. Positive cash-flow amounts are inflows and negative amounts are outflows. Follow the formula or source reference below for the classification.</x:t>
        </x:r>
      </x:text>
    </x:comment>
    <x:comment ref="E8" authorId="0">
      <x:text>
        <x:r>
          <x:t>Cash and cash equivalents (FY:17 A).
Cash balance or signed cash flow as named in the row. Positive cash-flow amounts are inflows and negative amounts are outflows. Follow the formula or source reference below for the classification.
Formula: ='Historical Inputs'!E28
Cross-sheet references identify the owning schedule. Same-sheet references identify intermediate calculations.</x:t>
        </x:r>
      </x:text>
    </x:comment>
    <x:comment ref="F8" authorId="0">
      <x:text>
        <x:r>
          <x:t>Cash and cash equivalents (FY:18 A).
Cash balance or signed cash flow as named in the row. Positive cash-flow amounts are inflows and negative amounts are outflows. Follow the formula or source reference below for the classification.
Formula: ='Historical Inputs'!F28
Cross-sheet references identify the owning schedule. Same-sheet references identify intermediate calculations.</x:t>
        </x:r>
      </x:text>
    </x:comment>
    <x:comment ref="G8" authorId="0">
      <x:text>
        <x:r>
          <x:t>Cash and cash equivalents (FY:19 A).
Cash balance or signed cash flow as named in the row. Positive cash-flow amounts are inflows and negative amounts are outflows. Follow the formula or source reference below for the classification.
Formula: ='Historical Inputs'!G28
Cross-sheet references identify the owning schedule. Same-sheet references identify intermediate calculations.</x:t>
        </x:r>
      </x:text>
    </x:comment>
    <x:comment ref="H8" authorId="0">
      <x:text>
        <x:r>
          <x:t>Cash and cash equivalents (FY:20 A).
Cash balance or signed cash flow as named in the row. Positive cash-flow amounts are inflows and negative amounts are outflows. Follow the formula or source reference below for the classification.
Formula: ='Historical Inputs'!H28
Cross-sheet references identify the owning schedule. Same-sheet references identify intermediate calculations.</x:t>
        </x:r>
      </x:text>
    </x:comment>
    <x:comment ref="I8" authorId="0">
      <x:text>
        <x:r>
          <x:t>Cash and cash equivalents (FY:21 A).
Cash balance or signed cash flow as named in the row. Positive cash-flow amounts are inflows and negative amounts are outflows. Follow the formula or source reference below for the classification.
Formula: ='Historical Inputs'!I28
Cross-sheet references identify the owning schedule. Same-sheet references identify intermediate calculations.</x:t>
        </x:r>
      </x:text>
    </x:comment>
    <x:comment ref="J8" authorId="0">
      <x:text>
        <x:r>
          <x:t>Cash and cash equivalents (FY:22 A).
Cash balance or signed cash flow as named in the row. Positive cash-flow amounts are inflows and negative amounts are outflows. Follow the formula or source reference below for the classification.
Formula: ='Historical Inputs'!J28
Cross-sheet references identify the owning schedule. Same-sheet references identify intermediate calculations.</x:t>
        </x:r>
      </x:text>
    </x:comment>
    <x:comment ref="K8" authorId="0">
      <x:text>
        <x:r>
          <x:t>Cash and cash equivalents (FY:23 A).
Cash balance or signed cash flow as named in the row. Positive cash-flow amounts are inflows and negative amounts are outflows. Follow the formula or source reference below for the classification.
Formula: ='Historical Inputs'!K28
Cross-sheet references identify the owning schedule. Same-sheet references identify intermediate calculations.</x:t>
        </x:r>
      </x:text>
    </x:comment>
    <x:comment ref="L8" authorId="0">
      <x:text>
        <x:r>
          <x:t>Cash and cash equivalents (FY:24 A).
Cash balance or signed cash flow as named in the row. Positive cash-flow amounts are inflows and negative amounts are outflows. Follow the formula or source reference below for the classification.
Formula: ='Historical Inputs'!L28
Cross-sheet references identify the owning schedule. Same-sheet references identify intermediate calculations.</x:t>
        </x:r>
      </x:text>
    </x:comment>
    <x:comment ref="M8" authorId="0">
      <x:text>
        <x:r>
          <x:t>Cash and cash equivalents (FY:25 A).
Cash balance or signed cash flow as named in the row. Positive cash-flow amounts are inflows and negative amounts are outflows. Follow the formula or source reference below for the classification.
Formula: ='Historical Inputs'!M28
Cross-sheet references identify the owning schedule. Same-sheet references identify intermediate calculations.</x:t>
        </x:r>
      </x:text>
    </x:comment>
    <x:comment ref="N8" authorId="0">
      <x:text>
        <x:r>
          <x:t>Cash and cash equivalents (FY:26 A).
Cash balance or signed cash flow as named in the row. Positive cash-flow amounts are inflows and negative amounts are outflows. Follow the formula or source reference below for the classification.
Formula: ='Historical Inputs'!N28
Cross-sheet references identify the owning schedule. Same-sheet references identify intermediate calculations.</x:t>
        </x:r>
      </x:text>
    </x:comment>
    <x:comment ref="O8" authorId="0">
      <x:text>
        <x:r>
          <x:t>Cash and cash equivalents (FY:27 E).
Cash balance or signed cash flow as named in the row. Positive cash-flow amounts are inflows and negative amounts are outflows. Follow the formula or source reference below for the classification.
Formula: ='Cash Flow'!O54
Cross-sheet references identify the owning schedule. Same-sheet references identify intermediate calculations.</x:t>
        </x:r>
      </x:text>
    </x:comment>
    <x:comment ref="P8" authorId="0">
      <x:text>
        <x:r>
          <x:t>Cash and cash equivalents (FY:28 E).
Cash balance or signed cash flow as named in the row. Positive cash-flow amounts are inflows and negative amounts are outflows. Follow the formula or source reference below for the classification.
Formula: ='Cash Flow'!P54
Cross-sheet references identify the owning schedule. Same-sheet references identify intermediate calculations.</x:t>
        </x:r>
      </x:text>
    </x:comment>
    <x:comment ref="Q8" authorId="0">
      <x:text>
        <x:r>
          <x:t>Cash and cash equivalents (FY:29 E).
Cash balance or signed cash flow as named in the row. Positive cash-flow amounts are inflows and negative amounts are outflows. Follow the formula or source reference below for the classification.
Formula: ='Cash Flow'!Q54
Cross-sheet references identify the owning schedule. Same-sheet references identify intermediate calculations.</x:t>
        </x:r>
      </x:text>
    </x:comment>
    <x:comment ref="R8" authorId="0">
      <x:text>
        <x:r>
          <x:t>Cash and cash equivalents (FY:30 E).
Cash balance or signed cash flow as named in the row. Positive cash-flow amounts are inflows and negative amounts are outflows. Follow the formula or source reference below for the classification.
Formula: ='Cash Flow'!R54
Cross-sheet references identify the owning schedule. Same-sheet references identify intermediate calculations.</x:t>
        </x:r>
      </x:text>
    </x:comment>
    <x:comment ref="S8" authorId="0">
      <x:text>
        <x:r>
          <x:t>Cash and cash equivalents (FY:31 E).
Cash balance or signed cash flow as named in the row. Positive cash-flow amounts are inflows and negative amounts are outflows. Follow the formula or source reference below for the classification.
Formula: ='Cash Flow'!S54
Cross-sheet references identify the owning schedule. Same-sheet references identify intermediate calculations.</x:t>
        </x:r>
      </x:text>
    </x:comment>
    <x:comment ref="C9" authorId="0">
      <x:text>
        <x:r>
          <x:t>Investment reserve separate from cash. The forecast follows planned growth and the minimum reserve, liquidating eligible balances before liquidity borrowing.</x:t>
        </x:r>
      </x:text>
    </x:comment>
    <x:comment ref="E9" authorId="0">
      <x:text>
        <x:r>
          <x:t>Short-term investments (FY:17 A).
Investment reserve separate from cash. The forecast follows planned growth and the minimum reserve, liquidating eligible balances before liquidity borrowing.
Formula: ='Historical Inputs'!E29
Cross-sheet references identify the owning schedule. Same-sheet references identify intermediate calculations.</x:t>
        </x:r>
      </x:text>
    </x:comment>
    <x:comment ref="F9" authorId="0">
      <x:text>
        <x:r>
          <x:t>Short-term investments (FY:18 A).
Investment reserve separate from cash. The forecast follows planned growth and the minimum reserve, liquidating eligible balances before liquidity borrowing.
Formula: ='Historical Inputs'!F29
Cross-sheet references identify the owning schedule. Same-sheet references identify intermediate calculations.</x:t>
        </x:r>
      </x:text>
    </x:comment>
    <x:comment ref="G9" authorId="0">
      <x:text>
        <x:r>
          <x:t>Short-term investments (FY:19 A).
Investment reserve separate from cash. The forecast follows planned growth and the minimum reserve, liquidating eligible balances before liquidity borrowing.
Formula: ='Historical Inputs'!G29
Cross-sheet references identify the owning schedule. Same-sheet references identify intermediate calculations.</x:t>
        </x:r>
      </x:text>
    </x:comment>
    <x:comment ref="H9" authorId="0">
      <x:text>
        <x:r>
          <x:t>Short-term investments (FY:20 A).
Investment reserve separate from cash. The forecast follows planned growth and the minimum reserve, liquidating eligible balances before liquidity borrowing.
Formula: ='Historical Inputs'!H29
Cross-sheet references identify the owning schedule. Same-sheet references identify intermediate calculations.</x:t>
        </x:r>
      </x:text>
    </x:comment>
    <x:comment ref="I9" authorId="0">
      <x:text>
        <x:r>
          <x:t>Short-term investments (FY:21 A).
Investment reserve separate from cash. The forecast follows planned growth and the minimum reserve, liquidating eligible balances before liquidity borrowing.
Formula: ='Historical Inputs'!I29
Cross-sheet references identify the owning schedule. Same-sheet references identify intermediate calculations.</x:t>
        </x:r>
      </x:text>
    </x:comment>
    <x:comment ref="J9" authorId="0">
      <x:text>
        <x:r>
          <x:t>Short-term investments (FY:22 A).
Investment reserve separate from cash. The forecast follows planned growth and the minimum reserve, liquidating eligible balances before liquidity borrowing.
Formula: ='Historical Inputs'!J29
Cross-sheet references identify the owning schedule. Same-sheet references identify intermediate calculations.</x:t>
        </x:r>
      </x:text>
    </x:comment>
    <x:comment ref="K9" authorId="0">
      <x:text>
        <x:r>
          <x:t>Short-term investments (FY:23 A).
Investment reserve separate from cash. The forecast follows planned growth and the minimum reserve, liquidating eligible balances before liquidity borrowing.
Formula: ='Historical Inputs'!K29
Cross-sheet references identify the owning schedule. Same-sheet references identify intermediate calculations.</x:t>
        </x:r>
      </x:text>
    </x:comment>
    <x:comment ref="L9" authorId="0">
      <x:text>
        <x:r>
          <x:t>Short-term investments (FY:24 A).
Investment reserve separate from cash. The forecast follows planned growth and the minimum reserve, liquidating eligible balances before liquidity borrowing.
Formula: ='Historical Inputs'!L29
Cross-sheet references identify the owning schedule. Same-sheet references identify intermediate calculations.</x:t>
        </x:r>
      </x:text>
    </x:comment>
    <x:comment ref="M9" authorId="0">
      <x:text>
        <x:r>
          <x:t>Short-term investments (FY:25 A).
Investment reserve separate from cash. The forecast follows planned growth and the minimum reserve, liquidating eligible balances before liquidity borrowing.
Formula: ='Historical Inputs'!M29
Cross-sheet references identify the owning schedule. Same-sheet references identify intermediate calculations.</x:t>
        </x:r>
      </x:text>
    </x:comment>
    <x:comment ref="N9" authorId="0">
      <x:text>
        <x:r>
          <x:t>Short-term investments (FY:26 A).
Investment reserve separate from cash. The forecast follows planned growth and the minimum reserve, liquidating eligible balances before liquidity borrowing.
Formula: ='Historical Inputs'!N29
Cross-sheet references identify the owning schedule. Same-sheet references identify intermediate calculations.</x:t>
        </x:r>
      </x:text>
    </x:comment>
    <x:comment ref="O9" authorId="0">
      <x:text>
        <x:r>
          <x:t>Short-term investments (FY:27 E).
Investment reserve separate from cash. The forecast follows planned growth and the minimum reserve, liquidating eligible balances before liquidity borrowing.
Formula: ='Debt and Leases'!O78
Cross-sheet references identify the owning schedule. Same-sheet references identify intermediate calculations.</x:t>
        </x:r>
      </x:text>
    </x:comment>
    <x:comment ref="P9" authorId="0">
      <x:text>
        <x:r>
          <x:t>Short-term investments (FY:28 E).
Investment reserve separate from cash. The forecast follows planned growth and the minimum reserve, liquidating eligible balances before liquidity borrowing.
Formula: ='Debt and Leases'!P78
Cross-sheet references identify the owning schedule. Same-sheet references identify intermediate calculations.</x:t>
        </x:r>
      </x:text>
    </x:comment>
    <x:comment ref="Q9" authorId="0">
      <x:text>
        <x:r>
          <x:t>Short-term investments (FY:29 E).
Investment reserve separate from cash. The forecast follows planned growth and the minimum reserve, liquidating eligible balances before liquidity borrowing.
Formula: ='Debt and Leases'!Q78
Cross-sheet references identify the owning schedule. Same-sheet references identify intermediate calculations.</x:t>
        </x:r>
      </x:text>
    </x:comment>
    <x:comment ref="R9" authorId="0">
      <x:text>
        <x:r>
          <x:t>Short-term investments (FY:30 E).
Investment reserve separate from cash. The forecast follows planned growth and the minimum reserve, liquidating eligible balances before liquidity borrowing.
Formula: ='Debt and Leases'!R78
Cross-sheet references identify the owning schedule. Same-sheet references identify intermediate calculations.</x:t>
        </x:r>
      </x:text>
    </x:comment>
    <x:comment ref="S9" authorId="0">
      <x:text>
        <x:r>
          <x:t>Short-term investments (FY:31 E).
Investment reserve separate from cash. The forecast follows planned growth and the minimum reserve, liquidating eligible balances before liquidity borrowing.
Formula: ='Debt and Leases'!S78
Cross-sheet references identify the owning schedule. Same-sheet references identify intermediate calculations.</x:t>
        </x:r>
      </x:text>
    </x:comment>
    <x:comment ref="C10" authorId="0">
      <x:text>
        <x:r>
          <x:t>Cash and cash equivalents plus short-term investments. This is a liquidity measure, not total corporate cash resources.</x:t>
        </x:r>
      </x:text>
    </x:comment>
    <x:comment ref="E10" authorId="0">
      <x:text>
        <x:r>
          <x:t>Cash and short-term investments (FY:17 A).
Cash and cash equivalents plus short-term investments. This is a liquidity measure, not total corporate cash resources.
Formula: =SUM(E8:E9)
Cross-sheet references identify the owning schedule. Same-sheet references identify intermediate calculations.</x:t>
        </x:r>
      </x:text>
    </x:comment>
    <x:comment ref="F10" authorId="0">
      <x:text>
        <x:r>
          <x:t>Cash and short-term investments (FY:18 A).
Cash and cash equivalents plus short-term investments. This is a liquidity measure, not total corporate cash resources.
Formula: =SUM(F8:F9)
Cross-sheet references identify the owning schedule. Same-sheet references identify intermediate calculations.</x:t>
        </x:r>
      </x:text>
    </x:comment>
    <x:comment ref="G10" authorId="0">
      <x:text>
        <x:r>
          <x:t>Cash and short-term investments (FY:19 A).
Cash and cash equivalents plus short-term investments. This is a liquidity measure, not total corporate cash resources.
Formula: =SUM(G8:G9)
Cross-sheet references identify the owning schedule. Same-sheet references identify intermediate calculations.</x:t>
        </x:r>
      </x:text>
    </x:comment>
    <x:comment ref="H10" authorId="0">
      <x:text>
        <x:r>
          <x:t>Cash and short-term investments (FY:20 A).
Cash and cash equivalents plus short-term investments. This is a liquidity measure, not total corporate cash resources.
Formula: =SUM(H8:H9)
Cross-sheet references identify the owning schedule. Same-sheet references identify intermediate calculations.</x:t>
        </x:r>
      </x:text>
    </x:comment>
    <x:comment ref="I10" authorId="0">
      <x:text>
        <x:r>
          <x:t>Cash and short-term investments (FY:21 A).
Cash and cash equivalents plus short-term investments. This is a liquidity measure, not total corporate cash resources.
Formula: =SUM(I8:I9)
Cross-sheet references identify the owning schedule. Same-sheet references identify intermediate calculations.</x:t>
        </x:r>
      </x:text>
    </x:comment>
    <x:comment ref="J10" authorId="0">
      <x:text>
        <x:r>
          <x:t>Cash and short-term investments (FY:22 A).
Cash and cash equivalents plus short-term investments. This is a liquidity measure, not total corporate cash resources.
Formula: =SUM(J8:J9)
Cross-sheet references identify the owning schedule. Same-sheet references identify intermediate calculations.</x:t>
        </x:r>
      </x:text>
    </x:comment>
    <x:comment ref="K10" authorId="0">
      <x:text>
        <x:r>
          <x:t>Cash and short-term investments (FY:23 A).
Cash and cash equivalents plus short-term investments. This is a liquidity measure, not total corporate cash resources.
Formula: =SUM(K8:K9)
Cross-sheet references identify the owning schedule. Same-sheet references identify intermediate calculations.</x:t>
        </x:r>
      </x:text>
    </x:comment>
    <x:comment ref="L10" authorId="0">
      <x:text>
        <x:r>
          <x:t>Cash and short-term investments (FY:24 A).
Cash and cash equivalents plus short-term investments. This is a liquidity measure, not total corporate cash resources.
Formula: =SUM(L8:L9)
Cross-sheet references identify the owning schedule. Same-sheet references identify intermediate calculations.</x:t>
        </x:r>
      </x:text>
    </x:comment>
    <x:comment ref="M10" authorId="0">
      <x:text>
        <x:r>
          <x:t>Cash and short-term investments (FY:25 A).
Cash and cash equivalents plus short-term investments. This is a liquidity measure, not total corporate cash resources.
Formula: =SUM(M8:M9)
Cross-sheet references identify the owning schedule. Same-sheet references identify intermediate calculations.</x:t>
        </x:r>
      </x:text>
    </x:comment>
    <x:comment ref="N10" authorId="0">
      <x:text>
        <x:r>
          <x:t>Cash and short-term investments (FY:26 A).
Cash and cash equivalents plus short-term investments. This is a liquidity measure, not total corporate cash resources.
Formula: =SUM(N8:N9)
Cross-sheet references identify the owning schedule. Same-sheet references identify intermediate calculations.</x:t>
        </x:r>
      </x:text>
    </x:comment>
    <x:comment ref="O10" authorId="0">
      <x:text>
        <x:r>
          <x:t>Cash and short-term investments (FY:27 E).
Cash and cash equivalents plus short-term investments. This is a liquidity measure, not total corporate cash resources.
Formula: =SUM(O8:O9)
Cross-sheet references identify the owning schedule. Same-sheet references identify intermediate calculations.</x:t>
        </x:r>
      </x:text>
    </x:comment>
    <x:comment ref="P10" authorId="0">
      <x:text>
        <x:r>
          <x:t>Cash and short-term investments (FY:28 E).
Cash and cash equivalents plus short-term investments. This is a liquidity measure, not total corporate cash resources.
Formula: =SUM(P8:P9)
Cross-sheet references identify the owning schedule. Same-sheet references identify intermediate calculations.</x:t>
        </x:r>
      </x:text>
    </x:comment>
    <x:comment ref="Q10" authorId="0">
      <x:text>
        <x:r>
          <x:t>Cash and short-term investments (FY:29 E).
Cash and cash equivalents plus short-term investments. This is a liquidity measure, not total corporate cash resources.
Formula: =SUM(Q8:Q9)
Cross-sheet references identify the owning schedule. Same-sheet references identify intermediate calculations.</x:t>
        </x:r>
      </x:text>
    </x:comment>
    <x:comment ref="R10" authorId="0">
      <x:text>
        <x:r>
          <x:t>Cash and short-term investments (FY:30 E).
Cash and cash equivalents plus short-term investments. This is a liquidity measure, not total corporate cash resources.
Formula: =SUM(R8:R9)
Cross-sheet references identify the owning schedule. Same-sheet references identify intermediate calculations.</x:t>
        </x:r>
      </x:text>
    </x:comment>
    <x:comment ref="S10" authorId="0">
      <x:text>
        <x:r>
          <x:t>Cash and short-term investments (FY:31 E).
Cash and cash equivalents plus short-term investments. This is a liquidity measure, not total corporate cash resources.
Formula: =SUM(S8:S9)
Cross-sheet references identify the owning schedule. Same-sheet references identify intermediate calculations.</x:t>
        </x:r>
      </x:text>
    </x:comment>
    <x:comment ref="C11" authorId="0">
      <x:text>
        <x:r>
          <x:t>Amounts owed by customers after allowances. Forecast receivables equal annual revenue times receivable days divided by 365. Higher balances consume operating cash.</x:t>
        </x:r>
      </x:text>
    </x:comment>
    <x:comment ref="E11" authorId="0">
      <x:text>
        <x:r>
          <x:t>Accounts receivable, net (FY:17 A).
Amounts owed by customers after allowances. Forecast receivables equal annual revenue times receivable days divided by 365. Higher balances consume operating cash.
Formula: ='Historical Inputs'!E31
Cross-sheet references identify the owning schedule. Same-sheet references identify intermediate calculations.</x:t>
        </x:r>
      </x:text>
    </x:comment>
    <x:comment ref="F11" authorId="0">
      <x:text>
        <x:r>
          <x:t>Accounts receivable, net (FY:18 A).
Amounts owed by customers after allowances. Forecast receivables equal annual revenue times receivable days divided by 365. Higher balances consume operating cash.
Formula: ='Historical Inputs'!F31
Cross-sheet references identify the owning schedule. Same-sheet references identify intermediate calculations.</x:t>
        </x:r>
      </x:text>
    </x:comment>
    <x:comment ref="G11" authorId="0">
      <x:text>
        <x:r>
          <x:t>Accounts receivable, net (FY:19 A).
Amounts owed by customers after allowances. Forecast receivables equal annual revenue times receivable days divided by 365. Higher balances consume operating cash.
Formula: ='Historical Inputs'!G31
Cross-sheet references identify the owning schedule. Same-sheet references identify intermediate calculations.</x:t>
        </x:r>
      </x:text>
    </x:comment>
    <x:comment ref="H11" authorId="0">
      <x:text>
        <x:r>
          <x:t>Accounts receivable, net (FY:20 A).
Amounts owed by customers after allowances. Forecast receivables equal annual revenue times receivable days divided by 365. Higher balances consume operating cash.
Formula: ='Historical Inputs'!H31
Cross-sheet references identify the owning schedule. Same-sheet references identify intermediate calculations.</x:t>
        </x:r>
      </x:text>
    </x:comment>
    <x:comment ref="I11" authorId="0">
      <x:text>
        <x:r>
          <x:t>Accounts receivable, net (FY:21 A).
Amounts owed by customers after allowances. Forecast receivables equal annual revenue times receivable days divided by 365. Higher balances consume operating cash.
Formula: ='Historical Inputs'!I31
Cross-sheet references identify the owning schedule. Same-sheet references identify intermediate calculations.</x:t>
        </x:r>
      </x:text>
    </x:comment>
    <x:comment ref="J11" authorId="0">
      <x:text>
        <x:r>
          <x:t>Accounts receivable, net (FY:22 A).
Amounts owed by customers after allowances. Forecast receivables equal annual revenue times receivable days divided by 365. Higher balances consume operating cash.
Formula: ='Historical Inputs'!J31
Cross-sheet references identify the owning schedule. Same-sheet references identify intermediate calculations.</x:t>
        </x:r>
      </x:text>
    </x:comment>
    <x:comment ref="K11" authorId="0">
      <x:text>
        <x:r>
          <x:t>Accounts receivable, net (FY:23 A).
Amounts owed by customers after allowances. Forecast receivables equal annual revenue times receivable days divided by 365. Higher balances consume operating cash.
Formula: ='Historical Inputs'!K31
Cross-sheet references identify the owning schedule. Same-sheet references identify intermediate calculations.</x:t>
        </x:r>
      </x:text>
    </x:comment>
    <x:comment ref="L11" authorId="0">
      <x:text>
        <x:r>
          <x:t>Accounts receivable, net (FY:24 A).
Amounts owed by customers after allowances. Forecast receivables equal annual revenue times receivable days divided by 365. Higher balances consume operating cash.
Formula: ='Historical Inputs'!L31
Cross-sheet references identify the owning schedule. Same-sheet references identify intermediate calculations.</x:t>
        </x:r>
      </x:text>
    </x:comment>
    <x:comment ref="M11" authorId="0">
      <x:text>
        <x:r>
          <x:t>Accounts receivable, net (FY:25 A).
Amounts owed by customers after allowances. Forecast receivables equal annual revenue times receivable days divided by 365. Higher balances consume operating cash.
Formula: ='Historical Inputs'!M31
Cross-sheet references identify the owning schedule. Same-sheet references identify intermediate calculations.</x:t>
        </x:r>
      </x:text>
    </x:comment>
    <x:comment ref="N11" authorId="0">
      <x:text>
        <x:r>
          <x:t>Accounts receivable, net (FY:26 A).
Amounts owed by customers after allowances. Forecast receivables equal annual revenue times receivable days divided by 365. Higher balances consume operating cash.
Formula: ='Historical Inputs'!N31
Cross-sheet references identify the owning schedule. Same-sheet references identify intermediate calculations.</x:t>
        </x:r>
      </x:text>
    </x:comment>
    <x:comment ref="O11" authorId="0">
      <x:text>
        <x:r>
          <x:t>Accounts receivable, net (FY:27 E).
Amounts owed by customers after allowances. Forecast receivables equal annual revenue times receivable days divided by 365. Higher balances consume operating cash.
Formula: ='Working Capital'!O8
Cross-sheet references identify the owning schedule. Same-sheet references identify intermediate calculations.</x:t>
        </x:r>
      </x:text>
    </x:comment>
    <x:comment ref="P11" authorId="0">
      <x:text>
        <x:r>
          <x:t>Accounts receivable, net (FY:28 E).
Amounts owed by customers after allowances. Forecast receivables equal annual revenue times receivable days divided by 365. Higher balances consume operating cash.
Formula: ='Working Capital'!P8
Cross-sheet references identify the owning schedule. Same-sheet references identify intermediate calculations.</x:t>
        </x:r>
      </x:text>
    </x:comment>
    <x:comment ref="Q11" authorId="0">
      <x:text>
        <x:r>
          <x:t>Accounts receivable, net (FY:29 E).
Amounts owed by customers after allowances. Forecast receivables equal annual revenue times receivable days divided by 365. Higher balances consume operating cash.
Formula: ='Working Capital'!Q8
Cross-sheet references identify the owning schedule. Same-sheet references identify intermediate calculations.</x:t>
        </x:r>
      </x:text>
    </x:comment>
    <x:comment ref="R11" authorId="0">
      <x:text>
        <x:r>
          <x:t>Accounts receivable, net (FY:30 E).
Amounts owed by customers after allowances. Forecast receivables equal annual revenue times receivable days divided by 365. Higher balances consume operating cash.
Formula: ='Working Capital'!R8
Cross-sheet references identify the owning schedule. Same-sheet references identify intermediate calculations.</x:t>
        </x:r>
      </x:text>
    </x:comment>
    <x:comment ref="S11" authorId="0">
      <x:text>
        <x:r>
          <x:t>Accounts receivable, net (FY:31 E).
Amounts owed by customers after allowances. Forecast receivables equal annual revenue times receivable days divided by 365. Higher balances consume operating cash.
Formula: ='Working Capital'!S8
Cross-sheet references identify the owning schedule. Same-sheet references identify intermediate calculations.</x:t>
        </x:r>
      </x:text>
    </x:comment>
    <x:comment ref="C12" authorId="0">
      <x:text>
        <x:r>
          <x:t>Products and materials held for sale or use. Forecast inventory equals cost of revenue times inventory days divided by 365.</x:t>
        </x:r>
      </x:text>
    </x:comment>
    <x:comment ref="E12" authorId="0">
      <x:text>
        <x:r>
          <x:t>Inventories (FY:17 A).
Products and materials held for sale or use. Forecast inventory equals cost of revenue times inventory days divided by 365.
Formula: ='Historical Inputs'!E32
Cross-sheet references identify the owning schedule. Same-sheet references identify intermediate calculations.</x:t>
        </x:r>
      </x:text>
    </x:comment>
    <x:comment ref="F12" authorId="0">
      <x:text>
        <x:r>
          <x:t>Inventories (FY:18 A).
Products and materials held for sale or use. Forecast inventory equals cost of revenue times inventory days divided by 365.
Formula: ='Historical Inputs'!F32
Cross-sheet references identify the owning schedule. Same-sheet references identify intermediate calculations.</x:t>
        </x:r>
      </x:text>
    </x:comment>
    <x:comment ref="G12" authorId="0">
      <x:text>
        <x:r>
          <x:t>Inventories (FY:19 A).
Products and materials held for sale or use. Forecast inventory equals cost of revenue times inventory days divided by 365.
Formula: ='Historical Inputs'!G32
Cross-sheet references identify the owning schedule. Same-sheet references identify intermediate calculations.</x:t>
        </x:r>
      </x:text>
    </x:comment>
    <x:comment ref="H12" authorId="0">
      <x:text>
        <x:r>
          <x:t>Inventories (FY:20 A).
Products and materials held for sale or use. Forecast inventory equals cost of revenue times inventory days divided by 365.
Formula: ='Historical Inputs'!H32
Cross-sheet references identify the owning schedule. Same-sheet references identify intermediate calculations.</x:t>
        </x:r>
      </x:text>
    </x:comment>
    <x:comment ref="I12" authorId="0">
      <x:text>
        <x:r>
          <x:t>Inventories (FY:21 A).
Products and materials held for sale or use. Forecast inventory equals cost of revenue times inventory days divided by 365.
Formula: ='Historical Inputs'!I32
Cross-sheet references identify the owning schedule. Same-sheet references identify intermediate calculations.</x:t>
        </x:r>
      </x:text>
    </x:comment>
    <x:comment ref="J12" authorId="0">
      <x:text>
        <x:r>
          <x:t>Inventories (FY:22 A).
Products and materials held for sale or use. Forecast inventory equals cost of revenue times inventory days divided by 365.
Formula: ='Historical Inputs'!J32
Cross-sheet references identify the owning schedule. Same-sheet references identify intermediate calculations.</x:t>
        </x:r>
      </x:text>
    </x:comment>
    <x:comment ref="K12" authorId="0">
      <x:text>
        <x:r>
          <x:t>Inventories (FY:23 A).
Products and materials held for sale or use. Forecast inventory equals cost of revenue times inventory days divided by 365.
Formula: ='Historical Inputs'!K32
Cross-sheet references identify the owning schedule. Same-sheet references identify intermediate calculations.</x:t>
        </x:r>
      </x:text>
    </x:comment>
    <x:comment ref="L12" authorId="0">
      <x:text>
        <x:r>
          <x:t>Inventories (FY:24 A).
Products and materials held for sale or use. Forecast inventory equals cost of revenue times inventory days divided by 365.
Formula: ='Historical Inputs'!L32
Cross-sheet references identify the owning schedule. Same-sheet references identify intermediate calculations.</x:t>
        </x:r>
      </x:text>
    </x:comment>
    <x:comment ref="M12" authorId="0">
      <x:text>
        <x:r>
          <x:t>Inventories (FY:25 A).
Products and materials held for sale or use. Forecast inventory equals cost of revenue times inventory days divided by 365.
Formula: ='Historical Inputs'!M32
Cross-sheet references identify the owning schedule. Same-sheet references identify intermediate calculations.</x:t>
        </x:r>
      </x:text>
    </x:comment>
    <x:comment ref="N12" authorId="0">
      <x:text>
        <x:r>
          <x:t>Inventories (FY:26 A).
Products and materials held for sale or use. Forecast inventory equals cost of revenue times inventory days divided by 365.
Formula: ='Historical Inputs'!N32
Cross-sheet references identify the owning schedule. Same-sheet references identify intermediate calculations.</x:t>
        </x:r>
      </x:text>
    </x:comment>
    <x:comment ref="O12" authorId="0">
      <x:text>
        <x:r>
          <x:t>Inventories (FY:27 E).
Products and materials held for sale or use. Forecast inventory equals cost of revenue times inventory days divided by 365.
Formula: ='Working Capital'!O10
Cross-sheet references identify the owning schedule. Same-sheet references identify intermediate calculations.</x:t>
        </x:r>
      </x:text>
    </x:comment>
    <x:comment ref="P12" authorId="0">
      <x:text>
        <x:r>
          <x:t>Inventories (FY:28 E).
Products and materials held for sale or use. Forecast inventory equals cost of revenue times inventory days divided by 365.
Formula: ='Working Capital'!P10
Cross-sheet references identify the owning schedule. Same-sheet references identify intermediate calculations.</x:t>
        </x:r>
      </x:text>
    </x:comment>
    <x:comment ref="Q12" authorId="0">
      <x:text>
        <x:r>
          <x:t>Inventories (FY:29 E).
Products and materials held for sale or use. Forecast inventory equals cost of revenue times inventory days divided by 365.
Formula: ='Working Capital'!Q10
Cross-sheet references identify the owning schedule. Same-sheet references identify intermediate calculations.</x:t>
        </x:r>
      </x:text>
    </x:comment>
    <x:comment ref="R12" authorId="0">
      <x:text>
        <x:r>
          <x:t>Inventories (FY:30 E).
Products and materials held for sale or use. Forecast inventory equals cost of revenue times inventory days divided by 365.
Formula: ='Working Capital'!R10
Cross-sheet references identify the owning schedule. Same-sheet references identify intermediate calculations.</x:t>
        </x:r>
      </x:text>
    </x:comment>
    <x:comment ref="S12" authorId="0">
      <x:text>
        <x:r>
          <x:t>Inventories (FY:31 E).
Products and materials held for sale or use. Forecast inventory equals cost of revenue times inventory days divided by 365.
Formula: ='Working Capital'!S10
Cross-sheet references identify the owning schedule. Same-sheet references identify intermediate calculations.</x:t>
        </x:r>
      </x:text>
    </x:comment>
    <x:comment ref="C13" authorId="0">
      <x:text>
        <x:r>
          <x:t>Other short-term operating assets as reported. Forecast balances use a revenue-based planning ratio and their increases consume operating cash.</x:t>
        </x:r>
      </x:text>
    </x:comment>
    <x:comment ref="E13" authorId="0">
      <x:text>
        <x:r>
          <x:t>Other current assets (FY:17 A).
Other short-term operating assets as reported. Forecast balances use a revenue-based planning ratio and their increases consume operating cash.
Formula: ='Historical Inputs'!E33
Cross-sheet references identify the owning schedule. Same-sheet references identify intermediate calculations.</x:t>
        </x:r>
      </x:text>
    </x:comment>
    <x:comment ref="F13" authorId="0">
      <x:text>
        <x:r>
          <x:t>Other current assets (FY:18 A).
Other short-term operating assets as reported. Forecast balances use a revenue-based planning ratio and their increases consume operating cash.
Formula: ='Historical Inputs'!F33
Cross-sheet references identify the owning schedule. Same-sheet references identify intermediate calculations.</x:t>
        </x:r>
      </x:text>
    </x:comment>
    <x:comment ref="G13" authorId="0">
      <x:text>
        <x:r>
          <x:t>Other current assets (FY:19 A).
Other short-term operating assets as reported. Forecast balances use a revenue-based planning ratio and their increases consume operating cash.
Formula: ='Historical Inputs'!G33
Cross-sheet references identify the owning schedule. Same-sheet references identify intermediate calculations.</x:t>
        </x:r>
      </x:text>
    </x:comment>
    <x:comment ref="H13" authorId="0">
      <x:text>
        <x:r>
          <x:t>Other current assets (FY:20 A).
Other short-term operating assets as reported. Forecast balances use a revenue-based planning ratio and their increases consume operating cash.
Formula: ='Historical Inputs'!H33
Cross-sheet references identify the owning schedule. Same-sheet references identify intermediate calculations.</x:t>
        </x:r>
      </x:text>
    </x:comment>
    <x:comment ref="I13" authorId="0">
      <x:text>
        <x:r>
          <x:t>Other current assets (FY:21 A).
Other short-term operating assets as reported. Forecast balances use a revenue-based planning ratio and their increases consume operating cash.
Formula: ='Historical Inputs'!I33
Cross-sheet references identify the owning schedule. Same-sheet references identify intermediate calculations.</x:t>
        </x:r>
      </x:text>
    </x:comment>
    <x:comment ref="J13" authorId="0">
      <x:text>
        <x:r>
          <x:t>Other current assets (FY:22 A).
Other short-term operating assets as reported. Forecast balances use a revenue-based planning ratio and their increases consume operating cash.
Formula: ='Historical Inputs'!J33
Cross-sheet references identify the owning schedule. Same-sheet references identify intermediate calculations.</x:t>
        </x:r>
      </x:text>
    </x:comment>
    <x:comment ref="K13" authorId="0">
      <x:text>
        <x:r>
          <x:t>Other current assets (FY:23 A).
Other short-term operating assets as reported. Forecast balances use a revenue-based planning ratio and their increases consume operating cash.
Formula: ='Historical Inputs'!K33
Cross-sheet references identify the owning schedule. Same-sheet references identify intermediate calculations.</x:t>
        </x:r>
      </x:text>
    </x:comment>
    <x:comment ref="L13" authorId="0">
      <x:text>
        <x:r>
          <x:t>Other current assets (FY:24 A).
Other short-term operating assets as reported. Forecast balances use a revenue-based planning ratio and their increases consume operating cash.
Formula: ='Historical Inputs'!L33
Cross-sheet references identify the owning schedule. Same-sheet references identify intermediate calculations.</x:t>
        </x:r>
      </x:text>
    </x:comment>
    <x:comment ref="M13" authorId="0">
      <x:text>
        <x:r>
          <x:t>Other current assets (FY:25 A).
Other short-term operating assets as reported. Forecast balances use a revenue-based planning ratio and their increases consume operating cash.
Formula: ='Historical Inputs'!M33
Cross-sheet references identify the owning schedule. Same-sheet references identify intermediate calculations.</x:t>
        </x:r>
      </x:text>
    </x:comment>
    <x:comment ref="N13" authorId="0">
      <x:text>
        <x:r>
          <x:t>Other current assets (FY:26 A).
Other short-term operating assets as reported. Forecast balances use a revenue-based planning ratio and their increases consume operating cash.
Formula: ='Historical Inputs'!N33
Cross-sheet references identify the owning schedule. Same-sheet references identify intermediate calculations.</x:t>
        </x:r>
      </x:text>
    </x:comment>
    <x:comment ref="O13" authorId="0">
      <x:text>
        <x:r>
          <x:t>Other current assets (FY:27 E).
Other short-term operating assets as reported. Forecast balances use a revenue-based planning ratio and their increases consume operating cash.
Formula: ='Working Capital'!O18
Cross-sheet references identify the owning schedule. Same-sheet references identify intermediate calculations.</x:t>
        </x:r>
      </x:text>
    </x:comment>
    <x:comment ref="P13" authorId="0">
      <x:text>
        <x:r>
          <x:t>Other current assets (FY:28 E).
Other short-term operating assets as reported. Forecast balances use a revenue-based planning ratio and their increases consume operating cash.
Formula: ='Working Capital'!P18
Cross-sheet references identify the owning schedule. Same-sheet references identify intermediate calculations.</x:t>
        </x:r>
      </x:text>
    </x:comment>
    <x:comment ref="Q13" authorId="0">
      <x:text>
        <x:r>
          <x:t>Other current assets (FY:29 E).
Other short-term operating assets as reported. Forecast balances use a revenue-based planning ratio and their increases consume operating cash.
Formula: ='Working Capital'!Q18
Cross-sheet references identify the owning schedule. Same-sheet references identify intermediate calculations.</x:t>
        </x:r>
      </x:text>
    </x:comment>
    <x:comment ref="R13" authorId="0">
      <x:text>
        <x:r>
          <x:t>Other current assets (FY:30 E).
Other short-term operating assets as reported. Forecast balances use a revenue-based planning ratio and their increases consume operating cash.
Formula: ='Working Capital'!R18
Cross-sheet references identify the owning schedule. Same-sheet references identify intermediate calculations.</x:t>
        </x:r>
      </x:text>
    </x:comment>
    <x:comment ref="S13" authorId="0">
      <x:text>
        <x:r>
          <x:t>Other current assets (FY:31 E).
Other short-term operating assets as reported. Forecast balances use a revenue-based planning ratio and their increases consume operating cash.
Formula: ='Working Capital'!S18
Cross-sheet references identify the owning schedule. Same-sheet references identify intermediate calculations.</x:t>
        </x:r>
      </x:text>
    </x:comment>
    <x:comment ref="C14" authorId="0">
      <x:text>
        <x:r>
          <x:t>Cash, short-term investments, receivables, inventory and other current assets. Amounts expected to be available or used within the operating cycle.</x:t>
        </x:r>
      </x:text>
    </x:comment>
    <x:comment ref="E14" authorId="0">
      <x:text>
        <x:r>
          <x:t>Total current assets (FY:17 A).
Cash, short-term investments, receivables, inventory and other current assets. Amounts expected to be available or used within the operating cycle.
Formula: =SUM(E8:E9,E11:E13)
Cross-sheet references identify the owning schedule. Same-sheet references identify intermediate calculations.</x:t>
        </x:r>
      </x:text>
    </x:comment>
    <x:comment ref="F14" authorId="0">
      <x:text>
        <x:r>
          <x:t>Total current assets (FY:18 A).
Cash, short-term investments, receivables, inventory and other current assets. Amounts expected to be available or used within the operating cycle.
Formula: =SUM(F8:F9,F11:F13)
Cross-sheet references identify the owning schedule. Same-sheet references identify intermediate calculations.</x:t>
        </x:r>
      </x:text>
    </x:comment>
    <x:comment ref="G14" authorId="0">
      <x:text>
        <x:r>
          <x:t>Total current assets (FY:19 A).
Cash, short-term investments, receivables, inventory and other current assets. Amounts expected to be available or used within the operating cycle.
Formula: =SUM(G8:G9,G11:G13)
Cross-sheet references identify the owning schedule. Same-sheet references identify intermediate calculations.</x:t>
        </x:r>
      </x:text>
    </x:comment>
    <x:comment ref="H14" authorId="0">
      <x:text>
        <x:r>
          <x:t>Total current assets (FY:20 A).
Cash, short-term investments, receivables, inventory and other current assets. Amounts expected to be available or used within the operating cycle.
Formula: =SUM(H8:H9,H11:H13)
Cross-sheet references identify the owning schedule. Same-sheet references identify intermediate calculations.</x:t>
        </x:r>
      </x:text>
    </x:comment>
    <x:comment ref="I14" authorId="0">
      <x:text>
        <x:r>
          <x:t>Total current assets (FY:21 A).
Cash, short-term investments, receivables, inventory and other current assets. Amounts expected to be available or used within the operating cycle.
Formula: =SUM(I8:I9,I11:I13)
Cross-sheet references identify the owning schedule. Same-sheet references identify intermediate calculations.</x:t>
        </x:r>
      </x:text>
    </x:comment>
    <x:comment ref="J14" authorId="0">
      <x:text>
        <x:r>
          <x:t>Total current assets (FY:22 A).
Cash, short-term investments, receivables, inventory and other current assets. Amounts expected to be available or used within the operating cycle.
Formula: =SUM(J8:J9,J11:J13)
Cross-sheet references identify the owning schedule. Same-sheet references identify intermediate calculations.</x:t>
        </x:r>
      </x:text>
    </x:comment>
    <x:comment ref="K14" authorId="0">
      <x:text>
        <x:r>
          <x:t>Total current assets (FY:23 A).
Cash, short-term investments, receivables, inventory and other current assets. Amounts expected to be available or used within the operating cycle.
Formula: =SUM(K8:K9,K11:K13)
Cross-sheet references identify the owning schedule. Same-sheet references identify intermediate calculations.</x:t>
        </x:r>
      </x:text>
    </x:comment>
    <x:comment ref="L14" authorId="0">
      <x:text>
        <x:r>
          <x:t>Total current assets (FY:24 A).
Cash, short-term investments, receivables, inventory and other current assets. Amounts expected to be available or used within the operating cycle.
Formula: =SUM(L8:L9,L11:L13)
Cross-sheet references identify the owning schedule. Same-sheet references identify intermediate calculations.</x:t>
        </x:r>
      </x:text>
    </x:comment>
    <x:comment ref="M14" authorId="0">
      <x:text>
        <x:r>
          <x:t>Total current assets (FY:25 A).
Cash, short-term investments, receivables, inventory and other current assets. Amounts expected to be available or used within the operating cycle.
Formula: =SUM(M8:M9,M11:M13)
Cross-sheet references identify the owning schedule. Same-sheet references identify intermediate calculations.</x:t>
        </x:r>
      </x:text>
    </x:comment>
    <x:comment ref="N14" authorId="0">
      <x:text>
        <x:r>
          <x:t>Total current assets (FY:26 A).
Cash, short-term investments, receivables, inventory and other current assets. Amounts expected to be available or used within the operating cycle.
Formula: =SUM(N8:N9,N11:N13)
Cross-sheet references identify the owning schedule. Same-sheet references identify intermediate calculations.</x:t>
        </x:r>
      </x:text>
    </x:comment>
    <x:comment ref="O14" authorId="0">
      <x:text>
        <x:r>
          <x:t>Total current assets (FY:27 E).
Cash, short-term investments, receivables, inventory and other current assets. Amounts expected to be available or used within the operating cycle.
Formula: =SUM(O8:O9,O11:O13)
Cross-sheet references identify the owning schedule. Same-sheet references identify intermediate calculations.</x:t>
        </x:r>
      </x:text>
    </x:comment>
    <x:comment ref="P14" authorId="0">
      <x:text>
        <x:r>
          <x:t>Total current assets (FY:28 E).
Cash, short-term investments, receivables, inventory and other current assets. Amounts expected to be available or used within the operating cycle.
Formula: =SUM(P8:P9,P11:P13)
Cross-sheet references identify the owning schedule. Same-sheet references identify intermediate calculations.</x:t>
        </x:r>
      </x:text>
    </x:comment>
    <x:comment ref="Q14" authorId="0">
      <x:text>
        <x:r>
          <x:t>Total current assets (FY:29 E).
Cash, short-term investments, receivables, inventory and other current assets. Amounts expected to be available or used within the operating cycle.
Formula: =SUM(Q8:Q9,Q11:Q13)
Cross-sheet references identify the owning schedule. Same-sheet references identify intermediate calculations.</x:t>
        </x:r>
      </x:text>
    </x:comment>
    <x:comment ref="R14" authorId="0">
      <x:text>
        <x:r>
          <x:t>Total current assets (FY:30 E).
Cash, short-term investments, receivables, inventory and other current assets. Amounts expected to be available or used within the operating cycle.
Formula: =SUM(R8:R9,R11:R13)
Cross-sheet references identify the owning schedule. Same-sheet references identify intermediate calculations.</x:t>
        </x:r>
      </x:text>
    </x:comment>
    <x:comment ref="S14" authorId="0">
      <x:text>
        <x:r>
          <x:t>Total current assets (FY:31 E).
Cash, short-term investments, receivables, inventory and other current assets. Amounts expected to be available or used within the operating cycle.
Formula: =SUM(S8:S9,S11:S13)
Cross-sheet references identify the owning schedule. Same-sheet references identify intermediate calculations.</x:t>
        </x:r>
      </x:text>
    </x:comment>
    <x:comment ref="C16" authorId="0">
      <x:text>
        <x:r>
          <x:t>Gross PPE less accumulated depreciation. Forecast net PPE follows additions and annual depreciation cohorts.</x:t>
        </x:r>
      </x:text>
    </x:comment>
    <x:comment ref="E16" authorId="0">
      <x:text>
        <x:r>
          <x:t>Property and equipment, net (FY:17 A).
Gross PPE less accumulated depreciation. Forecast net PPE follows additions and annual depreciation cohorts.
Formula: ='Historical Inputs'!E35
Cross-sheet references identify the owning schedule. Same-sheet references identify intermediate calculations.</x:t>
        </x:r>
      </x:text>
    </x:comment>
    <x:comment ref="F16" authorId="0">
      <x:text>
        <x:r>
          <x:t>Property and equipment, net (FY:18 A).
Gross PPE less accumulated depreciation. Forecast net PPE follows additions and annual depreciation cohorts.
Formula: ='Historical Inputs'!F35
Cross-sheet references identify the owning schedule. Same-sheet references identify intermediate calculations.</x:t>
        </x:r>
      </x:text>
    </x:comment>
    <x:comment ref="G16" authorId="0">
      <x:text>
        <x:r>
          <x:t>Property and equipment, net (FY:19 A).
Gross PPE less accumulated depreciation. Forecast net PPE follows additions and annual depreciation cohorts.
Formula: ='Historical Inputs'!G35
Cross-sheet references identify the owning schedule. Same-sheet references identify intermediate calculations.</x:t>
        </x:r>
      </x:text>
    </x:comment>
    <x:comment ref="H16" authorId="0">
      <x:text>
        <x:r>
          <x:t>Property and equipment, net (FY:20 A).
Gross PPE less accumulated depreciation. Forecast net PPE follows additions and annual depreciation cohorts.
Formula: ='Historical Inputs'!H35
Cross-sheet references identify the owning schedule. Same-sheet references identify intermediate calculations.</x:t>
        </x:r>
      </x:text>
    </x:comment>
    <x:comment ref="I16" authorId="0">
      <x:text>
        <x:r>
          <x:t>Property and equipment, net (FY:21 A).
Gross PPE less accumulated depreciation. Forecast net PPE follows additions and annual depreciation cohorts.
Formula: ='Historical Inputs'!I35
Cross-sheet references identify the owning schedule. Same-sheet references identify intermediate calculations.</x:t>
        </x:r>
      </x:text>
    </x:comment>
    <x:comment ref="J16" authorId="0">
      <x:text>
        <x:r>
          <x:t>Property and equipment, net (FY:22 A).
Gross PPE less accumulated depreciation. Forecast net PPE follows additions and annual depreciation cohorts.
Formula: ='Historical Inputs'!J35
Cross-sheet references identify the owning schedule. Same-sheet references identify intermediate calculations.</x:t>
        </x:r>
      </x:text>
    </x:comment>
    <x:comment ref="K16" authorId="0">
      <x:text>
        <x:r>
          <x:t>Property and equipment, net (FY:23 A).
Gross PPE less accumulated depreciation. Forecast net PPE follows additions and annual depreciation cohorts.
Formula: ='Historical Inputs'!K35
Cross-sheet references identify the owning schedule. Same-sheet references identify intermediate calculations.</x:t>
        </x:r>
      </x:text>
    </x:comment>
    <x:comment ref="L16" authorId="0">
      <x:text>
        <x:r>
          <x:t>Property and equipment, net (FY:24 A).
Gross PPE less accumulated depreciation. Forecast net PPE follows additions and annual depreciation cohorts.
Formula: ='Historical Inputs'!L35
Cross-sheet references identify the owning schedule. Same-sheet references identify intermediate calculations.</x:t>
        </x:r>
      </x:text>
    </x:comment>
    <x:comment ref="M16" authorId="0">
      <x:text>
        <x:r>
          <x:t>Property and equipment, net (FY:25 A).
Gross PPE less accumulated depreciation. Forecast net PPE follows additions and annual depreciation cohorts.
Formula: ='Historical Inputs'!M35
Cross-sheet references identify the owning schedule. Same-sheet references identify intermediate calculations.</x:t>
        </x:r>
      </x:text>
    </x:comment>
    <x:comment ref="N16" authorId="0">
      <x:text>
        <x:r>
          <x:t>Property and equipment, net (FY:26 A).
Gross PPE less accumulated depreciation. Forecast net PPE follows additions and annual depreciation cohorts.
Formula: ='Historical Inputs'!N35
Cross-sheet references identify the owning schedule. Same-sheet references identify intermediate calculations.</x:t>
        </x:r>
      </x:text>
    </x:comment>
    <x:comment ref="O16" authorId="0">
      <x:text>
        <x:r>
          <x:t>Property and equipment, net (FY:27 E).
Gross PPE less accumulated depreciation. Forecast net PPE follows additions and annual depreciation cohorts.
Formula: ='PPE and Intangibles'!O24
Cross-sheet references identify the owning schedule. Same-sheet references identify intermediate calculations.</x:t>
        </x:r>
      </x:text>
    </x:comment>
    <x:comment ref="P16" authorId="0">
      <x:text>
        <x:r>
          <x:t>Property and equipment, net (FY:28 E).
Gross PPE less accumulated depreciation. Forecast net PPE follows additions and annual depreciation cohorts.
Formula: ='PPE and Intangibles'!P24
Cross-sheet references identify the owning schedule. Same-sheet references identify intermediate calculations.</x:t>
        </x:r>
      </x:text>
    </x:comment>
    <x:comment ref="Q16" authorId="0">
      <x:text>
        <x:r>
          <x:t>Property and equipment, net (FY:29 E).
Gross PPE less accumulated depreciation. Forecast net PPE follows additions and annual depreciation cohorts.
Formula: ='PPE and Intangibles'!Q24
Cross-sheet references identify the owning schedule. Same-sheet references identify intermediate calculations.</x:t>
        </x:r>
      </x:text>
    </x:comment>
    <x:comment ref="R16" authorId="0">
      <x:text>
        <x:r>
          <x:t>Property and equipment, net (FY:30 E).
Gross PPE less accumulated depreciation. Forecast net PPE follows additions and annual depreciation cohorts.
Formula: ='PPE and Intangibles'!R24
Cross-sheet references identify the owning schedule. Same-sheet references identify intermediate calculations.</x:t>
        </x:r>
      </x:text>
    </x:comment>
    <x:comment ref="S16" authorId="0">
      <x:text>
        <x:r>
          <x:t>Property and equipment, net (FY:31 E).
Gross PPE less accumulated depreciation. Forecast net PPE follows additions and annual depreciation cohorts.
Formula: ='PPE and Intangibles'!S24
Cross-sheet references identify the owning schedule. Same-sheet references identify intermediate calculations.</x:t>
        </x:r>
      </x:text>
    </x:comment>
    <x:comment ref="C17" authorId="0">
      <x:text>
        <x:r>
          <x:t>Assets representing rights to use property under operating leases. Forecast carrying amounts follow legacy amortization and new lease additions.</x:t>
        </x:r>
      </x:text>
    </x:comment>
    <x:comment ref="E17" authorId="0">
      <x:text>
        <x:r>
          <x:t>Operating lease right-of-use assets (FY:17 A).
Assets representing rights to use property under operating leases. Forecast carrying amounts follow legacy amortization and new lease additions.
Formula: ='Historical Inputs'!E36
Cross-sheet references identify the owning schedule. Same-sheet references identify intermediate calculations.</x:t>
        </x:r>
      </x:text>
    </x:comment>
    <x:comment ref="F17" authorId="0">
      <x:text>
        <x:r>
          <x:t>Operating lease right-of-use assets (FY:18 A).
Assets representing rights to use property under operating leases. Forecast carrying amounts follow legacy amortization and new lease additions.
Formula: ='Historical Inputs'!F36
Cross-sheet references identify the owning schedule. Same-sheet references identify intermediate calculations.</x:t>
        </x:r>
      </x:text>
    </x:comment>
    <x:comment ref="G17" authorId="0">
      <x:text>
        <x:r>
          <x:t>Operating lease right-of-use assets (FY:19 A).
Assets representing rights to use property under operating leases. Forecast carrying amounts follow legacy amortization and new lease additions.
Formula: ='Historical Inputs'!G36
Cross-sheet references identify the owning schedule. Same-sheet references identify intermediate calculations.</x:t>
        </x:r>
      </x:text>
    </x:comment>
    <x:comment ref="H17" authorId="0">
      <x:text>
        <x:r>
          <x:t>Operating lease right-of-use assets (FY:20 A).
Assets representing rights to use property under operating leases. Forecast carrying amounts follow legacy amortization and new lease additions.
Formula: ='Historical Inputs'!H36
Cross-sheet references identify the owning schedule. Same-sheet references identify intermediate calculations.</x:t>
        </x:r>
      </x:text>
    </x:comment>
    <x:comment ref="I17" authorId="0">
      <x:text>
        <x:r>
          <x:t>Operating lease right-of-use assets (FY:21 A).
Assets representing rights to use property under operating leases. Forecast carrying amounts follow legacy amortization and new lease additions.
Formula: ='Historical Inputs'!I36
Cross-sheet references identify the owning schedule. Same-sheet references identify intermediate calculations.</x:t>
        </x:r>
      </x:text>
    </x:comment>
    <x:comment ref="J17" authorId="0">
      <x:text>
        <x:r>
          <x:t>Operating lease right-of-use assets (FY:22 A).
Assets representing rights to use property under operating leases. Forecast carrying amounts follow legacy amortization and new lease additions.
Formula: ='Historical Inputs'!J36
Cross-sheet references identify the owning schedule. Same-sheet references identify intermediate calculations.</x:t>
        </x:r>
      </x:text>
    </x:comment>
    <x:comment ref="K17" authorId="0">
      <x:text>
        <x:r>
          <x:t>Operating lease right-of-use assets (FY:23 A).
Assets representing rights to use property under operating leases. Forecast carrying amounts follow legacy amortization and new lease additions.
Formula: ='Historical Inputs'!K36
Cross-sheet references identify the owning schedule. Same-sheet references identify intermediate calculations.</x:t>
        </x:r>
      </x:text>
    </x:comment>
    <x:comment ref="L17" authorId="0">
      <x:text>
        <x:r>
          <x:t>Operating lease right-of-use assets (FY:24 A).
Assets representing rights to use property under operating leases. Forecast carrying amounts follow legacy amortization and new lease additions.
Formula: ='Historical Inputs'!L36
Cross-sheet references identify the owning schedule. Same-sheet references identify intermediate calculations.</x:t>
        </x:r>
      </x:text>
    </x:comment>
    <x:comment ref="M17" authorId="0">
      <x:text>
        <x:r>
          <x:t>Operating lease right-of-use assets (FY:25 A).
Assets representing rights to use property under operating leases. Forecast carrying amounts follow legacy amortization and new lease additions.
Formula: ='Historical Inputs'!M36
Cross-sheet references identify the owning schedule. Same-sheet references identify intermediate calculations.</x:t>
        </x:r>
      </x:text>
    </x:comment>
    <x:comment ref="N17" authorId="0">
      <x:text>
        <x:r>
          <x:t>Operating lease right-of-use assets (FY:26 A).
Assets representing rights to use property under operating leases. Forecast carrying amounts follow legacy amortization and new lease additions.
Formula: ='Historical Inputs'!N36
Cross-sheet references identify the owning schedule. Same-sheet references identify intermediate calculations.</x:t>
        </x:r>
      </x:text>
    </x:comment>
    <x:comment ref="O17" authorId="0">
      <x:text>
        <x:r>
          <x:t>Operating lease right-of-use assets (FY:27 E).
Assets representing rights to use property under operating leases. Forecast carrying amounts follow legacy amortization and new lease additions.
Formula: ='Debt and Leases'!O62
Cross-sheet references identify the owning schedule. Same-sheet references identify intermediate calculations.</x:t>
        </x:r>
      </x:text>
    </x:comment>
    <x:comment ref="P17" authorId="0">
      <x:text>
        <x:r>
          <x:t>Operating lease right-of-use assets (FY:28 E).
Assets representing rights to use property under operating leases. Forecast carrying amounts follow legacy amortization and new lease additions.
Formula: ='Debt and Leases'!P62
Cross-sheet references identify the owning schedule. Same-sheet references identify intermediate calculations.</x:t>
        </x:r>
      </x:text>
    </x:comment>
    <x:comment ref="Q17" authorId="0">
      <x:text>
        <x:r>
          <x:t>Operating lease right-of-use assets (FY:29 E).
Assets representing rights to use property under operating leases. Forecast carrying amounts follow legacy amortization and new lease additions.
Formula: ='Debt and Leases'!Q62
Cross-sheet references identify the owning schedule. Same-sheet references identify intermediate calculations.</x:t>
        </x:r>
      </x:text>
    </x:comment>
    <x:comment ref="R17" authorId="0">
      <x:text>
        <x:r>
          <x:t>Operating lease right-of-use assets (FY:30 E).
Assets representing rights to use property under operating leases. Forecast carrying amounts follow legacy amortization and new lease additions.
Formula: ='Debt and Leases'!R62
Cross-sheet references identify the owning schedule. Same-sheet references identify intermediate calculations.</x:t>
        </x:r>
      </x:text>
    </x:comment>
    <x:comment ref="S17" authorId="0">
      <x:text>
        <x:r>
          <x:t>Operating lease right-of-use assets (FY:31 E).
Assets representing rights to use property under operating leases. Forecast carrying amounts follow legacy amortization and new lease additions.
Formula: ='Debt and Leases'!S62
Cross-sheet references identify the owning schedule. Same-sheet references identify intermediate calculations.</x:t>
        </x:r>
      </x:text>
    </x:comment>
    <x:comment ref="C18" authorId="0">
      <x:text>
        <x:r>
          <x:t>Noncurrent equity and other investments. The forecast increases the opening balance by the assumed cash purchases without unrealized valuation gains.</x:t>
        </x:r>
      </x:text>
    </x:comment>
    <x:comment ref="E18" authorId="0">
      <x:text>
        <x:r>
          <x:t>Equity and other investments (FY:17 A).
Noncurrent equity and other investments. The forecast increases the opening balance by the assumed cash purchases without unrealized valuation gains.
Formula: ='Historical Inputs'!E37
Cross-sheet references identify the owning schedule. Same-sheet references identify intermediate calculations.</x:t>
        </x:r>
      </x:text>
    </x:comment>
    <x:comment ref="F18" authorId="0">
      <x:text>
        <x:r>
          <x:t>Equity and other investments (FY:18 A).
Noncurrent equity and other investments. The forecast increases the opening balance by the assumed cash purchases without unrealized valuation gains.
Formula: ='Historical Inputs'!F37
Cross-sheet references identify the owning schedule. Same-sheet references identify intermediate calculations.</x:t>
        </x:r>
      </x:text>
    </x:comment>
    <x:comment ref="G18" authorId="0">
      <x:text>
        <x:r>
          <x:t>Equity and other investments (FY:19 A).
Noncurrent equity and other investments. The forecast increases the opening balance by the assumed cash purchases without unrealized valuation gains.
Formula: ='Historical Inputs'!G37
Cross-sheet references identify the owning schedule. Same-sheet references identify intermediate calculations.</x:t>
        </x:r>
      </x:text>
    </x:comment>
    <x:comment ref="H18" authorId="0">
      <x:text>
        <x:r>
          <x:t>Equity and other investments (FY:20 A).
Noncurrent equity and other investments. The forecast increases the opening balance by the assumed cash purchases without unrealized valuation gains.
Formula: ='Historical Inputs'!H37
Cross-sheet references identify the owning schedule. Same-sheet references identify intermediate calculations.</x:t>
        </x:r>
      </x:text>
    </x:comment>
    <x:comment ref="I18" authorId="0">
      <x:text>
        <x:r>
          <x:t>Equity and other investments (FY:21 A).
Noncurrent equity and other investments. The forecast increases the opening balance by the assumed cash purchases without unrealized valuation gains.
Formula: ='Historical Inputs'!I37
Cross-sheet references identify the owning schedule. Same-sheet references identify intermediate calculations.</x:t>
        </x:r>
      </x:text>
    </x:comment>
    <x:comment ref="J18" authorId="0">
      <x:text>
        <x:r>
          <x:t>Equity and other investments (FY:22 A).
Noncurrent equity and other investments. The forecast increases the opening balance by the assumed cash purchases without unrealized valuation gains.
Formula: ='Historical Inputs'!J37
Cross-sheet references identify the owning schedule. Same-sheet references identify intermediate calculations.</x:t>
        </x:r>
      </x:text>
    </x:comment>
    <x:comment ref="K18" authorId="0">
      <x:text>
        <x:r>
          <x:t>Equity and other investments (FY:23 A).
Noncurrent equity and other investments. The forecast increases the opening balance by the assumed cash purchases without unrealized valuation gains.
Formula: ='Historical Inputs'!K37
Cross-sheet references identify the owning schedule. Same-sheet references identify intermediate calculations.</x:t>
        </x:r>
      </x:text>
    </x:comment>
    <x:comment ref="L18" authorId="0">
      <x:text>
        <x:r>
          <x:t>Equity and other investments (FY:24 A).
Noncurrent equity and other investments. The forecast increases the opening balance by the assumed cash purchases without unrealized valuation gains.
Formula: ='Historical Inputs'!L37
Cross-sheet references identify the owning schedule. Same-sheet references identify intermediate calculations.</x:t>
        </x:r>
      </x:text>
    </x:comment>
    <x:comment ref="M18" authorId="0">
      <x:text>
        <x:r>
          <x:t>Equity and other investments (FY:25 A).
Noncurrent equity and other investments. The forecast increases the opening balance by the assumed cash purchases without unrealized valuation gains.
Formula: ='Historical Inputs'!M37
Cross-sheet references identify the owning schedule. Same-sheet references identify intermediate calculations.</x:t>
        </x:r>
      </x:text>
    </x:comment>
    <x:comment ref="N18" authorId="0">
      <x:text>
        <x:r>
          <x:t>Equity and other investments (FY:26 A).
Noncurrent equity and other investments. The forecast increases the opening balance by the assumed cash purchases without unrealized valuation gains.
Formula: ='Historical Inputs'!N37
Cross-sheet references identify the owning schedule. Same-sheet references identify intermediate calculations.</x:t>
        </x:r>
      </x:text>
    </x:comment>
    <x:comment ref="O18" authorId="0">
      <x:text>
        <x:r>
          <x:t>Equity and other investments (FY:27 E).
Noncurrent equity and other investments. The forecast increases the opening balance by the assumed cash purchases without unrealized valuation gains.
Formula: ='Debt and Leases'!O84
Cross-sheet references identify the owning schedule. Same-sheet references identify intermediate calculations.</x:t>
        </x:r>
      </x:text>
    </x:comment>
    <x:comment ref="P18" authorId="0">
      <x:text>
        <x:r>
          <x:t>Equity and other investments (FY:28 E).
Noncurrent equity and other investments. The forecast increases the opening balance by the assumed cash purchases without unrealized valuation gains.
Formula: ='Debt and Leases'!P84
Cross-sheet references identify the owning schedule. Same-sheet references identify intermediate calculations.</x:t>
        </x:r>
      </x:text>
    </x:comment>
    <x:comment ref="Q18" authorId="0">
      <x:text>
        <x:r>
          <x:t>Equity and other investments (FY:29 E).
Noncurrent equity and other investments. The forecast increases the opening balance by the assumed cash purchases without unrealized valuation gains.
Formula: ='Debt and Leases'!Q84
Cross-sheet references identify the owning schedule. Same-sheet references identify intermediate calculations.</x:t>
        </x:r>
      </x:text>
    </x:comment>
    <x:comment ref="R18" authorId="0">
      <x:text>
        <x:r>
          <x:t>Equity and other investments (FY:30 E).
Noncurrent equity and other investments. The forecast increases the opening balance by the assumed cash purchases without unrealized valuation gains.
Formula: ='Debt and Leases'!R84
Cross-sheet references identify the owning schedule. Same-sheet references identify intermediate calculations.</x:t>
        </x:r>
      </x:text>
    </x:comment>
    <x:comment ref="S18" authorId="0">
      <x:text>
        <x:r>
          <x:t>Equity and other investments (FY:31 E).
Noncurrent equity and other investments. The forecast increases the opening balance by the assumed cash purchases without unrealized valuation gains.
Formula: ='Debt and Leases'!S84
Cross-sheet references identify the owning schedule. Same-sheet references identify intermediate calculations.</x:t>
        </x:r>
      </x:text>
    </x:comment>
    <x:comment ref="C19" authorId="0">
      <x:text>
        <x:r>
          <x:t>Acquisition-related asset recognized when purchase consideration exceeds identifiable net assets. Held constant in the forecast because no unannounced acquisitions or impairments are assumed.</x:t>
        </x:r>
      </x:text>
    </x:comment>
    <x:comment ref="E19" authorId="0">
      <x:text>
        <x:r>
          <x:t>Goodwill (FY:17 A).
Acquisition-related asset recognized when purchase consideration exceeds identifiable net assets. Held constant in the forecast because no unannounced acquisitions or impairments are assumed.
Formula: ='Historical Inputs'!E38
Cross-sheet references identify the owning schedule. Same-sheet references identify intermediate calculations.</x:t>
        </x:r>
      </x:text>
    </x:comment>
    <x:comment ref="F19" authorId="0">
      <x:text>
        <x:r>
          <x:t>Goodwill (FY:18 A).
Acquisition-related asset recognized when purchase consideration exceeds identifiable net assets. Held constant in the forecast because no unannounced acquisitions or impairments are assumed.
Formula: ='Historical Inputs'!F38
Cross-sheet references identify the owning schedule. Same-sheet references identify intermediate calculations.</x:t>
        </x:r>
      </x:text>
    </x:comment>
    <x:comment ref="G19" authorId="0">
      <x:text>
        <x:r>
          <x:t>Goodwill (FY:19 A).
Acquisition-related asset recognized when purchase consideration exceeds identifiable net assets. Held constant in the forecast because no unannounced acquisitions or impairments are assumed.
Formula: ='Historical Inputs'!G38
Cross-sheet references identify the owning schedule. Same-sheet references identify intermediate calculations.</x:t>
        </x:r>
      </x:text>
    </x:comment>
    <x:comment ref="H19" authorId="0">
      <x:text>
        <x:r>
          <x:t>Goodwill (FY:20 A).
Acquisition-related asset recognized when purchase consideration exceeds identifiable net assets. Held constant in the forecast because no unannounced acquisitions or impairments are assumed.
Formula: ='Historical Inputs'!H38
Cross-sheet references identify the owning schedule. Same-sheet references identify intermediate calculations.</x:t>
        </x:r>
      </x:text>
    </x:comment>
    <x:comment ref="I19" authorId="0">
      <x:text>
        <x:r>
          <x:t>Goodwill (FY:21 A).
Acquisition-related asset recognized when purchase consideration exceeds identifiable net assets. Held constant in the forecast because no unannounced acquisitions or impairments are assumed.
Formula: ='Historical Inputs'!I38
Cross-sheet references identify the owning schedule. Same-sheet references identify intermediate calculations.</x:t>
        </x:r>
      </x:text>
    </x:comment>
    <x:comment ref="J19" authorId="0">
      <x:text>
        <x:r>
          <x:t>Goodwill (FY:22 A).
Acquisition-related asset recognized when purchase consideration exceeds identifiable net assets. Held constant in the forecast because no unannounced acquisitions or impairments are assumed.
Formula: ='Historical Inputs'!J38
Cross-sheet references identify the owning schedule. Same-sheet references identify intermediate calculations.</x:t>
        </x:r>
      </x:text>
    </x:comment>
    <x:comment ref="K19" authorId="0">
      <x:text>
        <x:r>
          <x:t>Goodwill (FY:23 A).
Acquisition-related asset recognized when purchase consideration exceeds identifiable net assets. Held constant in the forecast because no unannounced acquisitions or impairments are assumed.
Formula: ='Historical Inputs'!K38
Cross-sheet references identify the owning schedule. Same-sheet references identify intermediate calculations.</x:t>
        </x:r>
      </x:text>
    </x:comment>
    <x:comment ref="L19" authorId="0">
      <x:text>
        <x:r>
          <x:t>Goodwill (FY:24 A).
Acquisition-related asset recognized when purchase consideration exceeds identifiable net assets. Held constant in the forecast because no unannounced acquisitions or impairments are assumed.
Formula: ='Historical Inputs'!L38
Cross-sheet references identify the owning schedule. Same-sheet references identify intermediate calculations.</x:t>
        </x:r>
      </x:text>
    </x:comment>
    <x:comment ref="M19" authorId="0">
      <x:text>
        <x:r>
          <x:t>Goodwill (FY:25 A).
Acquisition-related asset recognized when purchase consideration exceeds identifiable net assets. Held constant in the forecast because no unannounced acquisitions or impairments are assumed.
Formula: ='Historical Inputs'!M38
Cross-sheet references identify the owning schedule. Same-sheet references identify intermediate calculations.</x:t>
        </x:r>
      </x:text>
    </x:comment>
    <x:comment ref="N19" authorId="0">
      <x:text>
        <x:r>
          <x:t>Goodwill (FY:26 A).
Acquisition-related asset recognized when purchase consideration exceeds identifiable net assets. Held constant in the forecast because no unannounced acquisitions or impairments are assumed.
Formula: ='Historical Inputs'!N38
Cross-sheet references identify the owning schedule. Same-sheet references identify intermediate calculations.</x:t>
        </x:r>
      </x:text>
    </x:comment>
    <x:comment ref="O19" authorId="0">
      <x:text>
        <x:r>
          <x:t>Goodwill (FY:27 E).
Acquisition-related asset recognized when purchase consideration exceeds identifiable net assets. Held constant in the forecast because no unannounced acquisitions or impairments are assumed.
Formula: ='Balance Sheet'!N19
Cross-sheet references identify the owning schedule. Same-sheet references identify intermediate calculations.</x:t>
        </x:r>
      </x:text>
    </x:comment>
    <x:comment ref="P19" authorId="0">
      <x:text>
        <x:r>
          <x:t>Goodwill (FY:28 E).
Acquisition-related asset recognized when purchase consideration exceeds identifiable net assets. Held constant in the forecast because no unannounced acquisitions or impairments are assumed.
Formula: ='Balance Sheet'!O19
Cross-sheet references identify the owning schedule. Same-sheet references identify intermediate calculations.</x:t>
        </x:r>
      </x:text>
    </x:comment>
    <x:comment ref="Q19" authorId="0">
      <x:text>
        <x:r>
          <x:t>Goodwill (FY:29 E).
Acquisition-related asset recognized when purchase consideration exceeds identifiable net assets. Held constant in the forecast because no unannounced acquisitions or impairments are assumed.
Formula: ='Balance Sheet'!P19
Cross-sheet references identify the owning schedule. Same-sheet references identify intermediate calculations.</x:t>
        </x:r>
      </x:text>
    </x:comment>
    <x:comment ref="R19" authorId="0">
      <x:text>
        <x:r>
          <x:t>Goodwill (FY:30 E).
Acquisition-related asset recognized when purchase consideration exceeds identifiable net assets. Held constant in the forecast because no unannounced acquisitions or impairments are assumed.
Formula: ='Balance Sheet'!Q19
Cross-sheet references identify the owning schedule. Same-sheet references identify intermediate calculations.</x:t>
        </x:r>
      </x:text>
    </x:comment>
    <x:comment ref="S19" authorId="0">
      <x:text>
        <x:r>
          <x:t>Goodwill (FY:31 E).
Acquisition-related asset recognized when purchase consideration exceeds identifiable net assets. Held constant in the forecast because no unannounced acquisitions or impairments are assumed.
Formula: ='Balance Sheet'!R19
Cross-sheet references identify the owning schedule. Same-sheet references identify intermediate calculations.</x:t>
        </x:r>
      </x:text>
    </x:comment>
    <x:comment ref="C20" authorId="0">
      <x:text>
        <x:r>
          <x:t>Identifiable intangible assets after accumulated amortization. The forecast follows the disclosed amortization schedule without unannounced acquisitions.</x:t>
        </x:r>
      </x:text>
    </x:comment>
    <x:comment ref="E20" authorId="0">
      <x:text>
        <x:r>
          <x:t>Intangible assets, net (FY:17 A).
Identifiable intangible assets after accumulated amortization. The forecast follows the disclosed amortization schedule without unannounced acquisitions.
Formula: ='Historical Inputs'!E39
Cross-sheet references identify the owning schedule. Same-sheet references identify intermediate calculations.</x:t>
        </x:r>
      </x:text>
    </x:comment>
    <x:comment ref="F20" authorId="0">
      <x:text>
        <x:r>
          <x:t>Intangible assets, net (FY:18 A).
Identifiable intangible assets after accumulated amortization. The forecast follows the disclosed amortization schedule without unannounced acquisitions.
Formula: ='Historical Inputs'!F39
Cross-sheet references identify the owning schedule. Same-sheet references identify intermediate calculations.</x:t>
        </x:r>
      </x:text>
    </x:comment>
    <x:comment ref="G20" authorId="0">
      <x:text>
        <x:r>
          <x:t>Intangible assets, net (FY:19 A).
Identifiable intangible assets after accumulated amortization. The forecast follows the disclosed amortization schedule without unannounced acquisitions.
Formula: ='Historical Inputs'!G39
Cross-sheet references identify the owning schedule. Same-sheet references identify intermediate calculations.</x:t>
        </x:r>
      </x:text>
    </x:comment>
    <x:comment ref="H20" authorId="0">
      <x:text>
        <x:r>
          <x:t>Intangible assets, net (FY:20 A).
Identifiable intangible assets after accumulated amortization. The forecast follows the disclosed amortization schedule without unannounced acquisitions.
Formula: ='Historical Inputs'!H39
Cross-sheet references identify the owning schedule. Same-sheet references identify intermediate calculations.</x:t>
        </x:r>
      </x:text>
    </x:comment>
    <x:comment ref="I20" authorId="0">
      <x:text>
        <x:r>
          <x:t>Intangible assets, net (FY:21 A).
Identifiable intangible assets after accumulated amortization. The forecast follows the disclosed amortization schedule without unannounced acquisitions.
Formula: ='Historical Inputs'!I39
Cross-sheet references identify the owning schedule. Same-sheet references identify intermediate calculations.</x:t>
        </x:r>
      </x:text>
    </x:comment>
    <x:comment ref="J20" authorId="0">
      <x:text>
        <x:r>
          <x:t>Intangible assets, net (FY:22 A).
Identifiable intangible assets after accumulated amortization. The forecast follows the disclosed amortization schedule without unannounced acquisitions.
Formula: ='Historical Inputs'!J39
Cross-sheet references identify the owning schedule. Same-sheet references identify intermediate calculations.</x:t>
        </x:r>
      </x:text>
    </x:comment>
    <x:comment ref="K20" authorId="0">
      <x:text>
        <x:r>
          <x:t>Intangible assets, net (FY:23 A).
Identifiable intangible assets after accumulated amortization. The forecast follows the disclosed amortization schedule without unannounced acquisitions.
Formula: ='Historical Inputs'!K39
Cross-sheet references identify the owning schedule. Same-sheet references identify intermediate calculations.</x:t>
        </x:r>
      </x:text>
    </x:comment>
    <x:comment ref="L20" authorId="0">
      <x:text>
        <x:r>
          <x:t>Intangible assets, net (FY:24 A).
Identifiable intangible assets after accumulated amortization. The forecast follows the disclosed amortization schedule without unannounced acquisitions.
Formula: ='Historical Inputs'!L39
Cross-sheet references identify the owning schedule. Same-sheet references identify intermediate calculations.</x:t>
        </x:r>
      </x:text>
    </x:comment>
    <x:comment ref="M20" authorId="0">
      <x:text>
        <x:r>
          <x:t>Intangible assets, net (FY:25 A).
Identifiable intangible assets after accumulated amortization. The forecast follows the disclosed amortization schedule without unannounced acquisitions.
Formula: ='Historical Inputs'!M39
Cross-sheet references identify the owning schedule. Same-sheet references identify intermediate calculations.</x:t>
        </x:r>
      </x:text>
    </x:comment>
    <x:comment ref="N20" authorId="0">
      <x:text>
        <x:r>
          <x:t>Intangible assets, net (FY:26 A).
Identifiable intangible assets after accumulated amortization. The forecast follows the disclosed amortization schedule without unannounced acquisitions.
Formula: ='Historical Inputs'!N39
Cross-sheet references identify the owning schedule. Same-sheet references identify intermediate calculations.</x:t>
        </x:r>
      </x:text>
    </x:comment>
    <x:comment ref="O20" authorId="0">
      <x:text>
        <x:r>
          <x:t>Intangible assets, net (FY:27 E).
Identifiable intangible assets after accumulated amortization. The forecast follows the disclosed amortization schedule without unannounced acquisitions.
Formula: ='PPE and Intangibles'!O43
Cross-sheet references identify the owning schedule. Same-sheet references identify intermediate calculations.</x:t>
        </x:r>
      </x:text>
    </x:comment>
    <x:comment ref="P20" authorId="0">
      <x:text>
        <x:r>
          <x:t>Intangible assets, net (FY:28 E).
Identifiable intangible assets after accumulated amortization. The forecast follows the disclosed amortization schedule without unannounced acquisitions.
Formula: ='PPE and Intangibles'!P43
Cross-sheet references identify the owning schedule. Same-sheet references identify intermediate calculations.</x:t>
        </x:r>
      </x:text>
    </x:comment>
    <x:comment ref="Q20" authorId="0">
      <x:text>
        <x:r>
          <x:t>Intangible assets, net (FY:29 E).
Identifiable intangible assets after accumulated amortization. The forecast follows the disclosed amortization schedule without unannounced acquisitions.
Formula: ='PPE and Intangibles'!Q43
Cross-sheet references identify the owning schedule. Same-sheet references identify intermediate calculations.</x:t>
        </x:r>
      </x:text>
    </x:comment>
    <x:comment ref="R20" authorId="0">
      <x:text>
        <x:r>
          <x:t>Intangible assets, net (FY:30 E).
Identifiable intangible assets after accumulated amortization. The forecast follows the disclosed amortization schedule without unannounced acquisitions.
Formula: ='PPE and Intangibles'!R43
Cross-sheet references identify the owning schedule. Same-sheet references identify intermediate calculations.</x:t>
        </x:r>
      </x:text>
    </x:comment>
    <x:comment ref="S20" authorId="0">
      <x:text>
        <x:r>
          <x:t>Intangible assets, net (FY:31 E).
Identifiable intangible assets after accumulated amortization. The forecast follows the disclosed amortization schedule without unannounced acquisitions.
Formula: ='PPE and Intangibles'!S43
Cross-sheet references identify the owning schedule. Same-sheet references identify intermediate calculations.</x:t>
        </x:r>
      </x:text>
    </x:comment>
    <x:comment ref="C21" authorId="0">
      <x:text>
        <x:r>
          <x:t>Other noncurrent assets as reported. Forecast balances use a revenue-based planning ratio and their changes affect the operating cash reconciliation.</x:t>
        </x:r>
      </x:text>
    </x:comment>
    <x:comment ref="E21" authorId="0">
      <x:text>
        <x:r>
          <x:t>Other long-term assets (FY:17 A).
Other noncurrent assets as reported. Forecast balances use a revenue-based planning ratio and their changes affect the operating cash reconciliation.
Formula: ='Historical Inputs'!E40
Cross-sheet references identify the owning schedule. Same-sheet references identify intermediate calculations.</x:t>
        </x:r>
      </x:text>
    </x:comment>
    <x:comment ref="F21" authorId="0">
      <x:text>
        <x:r>
          <x:t>Other long-term assets (FY:18 A).
Other noncurrent assets as reported. Forecast balances use a revenue-based planning ratio and their changes affect the operating cash reconciliation.
Formula: ='Historical Inputs'!F40
Cross-sheet references identify the owning schedule. Same-sheet references identify intermediate calculations.</x:t>
        </x:r>
      </x:text>
    </x:comment>
    <x:comment ref="G21" authorId="0">
      <x:text>
        <x:r>
          <x:t>Other long-term assets (FY:19 A).
Other noncurrent assets as reported. Forecast balances use a revenue-based planning ratio and their changes affect the operating cash reconciliation.
Formula: ='Historical Inputs'!G40
Cross-sheet references identify the owning schedule. Same-sheet references identify intermediate calculations.</x:t>
        </x:r>
      </x:text>
    </x:comment>
    <x:comment ref="H21" authorId="0">
      <x:text>
        <x:r>
          <x:t>Other long-term assets (FY:20 A).
Other noncurrent assets as reported. Forecast balances use a revenue-based planning ratio and their changes affect the operating cash reconciliation.
Formula: ='Historical Inputs'!H40
Cross-sheet references identify the owning schedule. Same-sheet references identify intermediate calculations.</x:t>
        </x:r>
      </x:text>
    </x:comment>
    <x:comment ref="I21" authorId="0">
      <x:text>
        <x:r>
          <x:t>Other long-term assets (FY:21 A).
Other noncurrent assets as reported. Forecast balances use a revenue-based planning ratio and their changes affect the operating cash reconciliation.
Formula: ='Historical Inputs'!I40
Cross-sheet references identify the owning schedule. Same-sheet references identify intermediate calculations.</x:t>
        </x:r>
      </x:text>
    </x:comment>
    <x:comment ref="J21" authorId="0">
      <x:text>
        <x:r>
          <x:t>Other long-term assets (FY:22 A).
Other noncurrent assets as reported. Forecast balances use a revenue-based planning ratio and their changes affect the operating cash reconciliation.
Formula: ='Historical Inputs'!J40
Cross-sheet references identify the owning schedule. Same-sheet references identify intermediate calculations.</x:t>
        </x:r>
      </x:text>
    </x:comment>
    <x:comment ref="K21" authorId="0">
      <x:text>
        <x:r>
          <x:t>Other long-term assets (FY:23 A).
Other noncurrent assets as reported. Forecast balances use a revenue-based planning ratio and their changes affect the operating cash reconciliation.
Formula: ='Historical Inputs'!K40
Cross-sheet references identify the owning schedule. Same-sheet references identify intermediate calculations.</x:t>
        </x:r>
      </x:text>
    </x:comment>
    <x:comment ref="L21" authorId="0">
      <x:text>
        <x:r>
          <x:t>Other long-term assets (FY:24 A).
Other noncurrent assets as reported. Forecast balances use a revenue-based planning ratio and their changes affect the operating cash reconciliation.
Formula: ='Historical Inputs'!L40
Cross-sheet references identify the owning schedule. Same-sheet references identify intermediate calculations.</x:t>
        </x:r>
      </x:text>
    </x:comment>
    <x:comment ref="M21" authorId="0">
      <x:text>
        <x:r>
          <x:t>Other long-term assets (FY:25 A).
Other noncurrent assets as reported. Forecast balances use a revenue-based planning ratio and their changes affect the operating cash reconciliation.
Formula: ='Historical Inputs'!M40
Cross-sheet references identify the owning schedule. Same-sheet references identify intermediate calculations.</x:t>
        </x:r>
      </x:text>
    </x:comment>
    <x:comment ref="N21" authorId="0">
      <x:text>
        <x:r>
          <x:t>Other long-term assets (FY:26 A).
Other noncurrent assets as reported. Forecast balances use a revenue-based planning ratio and their changes affect the operating cash reconciliation.
Formula: ='Historical Inputs'!N40
Cross-sheet references identify the owning schedule. Same-sheet references identify intermediate calculations.</x:t>
        </x:r>
      </x:text>
    </x:comment>
    <x:comment ref="O21" authorId="0">
      <x:text>
        <x:r>
          <x:t>Other long-term assets (FY:27 E).
Other noncurrent assets as reported. Forecast balances use a revenue-based planning ratio and their changes affect the operating cash reconciliation.
Formula: ='Working Capital'!O24
Cross-sheet references identify the owning schedule. Same-sheet references identify intermediate calculations.</x:t>
        </x:r>
      </x:text>
    </x:comment>
    <x:comment ref="P21" authorId="0">
      <x:text>
        <x:r>
          <x:t>Other long-term assets (FY:28 E).
Other noncurrent assets as reported. Forecast balances use a revenue-based planning ratio and their changes affect the operating cash reconciliation.
Formula: ='Working Capital'!P24
Cross-sheet references identify the owning schedule. Same-sheet references identify intermediate calculations.</x:t>
        </x:r>
      </x:text>
    </x:comment>
    <x:comment ref="Q21" authorId="0">
      <x:text>
        <x:r>
          <x:t>Other long-term assets (FY:29 E).
Other noncurrent assets as reported. Forecast balances use a revenue-based planning ratio and their changes affect the operating cash reconciliation.
Formula: ='Working Capital'!Q24
Cross-sheet references identify the owning schedule. Same-sheet references identify intermediate calculations.</x:t>
        </x:r>
      </x:text>
    </x:comment>
    <x:comment ref="R21" authorId="0">
      <x:text>
        <x:r>
          <x:t>Other long-term assets (FY:30 E).
Other noncurrent assets as reported. Forecast balances use a revenue-based planning ratio and their changes affect the operating cash reconciliation.
Formula: ='Working Capital'!R24
Cross-sheet references identify the owning schedule. Same-sheet references identify intermediate calculations.</x:t>
        </x:r>
      </x:text>
    </x:comment>
    <x:comment ref="S21" authorId="0">
      <x:text>
        <x:r>
          <x:t>Other long-term assets (FY:31 E).
Other noncurrent assets as reported. Forecast balances use a revenue-based planning ratio and their changes affect the operating cash reconciliation.
Formula: ='Working Capital'!S24
Cross-sheet references identify the owning schedule. Same-sheet references identify intermediate calculations.</x:t>
        </x:r>
      </x:text>
    </x:comment>
    <x:comment ref="C22" authorId="0">
      <x:text>
        <x:r>
          <x:t>Current assets plus PPE, lease assets, investments, goodwill, intangibles and other long-term assets. A year-end balance, not an annual cash-flow amount.</x:t>
        </x:r>
      </x:text>
    </x:comment>
    <x:comment ref="E22" authorId="0">
      <x:text>
        <x:r>
          <x:t>Total assets (FY:17 A).
Current assets plus PPE, lease assets, investments, goodwill, intangibles and other long-term assets. A year-end balance, not an annual cash-flow amount.
Formula: =E14+SUM(E16:E21)
Cross-sheet references identify the owning schedule. Same-sheet references identify intermediate calculations.</x:t>
        </x:r>
      </x:text>
    </x:comment>
    <x:comment ref="F22" authorId="0">
      <x:text>
        <x:r>
          <x:t>Total assets (FY:18 A).
Current assets plus PPE, lease assets, investments, goodwill, intangibles and other long-term assets. A year-end balance, not an annual cash-flow amount.
Formula: =F14+SUM(F16:F21)
Cross-sheet references identify the owning schedule. Same-sheet references identify intermediate calculations.</x:t>
        </x:r>
      </x:text>
    </x:comment>
    <x:comment ref="G22" authorId="0">
      <x:text>
        <x:r>
          <x:t>Total assets (FY:19 A).
Current assets plus PPE, lease assets, investments, goodwill, intangibles and other long-term assets. A year-end balance, not an annual cash-flow amount.
Formula: =G14+SUM(G16:G21)
Cross-sheet references identify the owning schedule. Same-sheet references identify intermediate calculations.</x:t>
        </x:r>
      </x:text>
    </x:comment>
    <x:comment ref="H22" authorId="0">
      <x:text>
        <x:r>
          <x:t>Total assets (FY:20 A).
Current assets plus PPE, lease assets, investments, goodwill, intangibles and other long-term assets. A year-end balance, not an annual cash-flow amount.
Formula: =H14+SUM(H16:H21)
Cross-sheet references identify the owning schedule. Same-sheet references identify intermediate calculations.</x:t>
        </x:r>
      </x:text>
    </x:comment>
    <x:comment ref="I22" authorId="0">
      <x:text>
        <x:r>
          <x:t>Total assets (FY:21 A).
Current assets plus PPE, lease assets, investments, goodwill, intangibles and other long-term assets. A year-end balance, not an annual cash-flow amount.
Formula: =I14+SUM(I16:I21)
Cross-sheet references identify the owning schedule. Same-sheet references identify intermediate calculations.</x:t>
        </x:r>
      </x:text>
    </x:comment>
    <x:comment ref="J22" authorId="0">
      <x:text>
        <x:r>
          <x:t>Total assets (FY:22 A).
Current assets plus PPE, lease assets, investments, goodwill, intangibles and other long-term assets. A year-end balance, not an annual cash-flow amount.
Formula: =J14+SUM(J16:J21)
Cross-sheet references identify the owning schedule. Same-sheet references identify intermediate calculations.</x:t>
        </x:r>
      </x:text>
    </x:comment>
    <x:comment ref="K22" authorId="0">
      <x:text>
        <x:r>
          <x:t>Total assets (FY:23 A).
Current assets plus PPE, lease assets, investments, goodwill, intangibles and other long-term assets. A year-end balance, not an annual cash-flow amount.
Formula: =K14+SUM(K16:K21)
Cross-sheet references identify the owning schedule. Same-sheet references identify intermediate calculations.</x:t>
        </x:r>
      </x:text>
    </x:comment>
    <x:comment ref="L22" authorId="0">
      <x:text>
        <x:r>
          <x:t>Total assets (FY:24 A).
Current assets plus PPE, lease assets, investments, goodwill, intangibles and other long-term assets. A year-end balance, not an annual cash-flow amount.
Formula: =L14+SUM(L16:L21)
Cross-sheet references identify the owning schedule. Same-sheet references identify intermediate calculations.</x:t>
        </x:r>
      </x:text>
    </x:comment>
    <x:comment ref="M22" authorId="0">
      <x:text>
        <x:r>
          <x:t>Total assets (FY:25 A).
Current assets plus PPE, lease assets, investments, goodwill, intangibles and other long-term assets. A year-end balance, not an annual cash-flow amount.
Formula: =M14+SUM(M16:M21)
Cross-sheet references identify the owning schedule. Same-sheet references identify intermediate calculations.</x:t>
        </x:r>
      </x:text>
    </x:comment>
    <x:comment ref="N22" authorId="0">
      <x:text>
        <x:r>
          <x:t>Total assets (FY:26 A).
Current assets plus PPE, lease assets, investments, goodwill, intangibles and other long-term assets. A year-end balance, not an annual cash-flow amount.
Formula: =N14+SUM(N16:N21)
Cross-sheet references identify the owning schedule. Same-sheet references identify intermediate calculations.</x:t>
        </x:r>
      </x:text>
    </x:comment>
    <x:comment ref="O22" authorId="0">
      <x:text>
        <x:r>
          <x:t>Total assets (FY:27 E).
Current assets plus PPE, lease assets, investments, goodwill, intangibles and other long-term assets. A year-end balance, not an annual cash-flow amount.
Formula: =O14+SUM(O16:O21)
Cross-sheet references identify the owning schedule. Same-sheet references identify intermediate calculations.</x:t>
        </x:r>
      </x:text>
    </x:comment>
    <x:comment ref="P22" authorId="0">
      <x:text>
        <x:r>
          <x:t>Total assets (FY:28 E).
Current assets plus PPE, lease assets, investments, goodwill, intangibles and other long-term assets. A year-end balance, not an annual cash-flow amount.
Formula: =P14+SUM(P16:P21)
Cross-sheet references identify the owning schedule. Same-sheet references identify intermediate calculations.</x:t>
        </x:r>
      </x:text>
    </x:comment>
    <x:comment ref="Q22" authorId="0">
      <x:text>
        <x:r>
          <x:t>Total assets (FY:29 E).
Current assets plus PPE, lease assets, investments, goodwill, intangibles and other long-term assets. A year-end balance, not an annual cash-flow amount.
Formula: =Q14+SUM(Q16:Q21)
Cross-sheet references identify the owning schedule. Same-sheet references identify intermediate calculations.</x:t>
        </x:r>
      </x:text>
    </x:comment>
    <x:comment ref="R22" authorId="0">
      <x:text>
        <x:r>
          <x:t>Total assets (FY:30 E).
Current assets plus PPE, lease assets, investments, goodwill, intangibles and other long-term assets. A year-end balance, not an annual cash-flow amount.
Formula: =R14+SUM(R16:R21)
Cross-sheet references identify the owning schedule. Same-sheet references identify intermediate calculations.</x:t>
        </x:r>
      </x:text>
    </x:comment>
    <x:comment ref="S22" authorId="0">
      <x:text>
        <x:r>
          <x:t>Total assets (FY:31 E).
Current assets plus PPE, lease assets, investments, goodwill, intangibles and other long-term assets. A year-end balance, not an annual cash-flow amount.
Formula: =S14+SUM(S16:S21)
Cross-sheet references identify the owning schedule. Same-sheet references identify intermediate calculations.</x:t>
        </x:r>
      </x:text>
    </x:comment>
    <x:comment ref="C24" authorId="0">
      <x:text>
        <x:r>
          <x:t>Amounts owed to suppliers, including disclosed capital expenditure payables. The forecast separates operating payables from capital payables before deriving CFO.</x:t>
        </x:r>
      </x:text>
    </x:comment>
    <x:comment ref="E24" authorId="0">
      <x:text>
        <x:r>
          <x:t>Accounts payable (FY:17 A).
Amounts owed to suppliers, including disclosed capital expenditure payables. The forecast separates operating payables from capital payables before deriving CFO.
Formula: ='Historical Inputs'!E42
Cross-sheet references identify the owning schedule. Same-sheet references identify intermediate calculations.</x:t>
        </x:r>
      </x:text>
    </x:comment>
    <x:comment ref="F24" authorId="0">
      <x:text>
        <x:r>
          <x:t>Accounts payable (FY:18 A).
Amounts owed to suppliers, including disclosed capital expenditure payables. The forecast separates operating payables from capital payables before deriving CFO.
Formula: ='Historical Inputs'!F42
Cross-sheet references identify the owning schedule. Same-sheet references identify intermediate calculations.</x:t>
        </x:r>
      </x:text>
    </x:comment>
    <x:comment ref="G24" authorId="0">
      <x:text>
        <x:r>
          <x:t>Accounts payable (FY:19 A).
Amounts owed to suppliers, including disclosed capital expenditure payables. The forecast separates operating payables from capital payables before deriving CFO.
Formula: ='Historical Inputs'!G42
Cross-sheet references identify the owning schedule. Same-sheet references identify intermediate calculations.</x:t>
        </x:r>
      </x:text>
    </x:comment>
    <x:comment ref="H24" authorId="0">
      <x:text>
        <x:r>
          <x:t>Accounts payable (FY:20 A).
Amounts owed to suppliers, including disclosed capital expenditure payables. The forecast separates operating payables from capital payables before deriving CFO.
Formula: ='Historical Inputs'!H42
Cross-sheet references identify the owning schedule. Same-sheet references identify intermediate calculations.</x:t>
        </x:r>
      </x:text>
    </x:comment>
    <x:comment ref="I24" authorId="0">
      <x:text>
        <x:r>
          <x:t>Accounts payable (FY:21 A).
Amounts owed to suppliers, including disclosed capital expenditure payables. The forecast separates operating payables from capital payables before deriving CFO.
Formula: ='Historical Inputs'!I42
Cross-sheet references identify the owning schedule. Same-sheet references identify intermediate calculations.</x:t>
        </x:r>
      </x:text>
    </x:comment>
    <x:comment ref="J24" authorId="0">
      <x:text>
        <x:r>
          <x:t>Accounts payable (FY:22 A).
Amounts owed to suppliers, including disclosed capital expenditure payables. The forecast separates operating payables from capital payables before deriving CFO.
Formula: ='Historical Inputs'!J42
Cross-sheet references identify the owning schedule. Same-sheet references identify intermediate calculations.</x:t>
        </x:r>
      </x:text>
    </x:comment>
    <x:comment ref="K24" authorId="0">
      <x:text>
        <x:r>
          <x:t>Accounts payable (FY:23 A).
Amounts owed to suppliers, including disclosed capital expenditure payables. The forecast separates operating payables from capital payables before deriving CFO.
Formula: ='Historical Inputs'!K42
Cross-sheet references identify the owning schedule. Same-sheet references identify intermediate calculations.</x:t>
        </x:r>
      </x:text>
    </x:comment>
    <x:comment ref="L24" authorId="0">
      <x:text>
        <x:r>
          <x:t>Accounts payable (FY:24 A).
Amounts owed to suppliers, including disclosed capital expenditure payables. The forecast separates operating payables from capital payables before deriving CFO.
Formula: ='Historical Inputs'!L42
Cross-sheet references identify the owning schedule. Same-sheet references identify intermediate calculations.</x:t>
        </x:r>
      </x:text>
    </x:comment>
    <x:comment ref="M24" authorId="0">
      <x:text>
        <x:r>
          <x:t>Accounts payable (FY:25 A).
Amounts owed to suppliers, including disclosed capital expenditure payables. The forecast separates operating payables from capital payables before deriving CFO.
Formula: ='Historical Inputs'!M42
Cross-sheet references identify the owning schedule. Same-sheet references identify intermediate calculations.</x:t>
        </x:r>
      </x:text>
    </x:comment>
    <x:comment ref="N24" authorId="0">
      <x:text>
        <x:r>
          <x:t>Accounts payable (FY:26 A).
Amounts owed to suppliers, including disclosed capital expenditure payables. The forecast separates operating payables from capital payables before deriving CFO.
Formula: ='Historical Inputs'!N42
Cross-sheet references identify the owning schedule. Same-sheet references identify intermediate calculations.</x:t>
        </x:r>
      </x:text>
    </x:comment>
    <x:comment ref="O24" authorId="0">
      <x:text>
        <x:r>
          <x:t>Accounts payable (FY:27 E).
Amounts owed to suppliers, including disclosed capital expenditure payables. The forecast separates operating payables from capital payables before deriving CFO.
Formula: ='Working Capital'!O15
Cross-sheet references identify the owning schedule. Same-sheet references identify intermediate calculations.</x:t>
        </x:r>
      </x:text>
    </x:comment>
    <x:comment ref="P24" authorId="0">
      <x:text>
        <x:r>
          <x:t>Accounts payable (FY:28 E).
Amounts owed to suppliers, including disclosed capital expenditure payables. The forecast separates operating payables from capital payables before deriving CFO.
Formula: ='Working Capital'!P15
Cross-sheet references identify the owning schedule. Same-sheet references identify intermediate calculations.</x:t>
        </x:r>
      </x:text>
    </x:comment>
    <x:comment ref="Q24" authorId="0">
      <x:text>
        <x:r>
          <x:t>Accounts payable (FY:29 E).
Amounts owed to suppliers, including disclosed capital expenditure payables. The forecast separates operating payables from capital payables before deriving CFO.
Formula: ='Working Capital'!Q15
Cross-sheet references identify the owning schedule. Same-sheet references identify intermediate calculations.</x:t>
        </x:r>
      </x:text>
    </x:comment>
    <x:comment ref="R24" authorId="0">
      <x:text>
        <x:r>
          <x:t>Accounts payable (FY:30 E).
Amounts owed to suppliers, including disclosed capital expenditure payables. The forecast separates operating payables from capital payables before deriving CFO.
Formula: ='Working Capital'!R15
Cross-sheet references identify the owning schedule. Same-sheet references identify intermediate calculations.</x:t>
        </x:r>
      </x:text>
    </x:comment>
    <x:comment ref="S24" authorId="0">
      <x:text>
        <x:r>
          <x:t>Accounts payable (FY:31 E).
Amounts owed to suppliers, including disclosed capital expenditure payables. The forecast separates operating payables from capital payables before deriving CFO.
Formula: ='Working Capital'!S15
Cross-sheet references identify the owning schedule. Same-sheet references identify intermediate calculations.</x:t>
        </x:r>
      </x:text>
    </x:comment>
    <x:comment ref="C25" authorId="0">
      <x:text>
        <x:r>
          <x:t>Reported short-term borrowing. The forecast funding schedule determines incremental liquidity borrowing and its classification.</x:t>
        </x:r>
      </x:text>
    </x:comment>
    <x:comment ref="E25" authorId="0">
      <x:text>
        <x:r>
          <x:t>Short-term debt (FY:17 A).
Reported short-term borrowing. The forecast funding schedule determines incremental liquidity borrowing and its classification.
Formula: ='Historical Inputs'!E61
Cross-sheet references identify the owning schedule. Same-sheet references identify intermediate calculations.</x:t>
        </x:r>
      </x:text>
    </x:comment>
    <x:comment ref="F25" authorId="0">
      <x:text>
        <x:r>
          <x:t>Short-term debt (FY:18 A).
Reported short-term borrowing. The forecast funding schedule determines incremental liquidity borrowing and its classification.
Formula: ='Historical Inputs'!F61
Cross-sheet references identify the owning schedule. Same-sheet references identify intermediate calculations.</x:t>
        </x:r>
      </x:text>
    </x:comment>
    <x:comment ref="G25" authorId="0">
      <x:text>
        <x:r>
          <x:t>Short-term debt (FY:19 A).
Reported short-term borrowing. The forecast funding schedule determines incremental liquidity borrowing and its classification.
Formula: ='Historical Inputs'!G61
Cross-sheet references identify the owning schedule. Same-sheet references identify intermediate calculations.</x:t>
        </x:r>
      </x:text>
    </x:comment>
    <x:comment ref="H25" authorId="0">
      <x:text>
        <x:r>
          <x:t>Short-term debt (FY:20 A).
Reported short-term borrowing. The forecast funding schedule determines incremental liquidity borrowing and its classification.
Formula: ='Historical Inputs'!H61
Cross-sheet references identify the owning schedule. Same-sheet references identify intermediate calculations.</x:t>
        </x:r>
      </x:text>
    </x:comment>
    <x:comment ref="I25" authorId="0">
      <x:text>
        <x:r>
          <x:t>Short-term debt (FY:21 A).
Reported short-term borrowing. The forecast funding schedule determines incremental liquidity borrowing and its classification.
Formula: ='Historical Inputs'!I61
Cross-sheet references identify the owning schedule. Same-sheet references identify intermediate calculations.</x:t>
        </x:r>
      </x:text>
    </x:comment>
    <x:comment ref="J25" authorId="0">
      <x:text>
        <x:r>
          <x:t>Short-term debt (FY:22 A).
Reported short-term borrowing. The forecast funding schedule determines incremental liquidity borrowing and its classification.
Formula: ='Historical Inputs'!J61
Cross-sheet references identify the owning schedule. Same-sheet references identify intermediate calculations.</x:t>
        </x:r>
      </x:text>
    </x:comment>
    <x:comment ref="K25" authorId="0">
      <x:text>
        <x:r>
          <x:t>Short-term debt (FY:23 A).
Reported short-term borrowing. The forecast funding schedule determines incremental liquidity borrowing and its classification.
Formula: ='Historical Inputs'!K61
Cross-sheet references identify the owning schedule. Same-sheet references identify intermediate calculations.</x:t>
        </x:r>
      </x:text>
    </x:comment>
    <x:comment ref="L25" authorId="0">
      <x:text>
        <x:r>
          <x:t>Short-term debt (FY:24 A).
Reported short-term borrowing. The forecast funding schedule determines incremental liquidity borrowing and its classification.
Formula: ='Historical Inputs'!L61
Cross-sheet references identify the owning schedule. Same-sheet references identify intermediate calculations.</x:t>
        </x:r>
      </x:text>
    </x:comment>
    <x:comment ref="M25" authorId="0">
      <x:text>
        <x:r>
          <x:t>Short-term debt (FY:25 A).
Reported short-term borrowing. The forecast funding schedule determines incremental liquidity borrowing and its classification.
Formula: ='Historical Inputs'!M61
Cross-sheet references identify the owning schedule. Same-sheet references identify intermediate calculations.</x:t>
        </x:r>
      </x:text>
    </x:comment>
    <x:comment ref="N25" authorId="0">
      <x:text>
        <x:r>
          <x:t>Short-term debt (FY:26 A).
Reported short-term borrowing. The forecast funding schedule determines incremental liquidity borrowing and its classification.
Formula: ='Historical Inputs'!N61
Cross-sheet references identify the owning schedule. Same-sheet references identify intermediate calculations.</x:t>
        </x:r>
      </x:text>
    </x:comment>
    <x:comment ref="O25" authorId="0">
      <x:text>
        <x:r>
          <x:t>Short-term debt (FY:27 E).
Reported short-term borrowing. The forecast funding schedule determines incremental liquidity borrowing and its classification.
Formula: =0
Cross-sheet references identify the owning schedule. Same-sheet references identify intermediate calculations.</x:t>
        </x:r>
      </x:text>
    </x:comment>
    <x:comment ref="P25" authorId="0">
      <x:text>
        <x:r>
          <x:t>Short-term debt (FY:28 E).
Reported short-term borrowing. The forecast funding schedule determines incremental liquidity borrowing and its classification.
Formula: =0
Cross-sheet references identify the owning schedule. Same-sheet references identify intermediate calculations.</x:t>
        </x:r>
      </x:text>
    </x:comment>
    <x:comment ref="Q25" authorId="0">
      <x:text>
        <x:r>
          <x:t>Short-term debt (FY:29 E).
Reported short-term borrowing. The forecast funding schedule determines incremental liquidity borrowing and its classification.
Formula: =0
Cross-sheet references identify the owning schedule. Same-sheet references identify intermediate calculations.</x:t>
        </x:r>
      </x:text>
    </x:comment>
    <x:comment ref="R25" authorId="0">
      <x:text>
        <x:r>
          <x:t>Short-term debt (FY:30 E).
Reported short-term borrowing. The forecast funding schedule determines incremental liquidity borrowing and its classification.
Formula: =0
Cross-sheet references identify the owning schedule. Same-sheet references identify intermediate calculations.</x:t>
        </x:r>
      </x:text>
    </x:comment>
    <x:comment ref="S25" authorId="0">
      <x:text>
        <x:r>
          <x:t>Short-term debt (FY:31 E).
Reported short-term borrowing. The forecast funding schedule determines incremental liquidity borrowing and its classification.
Formula: =0
Cross-sheet references identify the owning schedule. Same-sheet references identify intermediate calculations.</x:t>
        </x:r>
      </x:text>
    </x:comment>
    <x:comment ref="C26" authorId="0">
      <x:text>
        <x:r>
          <x:t>Debt carrying amount classified as due within the next year. The schedule applies contractual principal timing and the relevant book adjustments.</x:t>
        </x:r>
      </x:text>
    </x:comment>
    <x:comment ref="E26" authorId="0">
      <x:text>
        <x:r>
          <x:t>Current portion of long-term debt (FY:17 A).
Debt carrying amount classified as due within the next year. The schedule applies contractual principal timing and the relevant book adjustments.
Formula: ='Historical Inputs'!E43
Cross-sheet references identify the owning schedule. Same-sheet references identify intermediate calculations.</x:t>
        </x:r>
      </x:text>
    </x:comment>
    <x:comment ref="F26" authorId="0">
      <x:text>
        <x:r>
          <x:t>Current portion of long-term debt (FY:18 A).
Debt carrying amount classified as due within the next year. The schedule applies contractual principal timing and the relevant book adjustments.
Formula: ='Historical Inputs'!F43
Cross-sheet references identify the owning schedule. Same-sheet references identify intermediate calculations.</x:t>
        </x:r>
      </x:text>
    </x:comment>
    <x:comment ref="G26" authorId="0">
      <x:text>
        <x:r>
          <x:t>Current portion of long-term debt (FY:19 A).
Debt carrying amount classified as due within the next year. The schedule applies contractual principal timing and the relevant book adjustments.
Formula: ='Historical Inputs'!G43
Cross-sheet references identify the owning schedule. Same-sheet references identify intermediate calculations.</x:t>
        </x:r>
      </x:text>
    </x:comment>
    <x:comment ref="H26" authorId="0">
      <x:text>
        <x:r>
          <x:t>Current portion of long-term debt (FY:20 A).
Debt carrying amount classified as due within the next year. The schedule applies contractual principal timing and the relevant book adjustments.
Formula: ='Historical Inputs'!H43
Cross-sheet references identify the owning schedule. Same-sheet references identify intermediate calculations.</x:t>
        </x:r>
      </x:text>
    </x:comment>
    <x:comment ref="I26" authorId="0">
      <x:text>
        <x:r>
          <x:t>Current portion of long-term debt (FY:21 A).
Debt carrying amount classified as due within the next year. The schedule applies contractual principal timing and the relevant book adjustments.
Formula: ='Historical Inputs'!I43
Cross-sheet references identify the owning schedule. Same-sheet references identify intermediate calculations.</x:t>
        </x:r>
      </x:text>
    </x:comment>
    <x:comment ref="J26" authorId="0">
      <x:text>
        <x:r>
          <x:t>Current portion of long-term debt (FY:22 A).
Debt carrying amount classified as due within the next year. The schedule applies contractual principal timing and the relevant book adjustments.
Formula: ='Historical Inputs'!J43
Cross-sheet references identify the owning schedule. Same-sheet references identify intermediate calculations.</x:t>
        </x:r>
      </x:text>
    </x:comment>
    <x:comment ref="K26" authorId="0">
      <x:text>
        <x:r>
          <x:t>Current portion of long-term debt (FY:23 A).
Debt carrying amount classified as due within the next year. The schedule applies contractual principal timing and the relevant book adjustments.
Formula: ='Historical Inputs'!K43
Cross-sheet references identify the owning schedule. Same-sheet references identify intermediate calculations.</x:t>
        </x:r>
      </x:text>
    </x:comment>
    <x:comment ref="L26" authorId="0">
      <x:text>
        <x:r>
          <x:t>Current portion of long-term debt (FY:24 A).
Debt carrying amount classified as due within the next year. The schedule applies contractual principal timing and the relevant book adjustments.
Formula: ='Historical Inputs'!L43
Cross-sheet references identify the owning schedule. Same-sheet references identify intermediate calculations.</x:t>
        </x:r>
      </x:text>
    </x:comment>
    <x:comment ref="M26" authorId="0">
      <x:text>
        <x:r>
          <x:t>Current portion of long-term debt (FY:25 A).
Debt carrying amount classified as due within the next year. The schedule applies contractual principal timing and the relevant book adjustments.
Formula: ='Historical Inputs'!M43
Cross-sheet references identify the owning schedule. Same-sheet references identify intermediate calculations.</x:t>
        </x:r>
      </x:text>
    </x:comment>
    <x:comment ref="N26" authorId="0">
      <x:text>
        <x:r>
          <x:t>Current portion of long-term debt (FY:26 A).
Debt carrying amount classified as due within the next year. The schedule applies contractual principal timing and the relevant book adjustments.
Formula: ='Historical Inputs'!N43
Cross-sheet references identify the owning schedule. Same-sheet references identify intermediate calculations.</x:t>
        </x:r>
      </x:text>
    </x:comment>
    <x:comment ref="O26" authorId="0">
      <x:text>
        <x:r>
          <x:t>Current portion of long-term debt (FY:27 E).
Debt carrying amount classified as due within the next year. The schedule applies contractual principal timing and the relevant book adjustments.
Formula: ='Debt and Leases'!O19
Cross-sheet references identify the owning schedule. Same-sheet references identify intermediate calculations.</x:t>
        </x:r>
      </x:text>
    </x:comment>
    <x:comment ref="P26" authorId="0">
      <x:text>
        <x:r>
          <x:t>Current portion of long-term debt (FY:28 E).
Debt carrying amount classified as due within the next year. The schedule applies contractual principal timing and the relevant book adjustments.
Formula: ='Debt and Leases'!P19
Cross-sheet references identify the owning schedule. Same-sheet references identify intermediate calculations.</x:t>
        </x:r>
      </x:text>
    </x:comment>
    <x:comment ref="Q26" authorId="0">
      <x:text>
        <x:r>
          <x:t>Current portion of long-term debt (FY:29 E).
Debt carrying amount classified as due within the next year. The schedule applies contractual principal timing and the relevant book adjustments.
Formula: ='Debt and Leases'!Q19
Cross-sheet references identify the owning schedule. Same-sheet references identify intermediate calculations.</x:t>
        </x:r>
      </x:text>
    </x:comment>
    <x:comment ref="R26" authorId="0">
      <x:text>
        <x:r>
          <x:t>Current portion of long-term debt (FY:30 E).
Debt carrying amount classified as due within the next year. The schedule applies contractual principal timing and the relevant book adjustments.
Formula: ='Debt and Leases'!R19
Cross-sheet references identify the owning schedule. Same-sheet references identify intermediate calculations.</x:t>
        </x:r>
      </x:text>
    </x:comment>
    <x:comment ref="S26" authorId="0">
      <x:text>
        <x:r>
          <x:t>Current portion of long-term debt (FY:31 E).
Debt carrying amount classified as due within the next year. The schedule applies contractual principal timing and the relevant book adjustments.
Formula: ='Debt and Leases'!S19
Cross-sheet references identify the owning schedule. Same-sheet references identify intermediate calculations.</x:t>
        </x:r>
      </x:text>
    </x:comment>
    <x:comment ref="C27" authorId="0">
      <x:text>
        <x:r>
          <x:t>Employee compensation owed but not yet paid. The forecast uses a revenue-based planning ratio; increases can provide an operating cash timing benefit.</x:t>
        </x:r>
      </x:text>
    </x:comment>
    <x:comment ref="E27" authorId="0">
      <x:text>
        <x:r>
          <x:t>Accrued compensation (FY:17 A).
Employee compensation owed but not yet paid. The forecast uses a revenue-based planning ratio; increases can provide an operating cash timing benefit.
Formula: ='Historical Inputs'!E44
Cross-sheet references identify the owning schedule. Same-sheet references identify intermediate calculations.</x:t>
        </x:r>
      </x:text>
    </x:comment>
    <x:comment ref="F27" authorId="0">
      <x:text>
        <x:r>
          <x:t>Accrued compensation (FY:18 A).
Employee compensation owed but not yet paid. The forecast uses a revenue-based planning ratio; increases can provide an operating cash timing benefit.
Formula: ='Historical Inputs'!F44
Cross-sheet references identify the owning schedule. Same-sheet references identify intermediate calculations.</x:t>
        </x:r>
      </x:text>
    </x:comment>
    <x:comment ref="G27" authorId="0">
      <x:text>
        <x:r>
          <x:t>Accrued compensation (FY:19 A).
Employee compensation owed but not yet paid. The forecast uses a revenue-based planning ratio; increases can provide an operating cash timing benefit.
Formula: ='Historical Inputs'!G44
Cross-sheet references identify the owning schedule. Same-sheet references identify intermediate calculations.</x:t>
        </x:r>
      </x:text>
    </x:comment>
    <x:comment ref="H27" authorId="0">
      <x:text>
        <x:r>
          <x:t>Accrued compensation (FY:20 A).
Employee compensation owed but not yet paid. The forecast uses a revenue-based planning ratio; increases can provide an operating cash timing benefit.
Formula: ='Historical Inputs'!H44
Cross-sheet references identify the owning schedule. Same-sheet references identify intermediate calculations.</x:t>
        </x:r>
      </x:text>
    </x:comment>
    <x:comment ref="I27" authorId="0">
      <x:text>
        <x:r>
          <x:t>Accrued compensation (FY:21 A).
Employee compensation owed but not yet paid. The forecast uses a revenue-based planning ratio; increases can provide an operating cash timing benefit.
Formula: ='Historical Inputs'!I44
Cross-sheet references identify the owning schedule. Same-sheet references identify intermediate calculations.</x:t>
        </x:r>
      </x:text>
    </x:comment>
    <x:comment ref="J27" authorId="0">
      <x:text>
        <x:r>
          <x:t>Accrued compensation (FY:22 A).
Employee compensation owed but not yet paid. The forecast uses a revenue-based planning ratio; increases can provide an operating cash timing benefit.
Formula: ='Historical Inputs'!J44
Cross-sheet references identify the owning schedule. Same-sheet references identify intermediate calculations.</x:t>
        </x:r>
      </x:text>
    </x:comment>
    <x:comment ref="K27" authorId="0">
      <x:text>
        <x:r>
          <x:t>Accrued compensation (FY:23 A).
Employee compensation owed but not yet paid. The forecast uses a revenue-based planning ratio; increases can provide an operating cash timing benefit.
Formula: ='Historical Inputs'!K44
Cross-sheet references identify the owning schedule. Same-sheet references identify intermediate calculations.</x:t>
        </x:r>
      </x:text>
    </x:comment>
    <x:comment ref="L27" authorId="0">
      <x:text>
        <x:r>
          <x:t>Accrued compensation (FY:24 A).
Employee compensation owed but not yet paid. The forecast uses a revenue-based planning ratio; increases can provide an operating cash timing benefit.
Formula: ='Historical Inputs'!L44
Cross-sheet references identify the owning schedule. Same-sheet references identify intermediate calculations.</x:t>
        </x:r>
      </x:text>
    </x:comment>
    <x:comment ref="M27" authorId="0">
      <x:text>
        <x:r>
          <x:t>Accrued compensation (FY:25 A).
Employee compensation owed but not yet paid. The forecast uses a revenue-based planning ratio; increases can provide an operating cash timing benefit.
Formula: ='Historical Inputs'!M44
Cross-sheet references identify the owning schedule. Same-sheet references identify intermediate calculations.</x:t>
        </x:r>
      </x:text>
    </x:comment>
    <x:comment ref="N27" authorId="0">
      <x:text>
        <x:r>
          <x:t>Accrued compensation (FY:26 A).
Employee compensation owed but not yet paid. The forecast uses a revenue-based planning ratio; increases can provide an operating cash timing benefit.
Formula: ='Historical Inputs'!N44
Cross-sheet references identify the owning schedule. Same-sheet references identify intermediate calculations.</x:t>
        </x:r>
      </x:text>
    </x:comment>
    <x:comment ref="O27" authorId="0">
      <x:text>
        <x:r>
          <x:t>Accrued compensation (FY:27 E).
Employee compensation owed but not yet paid. The forecast uses a revenue-based planning ratio; increases can provide an operating cash timing benefit.
Formula: ='Working Capital'!O19
Cross-sheet references identify the owning schedule. Same-sheet references identify intermediate calculations.</x:t>
        </x:r>
      </x:text>
    </x:comment>
    <x:comment ref="P27" authorId="0">
      <x:text>
        <x:r>
          <x:t>Accrued compensation (FY:28 E).
Employee compensation owed but not yet paid. The forecast uses a revenue-based planning ratio; increases can provide an operating cash timing benefit.
Formula: ='Working Capital'!P19
Cross-sheet references identify the owning schedule. Same-sheet references identify intermediate calculations.</x:t>
        </x:r>
      </x:text>
    </x:comment>
    <x:comment ref="Q27" authorId="0">
      <x:text>
        <x:r>
          <x:t>Accrued compensation (FY:29 E).
Employee compensation owed but not yet paid. The forecast uses a revenue-based planning ratio; increases can provide an operating cash timing benefit.
Formula: ='Working Capital'!Q19
Cross-sheet references identify the owning schedule. Same-sheet references identify intermediate calculations.</x:t>
        </x:r>
      </x:text>
    </x:comment>
    <x:comment ref="R27" authorId="0">
      <x:text>
        <x:r>
          <x:t>Accrued compensation (FY:30 E).
Employee compensation owed but not yet paid. The forecast uses a revenue-based planning ratio; increases can provide an operating cash timing benefit.
Formula: ='Working Capital'!R19
Cross-sheet references identify the owning schedule. Same-sheet references identify intermediate calculations.</x:t>
        </x:r>
      </x:text>
    </x:comment>
    <x:comment ref="S27" authorId="0">
      <x:text>
        <x:r>
          <x:t>Accrued compensation (FY:31 E).
Employee compensation owed but not yet paid. The forecast uses a revenue-based planning ratio; increases can provide an operating cash timing benefit.
Formula: ='Working Capital'!S19
Cross-sheet references identify the owning schedule. Same-sheet references identify intermediate calculations.</x:t>
        </x:r>
      </x:text>
    </x:comment>
    <x:comment ref="C28" authorId="0">
      <x:text>
        <x:r>
          <x:t>Short-term income taxes. This line belongs to the Balance Sheet calculation. Read its formula to trace the referenced inputs and intermediate totals.</x:t>
        </x:r>
      </x:text>
    </x:comment>
    <x:comment ref="E28" authorId="0">
      <x:text>
        <x:r>
          <x:t>Short-term income taxes (FY:17 A).
Short-term income taxes. This line belongs to the Balance Sheet calculation. Read its formula to trace the referenced inputs and intermediate totals.
Formula: ='Historical Inputs'!E45
Cross-sheet references identify the owning schedule. Same-sheet references identify intermediate calculations.</x:t>
        </x:r>
      </x:text>
    </x:comment>
    <x:comment ref="F28" authorId="0">
      <x:text>
        <x:r>
          <x:t>Short-term income taxes (FY:18 A).
Short-term income taxes. This line belongs to the Balance Sheet calculation. Read its formula to trace the referenced inputs and intermediate totals.
Formula: ='Historical Inputs'!F45
Cross-sheet references identify the owning schedule. Same-sheet references identify intermediate calculations.</x:t>
        </x:r>
      </x:text>
    </x:comment>
    <x:comment ref="G28" authorId="0">
      <x:text>
        <x:r>
          <x:t>Short-term income taxes (FY:19 A).
Short-term income taxes. This line belongs to the Balance Sheet calculation. Read its formula to trace the referenced inputs and intermediate totals.
Formula: ='Historical Inputs'!G45
Cross-sheet references identify the owning schedule. Same-sheet references identify intermediate calculations.</x:t>
        </x:r>
      </x:text>
    </x:comment>
    <x:comment ref="H28" authorId="0">
      <x:text>
        <x:r>
          <x:t>Short-term income taxes (FY:20 A).
Short-term income taxes. This line belongs to the Balance Sheet calculation. Read its formula to trace the referenced inputs and intermediate totals.
Formula: ='Historical Inputs'!H45
Cross-sheet references identify the owning schedule. Same-sheet references identify intermediate calculations.</x:t>
        </x:r>
      </x:text>
    </x:comment>
    <x:comment ref="I28" authorId="0">
      <x:text>
        <x:r>
          <x:t>Short-term income taxes (FY:21 A).
Short-term income taxes. This line belongs to the Balance Sheet calculation. Read its formula to trace the referenced inputs and intermediate totals.
Formula: ='Historical Inputs'!I45
Cross-sheet references identify the owning schedule. Same-sheet references identify intermediate calculations.</x:t>
        </x:r>
      </x:text>
    </x:comment>
    <x:comment ref="J28" authorId="0">
      <x:text>
        <x:r>
          <x:t>Short-term income taxes (FY:22 A).
Short-term income taxes. This line belongs to the Balance Sheet calculation. Read its formula to trace the referenced inputs and intermediate totals.
Formula: ='Historical Inputs'!J45
Cross-sheet references identify the owning schedule. Same-sheet references identify intermediate calculations.</x:t>
        </x:r>
      </x:text>
    </x:comment>
    <x:comment ref="K28" authorId="0">
      <x:text>
        <x:r>
          <x:t>Short-term income taxes (FY:23 A).
Short-term income taxes. This line belongs to the Balance Sheet calculation. Read its formula to trace the referenced inputs and intermediate totals.
Formula: ='Historical Inputs'!K45
Cross-sheet references identify the owning schedule. Same-sheet references identify intermediate calculations.</x:t>
        </x:r>
      </x:text>
    </x:comment>
    <x:comment ref="L28" authorId="0">
      <x:text>
        <x:r>
          <x:t>Short-term income taxes (FY:24 A).
Short-term income taxes. This line belongs to the Balance Sheet calculation. Read its formula to trace the referenced inputs and intermediate totals.
Formula: ='Historical Inputs'!L45
Cross-sheet references identify the owning schedule. Same-sheet references identify intermediate calculations.</x:t>
        </x:r>
      </x:text>
    </x:comment>
    <x:comment ref="M28" authorId="0">
      <x:text>
        <x:r>
          <x:t>Short-term income taxes (FY:25 A).
Short-term income taxes. This line belongs to the Balance Sheet calculation. Read its formula to trace the referenced inputs and intermediate totals.
Formula: ='Historical Inputs'!M45
Cross-sheet references identify the owning schedule. Same-sheet references identify intermediate calculations.</x:t>
        </x:r>
      </x:text>
    </x:comment>
    <x:comment ref="N28" authorId="0">
      <x:text>
        <x:r>
          <x:t>Short-term income taxes (FY:26 A).
Short-term income taxes. This line belongs to the Balance Sheet calculation. Read its formula to trace the referenced inputs and intermediate totals.
Formula: ='Historical Inputs'!N45
Cross-sheet references identify the owning schedule. Same-sheet references identify intermediate calculations.</x:t>
        </x:r>
      </x:text>
    </x:comment>
    <x:comment ref="O28" authorId="0">
      <x:text>
        <x:r>
          <x:t>Short-term income taxes (FY:27 E).
Short-term income taxes. This line belongs to the Balance Sheet calculation. Read its formula to trace the referenced inputs and intermediate totals.
Formula: ='Working Capital'!O22
Cross-sheet references identify the owning schedule. Same-sheet references identify intermediate calculations.</x:t>
        </x:r>
      </x:text>
    </x:comment>
    <x:comment ref="P28" authorId="0">
      <x:text>
        <x:r>
          <x:t>Short-term income taxes (FY:28 E).
Short-term income taxes. This line belongs to the Balance Sheet calculation. Read its formula to trace the referenced inputs and intermediate totals.
Formula: ='Working Capital'!P22
Cross-sheet references identify the owning schedule. Same-sheet references identify intermediate calculations.</x:t>
        </x:r>
      </x:text>
    </x:comment>
    <x:comment ref="Q28" authorId="0">
      <x:text>
        <x:r>
          <x:t>Short-term income taxes (FY:29 E).
Short-term income taxes. This line belongs to the Balance Sheet calculation. Read its formula to trace the referenced inputs and intermediate totals.
Formula: ='Working Capital'!Q22
Cross-sheet references identify the owning schedule. Same-sheet references identify intermediate calculations.</x:t>
        </x:r>
      </x:text>
    </x:comment>
    <x:comment ref="R28" authorId="0">
      <x:text>
        <x:r>
          <x:t>Short-term income taxes (FY:30 E).
Short-term income taxes. This line belongs to the Balance Sheet calculation. Read its formula to trace the referenced inputs and intermediate totals.
Formula: ='Working Capital'!R22
Cross-sheet references identify the owning schedule. Same-sheet references identify intermediate calculations.</x:t>
        </x:r>
      </x:text>
    </x:comment>
    <x:comment ref="S28" authorId="0">
      <x:text>
        <x:r>
          <x:t>Short-term income taxes (FY:31 E).
Short-term income taxes. This line belongs to the Balance Sheet calculation. Read its formula to trace the referenced inputs and intermediate totals.
Formula: ='Working Capital'!S22
Cross-sheet references identify the owning schedule. Same-sheet references identify intermediate calculations.</x:t>
        </x:r>
      </x:text>
    </x:comment>
    <x:comment ref="C29" authorId="0">
      <x:text>
        <x:r>
          <x:t>Customer payments billed or received before revenue recognition. Forecast balances use revenue-based planning ratios. Increases in the operating liability can provide operating cash.</x:t>
        </x:r>
      </x:text>
    </x:comment>
    <x:comment ref="E29" authorId="0">
      <x:text>
        <x:r>
          <x:t>Short-term unearned revenue (FY:17 A).
Customer payments billed or received before revenue recognition. Forecast balances use revenue-based planning ratios. Increases in the operating liability can provide operating cash.
Formula: ='Historical Inputs'!E46
Cross-sheet references identify the owning schedule. Same-sheet references identify intermediate calculations.</x:t>
        </x:r>
      </x:text>
    </x:comment>
    <x:comment ref="F29" authorId="0">
      <x:text>
        <x:r>
          <x:t>Short-term unearned revenue (FY:18 A).
Customer payments billed or received before revenue recognition. Forecast balances use revenue-based planning ratios. Increases in the operating liability can provide operating cash.
Formula: ='Historical Inputs'!F46
Cross-sheet references identify the owning schedule. Same-sheet references identify intermediate calculations.</x:t>
        </x:r>
      </x:text>
    </x:comment>
    <x:comment ref="G29" authorId="0">
      <x:text>
        <x:r>
          <x:t>Short-term unearned revenue (FY:19 A).
Customer payments billed or received before revenue recognition. Forecast balances use revenue-based planning ratios. Increases in the operating liability can provide operating cash.
Formula: ='Historical Inputs'!G46
Cross-sheet references identify the owning schedule. Same-sheet references identify intermediate calculations.</x:t>
        </x:r>
      </x:text>
    </x:comment>
    <x:comment ref="H29" authorId="0">
      <x:text>
        <x:r>
          <x:t>Short-term unearned revenue (FY:20 A).
Customer payments billed or received before revenue recognition. Forecast balances use revenue-based planning ratios. Increases in the operating liability can provide operating cash.
Formula: ='Historical Inputs'!H46
Cross-sheet references identify the owning schedule. Same-sheet references identify intermediate calculations.</x:t>
        </x:r>
      </x:text>
    </x:comment>
    <x:comment ref="I29" authorId="0">
      <x:text>
        <x:r>
          <x:t>Short-term unearned revenue (FY:21 A).
Customer payments billed or received before revenue recognition. Forecast balances use revenue-based planning ratios. Increases in the operating liability can provide operating cash.
Formula: ='Historical Inputs'!I46
Cross-sheet references identify the owning schedule. Same-sheet references identify intermediate calculations.</x:t>
        </x:r>
      </x:text>
    </x:comment>
    <x:comment ref="J29" authorId="0">
      <x:text>
        <x:r>
          <x:t>Short-term unearned revenue (FY:22 A).
Customer payments billed or received before revenue recognition. Forecast balances use revenue-based planning ratios. Increases in the operating liability can provide operating cash.
Formula: ='Historical Inputs'!J46
Cross-sheet references identify the owning schedule. Same-sheet references identify intermediate calculations.</x:t>
        </x:r>
      </x:text>
    </x:comment>
    <x:comment ref="K29" authorId="0">
      <x:text>
        <x:r>
          <x:t>Short-term unearned revenue (FY:23 A).
Customer payments billed or received before revenue recognition. Forecast balances use revenue-based planning ratios. Increases in the operating liability can provide operating cash.
Formula: ='Historical Inputs'!K46
Cross-sheet references identify the owning schedule. Same-sheet references identify intermediate calculations.</x:t>
        </x:r>
      </x:text>
    </x:comment>
    <x:comment ref="L29" authorId="0">
      <x:text>
        <x:r>
          <x:t>Short-term unearned revenue (FY:24 A).
Customer payments billed or received before revenue recognition. Forecast balances use revenue-based planning ratios. Increases in the operating liability can provide operating cash.
Formula: ='Historical Inputs'!L46
Cross-sheet references identify the owning schedule. Same-sheet references identify intermediate calculations.</x:t>
        </x:r>
      </x:text>
    </x:comment>
    <x:comment ref="M29" authorId="0">
      <x:text>
        <x:r>
          <x:t>Short-term unearned revenue (FY:25 A).
Customer payments billed or received before revenue recognition. Forecast balances use revenue-based planning ratios. Increases in the operating liability can provide operating cash.
Formula: ='Historical Inputs'!M46
Cross-sheet references identify the owning schedule. Same-sheet references identify intermediate calculations.</x:t>
        </x:r>
      </x:text>
    </x:comment>
    <x:comment ref="N29" authorId="0">
      <x:text>
        <x:r>
          <x:t>Short-term unearned revenue (FY:26 A).
Customer payments billed or received before revenue recognition. Forecast balances use revenue-based planning ratios. Increases in the operating liability can provide operating cash.
Formula: ='Historical Inputs'!N46
Cross-sheet references identify the owning schedule. Same-sheet references identify intermediate calculations.</x:t>
        </x:r>
      </x:text>
    </x:comment>
    <x:comment ref="O29" authorId="0">
      <x:text>
        <x:r>
          <x:t>Short-term unearned revenue (FY:27 E).
Customer payments billed or received before revenue recognition. Forecast balances use revenue-based planning ratios. Increases in the operating liability can provide operating cash.
Formula: ='Working Capital'!O20
Cross-sheet references identify the owning schedule. Same-sheet references identify intermediate calculations.</x:t>
        </x:r>
      </x:text>
    </x:comment>
    <x:comment ref="P29" authorId="0">
      <x:text>
        <x:r>
          <x:t>Short-term unearned revenue (FY:28 E).
Customer payments billed or received before revenue recognition. Forecast balances use revenue-based planning ratios. Increases in the operating liability can provide operating cash.
Formula: ='Working Capital'!P20
Cross-sheet references identify the owning schedule. Same-sheet references identify intermediate calculations.</x:t>
        </x:r>
      </x:text>
    </x:comment>
    <x:comment ref="Q29" authorId="0">
      <x:text>
        <x:r>
          <x:t>Short-term unearned revenue (FY:29 E).
Customer payments billed or received before revenue recognition. Forecast balances use revenue-based planning ratios. Increases in the operating liability can provide operating cash.
Formula: ='Working Capital'!Q20
Cross-sheet references identify the owning schedule. Same-sheet references identify intermediate calculations.</x:t>
        </x:r>
      </x:text>
    </x:comment>
    <x:comment ref="R29" authorId="0">
      <x:text>
        <x:r>
          <x:t>Short-term unearned revenue (FY:30 E).
Customer payments billed or received before revenue recognition. Forecast balances use revenue-based planning ratios. Increases in the operating liability can provide operating cash.
Formula: ='Working Capital'!R20
Cross-sheet references identify the owning schedule. Same-sheet references identify intermediate calculations.</x:t>
        </x:r>
      </x:text>
    </x:comment>
    <x:comment ref="S29" authorId="0">
      <x:text>
        <x:r>
          <x:t>Short-term unearned revenue (FY:31 E).
Customer payments billed or received before revenue recognition. Forecast balances use revenue-based planning ratios. Increases in the operating liability can provide operating cash.
Formula: ='Working Capital'!S20
Cross-sheet references identify the owning schedule. Same-sheet references identify intermediate calculations.</x:t>
        </x:r>
      </x:text>
    </x:comment>
    <x:comment ref="C30" authorId="0">
      <x:text>
        <x:r>
          <x:t>Securities lending payable. This line belongs to the Balance Sheet calculation. Read its formula to trace the referenced inputs and intermediate totals.</x:t>
        </x:r>
      </x:text>
    </x:comment>
    <x:comment ref="E30" authorId="0">
      <x:text>
        <x:r>
          <x:t>Securities lending payable (FY:17 A).
Securities lending payable. This line belongs to the Balance Sheet calculation. Read its formula to trace the referenced inputs and intermediate totals.
Formula: ='Historical Inputs'!E62
Cross-sheet references identify the owning schedule. Same-sheet references identify intermediate calculations.</x:t>
        </x:r>
      </x:text>
    </x:comment>
    <x:comment ref="F30" authorId="0">
      <x:text>
        <x:r>
          <x:t>Securities lending payable (FY:18 A).
Securities lending payable. This line belongs to the Balance Sheet calculation. Read its formula to trace the referenced inputs and intermediate totals.
Formula: ='Historical Inputs'!F62
Cross-sheet references identify the owning schedule. Same-sheet references identify intermediate calculations.</x:t>
        </x:r>
      </x:text>
    </x:comment>
    <x:comment ref="G30" authorId="0">
      <x:text>
        <x:r>
          <x:t>Securities lending payable (FY:19 A).
Securities lending payable. This line belongs to the Balance Sheet calculation. Read its formula to trace the referenced inputs and intermediate totals.
Formula: ='Historical Inputs'!G62
Cross-sheet references identify the owning schedule. Same-sheet references identify intermediate calculations.</x:t>
        </x:r>
      </x:text>
    </x:comment>
    <x:comment ref="H30" authorId="0">
      <x:text>
        <x:r>
          <x:t>Securities lending payable (FY:20 A).
Securities lending payable. This line belongs to the Balance Sheet calculation. Read its formula to trace the referenced inputs and intermediate totals.
Formula: ='Historical Inputs'!H62
Cross-sheet references identify the owning schedule. Same-sheet references identify intermediate calculations.</x:t>
        </x:r>
      </x:text>
    </x:comment>
    <x:comment ref="I30" authorId="0">
      <x:text>
        <x:r>
          <x:t>Securities lending payable (FY:21 A).
Securities lending payable. This line belongs to the Balance Sheet calculation. Read its formula to trace the referenced inputs and intermediate totals.
Formula: ='Historical Inputs'!I62
Cross-sheet references identify the owning schedule. Same-sheet references identify intermediate calculations.</x:t>
        </x:r>
      </x:text>
    </x:comment>
    <x:comment ref="J30" authorId="0">
      <x:text>
        <x:r>
          <x:t>Securities lending payable (FY:22 A).
Securities lending payable. This line belongs to the Balance Sheet calculation. Read its formula to trace the referenced inputs and intermediate totals.
Formula: ='Historical Inputs'!J62
Cross-sheet references identify the owning schedule. Same-sheet references identify intermediate calculations.</x:t>
        </x:r>
      </x:text>
    </x:comment>
    <x:comment ref="K30" authorId="0">
      <x:text>
        <x:r>
          <x:t>Securities lending payable (FY:23 A).
Securities lending payable. This line belongs to the Balance Sheet calculation. Read its formula to trace the referenced inputs and intermediate totals.
Formula: ='Historical Inputs'!K62
Cross-sheet references identify the owning schedule. Same-sheet references identify intermediate calculations.</x:t>
        </x:r>
      </x:text>
    </x:comment>
    <x:comment ref="L30" authorId="0">
      <x:text>
        <x:r>
          <x:t>Securities lending payable (FY:24 A).
Securities lending payable. This line belongs to the Balance Sheet calculation. Read its formula to trace the referenced inputs and intermediate totals.
Formula: ='Historical Inputs'!L62
Cross-sheet references identify the owning schedule. Same-sheet references identify intermediate calculations.</x:t>
        </x:r>
      </x:text>
    </x:comment>
    <x:comment ref="M30" authorId="0">
      <x:text>
        <x:r>
          <x:t>Securities lending payable (FY:25 A).
Securities lending payable. This line belongs to the Balance Sheet calculation. Read its formula to trace the referenced inputs and intermediate totals.
Formula: ='Historical Inputs'!M62
Cross-sheet references identify the owning schedule. Same-sheet references identify intermediate calculations.</x:t>
        </x:r>
      </x:text>
    </x:comment>
    <x:comment ref="N30" authorId="0">
      <x:text>
        <x:r>
          <x:t>Securities lending payable (FY:26 A).
Securities lending payable. This line belongs to the Balance Sheet calculation. Read its formula to trace the referenced inputs and intermediate totals.
Formula: ='Historical Inputs'!N62
Cross-sheet references identify the owning schedule. Same-sheet references identify intermediate calculations.</x:t>
        </x:r>
      </x:text>
    </x:comment>
    <x:comment ref="O30" authorId="0">
      <x:text>
        <x:r>
          <x:t>Securities lending payable (FY:27 E).
Securities lending payable. This line belongs to the Balance Sheet calculation. Read its formula to trace the referenced inputs and intermediate totals.
Formula: =0
Cross-sheet references identify the owning schedule. Same-sheet references identify intermediate calculations.</x:t>
        </x:r>
      </x:text>
    </x:comment>
    <x:comment ref="P30" authorId="0">
      <x:text>
        <x:r>
          <x:t>Securities lending payable (FY:28 E).
Securities lending payable. This line belongs to the Balance Sheet calculation. Read its formula to trace the referenced inputs and intermediate totals.
Formula: =0
Cross-sheet references identify the owning schedule. Same-sheet references identify intermediate calculations.</x:t>
        </x:r>
      </x:text>
    </x:comment>
    <x:comment ref="Q30" authorId="0">
      <x:text>
        <x:r>
          <x:t>Securities lending payable (FY:29 E).
Securities lending payable. This line belongs to the Balance Sheet calculation. Read its formula to trace the referenced inputs and intermediate totals.
Formula: =0
Cross-sheet references identify the owning schedule. Same-sheet references identify intermediate calculations.</x:t>
        </x:r>
      </x:text>
    </x:comment>
    <x:comment ref="R30" authorId="0">
      <x:text>
        <x:r>
          <x:t>Securities lending payable (FY:30 E).
Securities lending payable. This line belongs to the Balance Sheet calculation. Read its formula to trace the referenced inputs and intermediate totals.
Formula: =0
Cross-sheet references identify the owning schedule. Same-sheet references identify intermediate calculations.</x:t>
        </x:r>
      </x:text>
    </x:comment>
    <x:comment ref="S30" authorId="0">
      <x:text>
        <x:r>
          <x:t>Securities lending payable (FY:31 E).
Securities lending payable. This line belongs to the Balance Sheet calculation. Read its formula to trace the referenced inputs and intermediate totals.
Formula: =0
Cross-sheet references identify the owning schedule. Same-sheet references identify intermediate calculations.</x:t>
        </x:r>
      </x:text>
    </x:comment>
    <x:comment ref="C31" authorId="0">
      <x:text>
        <x:r>
          <x:t>Other current liabilities. This line belongs to the Balance Sheet calculation. Read its formula to trace the referenced inputs and intermediate totals.</x:t>
        </x:r>
      </x:text>
    </x:comment>
    <x:comment ref="E31" authorId="0">
      <x:text>
        <x:r>
          <x:t>Other current liabilities (FY:17 A).
Other current liabilities. This line belongs to the Balance Sheet calculation. Read its formula to trace the referenced inputs and intermediate totals.
Formula: ='Historical Inputs'!E47
Cross-sheet references identify the owning schedule. Same-sheet references identify intermediate calculations.</x:t>
        </x:r>
      </x:text>
    </x:comment>
    <x:comment ref="F31" authorId="0">
      <x:text>
        <x:r>
          <x:t>Other current liabilities (FY:18 A).
Other current liabilities. This line belongs to the Balance Sheet calculation. Read its formula to trace the referenced inputs and intermediate totals.
Formula: ='Historical Inputs'!F47
Cross-sheet references identify the owning schedule. Same-sheet references identify intermediate calculations.</x:t>
        </x:r>
      </x:text>
    </x:comment>
    <x:comment ref="G31" authorId="0">
      <x:text>
        <x:r>
          <x:t>Other current liabilities (FY:19 A).
Other current liabilities. This line belongs to the Balance Sheet calculation. Read its formula to trace the referenced inputs and intermediate totals.
Formula: ='Historical Inputs'!G47
Cross-sheet references identify the owning schedule. Same-sheet references identify intermediate calculations.</x:t>
        </x:r>
      </x:text>
    </x:comment>
    <x:comment ref="H31" authorId="0">
      <x:text>
        <x:r>
          <x:t>Other current liabilities (FY:20 A).
Other current liabilities. This line belongs to the Balance Sheet calculation. Read its formula to trace the referenced inputs and intermediate totals.
Formula: ='Historical Inputs'!H47
Cross-sheet references identify the owning schedule. Same-sheet references identify intermediate calculations.</x:t>
        </x:r>
      </x:text>
    </x:comment>
    <x:comment ref="I31" authorId="0">
      <x:text>
        <x:r>
          <x:t>Other current liabilities (FY:21 A).
Other current liabilities. This line belongs to the Balance Sheet calculation. Read its formula to trace the referenced inputs and intermediate totals.
Formula: ='Historical Inputs'!I47
Cross-sheet references identify the owning schedule. Same-sheet references identify intermediate calculations.</x:t>
        </x:r>
      </x:text>
    </x:comment>
    <x:comment ref="J31" authorId="0">
      <x:text>
        <x:r>
          <x:t>Other current liabilities (FY:22 A).
Other current liabilities. This line belongs to the Balance Sheet calculation. Read its formula to trace the referenced inputs and intermediate totals.
Formula: ='Historical Inputs'!J47
Cross-sheet references identify the owning schedule. Same-sheet references identify intermediate calculations.</x:t>
        </x:r>
      </x:text>
    </x:comment>
    <x:comment ref="K31" authorId="0">
      <x:text>
        <x:r>
          <x:t>Other current liabilities (FY:23 A).
Other current liabilities. This line belongs to the Balance Sheet calculation. Read its formula to trace the referenced inputs and intermediate totals.
Formula: ='Historical Inputs'!K47
Cross-sheet references identify the owning schedule. Same-sheet references identify intermediate calculations.</x:t>
        </x:r>
      </x:text>
    </x:comment>
    <x:comment ref="L31" authorId="0">
      <x:text>
        <x:r>
          <x:t>Other current liabilities (FY:24 A).
Other current liabilities. This line belongs to the Balance Sheet calculation. Read its formula to trace the referenced inputs and intermediate totals.
Formula: ='Historical Inputs'!L47
Cross-sheet references identify the owning schedule. Same-sheet references identify intermediate calculations.</x:t>
        </x:r>
      </x:text>
    </x:comment>
    <x:comment ref="M31" authorId="0">
      <x:text>
        <x:r>
          <x:t>Other current liabilities (FY:25 A).
Other current liabilities. This line belongs to the Balance Sheet calculation. Read its formula to trace the referenced inputs and intermediate totals.
Formula: ='Historical Inputs'!M47
Cross-sheet references identify the owning schedule. Same-sheet references identify intermediate calculations.</x:t>
        </x:r>
      </x:text>
    </x:comment>
    <x:comment ref="N31" authorId="0">
      <x:text>
        <x:r>
          <x:t>Other current liabilities (FY:26 A).
Other current liabilities. This line belongs to the Balance Sheet calculation. Read its formula to trace the referenced inputs and intermediate totals.
Formula: ='Historical Inputs'!N47
Cross-sheet references identify the owning schedule. Same-sheet references identify intermediate calculations.</x:t>
        </x:r>
      </x:text>
    </x:comment>
    <x:comment ref="O31" authorId="0">
      <x:text>
        <x:r>
          <x:t>Other current liabilities (FY:27 E).
Other current liabilities. This line belongs to the Balance Sheet calculation. Read its formula to trace the referenced inputs and intermediate totals.
Formula: ='Working Capital'!O21+'Debt and Leases'!O43+'Debt and Leases'!O64
Cross-sheet references identify the owning schedule. Same-sheet references identify intermediate calculations.</x:t>
        </x:r>
      </x:text>
    </x:comment>
    <x:comment ref="P31" authorId="0">
      <x:text>
        <x:r>
          <x:t>Other current liabilities (FY:28 E).
Other current liabilities. This line belongs to the Balance Sheet calculation. Read its formula to trace the referenced inputs and intermediate totals.
Formula: ='Working Capital'!P21+'Debt and Leases'!P43+'Debt and Leases'!P64
Cross-sheet references identify the owning schedule. Same-sheet references identify intermediate calculations.</x:t>
        </x:r>
      </x:text>
    </x:comment>
    <x:comment ref="Q31" authorId="0">
      <x:text>
        <x:r>
          <x:t>Other current liabilities (FY:29 E).
Other current liabilities. This line belongs to the Balance Sheet calculation. Read its formula to trace the referenced inputs and intermediate totals.
Formula: ='Working Capital'!Q21+'Debt and Leases'!Q43+'Debt and Leases'!Q64
Cross-sheet references identify the owning schedule. Same-sheet references identify intermediate calculations.</x:t>
        </x:r>
      </x:text>
    </x:comment>
    <x:comment ref="R31" authorId="0">
      <x:text>
        <x:r>
          <x:t>Other current liabilities (FY:30 E).
Other current liabilities. This line belongs to the Balance Sheet calculation. Read its formula to trace the referenced inputs and intermediate totals.
Formula: ='Working Capital'!R21+'Debt and Leases'!R43+'Debt and Leases'!R64
Cross-sheet references identify the owning schedule. Same-sheet references identify intermediate calculations.</x:t>
        </x:r>
      </x:text>
    </x:comment>
    <x:comment ref="S31" authorId="0">
      <x:text>
        <x:r>
          <x:t>Other current liabilities (FY:31 E).
Other current liabilities. This line belongs to the Balance Sheet calculation. Read its formula to trace the referenced inputs and intermediate totals.
Formula: ='Working Capital'!S21+'Debt and Leases'!S43+'Debt and Leases'!S64
Cross-sheet references identify the owning schedule. Same-sheet references identify intermediate calculations.</x:t>
        </x:r>
      </x:text>
    </x:comment>
    <x:comment ref="C32" authorId="0">
      <x:text>
        <x:r>
          <x:t>Obligations classified as current, including payables, current debt, compensation, taxes, unearned revenue and other current liabilities.</x:t>
        </x:r>
      </x:text>
    </x:comment>
    <x:comment ref="E32" authorId="0">
      <x:text>
        <x:r>
          <x:t>Total current liabilities (FY:17 A).
Obligations classified as current, including payables, current debt, compensation, taxes, unearned revenue and other current liabilities.
Formula: =SUM(E24:E31)
Cross-sheet references identify the owning schedule. Same-sheet references identify intermediate calculations.</x:t>
        </x:r>
      </x:text>
    </x:comment>
    <x:comment ref="F32" authorId="0">
      <x:text>
        <x:r>
          <x:t>Total current liabilities (FY:18 A).
Obligations classified as current, including payables, current debt, compensation, taxes, unearned revenue and other current liabilities.
Formula: =SUM(F24:F31)
Cross-sheet references identify the owning schedule. Same-sheet references identify intermediate calculations.</x:t>
        </x:r>
      </x:text>
    </x:comment>
    <x:comment ref="G32" authorId="0">
      <x:text>
        <x:r>
          <x:t>Total current liabilities (FY:19 A).
Obligations classified as current, including payables, current debt, compensation, taxes, unearned revenue and other current liabilities.
Formula: =SUM(G24:G31)
Cross-sheet references identify the owning schedule. Same-sheet references identify intermediate calculations.</x:t>
        </x:r>
      </x:text>
    </x:comment>
    <x:comment ref="H32" authorId="0">
      <x:text>
        <x:r>
          <x:t>Total current liabilities (FY:20 A).
Obligations classified as current, including payables, current debt, compensation, taxes, unearned revenue and other current liabilities.
Formula: =SUM(H24:H31)
Cross-sheet references identify the owning schedule. Same-sheet references identify intermediate calculations.</x:t>
        </x:r>
      </x:text>
    </x:comment>
    <x:comment ref="I32" authorId="0">
      <x:text>
        <x:r>
          <x:t>Total current liabilities (FY:21 A).
Obligations classified as current, including payables, current debt, compensation, taxes, unearned revenue and other current liabilities.
Formula: =SUM(I24:I31)
Cross-sheet references identify the owning schedule. Same-sheet references identify intermediate calculations.</x:t>
        </x:r>
      </x:text>
    </x:comment>
    <x:comment ref="J32" authorId="0">
      <x:text>
        <x:r>
          <x:t>Total current liabilities (FY:22 A).
Obligations classified as current, including payables, current debt, compensation, taxes, unearned revenue and other current liabilities.
Formula: =SUM(J24:J31)
Cross-sheet references identify the owning schedule. Same-sheet references identify intermediate calculations.</x:t>
        </x:r>
      </x:text>
    </x:comment>
    <x:comment ref="K32" authorId="0">
      <x:text>
        <x:r>
          <x:t>Total current liabilities (FY:23 A).
Obligations classified as current, including payables, current debt, compensation, taxes, unearned revenue and other current liabilities.
Formula: =SUM(K24:K31)
Cross-sheet references identify the owning schedule. Same-sheet references identify intermediate calculations.</x:t>
        </x:r>
      </x:text>
    </x:comment>
    <x:comment ref="L32" authorId="0">
      <x:text>
        <x:r>
          <x:t>Total current liabilities (FY:24 A).
Obligations classified as current, including payables, current debt, compensation, taxes, unearned revenue and other current liabilities.
Formula: =SUM(L24:L31)
Cross-sheet references identify the owning schedule. Same-sheet references identify intermediate calculations.</x:t>
        </x:r>
      </x:text>
    </x:comment>
    <x:comment ref="M32" authorId="0">
      <x:text>
        <x:r>
          <x:t>Total current liabilities (FY:25 A).
Obligations classified as current, including payables, current debt, compensation, taxes, unearned revenue and other current liabilities.
Formula: =SUM(M24:M31)
Cross-sheet references identify the owning schedule. Same-sheet references identify intermediate calculations.</x:t>
        </x:r>
      </x:text>
    </x:comment>
    <x:comment ref="N32" authorId="0">
      <x:text>
        <x:r>
          <x:t>Total current liabilities (FY:26 A).
Obligations classified as current, including payables, current debt, compensation, taxes, unearned revenue and other current liabilities.
Formula: =SUM(N24:N31)
Cross-sheet references identify the owning schedule. Same-sheet references identify intermediate calculations.</x:t>
        </x:r>
      </x:text>
    </x:comment>
    <x:comment ref="O32" authorId="0">
      <x:text>
        <x:r>
          <x:t>Total current liabilities (FY:27 E).
Obligations classified as current, including payables, current debt, compensation, taxes, unearned revenue and other current liabilities.
Formula: =SUM(O24:O31)
Cross-sheet references identify the owning schedule. Same-sheet references identify intermediate calculations.</x:t>
        </x:r>
      </x:text>
    </x:comment>
    <x:comment ref="P32" authorId="0">
      <x:text>
        <x:r>
          <x:t>Total current liabilities (FY:28 E).
Obligations classified as current, including payables, current debt, compensation, taxes, unearned revenue and other current liabilities.
Formula: =SUM(P24:P31)
Cross-sheet references identify the owning schedule. Same-sheet references identify intermediate calculations.</x:t>
        </x:r>
      </x:text>
    </x:comment>
    <x:comment ref="Q32" authorId="0">
      <x:text>
        <x:r>
          <x:t>Total current liabilities (FY:29 E).
Obligations classified as current, including payables, current debt, compensation, taxes, unearned revenue and other current liabilities.
Formula: =SUM(Q24:Q31)
Cross-sheet references identify the owning schedule. Same-sheet references identify intermediate calculations.</x:t>
        </x:r>
      </x:text>
    </x:comment>
    <x:comment ref="R32" authorId="0">
      <x:text>
        <x:r>
          <x:t>Total current liabilities (FY:30 E).
Obligations classified as current, including payables, current debt, compensation, taxes, unearned revenue and other current liabilities.
Formula: =SUM(R24:R31)
Cross-sheet references identify the owning schedule. Same-sheet references identify intermediate calculations.</x:t>
        </x:r>
      </x:text>
    </x:comment>
    <x:comment ref="S32" authorId="0">
      <x:text>
        <x:r>
          <x:t>Total current liabilities (FY:31 E).
Obligations classified as current, including payables, current debt, compensation, taxes, unearned revenue and other current liabilities.
Formula: =SUM(S24:S31)
Cross-sheet references identify the owning schedule. Same-sheet references identify intermediate calculations.</x:t>
        </x:r>
      </x:text>
    </x:comment>
    <x:comment ref="C34" authorId="0">
      <x:text>
        <x:r>
          <x:t>Debt carrying amount classified beyond the next year. It excludes separately modeled lease liabilities.</x:t>
        </x:r>
      </x:text>
    </x:comment>
    <x:comment ref="E34" authorId="0">
      <x:text>
        <x:r>
          <x:t>Long-term debt (FY:17 A).
Debt carrying amount classified beyond the next year. It excludes separately modeled lease liabilities.
Formula: ='Historical Inputs'!E49
Cross-sheet references identify the owning schedule. Same-sheet references identify intermediate calculations.</x:t>
        </x:r>
      </x:text>
    </x:comment>
    <x:comment ref="F34" authorId="0">
      <x:text>
        <x:r>
          <x:t>Long-term debt (FY:18 A).
Debt carrying amount classified beyond the next year. It excludes separately modeled lease liabilities.
Formula: ='Historical Inputs'!F49
Cross-sheet references identify the owning schedule. Same-sheet references identify intermediate calculations.</x:t>
        </x:r>
      </x:text>
    </x:comment>
    <x:comment ref="G34" authorId="0">
      <x:text>
        <x:r>
          <x:t>Long-term debt (FY:19 A).
Debt carrying amount classified beyond the next year. It excludes separately modeled lease liabilities.
Formula: ='Historical Inputs'!G49
Cross-sheet references identify the owning schedule. Same-sheet references identify intermediate calculations.</x:t>
        </x:r>
      </x:text>
    </x:comment>
    <x:comment ref="H34" authorId="0">
      <x:text>
        <x:r>
          <x:t>Long-term debt (FY:20 A).
Debt carrying amount classified beyond the next year. It excludes separately modeled lease liabilities.
Formula: ='Historical Inputs'!H49
Cross-sheet references identify the owning schedule. Same-sheet references identify intermediate calculations.</x:t>
        </x:r>
      </x:text>
    </x:comment>
    <x:comment ref="I34" authorId="0">
      <x:text>
        <x:r>
          <x:t>Long-term debt (FY:21 A).
Debt carrying amount classified beyond the next year. It excludes separately modeled lease liabilities.
Formula: ='Historical Inputs'!I49
Cross-sheet references identify the owning schedule. Same-sheet references identify intermediate calculations.</x:t>
        </x:r>
      </x:text>
    </x:comment>
    <x:comment ref="J34" authorId="0">
      <x:text>
        <x:r>
          <x:t>Long-term debt (FY:22 A).
Debt carrying amount classified beyond the next year. It excludes separately modeled lease liabilities.
Formula: ='Historical Inputs'!J49
Cross-sheet references identify the owning schedule. Same-sheet references identify intermediate calculations.</x:t>
        </x:r>
      </x:text>
    </x:comment>
    <x:comment ref="K34" authorId="0">
      <x:text>
        <x:r>
          <x:t>Long-term debt (FY:23 A).
Debt carrying amount classified beyond the next year. It excludes separately modeled lease liabilities.
Formula: ='Historical Inputs'!K49
Cross-sheet references identify the owning schedule. Same-sheet references identify intermediate calculations.</x:t>
        </x:r>
      </x:text>
    </x:comment>
    <x:comment ref="L34" authorId="0">
      <x:text>
        <x:r>
          <x:t>Long-term debt (FY:24 A).
Debt carrying amount classified beyond the next year. It excludes separately modeled lease liabilities.
Formula: ='Historical Inputs'!L49
Cross-sheet references identify the owning schedule. Same-sheet references identify intermediate calculations.</x:t>
        </x:r>
      </x:text>
    </x:comment>
    <x:comment ref="M34" authorId="0">
      <x:text>
        <x:r>
          <x:t>Long-term debt (FY:25 A).
Debt carrying amount classified beyond the next year. It excludes separately modeled lease liabilities.
Formula: ='Historical Inputs'!M49
Cross-sheet references identify the owning schedule. Same-sheet references identify intermediate calculations.</x:t>
        </x:r>
      </x:text>
    </x:comment>
    <x:comment ref="N34" authorId="0">
      <x:text>
        <x:r>
          <x:t>Long-term debt (FY:26 A).
Debt carrying amount classified beyond the next year. It excludes separately modeled lease liabilities.
Formula: ='Historical Inputs'!N49
Cross-sheet references identify the owning schedule. Same-sheet references identify intermediate calculations.</x:t>
        </x:r>
      </x:text>
    </x:comment>
    <x:comment ref="O34" authorId="0">
      <x:text>
        <x:r>
          <x:t>Long-term debt (FY:27 E).
Debt carrying amount classified beyond the next year. It excludes separately modeled lease liabilities.
Formula: ='Debt and Leases'!O20
Cross-sheet references identify the owning schedule. Same-sheet references identify intermediate calculations.</x:t>
        </x:r>
      </x:text>
    </x:comment>
    <x:comment ref="P34" authorId="0">
      <x:text>
        <x:r>
          <x:t>Long-term debt (FY:28 E).
Debt carrying amount classified beyond the next year. It excludes separately modeled lease liabilities.
Formula: ='Debt and Leases'!P20
Cross-sheet references identify the owning schedule. Same-sheet references identify intermediate calculations.</x:t>
        </x:r>
      </x:text>
    </x:comment>
    <x:comment ref="Q34" authorId="0">
      <x:text>
        <x:r>
          <x:t>Long-term debt (FY:29 E).
Debt carrying amount classified beyond the next year. It excludes separately modeled lease liabilities.
Formula: ='Debt and Leases'!Q20
Cross-sheet references identify the owning schedule. Same-sheet references identify intermediate calculations.</x:t>
        </x:r>
      </x:text>
    </x:comment>
    <x:comment ref="R34" authorId="0">
      <x:text>
        <x:r>
          <x:t>Long-term debt (FY:30 E).
Debt carrying amount classified beyond the next year. It excludes separately modeled lease liabilities.
Formula: ='Debt and Leases'!R20
Cross-sheet references identify the owning schedule. Same-sheet references identify intermediate calculations.</x:t>
        </x:r>
      </x:text>
    </x:comment>
    <x:comment ref="S34" authorId="0">
      <x:text>
        <x:r>
          <x:t>Long-term debt (FY:31 E).
Debt carrying amount classified beyond the next year. It excludes separately modeled lease liabilities.
Formula: ='Debt and Leases'!S20
Cross-sheet references identify the owning schedule. Same-sheet references identify intermediate calculations.</x:t>
        </x:r>
      </x:text>
    </x:comment>
    <x:comment ref="C35" authorId="0">
      <x:text>
        <x:r>
          <x:t>Long-term income taxes. This line belongs to the Balance Sheet calculation. Read its formula to trace the referenced inputs and intermediate totals.</x:t>
        </x:r>
      </x:text>
    </x:comment>
    <x:comment ref="E35" authorId="0">
      <x:text>
        <x:r>
          <x:t>Long-term income taxes (FY:17 A).
Long-term income taxes. This line belongs to the Balance Sheet calculation. Read its formula to trace the referenced inputs and intermediate totals.
Formula: ='Historical Inputs'!E50
Cross-sheet references identify the owning schedule. Same-sheet references identify intermediate calculations.</x:t>
        </x:r>
      </x:text>
    </x:comment>
    <x:comment ref="F35" authorId="0">
      <x:text>
        <x:r>
          <x:t>Long-term income taxes (FY:18 A).
Long-term income taxes. This line belongs to the Balance Sheet calculation. Read its formula to trace the referenced inputs and intermediate totals.
Formula: ='Historical Inputs'!F50
Cross-sheet references identify the owning schedule. Same-sheet references identify intermediate calculations.</x:t>
        </x:r>
      </x:text>
    </x:comment>
    <x:comment ref="G35" authorId="0">
      <x:text>
        <x:r>
          <x:t>Long-term income taxes (FY:19 A).
Long-term income taxes. This line belongs to the Balance Sheet calculation. Read its formula to trace the referenced inputs and intermediate totals.
Formula: ='Historical Inputs'!G50
Cross-sheet references identify the owning schedule. Same-sheet references identify intermediate calculations.</x:t>
        </x:r>
      </x:text>
    </x:comment>
    <x:comment ref="H35" authorId="0">
      <x:text>
        <x:r>
          <x:t>Long-term income taxes (FY:20 A).
Long-term income taxes. This line belongs to the Balance Sheet calculation. Read its formula to trace the referenced inputs and intermediate totals.
Formula: ='Historical Inputs'!H50
Cross-sheet references identify the owning schedule. Same-sheet references identify intermediate calculations.</x:t>
        </x:r>
      </x:text>
    </x:comment>
    <x:comment ref="I35" authorId="0">
      <x:text>
        <x:r>
          <x:t>Long-term income taxes (FY:21 A).
Long-term income taxes. This line belongs to the Balance Sheet calculation. Read its formula to trace the referenced inputs and intermediate totals.
Formula: ='Historical Inputs'!I50
Cross-sheet references identify the owning schedule. Same-sheet references identify intermediate calculations.</x:t>
        </x:r>
      </x:text>
    </x:comment>
    <x:comment ref="J35" authorId="0">
      <x:text>
        <x:r>
          <x:t>Long-term income taxes (FY:22 A).
Long-term income taxes. This line belongs to the Balance Sheet calculation. Read its formula to trace the referenced inputs and intermediate totals.
Formula: ='Historical Inputs'!J50
Cross-sheet references identify the owning schedule. Same-sheet references identify intermediate calculations.</x:t>
        </x:r>
      </x:text>
    </x:comment>
    <x:comment ref="K35" authorId="0">
      <x:text>
        <x:r>
          <x:t>Long-term income taxes (FY:23 A).
Long-term income taxes. This line belongs to the Balance Sheet calculation. Read its formula to trace the referenced inputs and intermediate totals.
Formula: ='Historical Inputs'!K50
Cross-sheet references identify the owning schedule. Same-sheet references identify intermediate calculations.</x:t>
        </x:r>
      </x:text>
    </x:comment>
    <x:comment ref="L35" authorId="0">
      <x:text>
        <x:r>
          <x:t>Long-term income taxes (FY:24 A).
Long-term income taxes. This line belongs to the Balance Sheet calculation. Read its formula to trace the referenced inputs and intermediate totals.
Formula: ='Historical Inputs'!L50
Cross-sheet references identify the owning schedule. Same-sheet references identify intermediate calculations.</x:t>
        </x:r>
      </x:text>
    </x:comment>
    <x:comment ref="M35" authorId="0">
      <x:text>
        <x:r>
          <x:t>Long-term income taxes (FY:25 A).
Long-term income taxes. This line belongs to the Balance Sheet calculation. Read its formula to trace the referenced inputs and intermediate totals.
Formula: ='Historical Inputs'!M50
Cross-sheet references identify the owning schedule. Same-sheet references identify intermediate calculations.</x:t>
        </x:r>
      </x:text>
    </x:comment>
    <x:comment ref="N35" authorId="0">
      <x:text>
        <x:r>
          <x:t>Long-term income taxes (FY:26 A).
Long-term income taxes. This line belongs to the Balance Sheet calculation. Read its formula to trace the referenced inputs and intermediate totals.
Formula: ='Historical Inputs'!N50
Cross-sheet references identify the owning schedule. Same-sheet references identify intermediate calculations.</x:t>
        </x:r>
      </x:text>
    </x:comment>
    <x:comment ref="O35" authorId="0">
      <x:text>
        <x:r>
          <x:t>Long-term income taxes (FY:27 E).
Long-term income taxes. This line belongs to the Balance Sheet calculation. Read its formula to trace the referenced inputs and intermediate totals.
Formula: ='Working Capital'!O25
Cross-sheet references identify the owning schedule. Same-sheet references identify intermediate calculations.</x:t>
        </x:r>
      </x:text>
    </x:comment>
    <x:comment ref="P35" authorId="0">
      <x:text>
        <x:r>
          <x:t>Long-term income taxes (FY:28 E).
Long-term income taxes. This line belongs to the Balance Sheet calculation. Read its formula to trace the referenced inputs and intermediate totals.
Formula: ='Working Capital'!P25
Cross-sheet references identify the owning schedule. Same-sheet references identify intermediate calculations.</x:t>
        </x:r>
      </x:text>
    </x:comment>
    <x:comment ref="Q35" authorId="0">
      <x:text>
        <x:r>
          <x:t>Long-term income taxes (FY:29 E).
Long-term income taxes. This line belongs to the Balance Sheet calculation. Read its formula to trace the referenced inputs and intermediate totals.
Formula: ='Working Capital'!Q25
Cross-sheet references identify the owning schedule. Same-sheet references identify intermediate calculations.</x:t>
        </x:r>
      </x:text>
    </x:comment>
    <x:comment ref="R35" authorId="0">
      <x:text>
        <x:r>
          <x:t>Long-term income taxes (FY:30 E).
Long-term income taxes. This line belongs to the Balance Sheet calculation. Read its formula to trace the referenced inputs and intermediate totals.
Formula: ='Working Capital'!R25
Cross-sheet references identify the owning schedule. Same-sheet references identify intermediate calculations.</x:t>
        </x:r>
      </x:text>
    </x:comment>
    <x:comment ref="S35" authorId="0">
      <x:text>
        <x:r>
          <x:t>Long-term income taxes (FY:31 E).
Long-term income taxes. This line belongs to the Balance Sheet calculation. Read its formula to trace the referenced inputs and intermediate totals.
Formula: ='Working Capital'!S25
Cross-sheet references identify the owning schedule. Same-sheet references identify intermediate calculations.</x:t>
        </x:r>
      </x:text>
    </x:comment>
    <x:comment ref="C36" authorId="0">
      <x:text>
        <x:r>
          <x:t>Customer payments billed or received before revenue recognition. Forecast balances use revenue-based planning ratios. Increases in the operating liability can provide operating cash.</x:t>
        </x:r>
      </x:text>
    </x:comment>
    <x:comment ref="E36" authorId="0">
      <x:text>
        <x:r>
          <x:t>Long-term unearned revenue (FY:17 A).
Customer payments billed or received before revenue recognition. Forecast balances use revenue-based planning ratios. Increases in the operating liability can provide operating cash.
Formula: ='Historical Inputs'!E51
Cross-sheet references identify the owning schedule. Same-sheet references identify intermediate calculations.</x:t>
        </x:r>
      </x:text>
    </x:comment>
    <x:comment ref="F36" authorId="0">
      <x:text>
        <x:r>
          <x:t>Long-term unearned revenue (FY:18 A).
Customer payments billed or received before revenue recognition. Forecast balances use revenue-based planning ratios. Increases in the operating liability can provide operating cash.
Formula: ='Historical Inputs'!F51
Cross-sheet references identify the owning schedule. Same-sheet references identify intermediate calculations.</x:t>
        </x:r>
      </x:text>
    </x:comment>
    <x:comment ref="G36" authorId="0">
      <x:text>
        <x:r>
          <x:t>Long-term unearned revenue (FY:19 A).
Customer payments billed or received before revenue recognition. Forecast balances use revenue-based planning ratios. Increases in the operating liability can provide operating cash.
Formula: ='Historical Inputs'!G51
Cross-sheet references identify the owning schedule. Same-sheet references identify intermediate calculations.</x:t>
        </x:r>
      </x:text>
    </x:comment>
    <x:comment ref="H36" authorId="0">
      <x:text>
        <x:r>
          <x:t>Long-term unearned revenue (FY:20 A).
Customer payments billed or received before revenue recognition. Forecast balances use revenue-based planning ratios. Increases in the operating liability can provide operating cash.
Formula: ='Historical Inputs'!H51
Cross-sheet references identify the owning schedule. Same-sheet references identify intermediate calculations.</x:t>
        </x:r>
      </x:text>
    </x:comment>
    <x:comment ref="I36" authorId="0">
      <x:text>
        <x:r>
          <x:t>Long-term unearned revenue (FY:21 A).
Customer payments billed or received before revenue recognition. Forecast balances use revenue-based planning ratios. Increases in the operating liability can provide operating cash.
Formula: ='Historical Inputs'!I51
Cross-sheet references identify the owning schedule. Same-sheet references identify intermediate calculations.</x:t>
        </x:r>
      </x:text>
    </x:comment>
    <x:comment ref="J36" authorId="0">
      <x:text>
        <x:r>
          <x:t>Long-term unearned revenue (FY:22 A).
Customer payments billed or received before revenue recognition. Forecast balances use revenue-based planning ratios. Increases in the operating liability can provide operating cash.
Formula: ='Historical Inputs'!J51
Cross-sheet references identify the owning schedule. Same-sheet references identify intermediate calculations.</x:t>
        </x:r>
      </x:text>
    </x:comment>
    <x:comment ref="K36" authorId="0">
      <x:text>
        <x:r>
          <x:t>Long-term unearned revenue (FY:23 A).
Customer payments billed or received before revenue recognition. Forecast balances use revenue-based planning ratios. Increases in the operating liability can provide operating cash.
Formula: ='Historical Inputs'!K51
Cross-sheet references identify the owning schedule. Same-sheet references identify intermediate calculations.</x:t>
        </x:r>
      </x:text>
    </x:comment>
    <x:comment ref="L36" authorId="0">
      <x:text>
        <x:r>
          <x:t>Long-term unearned revenue (FY:24 A).
Customer payments billed or received before revenue recognition. Forecast balances use revenue-based planning ratios. Increases in the operating liability can provide operating cash.
Formula: ='Historical Inputs'!L51
Cross-sheet references identify the owning schedule. Same-sheet references identify intermediate calculations.</x:t>
        </x:r>
      </x:text>
    </x:comment>
    <x:comment ref="M36" authorId="0">
      <x:text>
        <x:r>
          <x:t>Long-term unearned revenue (FY:25 A).
Customer payments billed or received before revenue recognition. Forecast balances use revenue-based planning ratios. Increases in the operating liability can provide operating cash.
Formula: ='Historical Inputs'!M51
Cross-sheet references identify the owning schedule. Same-sheet references identify intermediate calculations.</x:t>
        </x:r>
      </x:text>
    </x:comment>
    <x:comment ref="N36" authorId="0">
      <x:text>
        <x:r>
          <x:t>Long-term unearned revenue (FY:26 A).
Customer payments billed or received before revenue recognition. Forecast balances use revenue-based planning ratios. Increases in the operating liability can provide operating cash.
Formula: ='Historical Inputs'!N51
Cross-sheet references identify the owning schedule. Same-sheet references identify intermediate calculations.</x:t>
        </x:r>
      </x:text>
    </x:comment>
    <x:comment ref="O36" authorId="0">
      <x:text>
        <x:r>
          <x:t>Long-term unearned revenue (FY:27 E).
Customer payments billed or received before revenue recognition. Forecast balances use revenue-based planning ratios. Increases in the operating liability can provide operating cash.
Formula: ='Working Capital'!O26
Cross-sheet references identify the owning schedule. Same-sheet references identify intermediate calculations.</x:t>
        </x:r>
      </x:text>
    </x:comment>
    <x:comment ref="P36" authorId="0">
      <x:text>
        <x:r>
          <x:t>Long-term unearned revenue (FY:28 E).
Customer payments billed or received before revenue recognition. Forecast balances use revenue-based planning ratios. Increases in the operating liability can provide operating cash.
Formula: ='Working Capital'!P26
Cross-sheet references identify the owning schedule. Same-sheet references identify intermediate calculations.</x:t>
        </x:r>
      </x:text>
    </x:comment>
    <x:comment ref="Q36" authorId="0">
      <x:text>
        <x:r>
          <x:t>Long-term unearned revenue (FY:29 E).
Customer payments billed or received before revenue recognition. Forecast balances use revenue-based planning ratios. Increases in the operating liability can provide operating cash.
Formula: ='Working Capital'!Q26
Cross-sheet references identify the owning schedule. Same-sheet references identify intermediate calculations.</x:t>
        </x:r>
      </x:text>
    </x:comment>
    <x:comment ref="R36" authorId="0">
      <x:text>
        <x:r>
          <x:t>Long-term unearned revenue (FY:30 E).
Customer payments billed or received before revenue recognition. Forecast balances use revenue-based planning ratios. Increases in the operating liability can provide operating cash.
Formula: ='Working Capital'!R26
Cross-sheet references identify the owning schedule. Same-sheet references identify intermediate calculations.</x:t>
        </x:r>
      </x:text>
    </x:comment>
    <x:comment ref="S36" authorId="0">
      <x:text>
        <x:r>
          <x:t>Long-term unearned revenue (FY:31 E).
Customer payments billed or received before revenue recognition. Forecast balances use revenue-based planning ratios. Increases in the operating liability can provide operating cash.
Formula: ='Working Capital'!S26
Cross-sheet references identify the owning schedule. Same-sheet references identify intermediate calculations.</x:t>
        </x:r>
      </x:text>
    </x:comment>
    <x:comment ref="C37" authorId="0">
      <x:text>
        <x:r>
          <x:t>Deferred income tax liabilities. This line belongs to the Balance Sheet calculation. Read its formula to trace the referenced inputs and intermediate totals.</x:t>
        </x:r>
      </x:text>
    </x:comment>
    <x:comment ref="E37" authorId="0">
      <x:text>
        <x:r>
          <x:t>Deferred income tax liabilities (FY:17 A).
Deferred income tax liabilities. This line belongs to the Balance Sheet calculation. Read its formula to trace the referenced inputs and intermediate totals.
Formula: ='Historical Inputs'!E52
Cross-sheet references identify the owning schedule. Same-sheet references identify intermediate calculations.</x:t>
        </x:r>
      </x:text>
    </x:comment>
    <x:comment ref="F37" authorId="0">
      <x:text>
        <x:r>
          <x:t>Deferred income tax liabilities (FY:18 A).
Deferred income tax liabilities. This line belongs to the Balance Sheet calculation. Read its formula to trace the referenced inputs and intermediate totals.
Formula: ='Historical Inputs'!F52
Cross-sheet references identify the owning schedule. Same-sheet references identify intermediate calculations.</x:t>
        </x:r>
      </x:text>
    </x:comment>
    <x:comment ref="G37" authorId="0">
      <x:text>
        <x:r>
          <x:t>Deferred income tax liabilities (FY:19 A).
Deferred income tax liabilities. This line belongs to the Balance Sheet calculation. Read its formula to trace the referenced inputs and intermediate totals.
Formula: ='Historical Inputs'!G52
Cross-sheet references identify the owning schedule. Same-sheet references identify intermediate calculations.</x:t>
        </x:r>
      </x:text>
    </x:comment>
    <x:comment ref="H37" authorId="0">
      <x:text>
        <x:r>
          <x:t>Deferred income tax liabilities (FY:20 A).
Deferred income tax liabilities. This line belongs to the Balance Sheet calculation. Read its formula to trace the referenced inputs and intermediate totals.
Formula: ='Historical Inputs'!H52
Cross-sheet references identify the owning schedule. Same-sheet references identify intermediate calculations.</x:t>
        </x:r>
      </x:text>
    </x:comment>
    <x:comment ref="I37" authorId="0">
      <x:text>
        <x:r>
          <x:t>Deferred income tax liabilities (FY:21 A).
Deferred income tax liabilities. This line belongs to the Balance Sheet calculation. Read its formula to trace the referenced inputs and intermediate totals.
Formula: ='Historical Inputs'!I52
Cross-sheet references identify the owning schedule. Same-sheet references identify intermediate calculations.</x:t>
        </x:r>
      </x:text>
    </x:comment>
    <x:comment ref="J37" authorId="0">
      <x:text>
        <x:r>
          <x:t>Deferred income tax liabilities (FY:22 A).
Deferred income tax liabilities. This line belongs to the Balance Sheet calculation. Read its formula to trace the referenced inputs and intermediate totals.
Formula: ='Historical Inputs'!J52
Cross-sheet references identify the owning schedule. Same-sheet references identify intermediate calculations.</x:t>
        </x:r>
      </x:text>
    </x:comment>
    <x:comment ref="K37" authorId="0">
      <x:text>
        <x:r>
          <x:t>Deferred income tax liabilities (FY:23 A).
Deferred income tax liabilities. This line belongs to the Balance Sheet calculation. Read its formula to trace the referenced inputs and intermediate totals.
Formula: ='Historical Inputs'!K52
Cross-sheet references identify the owning schedule. Same-sheet references identify intermediate calculations.</x:t>
        </x:r>
      </x:text>
    </x:comment>
    <x:comment ref="L37" authorId="0">
      <x:text>
        <x:r>
          <x:t>Deferred income tax liabilities (FY:24 A).
Deferred income tax liabilities. This line belongs to the Balance Sheet calculation. Read its formula to trace the referenced inputs and intermediate totals.
Formula: ='Historical Inputs'!L52
Cross-sheet references identify the owning schedule. Same-sheet references identify intermediate calculations.</x:t>
        </x:r>
      </x:text>
    </x:comment>
    <x:comment ref="M37" authorId="0">
      <x:text>
        <x:r>
          <x:t>Deferred income tax liabilities (FY:25 A).
Deferred income tax liabilities. This line belongs to the Balance Sheet calculation. Read its formula to trace the referenced inputs and intermediate totals.
Formula: ='Historical Inputs'!M52
Cross-sheet references identify the owning schedule. Same-sheet references identify intermediate calculations.</x:t>
        </x:r>
      </x:text>
    </x:comment>
    <x:comment ref="N37" authorId="0">
      <x:text>
        <x:r>
          <x:t>Deferred income tax liabilities (FY:26 A).
Deferred income tax liabilities. This line belongs to the Balance Sheet calculation. Read its formula to trace the referenced inputs and intermediate totals.
Formula: ='Historical Inputs'!N52
Cross-sheet references identify the owning schedule. Same-sheet references identify intermediate calculations.</x:t>
        </x:r>
      </x:text>
    </x:comment>
    <x:comment ref="O37" authorId="0">
      <x:text>
        <x:r>
          <x:t>Deferred income tax liabilities (FY:27 E).
Deferred income tax liabilities. This line belongs to the Balance Sheet calculation. Read its formula to trace the referenced inputs and intermediate totals.
Formula: ='Working Capital'!O27
Cross-sheet references identify the owning schedule. Same-sheet references identify intermediate calculations.</x:t>
        </x:r>
      </x:text>
    </x:comment>
    <x:comment ref="P37" authorId="0">
      <x:text>
        <x:r>
          <x:t>Deferred income tax liabilities (FY:28 E).
Deferred income tax liabilities. This line belongs to the Balance Sheet calculation. Read its formula to trace the referenced inputs and intermediate totals.
Formula: ='Working Capital'!P27
Cross-sheet references identify the owning schedule. Same-sheet references identify intermediate calculations.</x:t>
        </x:r>
      </x:text>
    </x:comment>
    <x:comment ref="Q37" authorId="0">
      <x:text>
        <x:r>
          <x:t>Deferred income tax liabilities (FY:29 E).
Deferred income tax liabilities. This line belongs to the Balance Sheet calculation. Read its formula to trace the referenced inputs and intermediate totals.
Formula: ='Working Capital'!Q27
Cross-sheet references identify the owning schedule. Same-sheet references identify intermediate calculations.</x:t>
        </x:r>
      </x:text>
    </x:comment>
    <x:comment ref="R37" authorId="0">
      <x:text>
        <x:r>
          <x:t>Deferred income tax liabilities (FY:30 E).
Deferred income tax liabilities. This line belongs to the Balance Sheet calculation. Read its formula to trace the referenced inputs and intermediate totals.
Formula: ='Working Capital'!R27
Cross-sheet references identify the owning schedule. Same-sheet references identify intermediate calculations.</x:t>
        </x:r>
      </x:text>
    </x:comment>
    <x:comment ref="S37" authorId="0">
      <x:text>
        <x:r>
          <x:t>Deferred income tax liabilities (FY:31 E).
Deferred income tax liabilities. This line belongs to the Balance Sheet calculation. Read its formula to trace the referenced inputs and intermediate totals.
Formula: ='Working Capital'!S27
Cross-sheet references identify the owning schedule. Same-sheet references identify intermediate calculations.</x:t>
        </x:r>
      </x:text>
    </x:comment>
    <x:comment ref="C38" authorId="0">
      <x:text>
        <x:r>
          <x:t>Noncurrent operating lease liabilities. This line belongs to the Balance Sheet calculation. Read its formula to trace the referenced inputs and intermediate totals.</x:t>
        </x:r>
      </x:text>
    </x:comment>
    <x:comment ref="E38" authorId="0">
      <x:text>
        <x:r>
          <x:t>Noncurrent operating lease liabilities (FY:17 A).
Noncurrent operating lease liabilities. This line belongs to the Balance Sheet calculation. Read its formula to trace the referenced inputs and intermediate totals.
Formula: ='Historical Inputs'!E53
Cross-sheet references identify the owning schedule. Same-sheet references identify intermediate calculations.</x:t>
        </x:r>
      </x:text>
    </x:comment>
    <x:comment ref="F38" authorId="0">
      <x:text>
        <x:r>
          <x:t>Noncurrent operating lease liabilities (FY:18 A).
Noncurrent operating lease liabilities. This line belongs to the Balance Sheet calculation. Read its formula to trace the referenced inputs and intermediate totals.
Formula: ='Historical Inputs'!F53
Cross-sheet references identify the owning schedule. Same-sheet references identify intermediate calculations.</x:t>
        </x:r>
      </x:text>
    </x:comment>
    <x:comment ref="G38" authorId="0">
      <x:text>
        <x:r>
          <x:t>Noncurrent operating lease liabilities (FY:19 A).
Noncurrent operating lease liabilities. This line belongs to the Balance Sheet calculation. Read its formula to trace the referenced inputs and intermediate totals.
Formula: ='Historical Inputs'!G53
Cross-sheet references identify the owning schedule. Same-sheet references identify intermediate calculations.</x:t>
        </x:r>
      </x:text>
    </x:comment>
    <x:comment ref="H38" authorId="0">
      <x:text>
        <x:r>
          <x:t>Noncurrent operating lease liabilities (FY:20 A).
Noncurrent operating lease liabilities. This line belongs to the Balance Sheet calculation. Read its formula to trace the referenced inputs and intermediate totals.
Formula: ='Historical Inputs'!H53
Cross-sheet references identify the owning schedule. Same-sheet references identify intermediate calculations.</x:t>
        </x:r>
      </x:text>
    </x:comment>
    <x:comment ref="I38" authorId="0">
      <x:text>
        <x:r>
          <x:t>Noncurrent operating lease liabilities (FY:21 A).
Noncurrent operating lease liabilities. This line belongs to the Balance Sheet calculation. Read its formula to trace the referenced inputs and intermediate totals.
Formula: ='Historical Inputs'!I53
Cross-sheet references identify the owning schedule. Same-sheet references identify intermediate calculations.</x:t>
        </x:r>
      </x:text>
    </x:comment>
    <x:comment ref="J38" authorId="0">
      <x:text>
        <x:r>
          <x:t>Noncurrent operating lease liabilities (FY:22 A).
Noncurrent operating lease liabilities. This line belongs to the Balance Sheet calculation. Read its formula to trace the referenced inputs and intermediate totals.
Formula: ='Historical Inputs'!J53
Cross-sheet references identify the owning schedule. Same-sheet references identify intermediate calculations.</x:t>
        </x:r>
      </x:text>
    </x:comment>
    <x:comment ref="K38" authorId="0">
      <x:text>
        <x:r>
          <x:t>Noncurrent operating lease liabilities (FY:23 A).
Noncurrent operating lease liabilities. This line belongs to the Balance Sheet calculation. Read its formula to trace the referenced inputs and intermediate totals.
Formula: ='Historical Inputs'!K53
Cross-sheet references identify the owning schedule. Same-sheet references identify intermediate calculations.</x:t>
        </x:r>
      </x:text>
    </x:comment>
    <x:comment ref="L38" authorId="0">
      <x:text>
        <x:r>
          <x:t>Noncurrent operating lease liabilities (FY:24 A).
Noncurrent operating lease liabilities. This line belongs to the Balance Sheet calculation. Read its formula to trace the referenced inputs and intermediate totals.
Formula: ='Historical Inputs'!L53
Cross-sheet references identify the owning schedule. Same-sheet references identify intermediate calculations.</x:t>
        </x:r>
      </x:text>
    </x:comment>
    <x:comment ref="M38" authorId="0">
      <x:text>
        <x:r>
          <x:t>Noncurrent operating lease liabilities (FY:25 A).
Noncurrent operating lease liabilities. This line belongs to the Balance Sheet calculation. Read its formula to trace the referenced inputs and intermediate totals.
Formula: ='Historical Inputs'!M53
Cross-sheet references identify the owning schedule. Same-sheet references identify intermediate calculations.</x:t>
        </x:r>
      </x:text>
    </x:comment>
    <x:comment ref="N38" authorId="0">
      <x:text>
        <x:r>
          <x:t>Noncurrent operating lease liabilities (FY:26 A).
Noncurrent operating lease liabilities. This line belongs to the Balance Sheet calculation. Read its formula to trace the referenced inputs and intermediate totals.
Formula: ='Historical Inputs'!N53
Cross-sheet references identify the owning schedule. Same-sheet references identify intermediate calculations.</x:t>
        </x:r>
      </x:text>
    </x:comment>
    <x:comment ref="O38" authorId="0">
      <x:text>
        <x:r>
          <x:t>Noncurrent operating lease liabilities (FY:27 E).
Noncurrent operating lease liabilities. This line belongs to the Balance Sheet calculation. Read its formula to trace the referenced inputs and intermediate totals.
Formula: ='Debt and Leases'!O65
Cross-sheet references identify the owning schedule. Same-sheet references identify intermediate calculations.</x:t>
        </x:r>
      </x:text>
    </x:comment>
    <x:comment ref="P38" authorId="0">
      <x:text>
        <x:r>
          <x:t>Noncurrent operating lease liabilities (FY:28 E).
Noncurrent operating lease liabilities. This line belongs to the Balance Sheet calculation. Read its formula to trace the referenced inputs and intermediate totals.
Formula: ='Debt and Leases'!P65
Cross-sheet references identify the owning schedule. Same-sheet references identify intermediate calculations.</x:t>
        </x:r>
      </x:text>
    </x:comment>
    <x:comment ref="Q38" authorId="0">
      <x:text>
        <x:r>
          <x:t>Noncurrent operating lease liabilities (FY:29 E).
Noncurrent operating lease liabilities. This line belongs to the Balance Sheet calculation. Read its formula to trace the referenced inputs and intermediate totals.
Formula: ='Debt and Leases'!Q65
Cross-sheet references identify the owning schedule. Same-sheet references identify intermediate calculations.</x:t>
        </x:r>
      </x:text>
    </x:comment>
    <x:comment ref="R38" authorId="0">
      <x:text>
        <x:r>
          <x:t>Noncurrent operating lease liabilities (FY:30 E).
Noncurrent operating lease liabilities. This line belongs to the Balance Sheet calculation. Read its formula to trace the referenced inputs and intermediate totals.
Formula: ='Debt and Leases'!R65
Cross-sheet references identify the owning schedule. Same-sheet references identify intermediate calculations.</x:t>
        </x:r>
      </x:text>
    </x:comment>
    <x:comment ref="S38" authorId="0">
      <x:text>
        <x:r>
          <x:t>Noncurrent operating lease liabilities (FY:31 E).
Noncurrent operating lease liabilities. This line belongs to the Balance Sheet calculation. Read its formula to trace the referenced inputs and intermediate totals.
Formula: ='Debt and Leases'!S65
Cross-sheet references identify the owning schedule. Same-sheet references identify intermediate calculations.</x:t>
        </x:r>
      </x:text>
    </x:comment>
    <x:comment ref="C39" authorId="0">
      <x:text>
        <x:r>
          <x:t>Other long-term liabilities. This line belongs to the Balance Sheet calculation. Read its formula to trace the referenced inputs and intermediate totals.</x:t>
        </x:r>
      </x:text>
    </x:comment>
    <x:comment ref="E39" authorId="0">
      <x:text>
        <x:r>
          <x:t>Other long-term liabilities (FY:17 A).
Other long-term liabilities. This line belongs to the Balance Sheet calculation. Read its formula to trace the referenced inputs and intermediate totals.
Formula: ='Historical Inputs'!E54
Cross-sheet references identify the owning schedule. Same-sheet references identify intermediate calculations.</x:t>
        </x:r>
      </x:text>
    </x:comment>
    <x:comment ref="F39" authorId="0">
      <x:text>
        <x:r>
          <x:t>Other long-term liabilities (FY:18 A).
Other long-term liabilities. This line belongs to the Balance Sheet calculation. Read its formula to trace the referenced inputs and intermediate totals.
Formula: ='Historical Inputs'!F54
Cross-sheet references identify the owning schedule. Same-sheet references identify intermediate calculations.</x:t>
        </x:r>
      </x:text>
    </x:comment>
    <x:comment ref="G39" authorId="0">
      <x:text>
        <x:r>
          <x:t>Other long-term liabilities (FY:19 A).
Other long-term liabilities. This line belongs to the Balance Sheet calculation. Read its formula to trace the referenced inputs and intermediate totals.
Formula: ='Historical Inputs'!G54
Cross-sheet references identify the owning schedule. Same-sheet references identify intermediate calculations.</x:t>
        </x:r>
      </x:text>
    </x:comment>
    <x:comment ref="H39" authorId="0">
      <x:text>
        <x:r>
          <x:t>Other long-term liabilities (FY:20 A).
Other long-term liabilities. This line belongs to the Balance Sheet calculation. Read its formula to trace the referenced inputs and intermediate totals.
Formula: ='Historical Inputs'!H54
Cross-sheet references identify the owning schedule. Same-sheet references identify intermediate calculations.</x:t>
        </x:r>
      </x:text>
    </x:comment>
    <x:comment ref="I39" authorId="0">
      <x:text>
        <x:r>
          <x:t>Other long-term liabilities (FY:21 A).
Other long-term liabilities. This line belongs to the Balance Sheet calculation. Read its formula to trace the referenced inputs and intermediate totals.
Formula: ='Historical Inputs'!I54
Cross-sheet references identify the owning schedule. Same-sheet references identify intermediate calculations.</x:t>
        </x:r>
      </x:text>
    </x:comment>
    <x:comment ref="J39" authorId="0">
      <x:text>
        <x:r>
          <x:t>Other long-term liabilities (FY:22 A).
Other long-term liabilities. This line belongs to the Balance Sheet calculation. Read its formula to trace the referenced inputs and intermediate totals.
Formula: ='Historical Inputs'!J54
Cross-sheet references identify the owning schedule. Same-sheet references identify intermediate calculations.</x:t>
        </x:r>
      </x:text>
    </x:comment>
    <x:comment ref="K39" authorId="0">
      <x:text>
        <x:r>
          <x:t>Other long-term liabilities (FY:23 A).
Other long-term liabilities. This line belongs to the Balance Sheet calculation. Read its formula to trace the referenced inputs and intermediate totals.
Formula: ='Historical Inputs'!K54
Cross-sheet references identify the owning schedule. Same-sheet references identify intermediate calculations.</x:t>
        </x:r>
      </x:text>
    </x:comment>
    <x:comment ref="L39" authorId="0">
      <x:text>
        <x:r>
          <x:t>Other long-term liabilities (FY:24 A).
Other long-term liabilities. This line belongs to the Balance Sheet calculation. Read its formula to trace the referenced inputs and intermediate totals.
Formula: ='Historical Inputs'!L54
Cross-sheet references identify the owning schedule. Same-sheet references identify intermediate calculations.</x:t>
        </x:r>
      </x:text>
    </x:comment>
    <x:comment ref="M39" authorId="0">
      <x:text>
        <x:r>
          <x:t>Other long-term liabilities (FY:25 A).
Other long-term liabilities. This line belongs to the Balance Sheet calculation. Read its formula to trace the referenced inputs and intermediate totals.
Formula: ='Historical Inputs'!M54
Cross-sheet references identify the owning schedule. Same-sheet references identify intermediate calculations.</x:t>
        </x:r>
      </x:text>
    </x:comment>
    <x:comment ref="N39" authorId="0">
      <x:text>
        <x:r>
          <x:t>Other long-term liabilities (FY:26 A).
Other long-term liabilities. This line belongs to the Balance Sheet calculation. Read its formula to trace the referenced inputs and intermediate totals.
Formula: ='Historical Inputs'!N54
Cross-sheet references identify the owning schedule. Same-sheet references identify intermediate calculations.</x:t>
        </x:r>
      </x:text>
    </x:comment>
    <x:comment ref="O39" authorId="0">
      <x:text>
        <x:r>
          <x:t>Other long-term liabilities (FY:27 E).
Other long-term liabilities. This line belongs to the Balance Sheet calculation. Read its formula to trace the referenced inputs and intermediate totals.
Formula: ='Working Capital'!O28+'Debt and Leases'!O44
Cross-sheet references identify the owning schedule. Same-sheet references identify intermediate calculations.</x:t>
        </x:r>
      </x:text>
    </x:comment>
    <x:comment ref="P39" authorId="0">
      <x:text>
        <x:r>
          <x:t>Other long-term liabilities (FY:28 E).
Other long-term liabilities. This line belongs to the Balance Sheet calculation. Read its formula to trace the referenced inputs and intermediate totals.
Formula: ='Working Capital'!P28+'Debt and Leases'!P44
Cross-sheet references identify the owning schedule. Same-sheet references identify intermediate calculations.</x:t>
        </x:r>
      </x:text>
    </x:comment>
    <x:comment ref="Q39" authorId="0">
      <x:text>
        <x:r>
          <x:t>Other long-term liabilities (FY:29 E).
Other long-term liabilities. This line belongs to the Balance Sheet calculation. Read its formula to trace the referenced inputs and intermediate totals.
Formula: ='Working Capital'!Q28+'Debt and Leases'!Q44
Cross-sheet references identify the owning schedule. Same-sheet references identify intermediate calculations.</x:t>
        </x:r>
      </x:text>
    </x:comment>
    <x:comment ref="R39" authorId="0">
      <x:text>
        <x:r>
          <x:t>Other long-term liabilities (FY:30 E).
Other long-term liabilities. This line belongs to the Balance Sheet calculation. Read its formula to trace the referenced inputs and intermediate totals.
Formula: ='Working Capital'!R28+'Debt and Leases'!R44
Cross-sheet references identify the owning schedule. Same-sheet references identify intermediate calculations.</x:t>
        </x:r>
      </x:text>
    </x:comment>
    <x:comment ref="S39" authorId="0">
      <x:text>
        <x:r>
          <x:t>Other long-term liabilities (FY:31 E).
Other long-term liabilities. This line belongs to the Balance Sheet calculation. Read its formula to trace the referenced inputs and intermediate totals.
Formula: ='Working Capital'!S28+'Debt and Leases'!S44
Cross-sheet references identify the owning schedule. Same-sheet references identify intermediate calculations.</x:t>
        </x:r>
      </x:text>
    </x:comment>
    <x:comment ref="C40" authorId="0">
      <x:text>
        <x:r>
          <x:t>Current and long-term obligations, including debt, tax, unearned revenue and lease liabilities. Finance leases are included in the relevant other-liability categories.</x:t>
        </x:r>
      </x:text>
    </x:comment>
    <x:comment ref="E40" authorId="0">
      <x:text>
        <x:r>
          <x:t>Total liabilities (FY:17 A).
Current and long-term obligations, including debt, tax, unearned revenue and lease liabilities. Finance leases are included in the relevant other-liability categories.
Formula: =E32+SUM(E34:E39)
Cross-sheet references identify the owning schedule. Same-sheet references identify intermediate calculations.</x:t>
        </x:r>
      </x:text>
    </x:comment>
    <x:comment ref="F40" authorId="0">
      <x:text>
        <x:r>
          <x:t>Total liabilities (FY:18 A).
Current and long-term obligations, including debt, tax, unearned revenue and lease liabilities. Finance leases are included in the relevant other-liability categories.
Formula: =F32+SUM(F34:F39)
Cross-sheet references identify the owning schedule. Same-sheet references identify intermediate calculations.</x:t>
        </x:r>
      </x:text>
    </x:comment>
    <x:comment ref="G40" authorId="0">
      <x:text>
        <x:r>
          <x:t>Total liabilities (FY:19 A).
Current and long-term obligations, including debt, tax, unearned revenue and lease liabilities. Finance leases are included in the relevant other-liability categories.
Formula: =G32+SUM(G34:G39)
Cross-sheet references identify the owning schedule. Same-sheet references identify intermediate calculations.</x:t>
        </x:r>
      </x:text>
    </x:comment>
    <x:comment ref="H40" authorId="0">
      <x:text>
        <x:r>
          <x:t>Total liabilities (FY:20 A).
Current and long-term obligations, including debt, tax, unearned revenue and lease liabilities. Finance leases are included in the relevant other-liability categories.
Formula: =H32+SUM(H34:H39)
Cross-sheet references identify the owning schedule. Same-sheet references identify intermediate calculations.</x:t>
        </x:r>
      </x:text>
    </x:comment>
    <x:comment ref="I40" authorId="0">
      <x:text>
        <x:r>
          <x:t>Total liabilities (FY:21 A).
Current and long-term obligations, including debt, tax, unearned revenue and lease liabilities. Finance leases are included in the relevant other-liability categories.
Formula: =I32+SUM(I34:I39)
Cross-sheet references identify the owning schedule. Same-sheet references identify intermediate calculations.</x:t>
        </x:r>
      </x:text>
    </x:comment>
    <x:comment ref="J40" authorId="0">
      <x:text>
        <x:r>
          <x:t>Total liabilities (FY:22 A).
Current and long-term obligations, including debt, tax, unearned revenue and lease liabilities. Finance leases are included in the relevant other-liability categories.
Formula: =J32+SUM(J34:J39)
Cross-sheet references identify the owning schedule. Same-sheet references identify intermediate calculations.</x:t>
        </x:r>
      </x:text>
    </x:comment>
    <x:comment ref="K40" authorId="0">
      <x:text>
        <x:r>
          <x:t>Total liabilities (FY:23 A).
Current and long-term obligations, including debt, tax, unearned revenue and lease liabilities. Finance leases are included in the relevant other-liability categories.
Formula: =K32+SUM(K34:K39)
Cross-sheet references identify the owning schedule. Same-sheet references identify intermediate calculations.</x:t>
        </x:r>
      </x:text>
    </x:comment>
    <x:comment ref="L40" authorId="0">
      <x:text>
        <x:r>
          <x:t>Total liabilities (FY:24 A).
Current and long-term obligations, including debt, tax, unearned revenue and lease liabilities. Finance leases are included in the relevant other-liability categories.
Formula: =L32+SUM(L34:L39)
Cross-sheet references identify the owning schedule. Same-sheet references identify intermediate calculations.</x:t>
        </x:r>
      </x:text>
    </x:comment>
    <x:comment ref="M40" authorId="0">
      <x:text>
        <x:r>
          <x:t>Total liabilities (FY:25 A).
Current and long-term obligations, including debt, tax, unearned revenue and lease liabilities. Finance leases are included in the relevant other-liability categories.
Formula: =M32+SUM(M34:M39)
Cross-sheet references identify the owning schedule. Same-sheet references identify intermediate calculations.</x:t>
        </x:r>
      </x:text>
    </x:comment>
    <x:comment ref="N40" authorId="0">
      <x:text>
        <x:r>
          <x:t>Total liabilities (FY:26 A).
Current and long-term obligations, including debt, tax, unearned revenue and lease liabilities. Finance leases are included in the relevant other-liability categories.
Formula: =N32+SUM(N34:N39)
Cross-sheet references identify the owning schedule. Same-sheet references identify intermediate calculations.</x:t>
        </x:r>
      </x:text>
    </x:comment>
    <x:comment ref="O40" authorId="0">
      <x:text>
        <x:r>
          <x:t>Total liabilities (FY:27 E).
Current and long-term obligations, including debt, tax, unearned revenue and lease liabilities. Finance leases are included in the relevant other-liability categories.
Formula: =O32+SUM(O34:O39)
Cross-sheet references identify the owning schedule. Same-sheet references identify intermediate calculations.</x:t>
        </x:r>
      </x:text>
    </x:comment>
    <x:comment ref="P40" authorId="0">
      <x:text>
        <x:r>
          <x:t>Total liabilities (FY:28 E).
Current and long-term obligations, including debt, tax, unearned revenue and lease liabilities. Finance leases are included in the relevant other-liability categories.
Formula: =P32+SUM(P34:P39)
Cross-sheet references identify the owning schedule. Same-sheet references identify intermediate calculations.</x:t>
        </x:r>
      </x:text>
    </x:comment>
    <x:comment ref="Q40" authorId="0">
      <x:text>
        <x:r>
          <x:t>Total liabilities (FY:29 E).
Current and long-term obligations, including debt, tax, unearned revenue and lease liabilities. Finance leases are included in the relevant other-liability categories.
Formula: =Q32+SUM(Q34:Q39)
Cross-sheet references identify the owning schedule. Same-sheet references identify intermediate calculations.</x:t>
        </x:r>
      </x:text>
    </x:comment>
    <x:comment ref="R40" authorId="0">
      <x:text>
        <x:r>
          <x:t>Total liabilities (FY:30 E).
Current and long-term obligations, including debt, tax, unearned revenue and lease liabilities. Finance leases are included in the relevant other-liability categories.
Formula: =R32+SUM(R34:R39)
Cross-sheet references identify the owning schedule. Same-sheet references identify intermediate calculations.</x:t>
        </x:r>
      </x:text>
    </x:comment>
    <x:comment ref="S40" authorId="0">
      <x:text>
        <x:r>
          <x:t>Total liabilities (FY:31 E).
Current and long-term obligations, including debt, tax, unearned revenue and lease liabilities. Finance leases are included in the relevant other-liability categories.
Formula: =S32+SUM(S34:S39)
Cross-sheet references identify the owning schedule. Same-sheet references identify intermediate calculations.</x:t>
        </x:r>
      </x:text>
    </x:comment>
    <x:comment ref="C42" authorId="0">
      <x:text>
        <x:r>
          <x:t>Equity contributed through shares and compensation. Forecast opening balance plus SBC and cash issuance less the allocated paid-in-capital portion of repurchases.</x:t>
        </x:r>
      </x:text>
    </x:comment>
    <x:comment ref="E42" authorId="0">
      <x:text>
        <x:r>
          <x:t>Common stock and paid-in capital (FY:17 A).
Equity contributed through shares and compensation. Forecast opening balance plus SBC and cash issuance less the allocated paid-in-capital portion of repurchases.
Formula: ='Historical Inputs'!E56
Cross-sheet references identify the owning schedule. Same-sheet references identify intermediate calculations.</x:t>
        </x:r>
      </x:text>
    </x:comment>
    <x:comment ref="F42" authorId="0">
      <x:text>
        <x:r>
          <x:t>Common stock and paid-in capital (FY:18 A).
Equity contributed through shares and compensation. Forecast opening balance plus SBC and cash issuance less the allocated paid-in-capital portion of repurchases.
Formula: ='Historical Inputs'!F56
Cross-sheet references identify the owning schedule. Same-sheet references identify intermediate calculations.</x:t>
        </x:r>
      </x:text>
    </x:comment>
    <x:comment ref="G42" authorId="0">
      <x:text>
        <x:r>
          <x:t>Common stock and paid-in capital (FY:19 A).
Equity contributed through shares and compensation. Forecast opening balance plus SBC and cash issuance less the allocated paid-in-capital portion of repurchases.
Formula: ='Historical Inputs'!G56
Cross-sheet references identify the owning schedule. Same-sheet references identify intermediate calculations.</x:t>
        </x:r>
      </x:text>
    </x:comment>
    <x:comment ref="H42" authorId="0">
      <x:text>
        <x:r>
          <x:t>Common stock and paid-in capital (FY:20 A).
Equity contributed through shares and compensation. Forecast opening balance plus SBC and cash issuance less the allocated paid-in-capital portion of repurchases.
Formula: ='Historical Inputs'!H56
Cross-sheet references identify the owning schedule. Same-sheet references identify intermediate calculations.</x:t>
        </x:r>
      </x:text>
    </x:comment>
    <x:comment ref="I42" authorId="0">
      <x:text>
        <x:r>
          <x:t>Common stock and paid-in capital (FY:21 A).
Equity contributed through shares and compensation. Forecast opening balance plus SBC and cash issuance less the allocated paid-in-capital portion of repurchases.
Formula: ='Historical Inputs'!I56
Cross-sheet references identify the owning schedule. Same-sheet references identify intermediate calculations.</x:t>
        </x:r>
      </x:text>
    </x:comment>
    <x:comment ref="J42" authorId="0">
      <x:text>
        <x:r>
          <x:t>Common stock and paid-in capital (FY:22 A).
Equity contributed through shares and compensation. Forecast opening balance plus SBC and cash issuance less the allocated paid-in-capital portion of repurchases.
Formula: ='Historical Inputs'!J56
Cross-sheet references identify the owning schedule. Same-sheet references identify intermediate calculations.</x:t>
        </x:r>
      </x:text>
    </x:comment>
    <x:comment ref="K42" authorId="0">
      <x:text>
        <x:r>
          <x:t>Common stock and paid-in capital (FY:23 A).
Equity contributed through shares and compensation. Forecast opening balance plus SBC and cash issuance less the allocated paid-in-capital portion of repurchases.
Formula: ='Historical Inputs'!K56
Cross-sheet references identify the owning schedule. Same-sheet references identify intermediate calculations.</x:t>
        </x:r>
      </x:text>
    </x:comment>
    <x:comment ref="L42" authorId="0">
      <x:text>
        <x:r>
          <x:t>Common stock and paid-in capital (FY:24 A).
Equity contributed through shares and compensation. Forecast opening balance plus SBC and cash issuance less the allocated paid-in-capital portion of repurchases.
Formula: ='Historical Inputs'!L56
Cross-sheet references identify the owning schedule. Same-sheet references identify intermediate calculations.</x:t>
        </x:r>
      </x:text>
    </x:comment>
    <x:comment ref="M42" authorId="0">
      <x:text>
        <x:r>
          <x:t>Common stock and paid-in capital (FY:25 A).
Equity contributed through shares and compensation. Forecast opening balance plus SBC and cash issuance less the allocated paid-in-capital portion of repurchases.
Formula: ='Historical Inputs'!M56
Cross-sheet references identify the owning schedule. Same-sheet references identify intermediate calculations.</x:t>
        </x:r>
      </x:text>
    </x:comment>
    <x:comment ref="N42" authorId="0">
      <x:text>
        <x:r>
          <x:t>Common stock and paid-in capital (FY:26 A).
Equity contributed through shares and compensation. Forecast opening balance plus SBC and cash issuance less the allocated paid-in-capital portion of repurchases.
Formula: ='Historical Inputs'!N56
Cross-sheet references identify the owning schedule. Same-sheet references identify intermediate calculations.</x:t>
        </x:r>
      </x:text>
    </x:comment>
    <x:comment ref="O42" authorId="0">
      <x:text>
        <x:r>
          <x:t>Common stock and paid-in capital (FY:27 E).
Equity contributed through shares and compensation. Forecast opening balance plus SBC and cash issuance less the allocated paid-in-capital portion of repurchases.
Formula: ='Tax and Equity'!O23
Cross-sheet references identify the owning schedule. Same-sheet references identify intermediate calculations.</x:t>
        </x:r>
      </x:text>
    </x:comment>
    <x:comment ref="P42" authorId="0">
      <x:text>
        <x:r>
          <x:t>Common stock and paid-in capital (FY:28 E).
Equity contributed through shares and compensation. Forecast opening balance plus SBC and cash issuance less the allocated paid-in-capital portion of repurchases.
Formula: ='Tax and Equity'!P23
Cross-sheet references identify the owning schedule. Same-sheet references identify intermediate calculations.</x:t>
        </x:r>
      </x:text>
    </x:comment>
    <x:comment ref="Q42" authorId="0">
      <x:text>
        <x:r>
          <x:t>Common stock and paid-in capital (FY:29 E).
Equity contributed through shares and compensation. Forecast opening balance plus SBC and cash issuance less the allocated paid-in-capital portion of repurchases.
Formula: ='Tax and Equity'!Q23
Cross-sheet references identify the owning schedule. Same-sheet references identify intermediate calculations.</x:t>
        </x:r>
      </x:text>
    </x:comment>
    <x:comment ref="R42" authorId="0">
      <x:text>
        <x:r>
          <x:t>Common stock and paid-in capital (FY:30 E).
Equity contributed through shares and compensation. Forecast opening balance plus SBC and cash issuance less the allocated paid-in-capital portion of repurchases.
Formula: ='Tax and Equity'!R23
Cross-sheet references identify the owning schedule. Same-sheet references identify intermediate calculations.</x:t>
        </x:r>
      </x:text>
    </x:comment>
    <x:comment ref="S42" authorId="0">
      <x:text>
        <x:r>
          <x:t>Common stock and paid-in capital (FY:31 E).
Equity contributed through shares and compensation. Forecast opening balance plus SBC and cash issuance less the allocated paid-in-capital portion of repurchases.
Formula: ='Tax and Equity'!S23
Cross-sheet references identify the owning schedule. Same-sheet references identify intermediate calculations.</x:t>
        </x:r>
      </x:text>
    </x:comment>
    <x:comment ref="C43" authorId="0">
      <x:text>
        <x:r>
          <x:t>Accumulated earnings after dividends and the retained-earnings share of repurchases. Forecast closing balance is opening retained earnings plus net income less these distributions.</x:t>
        </x:r>
      </x:text>
    </x:comment>
    <x:comment ref="E43" authorId="0">
      <x:text>
        <x:r>
          <x:t>Retained earnings (FY:17 A).
Accumulated earnings after dividends and the retained-earnings share of repurchases. Forecast closing balance is opening retained earnings plus net income less these distributions.
Formula: ='Historical Inputs'!E57
Cross-sheet references identify the owning schedule. Same-sheet references identify intermediate calculations.</x:t>
        </x:r>
      </x:text>
    </x:comment>
    <x:comment ref="F43" authorId="0">
      <x:text>
        <x:r>
          <x:t>Retained earnings (FY:18 A).
Accumulated earnings after dividends and the retained-earnings share of repurchases. Forecast closing balance is opening retained earnings plus net income less these distributions.
Formula: ='Historical Inputs'!F57
Cross-sheet references identify the owning schedule. Same-sheet references identify intermediate calculations.</x:t>
        </x:r>
      </x:text>
    </x:comment>
    <x:comment ref="G43" authorId="0">
      <x:text>
        <x:r>
          <x:t>Retained earnings (FY:19 A).
Accumulated earnings after dividends and the retained-earnings share of repurchases. Forecast closing balance is opening retained earnings plus net income less these distributions.
Formula: ='Historical Inputs'!G57
Cross-sheet references identify the owning schedule. Same-sheet references identify intermediate calculations.</x:t>
        </x:r>
      </x:text>
    </x:comment>
    <x:comment ref="H43" authorId="0">
      <x:text>
        <x:r>
          <x:t>Retained earnings (FY:20 A).
Accumulated earnings after dividends and the retained-earnings share of repurchases. Forecast closing balance is opening retained earnings plus net income less these distributions.
Formula: ='Historical Inputs'!H57
Cross-sheet references identify the owning schedule. Same-sheet references identify intermediate calculations.</x:t>
        </x:r>
      </x:text>
    </x:comment>
    <x:comment ref="I43" authorId="0">
      <x:text>
        <x:r>
          <x:t>Retained earnings (FY:21 A).
Accumulated earnings after dividends and the retained-earnings share of repurchases. Forecast closing balance is opening retained earnings plus net income less these distributions.
Formula: ='Historical Inputs'!I57
Cross-sheet references identify the owning schedule. Same-sheet references identify intermediate calculations.</x:t>
        </x:r>
      </x:text>
    </x:comment>
    <x:comment ref="J43" authorId="0">
      <x:text>
        <x:r>
          <x:t>Retained earnings (FY:22 A).
Accumulated earnings after dividends and the retained-earnings share of repurchases. Forecast closing balance is opening retained earnings plus net income less these distributions.
Formula: ='Historical Inputs'!J57
Cross-sheet references identify the owning schedule. Same-sheet references identify intermediate calculations.</x:t>
        </x:r>
      </x:text>
    </x:comment>
    <x:comment ref="K43" authorId="0">
      <x:text>
        <x:r>
          <x:t>Retained earnings (FY:23 A).
Accumulated earnings after dividends and the retained-earnings share of repurchases. Forecast closing balance is opening retained earnings plus net income less these distributions.
Formula: ='Historical Inputs'!K57
Cross-sheet references identify the owning schedule. Same-sheet references identify intermediate calculations.</x:t>
        </x:r>
      </x:text>
    </x:comment>
    <x:comment ref="L43" authorId="0">
      <x:text>
        <x:r>
          <x:t>Retained earnings (FY:24 A).
Accumulated earnings after dividends and the retained-earnings share of repurchases. Forecast closing balance is opening retained earnings plus net income less these distributions.
Formula: ='Historical Inputs'!L57
Cross-sheet references identify the owning schedule. Same-sheet references identify intermediate calculations.</x:t>
        </x:r>
      </x:text>
    </x:comment>
    <x:comment ref="M43" authorId="0">
      <x:text>
        <x:r>
          <x:t>Retained earnings (FY:25 A).
Accumulated earnings after dividends and the retained-earnings share of repurchases. Forecast closing balance is opening retained earnings plus net income less these distributions.
Formula: ='Historical Inputs'!M57
Cross-sheet references identify the owning schedule. Same-sheet references identify intermediate calculations.</x:t>
        </x:r>
      </x:text>
    </x:comment>
    <x:comment ref="N43" authorId="0">
      <x:text>
        <x:r>
          <x:t>Retained earnings (FY:26 A).
Accumulated earnings after dividends and the retained-earnings share of repurchases. Forecast closing balance is opening retained earnings plus net income less these distributions.
Formula: ='Historical Inputs'!N57
Cross-sheet references identify the owning schedule. Same-sheet references identify intermediate calculations.</x:t>
        </x:r>
      </x:text>
    </x:comment>
    <x:comment ref="O43" authorId="0">
      <x:text>
        <x:r>
          <x:t>Retained earnings (FY:27 E).
Accumulated earnings after dividends and the retained-earnings share of repurchases. Forecast closing balance is opening retained earnings plus net income less these distributions.
Formula: ='Tax and Equity'!O27
Cross-sheet references identify the owning schedule. Same-sheet references identify intermediate calculations.</x:t>
        </x:r>
      </x:text>
    </x:comment>
    <x:comment ref="P43" authorId="0">
      <x:text>
        <x:r>
          <x:t>Retained earnings (FY:28 E).
Accumulated earnings after dividends and the retained-earnings share of repurchases. Forecast closing balance is opening retained earnings plus net income less these distributions.
Formula: ='Tax and Equity'!P27
Cross-sheet references identify the owning schedule. Same-sheet references identify intermediate calculations.</x:t>
        </x:r>
      </x:text>
    </x:comment>
    <x:comment ref="Q43" authorId="0">
      <x:text>
        <x:r>
          <x:t>Retained earnings (FY:29 E).
Accumulated earnings after dividends and the retained-earnings share of repurchases. Forecast closing balance is opening retained earnings plus net income less these distributions.
Formula: ='Tax and Equity'!Q27
Cross-sheet references identify the owning schedule. Same-sheet references identify intermediate calculations.</x:t>
        </x:r>
      </x:text>
    </x:comment>
    <x:comment ref="R43" authorId="0">
      <x:text>
        <x:r>
          <x:t>Retained earnings (FY:30 E).
Accumulated earnings after dividends and the retained-earnings share of repurchases. Forecast closing balance is opening retained earnings plus net income less these distributions.
Formula: ='Tax and Equity'!R27
Cross-sheet references identify the owning schedule. Same-sheet references identify intermediate calculations.</x:t>
        </x:r>
      </x:text>
    </x:comment>
    <x:comment ref="S43" authorId="0">
      <x:text>
        <x:r>
          <x:t>Retained earnings (FY:31 E).
Accumulated earnings after dividends and the retained-earnings share of repurchases. Forecast closing balance is opening retained earnings plus net income less these distributions.
Formula: ='Tax and Equity'!S27
Cross-sheet references identify the owning schedule. Same-sheet references identify intermediate calculations.</x:t>
        </x:r>
      </x:text>
    </x:comment>
    <x:comment ref="C44" authorId="0">
      <x:text>
        <x:r>
          <x:t>Equity items recognized outside net income. The forecast holds the FY2026 balance constant.</x:t>
        </x:r>
      </x:text>
    </x:comment>
    <x:comment ref="E44" authorId="0">
      <x:text>
        <x:r>
          <x:t>Accumulated other comprehensive income (FY:17 A).
Equity items recognized outside net income. The forecast holds the FY2026 balance constant.
Formula: ='Historical Inputs'!E58
Cross-sheet references identify the owning schedule. Same-sheet references identify intermediate calculations.</x:t>
        </x:r>
      </x:text>
    </x:comment>
    <x:comment ref="F44" authorId="0">
      <x:text>
        <x:r>
          <x:t>Accumulated other comprehensive income (FY:18 A).
Equity items recognized outside net income. The forecast holds the FY2026 balance constant.
Formula: ='Historical Inputs'!F58
Cross-sheet references identify the owning schedule. Same-sheet references identify intermediate calculations.</x:t>
        </x:r>
      </x:text>
    </x:comment>
    <x:comment ref="G44" authorId="0">
      <x:text>
        <x:r>
          <x:t>Accumulated other comprehensive income (FY:19 A).
Equity items recognized outside net income. The forecast holds the FY2026 balance constant.
Formula: ='Historical Inputs'!G58
Cross-sheet references identify the owning schedule. Same-sheet references identify intermediate calculations.</x:t>
        </x:r>
      </x:text>
    </x:comment>
    <x:comment ref="H44" authorId="0">
      <x:text>
        <x:r>
          <x:t>Accumulated other comprehensive income (FY:20 A).
Equity items recognized outside net income. The forecast holds the FY2026 balance constant.
Formula: ='Historical Inputs'!H58
Cross-sheet references identify the owning schedule. Same-sheet references identify intermediate calculations.</x:t>
        </x:r>
      </x:text>
    </x:comment>
    <x:comment ref="I44" authorId="0">
      <x:text>
        <x:r>
          <x:t>Accumulated other comprehensive income (FY:21 A).
Equity items recognized outside net income. The forecast holds the FY2026 balance constant.
Formula: ='Historical Inputs'!I58
Cross-sheet references identify the owning schedule. Same-sheet references identify intermediate calculations.</x:t>
        </x:r>
      </x:text>
    </x:comment>
    <x:comment ref="J44" authorId="0">
      <x:text>
        <x:r>
          <x:t>Accumulated other comprehensive income (FY:22 A).
Equity items recognized outside net income. The forecast holds the FY2026 balance constant.
Formula: ='Historical Inputs'!J58
Cross-sheet references identify the owning schedule. Same-sheet references identify intermediate calculations.</x:t>
        </x:r>
      </x:text>
    </x:comment>
    <x:comment ref="K44" authorId="0">
      <x:text>
        <x:r>
          <x:t>Accumulated other comprehensive income (FY:23 A).
Equity items recognized outside net income. The forecast holds the FY2026 balance constant.
Formula: ='Historical Inputs'!K58
Cross-sheet references identify the owning schedule. Same-sheet references identify intermediate calculations.</x:t>
        </x:r>
      </x:text>
    </x:comment>
    <x:comment ref="L44" authorId="0">
      <x:text>
        <x:r>
          <x:t>Accumulated other comprehensive income (FY:24 A).
Equity items recognized outside net income. The forecast holds the FY2026 balance constant.
Formula: ='Historical Inputs'!L58
Cross-sheet references identify the owning schedule. Same-sheet references identify intermediate calculations.</x:t>
        </x:r>
      </x:text>
    </x:comment>
    <x:comment ref="M44" authorId="0">
      <x:text>
        <x:r>
          <x:t>Accumulated other comprehensive income (FY:25 A).
Equity items recognized outside net income. The forecast holds the FY2026 balance constant.
Formula: ='Historical Inputs'!M58
Cross-sheet references identify the owning schedule. Same-sheet references identify intermediate calculations.</x:t>
        </x:r>
      </x:text>
    </x:comment>
    <x:comment ref="N44" authorId="0">
      <x:text>
        <x:r>
          <x:t>Accumulated other comprehensive income (FY:26 A).
Equity items recognized outside net income. The forecast holds the FY2026 balance constant.
Formula: ='Historical Inputs'!N58
Cross-sheet references identify the owning schedule. Same-sheet references identify intermediate calculations.</x:t>
        </x:r>
      </x:text>
    </x:comment>
    <x:comment ref="O44" authorId="0">
      <x:text>
        <x:r>
          <x:t>Accumulated other comprehensive income (FY:27 E).
Equity items recognized outside net income. The forecast holds the FY2026 balance constant.
Formula: ='Tax and Equity'!O29
Cross-sheet references identify the owning schedule. Same-sheet references identify intermediate calculations.</x:t>
        </x:r>
      </x:text>
    </x:comment>
    <x:comment ref="P44" authorId="0">
      <x:text>
        <x:r>
          <x:t>Accumulated other comprehensive income (FY:28 E).
Equity items recognized outside net income. The forecast holds the FY2026 balance constant.
Formula: ='Tax and Equity'!P29
Cross-sheet references identify the owning schedule. Same-sheet references identify intermediate calculations.</x:t>
        </x:r>
      </x:text>
    </x:comment>
    <x:comment ref="Q44" authorId="0">
      <x:text>
        <x:r>
          <x:t>Accumulated other comprehensive income (FY:29 E).
Equity items recognized outside net income. The forecast holds the FY2026 balance constant.
Formula: ='Tax and Equity'!Q29
Cross-sheet references identify the owning schedule. Same-sheet references identify intermediate calculations.</x:t>
        </x:r>
      </x:text>
    </x:comment>
    <x:comment ref="R44" authorId="0">
      <x:text>
        <x:r>
          <x:t>Accumulated other comprehensive income (FY:30 E).
Equity items recognized outside net income. The forecast holds the FY2026 balance constant.
Formula: ='Tax and Equity'!R29
Cross-sheet references identify the owning schedule. Same-sheet references identify intermediate calculations.</x:t>
        </x:r>
      </x:text>
    </x:comment>
    <x:comment ref="S44" authorId="0">
      <x:text>
        <x:r>
          <x:t>Accumulated other comprehensive income (FY:31 E).
Equity items recognized outside net income. The forecast holds the FY2026 balance constant.
Formula: ='Tax and Equity'!S29
Cross-sheet references identify the owning schedule. Same-sheet references identify intermediate calculations.</x:t>
        </x:r>
      </x:text>
    </x:comment>
    <x:comment ref="C45" authorId="0">
      <x:text>
        <x:r>
          <x:t>Common stock and paid-in capital plus retained earnings and accumulated other comprehensive income.</x:t>
        </x:r>
      </x:text>
    </x:comment>
    <x:comment ref="E45" authorId="0">
      <x:text>
        <x:r>
          <x:t>Total stockholders equity (FY:17 A).
Common stock and paid-in capital plus retained earnings and accumulated other comprehensive income.
Formula: =SUM(E42:E44)
Cross-sheet references identify the owning schedule. Same-sheet references identify intermediate calculations.</x:t>
        </x:r>
      </x:text>
    </x:comment>
    <x:comment ref="F45" authorId="0">
      <x:text>
        <x:r>
          <x:t>Total stockholders equity (FY:18 A).
Common stock and paid-in capital plus retained earnings and accumulated other comprehensive income.
Formula: =SUM(F42:F44)
Cross-sheet references identify the owning schedule. Same-sheet references identify intermediate calculations.</x:t>
        </x:r>
      </x:text>
    </x:comment>
    <x:comment ref="G45" authorId="0">
      <x:text>
        <x:r>
          <x:t>Total stockholders equity (FY:19 A).
Common stock and paid-in capital plus retained earnings and accumulated other comprehensive income.
Formula: =SUM(G42:G44)
Cross-sheet references identify the owning schedule. Same-sheet references identify intermediate calculations.</x:t>
        </x:r>
      </x:text>
    </x:comment>
    <x:comment ref="H45" authorId="0">
      <x:text>
        <x:r>
          <x:t>Total stockholders equity (FY:20 A).
Common stock and paid-in capital plus retained earnings and accumulated other comprehensive income.
Formula: =SUM(H42:H44)
Cross-sheet references identify the owning schedule. Same-sheet references identify intermediate calculations.</x:t>
        </x:r>
      </x:text>
    </x:comment>
    <x:comment ref="I45" authorId="0">
      <x:text>
        <x:r>
          <x:t>Total stockholders equity (FY:21 A).
Common stock and paid-in capital plus retained earnings and accumulated other comprehensive income.
Formula: =SUM(I42:I44)
Cross-sheet references identify the owning schedule. Same-sheet references identify intermediate calculations.</x:t>
        </x:r>
      </x:text>
    </x:comment>
    <x:comment ref="J45" authorId="0">
      <x:text>
        <x:r>
          <x:t>Total stockholders equity (FY:22 A).
Common stock and paid-in capital plus retained earnings and accumulated other comprehensive income.
Formula: =SUM(J42:J44)
Cross-sheet references identify the owning schedule. Same-sheet references identify intermediate calculations.</x:t>
        </x:r>
      </x:text>
    </x:comment>
    <x:comment ref="K45" authorId="0">
      <x:text>
        <x:r>
          <x:t>Total stockholders equity (FY:23 A).
Common stock and paid-in capital plus retained earnings and accumulated other comprehensive income.
Formula: =SUM(K42:K44)
Cross-sheet references identify the owning schedule. Same-sheet references identify intermediate calculations.</x:t>
        </x:r>
      </x:text>
    </x:comment>
    <x:comment ref="L45" authorId="0">
      <x:text>
        <x:r>
          <x:t>Total stockholders equity (FY:24 A).
Common stock and paid-in capital plus retained earnings and accumulated other comprehensive income.
Formula: =SUM(L42:L44)
Cross-sheet references identify the owning schedule. Same-sheet references identify intermediate calculations.</x:t>
        </x:r>
      </x:text>
    </x:comment>
    <x:comment ref="M45" authorId="0">
      <x:text>
        <x:r>
          <x:t>Total stockholders equity (FY:25 A).
Common stock and paid-in capital plus retained earnings and accumulated other comprehensive income.
Formula: =SUM(M42:M44)
Cross-sheet references identify the owning schedule. Same-sheet references identify intermediate calculations.</x:t>
        </x:r>
      </x:text>
    </x:comment>
    <x:comment ref="N45" authorId="0">
      <x:text>
        <x:r>
          <x:t>Total stockholders equity (FY:26 A).
Common stock and paid-in capital plus retained earnings and accumulated other comprehensive income.
Formula: =SUM(N42:N44)
Cross-sheet references identify the owning schedule. Same-sheet references identify intermediate calculations.</x:t>
        </x:r>
      </x:text>
    </x:comment>
    <x:comment ref="O45" authorId="0">
      <x:text>
        <x:r>
          <x:t>Total stockholders equity (FY:27 E).
Common stock and paid-in capital plus retained earnings and accumulated other comprehensive income.
Formula: =SUM(O42:O44)
Cross-sheet references identify the owning schedule. Same-sheet references identify intermediate calculations.</x:t>
        </x:r>
      </x:text>
    </x:comment>
    <x:comment ref="P45" authorId="0">
      <x:text>
        <x:r>
          <x:t>Total stockholders equity (FY:28 E).
Common stock and paid-in capital plus retained earnings and accumulated other comprehensive income.
Formula: =SUM(P42:P44)
Cross-sheet references identify the owning schedule. Same-sheet references identify intermediate calculations.</x:t>
        </x:r>
      </x:text>
    </x:comment>
    <x:comment ref="Q45" authorId="0">
      <x:text>
        <x:r>
          <x:t>Total stockholders equity (FY:29 E).
Common stock and paid-in capital plus retained earnings and accumulated other comprehensive income.
Formula: =SUM(Q42:Q44)
Cross-sheet references identify the owning schedule. Same-sheet references identify intermediate calculations.</x:t>
        </x:r>
      </x:text>
    </x:comment>
    <x:comment ref="R45" authorId="0">
      <x:text>
        <x:r>
          <x:t>Total stockholders equity (FY:30 E).
Common stock and paid-in capital plus retained earnings and accumulated other comprehensive income.
Formula: =SUM(R42:R44)
Cross-sheet references identify the owning schedule. Same-sheet references identify intermediate calculations.</x:t>
        </x:r>
      </x:text>
    </x:comment>
    <x:comment ref="S45" authorId="0">
      <x:text>
        <x:r>
          <x:t>Total stockholders equity (FY:31 E).
Common stock and paid-in capital plus retained earnings and accumulated other comprehensive income.
Formula: =SUM(S42:S44)
Cross-sheet references identify the owning schedule. Same-sheet references identify intermediate calculations.</x:t>
        </x:r>
      </x:text>
    </x:comment>
    <x:comment ref="C47" authorId="0">
      <x:text>
        <x:r>
          <x:t>Total liabilities plus stockholders equity. It must equal total assets under the independent balance-sheet check.</x:t>
        </x:r>
      </x:text>
    </x:comment>
    <x:comment ref="E47" authorId="0">
      <x:text>
        <x:r>
          <x:t>Total liabilities and stockholders equity (FY:17 A).
Total liabilities plus stockholders equity. It must equal total assets under the independent balance-sheet check.
Formula: =E40+E45
Cross-sheet references identify the owning schedule. Same-sheet references identify intermediate calculations.</x:t>
        </x:r>
      </x:text>
    </x:comment>
    <x:comment ref="F47" authorId="0">
      <x:text>
        <x:r>
          <x:t>Total liabilities and stockholders equity (FY:18 A).
Total liabilities plus stockholders equity. It must equal total assets under the independent balance-sheet check.
Formula: =F40+F45
Cross-sheet references identify the owning schedule. Same-sheet references identify intermediate calculations.</x:t>
        </x:r>
      </x:text>
    </x:comment>
    <x:comment ref="G47" authorId="0">
      <x:text>
        <x:r>
          <x:t>Total liabilities and stockholders equity (FY:19 A).
Total liabilities plus stockholders equity. It must equal total assets under the independent balance-sheet check.
Formula: =G40+G45
Cross-sheet references identify the owning schedule. Same-sheet references identify intermediate calculations.</x:t>
        </x:r>
      </x:text>
    </x:comment>
    <x:comment ref="H47" authorId="0">
      <x:text>
        <x:r>
          <x:t>Total liabilities and stockholders equity (FY:20 A).
Total liabilities plus stockholders equity. It must equal total assets under the independent balance-sheet check.
Formula: =H40+H45
Cross-sheet references identify the owning schedule. Same-sheet references identify intermediate calculations.</x:t>
        </x:r>
      </x:text>
    </x:comment>
    <x:comment ref="I47" authorId="0">
      <x:text>
        <x:r>
          <x:t>Total liabilities and stockholders equity (FY:21 A).
Total liabilities plus stockholders equity. It must equal total assets under the independent balance-sheet check.
Formula: =I40+I45
Cross-sheet references identify the owning schedule. Same-sheet references identify intermediate calculations.</x:t>
        </x:r>
      </x:text>
    </x:comment>
    <x:comment ref="J47" authorId="0">
      <x:text>
        <x:r>
          <x:t>Total liabilities and stockholders equity (FY:22 A).
Total liabilities plus stockholders equity. It must equal total assets under the independent balance-sheet check.
Formula: =J40+J45
Cross-sheet references identify the owning schedule. Same-sheet references identify intermediate calculations.</x:t>
        </x:r>
      </x:text>
    </x:comment>
    <x:comment ref="K47" authorId="0">
      <x:text>
        <x:r>
          <x:t>Total liabilities and stockholders equity (FY:23 A).
Total liabilities plus stockholders equity. It must equal total assets under the independent balance-sheet check.
Formula: =K40+K45
Cross-sheet references identify the owning schedule. Same-sheet references identify intermediate calculations.</x:t>
        </x:r>
      </x:text>
    </x:comment>
    <x:comment ref="L47" authorId="0">
      <x:text>
        <x:r>
          <x:t>Total liabilities and stockholders equity (FY:24 A).
Total liabilities plus stockholders equity. It must equal total assets under the independent balance-sheet check.
Formula: =L40+L45
Cross-sheet references identify the owning schedule. Same-sheet references identify intermediate calculations.</x:t>
        </x:r>
      </x:text>
    </x:comment>
    <x:comment ref="M47" authorId="0">
      <x:text>
        <x:r>
          <x:t>Total liabilities and stockholders equity (FY:25 A).
Total liabilities plus stockholders equity. It must equal total assets under the independent balance-sheet check.
Formula: =M40+M45
Cross-sheet references identify the owning schedule. Same-sheet references identify intermediate calculations.</x:t>
        </x:r>
      </x:text>
    </x:comment>
    <x:comment ref="N47" authorId="0">
      <x:text>
        <x:r>
          <x:t>Total liabilities and stockholders equity (FY:26 A).
Total liabilities plus stockholders equity. It must equal total assets under the independent balance-sheet check.
Formula: =N40+N45
Cross-sheet references identify the owning schedule. Same-sheet references identify intermediate calculations.</x:t>
        </x:r>
      </x:text>
    </x:comment>
    <x:comment ref="O47" authorId="0">
      <x:text>
        <x:r>
          <x:t>Total liabilities and stockholders equity (FY:27 E).
Total liabilities plus stockholders equity. It must equal total assets under the independent balance-sheet check.
Formula: =O40+O45
Cross-sheet references identify the owning schedule. Same-sheet references identify intermediate calculations.</x:t>
        </x:r>
      </x:text>
    </x:comment>
    <x:comment ref="P47" authorId="0">
      <x:text>
        <x:r>
          <x:t>Total liabilities and stockholders equity (FY:28 E).
Total liabilities plus stockholders equity. It must equal total assets under the independent balance-sheet check.
Formula: =P40+P45
Cross-sheet references identify the owning schedule. Same-sheet references identify intermediate calculations.</x:t>
        </x:r>
      </x:text>
    </x:comment>
    <x:comment ref="Q47" authorId="0">
      <x:text>
        <x:r>
          <x:t>Total liabilities and stockholders equity (FY:29 E).
Total liabilities plus stockholders equity. It must equal total assets under the independent balance-sheet check.
Formula: =Q40+Q45
Cross-sheet references identify the owning schedule. Same-sheet references identify intermediate calculations.</x:t>
        </x:r>
      </x:text>
    </x:comment>
    <x:comment ref="R47" authorId="0">
      <x:text>
        <x:r>
          <x:t>Total liabilities and stockholders equity (FY:30 E).
Total liabilities plus stockholders equity. It must equal total assets under the independent balance-sheet check.
Formula: =R40+R45
Cross-sheet references identify the owning schedule. Same-sheet references identify intermediate calculations.</x:t>
        </x:r>
      </x:text>
    </x:comment>
    <x:comment ref="S47" authorId="0">
      <x:text>
        <x:r>
          <x:t>Total liabilities and stockholders equity (FY:31 E).
Total liabilities plus stockholders equity. It must equal total assets under the independent balance-sheet check.
Formula: =S40+S45
Cross-sheet references identify the owning schedule. Same-sheet references identify intermediate calculations.</x:t>
        </x:r>
      </x:text>
    </x:comment>
    <x:comment ref="C67" authorId="0">
      <x:text>
        <x:r>
          <x:t>Live analytical observation. This formula reads the existing statement or schedule and updates with the selected case. ="FY2031 net PPE represents "&amp;(FIXED((S16/S22)*100,1,TRUE)&amp;"%")&amp;" of assets; cash and short-term investments represent "&amp;(FIXED((S10/S22)*100,1,TRUE)&amp;"%")&amp;"."</x:t>
        </x:r>
      </x:text>
    </x:comment>
    <x:comment ref="C68" authorId="0">
      <x:text>
        <x:r>
          <x:t>Live analytical observation. This formula reads the existing statement or schedule and updates with the selected case. ="FY2031 equity funds "&amp;(FIXED((S45/S22)*100,1,TRUE)&amp;"%")&amp;" of total assets under the selected payout assumptions."</x:t>
        </x:r>
      </x:text>
    </x:comment>
    <x:comment ref="C69" authorId="0">
      <x:text>
        <x:r>
          <x:t>Live analytical observation. This formula reads the existing statement or schedule and updates with the selected case. ="FY2031 current assets / current liabilities: "&amp;FIXED(S14/S32,2,TRUE)&amp;"x. Cash remains linked to the cash-flow statement."</x:t>
        </x:r>
      </x:text>
    </x:comment>
    <x:comment ref="C93" authorId="0">
      <x:text>
        <x:r>
          <x:t>Asset composition (USD billions). Formula-linked chart data. A means actual and E means the active-case estimate. Unavailable historical observations remain blank.</x:t>
        </x:r>
      </x:text>
    </x:comment>
    <x:comment ref="C112" authorId="0">
      <x:text>
        <x:r>
          <x:t>Liability and equity funding (USD billions). Formula-linked chart data. A means actual and E means the active-case estimate. Unavailable historical observations remain blank.</x:t>
        </x:r>
      </x:text>
    </x:comment>
  </x:commentList>
</x:comments>
</file>

<file path=xl/comments9.xml><?xml version="1.0" encoding="utf-8"?>
<x:comments xmlns:x="http://schemas.openxmlformats.org/spreadsheetml/2006/main">
  <x:authors>
    <x:author>Goran Brkich</x:author>
  </x:authors>
  <x:commentList>
    <x:comment ref="C2" authorId="0">
      <x:text>
        <x:r>
          <x:t>Cash Flow.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Income before taxes less income tax expense. It includes noncash items, so it differs from operating cash flow.</x:t>
        </x:r>
      </x:text>
    </x:comment>
    <x:comment ref="E8" authorId="0">
      <x:text>
        <x:r>
          <x:t>Net income (FY:17 A).
Income before taxes less income tax expense. It includes noncash items, so it differs from operating cash flow.
Formula: ='Historical Inputs'!E66
Cross-sheet references identify the owning schedule. Same-sheet references identify intermediate calculations.</x:t>
        </x:r>
      </x:text>
    </x:comment>
    <x:comment ref="F8" authorId="0">
      <x:text>
        <x:r>
          <x:t>Net income (FY:18 A).
Income before taxes less income tax expense. It includes noncash items, so it differs from operating cash flow.
Formula: ='Historical Inputs'!F66
Cross-sheet references identify the owning schedule. Same-sheet references identify intermediate calculations.</x:t>
        </x:r>
      </x:text>
    </x:comment>
    <x:comment ref="G8" authorId="0">
      <x:text>
        <x:r>
          <x:t>Net income (FY:19 A).
Income before taxes less income tax expense. It includes noncash items, so it differs from operating cash flow.
Formula: ='Historical Inputs'!G66
Cross-sheet references identify the owning schedule. Same-sheet references identify intermediate calculations.</x:t>
        </x:r>
      </x:text>
    </x:comment>
    <x:comment ref="H8" authorId="0">
      <x:text>
        <x:r>
          <x:t>Net income (FY:20 A).
Income before taxes less income tax expense. It includes noncash items, so it differs from operating cash flow.
Formula: ='Historical Inputs'!H66
Cross-sheet references identify the owning schedule. Same-sheet references identify intermediate calculations.</x:t>
        </x:r>
      </x:text>
    </x:comment>
    <x:comment ref="I8" authorId="0">
      <x:text>
        <x:r>
          <x:t>Net income (FY:21 A).
Income before taxes less income tax expense. It includes noncash items, so it differs from operating cash flow.
Formula: ='Historical Inputs'!I66
Cross-sheet references identify the owning schedule. Same-sheet references identify intermediate calculations.</x:t>
        </x:r>
      </x:text>
    </x:comment>
    <x:comment ref="J8" authorId="0">
      <x:text>
        <x:r>
          <x:t>Net income (FY:22 A).
Income before taxes less income tax expense. It includes noncash items, so it differs from operating cash flow.
Formula: ='Historical Inputs'!J66
Cross-sheet references identify the owning schedule. Same-sheet references identify intermediate calculations.</x:t>
        </x:r>
      </x:text>
    </x:comment>
    <x:comment ref="K8" authorId="0">
      <x:text>
        <x:r>
          <x:t>Net income (FY:23 A).
Income before taxes less income tax expense. It includes noncash items, so it differs from operating cash flow.
Formula: ='Historical Inputs'!K66
Cross-sheet references identify the owning schedule. Same-sheet references identify intermediate calculations.</x:t>
        </x:r>
      </x:text>
    </x:comment>
    <x:comment ref="L8" authorId="0">
      <x:text>
        <x:r>
          <x:t>Net income (FY:24 A).
Income before taxes less income tax expense. It includes noncash items, so it differs from operating cash flow.
Formula: ='Historical Inputs'!L66
Cross-sheet references identify the owning schedule. Same-sheet references identify intermediate calculations.</x:t>
        </x:r>
      </x:text>
    </x:comment>
    <x:comment ref="M8" authorId="0">
      <x:text>
        <x:r>
          <x:t>Net income (FY:25 A).
Income before taxes less income tax expense. It includes noncash items, so it differs from operating cash flow.
Formula: ='Historical Inputs'!M66
Cross-sheet references identify the owning schedule. Same-sheet references identify intermediate calculations.</x:t>
        </x:r>
      </x:text>
    </x:comment>
    <x:comment ref="N8" authorId="0">
      <x:text>
        <x:r>
          <x:t>Net income (FY:26 A).
Income before taxes less income tax expense. It includes noncash items, so it differs from operating cash flow.
Formula: ='Historical Inputs'!N66
Cross-sheet references identify the owning schedule. Same-sheet references identify intermediate calculations.</x:t>
        </x:r>
      </x:text>
    </x:comment>
    <x:comment ref="O8" authorId="0">
      <x:text>
        <x:r>
          <x:t>Net income (FY:27 E).
Income before taxes less income tax expense. It includes noncash items, so it differs from operating cash flow.
Formula: ='Income Statement'!O28
Cross-sheet references identify the owning schedule. Same-sheet references identify intermediate calculations.</x:t>
        </x:r>
      </x:text>
    </x:comment>
    <x:comment ref="P8" authorId="0">
      <x:text>
        <x:r>
          <x:t>Net income (FY:28 E).
Income before taxes less income tax expense. It includes noncash items, so it differs from operating cash flow.
Formula: ='Income Statement'!P28
Cross-sheet references identify the owning schedule. Same-sheet references identify intermediate calculations.</x:t>
        </x:r>
      </x:text>
    </x:comment>
    <x:comment ref="Q8" authorId="0">
      <x:text>
        <x:r>
          <x:t>Net income (FY:29 E).
Income before taxes less income tax expense. It includes noncash items, so it differs from operating cash flow.
Formula: ='Income Statement'!Q28
Cross-sheet references identify the owning schedule. Same-sheet references identify intermediate calculations.</x:t>
        </x:r>
      </x:text>
    </x:comment>
    <x:comment ref="R8" authorId="0">
      <x:text>
        <x:r>
          <x:t>Net income (FY:30 E).
Income before taxes less income tax expense. It includes noncash items, so it differs from operating cash flow.
Formula: ='Income Statement'!R28
Cross-sheet references identify the owning schedule. Same-sheet references identify intermediate calculations.</x:t>
        </x:r>
      </x:text>
    </x:comment>
    <x:comment ref="S8" authorId="0">
      <x:text>
        <x:r>
          <x:t>Net income (FY:31 E).
Income before taxes less income tax expense. It includes noncash items, so it differs from operating cash flow.
Formula: ='Income Statement'!S28
Cross-sheet references identify the owning schedule. Same-sheet references identify intermediate calculations.</x:t>
        </x:r>
      </x:text>
    </x:comment>
    <x:comment ref="C9" authorId="0">
      <x:text>
        <x:r>
          <x:t>Noncash expense for PPE. Forecast legacy assets and new annual cohorts use the useful-life inputs and half-year convention. Expense reduces asset carrying value and is added back once in operating cash flow.</x:t>
        </x:r>
      </x:text>
    </x:comment>
    <x:comment ref="E9" authorId="0">
      <x:text>
        <x:r>
          <x:t>PPE depreciation (FY:17 A).
Noncash expense for PPE. Forecast legacy assets and new annual cohorts use the useful-life inputs and half-year convention. Expense reduces asset carrying value and is added back once in operating cash flow.
Formula: ='Filing Notes'!E8
Cross-sheet references identify the owning schedule. Same-sheet references identify intermediate calculations.</x:t>
        </x:r>
      </x:text>
    </x:comment>
    <x:comment ref="F9" authorId="0">
      <x:text>
        <x:r>
          <x:t>PPE depreciation (FY:18 A).
Noncash expense for PPE. Forecast legacy assets and new annual cohorts use the useful-life inputs and half-year convention. Expense reduces asset carrying value and is added back once in operating cash flow.
Formula: ='Filing Notes'!F8
Cross-sheet references identify the owning schedule. Same-sheet references identify intermediate calculations.</x:t>
        </x:r>
      </x:text>
    </x:comment>
    <x:comment ref="G9" authorId="0">
      <x:text>
        <x:r>
          <x:t>PPE depreciation (FY:19 A).
Noncash expense for PPE. Forecast legacy assets and new annual cohorts use the useful-life inputs and half-year convention. Expense reduces asset carrying value and is added back once in operating cash flow.
Formula: ='Filing Notes'!G8
Cross-sheet references identify the owning schedule. Same-sheet references identify intermediate calculations.</x:t>
        </x:r>
      </x:text>
    </x:comment>
    <x:comment ref="H9" authorId="0">
      <x:text>
        <x:r>
          <x:t>PPE depreciation (FY:20 A).
Noncash expense for PPE. Forecast legacy assets and new annual cohorts use the useful-life inputs and half-year convention. Expense reduces asset carrying value and is added back once in operating cash flow.
Formula: ='Filing Notes'!H8
Cross-sheet references identify the owning schedule. Same-sheet references identify intermediate calculations.</x:t>
        </x:r>
      </x:text>
    </x:comment>
    <x:comment ref="I9" authorId="0">
      <x:text>
        <x:r>
          <x:t>PPE depreciation (FY:21 A).
Noncash expense for PPE. Forecast legacy assets and new annual cohorts use the useful-life inputs and half-year convention. Expense reduces asset carrying value and is added back once in operating cash flow.
Formula: ='Filing Notes'!I8
Cross-sheet references identify the owning schedule. Same-sheet references identify intermediate calculations.</x:t>
        </x:r>
      </x:text>
    </x:comment>
    <x:comment ref="J9" authorId="0">
      <x:text>
        <x:r>
          <x:t>PPE depreciation (FY:22 A).
Noncash expense for PPE. Forecast legacy assets and new annual cohorts use the useful-life inputs and half-year convention. Expense reduces asset carrying value and is added back once in operating cash flow.
Formula: ='Filing Notes'!J8
Cross-sheet references identify the owning schedule. Same-sheet references identify intermediate calculations.</x:t>
        </x:r>
      </x:text>
    </x:comment>
    <x:comment ref="K9" authorId="0">
      <x:text>
        <x:r>
          <x:t>PPE depreciation (FY:23 A).
Noncash expense for PPE. Forecast legacy assets and new annual cohorts use the useful-life inputs and half-year convention. Expense reduces asset carrying value and is added back once in operating cash flow.
Formula: ='Filing Notes'!K8
Cross-sheet references identify the owning schedule. Same-sheet references identify intermediate calculations.</x:t>
        </x:r>
      </x:text>
    </x:comment>
    <x:comment ref="L9" authorId="0">
      <x:text>
        <x:r>
          <x:t>PPE depreciation (FY:24 A).
Noncash expense for PPE. Forecast legacy assets and new annual cohorts use the useful-life inputs and half-year convention. Expense reduces asset carrying value and is added back once in operating cash flow.
Formula: ='Filing Notes'!L8
Cross-sheet references identify the owning schedule. Same-sheet references identify intermediate calculations.</x:t>
        </x:r>
      </x:text>
    </x:comment>
    <x:comment ref="M9" authorId="0">
      <x:text>
        <x:r>
          <x:t>PPE depreciation (FY:25 A).
Noncash expense for PPE. Forecast legacy assets and new annual cohorts use the useful-life inputs and half-year convention. Expense reduces asset carrying value and is added back once in operating cash flow.
Formula: ='Filing Notes'!M8
Cross-sheet references identify the owning schedule. Same-sheet references identify intermediate calculations.</x:t>
        </x:r>
      </x:text>
    </x:comment>
    <x:comment ref="N9" authorId="0">
      <x:text>
        <x:r>
          <x:t>PPE depreciation (FY:26 A).
Noncash expense for PPE. Forecast legacy assets and new annual cohorts use the useful-life inputs and half-year convention. Expense reduces asset carrying value and is added back once in operating cash flow.
Formula: ='Filing Notes'!N8
Cross-sheet references identify the owning schedule. Same-sheet references identify intermediate calculations.</x:t>
        </x:r>
      </x:text>
    </x:comment>
    <x:comment ref="O9" authorId="0">
      <x:text>
        <x:r>
          <x:t>PPE depreciation (FY:27 E).
Noncash expense for PPE. Forecast legacy assets and new annual cohorts use the useful-life inputs and half-year convention. Expense reduces asset carrying value and is added back once in operating cash flow.
Formula: ='PPE and Intangibles'!O21
Cross-sheet references identify the owning schedule. Same-sheet references identify intermediate calculations.</x:t>
        </x:r>
      </x:text>
    </x:comment>
    <x:comment ref="P9" authorId="0">
      <x:text>
        <x:r>
          <x:t>PPE depreciation (FY:28 E).
Noncash expense for PPE. Forecast legacy assets and new annual cohorts use the useful-life inputs and half-year convention. Expense reduces asset carrying value and is added back once in operating cash flow.
Formula: ='PPE and Intangibles'!P21
Cross-sheet references identify the owning schedule. Same-sheet references identify intermediate calculations.</x:t>
        </x:r>
      </x:text>
    </x:comment>
    <x:comment ref="Q9" authorId="0">
      <x:text>
        <x:r>
          <x:t>PPE depreciation (FY:29 E).
Noncash expense for PPE. Forecast legacy assets and new annual cohorts use the useful-life inputs and half-year convention. Expense reduces asset carrying value and is added back once in operating cash flow.
Formula: ='PPE and Intangibles'!Q21
Cross-sheet references identify the owning schedule. Same-sheet references identify intermediate calculations.</x:t>
        </x:r>
      </x:text>
    </x:comment>
    <x:comment ref="R9" authorId="0">
      <x:text>
        <x:r>
          <x:t>PPE depreciation (FY:30 E).
Noncash expense for PPE. Forecast legacy assets and new annual cohorts use the useful-life inputs and half-year convention. Expense reduces asset carrying value and is added back once in operating cash flow.
Formula: ='PPE and Intangibles'!R21
Cross-sheet references identify the owning schedule. Same-sheet references identify intermediate calculations.</x:t>
        </x:r>
      </x:text>
    </x:comment>
    <x:comment ref="S9" authorId="0">
      <x:text>
        <x:r>
          <x:t>PPE depreciation (FY:31 E).
Noncash expense for PPE. Forecast legacy assets and new annual cohorts use the useful-life inputs and half-year convention. Expense reduces asset carrying value and is added back once in operating cash flow.
Formula: ='PPE and Intangibles'!S21
Cross-sheet references identify the owning schedule. Same-sheet references identify intermediate calculations.</x:t>
        </x:r>
      </x:text>
    </x:comment>
    <x:comment ref="C10" authorId="0">
      <x:text>
        <x:r>
          <x:t>Noncash intangible expense. Forecast amortization follows the expected schedule disclosed in the FY2026 filing, subject to the remaining asset balance.</x:t>
        </x:r>
      </x:text>
    </x:comment>
    <x:comment ref="E10" authorId="0">
      <x:text>
        <x:r>
          <x:t>Intangible amortization (FY:17 A).
Noncash intangible expense. Forecast amortization follows the expected schedule disclosed in the FY2026 filing, subject to the remaining asset balance.
Formula: ='Filing Notes'!E9
Cross-sheet references identify the owning schedule. Same-sheet references identify intermediate calculations.</x:t>
        </x:r>
      </x:text>
    </x:comment>
    <x:comment ref="F10" authorId="0">
      <x:text>
        <x:r>
          <x:t>Intangible amortization (FY:18 A).
Noncash intangible expense. Forecast amortization follows the expected schedule disclosed in the FY2026 filing, subject to the remaining asset balance.
Formula: ='Filing Notes'!F9
Cross-sheet references identify the owning schedule. Same-sheet references identify intermediate calculations.</x:t>
        </x:r>
      </x:text>
    </x:comment>
    <x:comment ref="G10" authorId="0">
      <x:text>
        <x:r>
          <x:t>Intangible amortization (FY:19 A).
Noncash intangible expense. Forecast amortization follows the expected schedule disclosed in the FY2026 filing, subject to the remaining asset balance.
Formula: ='Filing Notes'!G9
Cross-sheet references identify the owning schedule. Same-sheet references identify intermediate calculations.</x:t>
        </x:r>
      </x:text>
    </x:comment>
    <x:comment ref="H10" authorId="0">
      <x:text>
        <x:r>
          <x:t>Intangible amortization (FY:20 A).
Noncash intangible expense. Forecast amortization follows the expected schedule disclosed in the FY2026 filing, subject to the remaining asset balance.
Formula: ='Filing Notes'!H9
Cross-sheet references identify the owning schedule. Same-sheet references identify intermediate calculations.</x:t>
        </x:r>
      </x:text>
    </x:comment>
    <x:comment ref="I10" authorId="0">
      <x:text>
        <x:r>
          <x:t>Intangible amortization (FY:21 A).
Noncash intangible expense. Forecast amortization follows the expected schedule disclosed in the FY2026 filing, subject to the remaining asset balance.
Formula: ='Filing Notes'!I9
Cross-sheet references identify the owning schedule. Same-sheet references identify intermediate calculations.</x:t>
        </x:r>
      </x:text>
    </x:comment>
    <x:comment ref="J10" authorId="0">
      <x:text>
        <x:r>
          <x:t>Intangible amortization (FY:22 A).
Noncash intangible expense. Forecast amortization follows the expected schedule disclosed in the FY2026 filing, subject to the remaining asset balance.
Formula: ='Filing Notes'!J9
Cross-sheet references identify the owning schedule. Same-sheet references identify intermediate calculations.</x:t>
        </x:r>
      </x:text>
    </x:comment>
    <x:comment ref="K10" authorId="0">
      <x:text>
        <x:r>
          <x:t>Intangible amortization (FY:23 A).
Noncash intangible expense. Forecast amortization follows the expected schedule disclosed in the FY2026 filing, subject to the remaining asset balance.
Formula: ='Filing Notes'!K9
Cross-sheet references identify the owning schedule. Same-sheet references identify intermediate calculations.</x:t>
        </x:r>
      </x:text>
    </x:comment>
    <x:comment ref="L10" authorId="0">
      <x:text>
        <x:r>
          <x:t>Intangible amortization (FY:24 A).
Noncash intangible expense. Forecast amortization follows the expected schedule disclosed in the FY2026 filing, subject to the remaining asset balance.
Formula: ='Filing Notes'!L9
Cross-sheet references identify the owning schedule. Same-sheet references identify intermediate calculations.</x:t>
        </x:r>
      </x:text>
    </x:comment>
    <x:comment ref="M10" authorId="0">
      <x:text>
        <x:r>
          <x:t>Intangible amortization (FY:25 A).
Noncash intangible expense. Forecast amortization follows the expected schedule disclosed in the FY2026 filing, subject to the remaining asset balance.
Formula: ='Filing Notes'!M9
Cross-sheet references identify the owning schedule. Same-sheet references identify intermediate calculations.</x:t>
        </x:r>
      </x:text>
    </x:comment>
    <x:comment ref="N10" authorId="0">
      <x:text>
        <x:r>
          <x:t>Intangible amortization (FY:26 A).
Noncash intangible expense. Forecast amortization follows the expected schedule disclosed in the FY2026 filing, subject to the remaining asset balance.
Formula: ='Filing Notes'!N9
Cross-sheet references identify the owning schedule. Same-sheet references identify intermediate calculations.</x:t>
        </x:r>
      </x:text>
    </x:comment>
    <x:comment ref="O10" authorId="0">
      <x:text>
        <x:r>
          <x:t>Intangible amortization (FY:27 E).
Noncash intangible expense. Forecast amortization follows the expected schedule disclosed in the FY2026 filing, subject to the remaining asset balance.
Formula: ='PPE and Intangibles'!O42
Cross-sheet references identify the owning schedule. Same-sheet references identify intermediate calculations.</x:t>
        </x:r>
      </x:text>
    </x:comment>
    <x:comment ref="P10" authorId="0">
      <x:text>
        <x:r>
          <x:t>Intangible amortization (FY:28 E).
Noncash intangible expense. Forecast amortization follows the expected schedule disclosed in the FY2026 filing, subject to the remaining asset balance.
Formula: ='PPE and Intangibles'!P42
Cross-sheet references identify the owning schedule. Same-sheet references identify intermediate calculations.</x:t>
        </x:r>
      </x:text>
    </x:comment>
    <x:comment ref="Q10" authorId="0">
      <x:text>
        <x:r>
          <x:t>Intangible amortization (FY:29 E).
Noncash intangible expense. Forecast amortization follows the expected schedule disclosed in the FY2026 filing, subject to the remaining asset balance.
Formula: ='PPE and Intangibles'!Q42
Cross-sheet references identify the owning schedule. Same-sheet references identify intermediate calculations.</x:t>
        </x:r>
      </x:text>
    </x:comment>
    <x:comment ref="R10" authorId="0">
      <x:text>
        <x:r>
          <x:t>Intangible amortization (FY:30 E).
Noncash intangible expense. Forecast amortization follows the expected schedule disclosed in the FY2026 filing, subject to the remaining asset balance.
Formula: ='PPE and Intangibles'!R42
Cross-sheet references identify the owning schedule. Same-sheet references identify intermediate calculations.</x:t>
        </x:r>
      </x:text>
    </x:comment>
    <x:comment ref="S10" authorId="0">
      <x:text>
        <x:r>
          <x:t>Intangible amortization (FY:31 E).
Noncash intangible expense. Forecast amortization follows the expected schedule disclosed in the FY2026 filing, subject to the remaining asset balance.
Formula: ='PPE and Intangibles'!S42
Cross-sheet references identify the owning schedule. Same-sheet references identify intermediate calculations.</x:t>
        </x:r>
      </x:text>
    </x:comment>
    <x:comment ref="C11" authorId="0">
      <x:text>
        <x:r>
          <x:t>Noncash expense for PPE. Forecast legacy assets and new annual cohorts use the useful-life inputs and half-year convention. Expense reduces asset carrying value and is added back once in operating cash flow.</x:t>
        </x:r>
      </x:text>
    </x:comment>
    <x:comment ref="E11" authorId="0">
      <x:text>
        <x:r>
          <x:t>Other depreciation adjustments and impairments (FY:17 A).
Noncash expense for PPE. Forecast legacy assets and new annual cohorts use the useful-life inputs and half-year convention. Expense reduces asset carrying value and is added back once in operating cash flow.
Formula: ='Historical Inputs'!E67-E9-E10+'Historical Inputs'!E100
Cross-sheet references identify the owning schedule. Same-sheet references identify intermediate calculations.</x:t>
        </x:r>
      </x:text>
    </x:comment>
    <x:comment ref="F11" authorId="0">
      <x:text>
        <x:r>
          <x:t>Other depreciation adjustments and impairments (FY:18 A).
Noncash expense for PPE. Forecast legacy assets and new annual cohorts use the useful-life inputs and half-year convention. Expense reduces asset carrying value and is added back once in operating cash flow.
Formula: ='Historical Inputs'!F67-F9-F10+'Historical Inputs'!F100
Cross-sheet references identify the owning schedule. Same-sheet references identify intermediate calculations.</x:t>
        </x:r>
      </x:text>
    </x:comment>
    <x:comment ref="G11" authorId="0">
      <x:text>
        <x:r>
          <x:t>Other depreciation adjustments and impairments (FY:19 A).
Noncash expense for PPE. Forecast legacy assets and new annual cohorts use the useful-life inputs and half-year convention. Expense reduces asset carrying value and is added back once in operating cash flow.
Formula: ='Historical Inputs'!G67-G9-G10+'Historical Inputs'!G100
Cross-sheet references identify the owning schedule. Same-sheet references identify intermediate calculations.</x:t>
        </x:r>
      </x:text>
    </x:comment>
    <x:comment ref="H11" authorId="0">
      <x:text>
        <x:r>
          <x:t>Other depreciation adjustments and impairments (FY:20 A).
Noncash expense for PPE. Forecast legacy assets and new annual cohorts use the useful-life inputs and half-year convention. Expense reduces asset carrying value and is added back once in operating cash flow.
Formula: ='Historical Inputs'!H67-H9-H10+'Historical Inputs'!H100
Cross-sheet references identify the owning schedule. Same-sheet references identify intermediate calculations.</x:t>
        </x:r>
      </x:text>
    </x:comment>
    <x:comment ref="I11" authorId="0">
      <x:text>
        <x:r>
          <x:t>Other depreciation adjustments and impairments (FY:21 A).
Noncash expense for PPE. Forecast legacy assets and new annual cohorts use the useful-life inputs and half-year convention. Expense reduces asset carrying value and is added back once in operating cash flow.
Formula: ='Historical Inputs'!I67-I9-I10+'Historical Inputs'!I100
Cross-sheet references identify the owning schedule. Same-sheet references identify intermediate calculations.</x:t>
        </x:r>
      </x:text>
    </x:comment>
    <x:comment ref="J11" authorId="0">
      <x:text>
        <x:r>
          <x:t>Other depreciation adjustments and impairments (FY:22 A).
Noncash expense for PPE. Forecast legacy assets and new annual cohorts use the useful-life inputs and half-year convention. Expense reduces asset carrying value and is added back once in operating cash flow.
Formula: ='Historical Inputs'!J67-J9-J10+'Historical Inputs'!J100
Cross-sheet references identify the owning schedule. Same-sheet references identify intermediate calculations.</x:t>
        </x:r>
      </x:text>
    </x:comment>
    <x:comment ref="K11" authorId="0">
      <x:text>
        <x:r>
          <x:t>Other depreciation adjustments and impairments (FY:23 A).
Noncash expense for PPE. Forecast legacy assets and new annual cohorts use the useful-life inputs and half-year convention. Expense reduces asset carrying value and is added back once in operating cash flow.
Formula: ='Historical Inputs'!K67-K9-K10+'Historical Inputs'!K100
Cross-sheet references identify the owning schedule. Same-sheet references identify intermediate calculations.</x:t>
        </x:r>
      </x:text>
    </x:comment>
    <x:comment ref="L11" authorId="0">
      <x:text>
        <x:r>
          <x:t>Other depreciation adjustments and impairments (FY:24 A).
Noncash expense for PPE. Forecast legacy assets and new annual cohorts use the useful-life inputs and half-year convention. Expense reduces asset carrying value and is added back once in operating cash flow.
Formula: ='Historical Inputs'!L67-L9-L10+'Historical Inputs'!L100
Cross-sheet references identify the owning schedule. Same-sheet references identify intermediate calculations.</x:t>
        </x:r>
      </x:text>
    </x:comment>
    <x:comment ref="M11" authorId="0">
      <x:text>
        <x:r>
          <x:t>Other depreciation adjustments and impairments (FY:25 A).
Noncash expense for PPE. Forecast legacy assets and new annual cohorts use the useful-life inputs and half-year convention. Expense reduces asset carrying value and is added back once in operating cash flow.
Formula: ='Historical Inputs'!M67-M9-M10+'Historical Inputs'!M100
Cross-sheet references identify the owning schedule. Same-sheet references identify intermediate calculations.</x:t>
        </x:r>
      </x:text>
    </x:comment>
    <x:comment ref="N11" authorId="0">
      <x:text>
        <x:r>
          <x:t>Other depreciation adjustments and impairments (FY:26 A).
Noncash expense for PPE. Forecast legacy assets and new annual cohorts use the useful-life inputs and half-year convention. Expense reduces asset carrying value and is added back once in operating cash flow.
Formula: ='Historical Inputs'!N67-N9-N10+'Historical Inputs'!N100
Cross-sheet references identify the owning schedule. Same-sheet references identify intermediate calculations.</x:t>
        </x:r>
      </x:text>
    </x:comment>
    <x:comment ref="O11" authorId="0">
      <x:text>
        <x:r>
          <x:t>Other depreciation adjustments and impairments (FY:27 E).
Noncash expense for PPE. Forecast legacy assets and new annual cohorts use the useful-life inputs and half-year convention. Expense reduces asset carrying value and is added back once in operating cash flow.
Formula: =0
Cross-sheet references identify the owning schedule. Same-sheet references identify intermediate calculations.</x:t>
        </x:r>
      </x:text>
    </x:comment>
    <x:comment ref="P11" authorId="0">
      <x:text>
        <x:r>
          <x:t>Other depreciation adjustments and impairments (FY:28 E).
Noncash expense for PPE. Forecast legacy assets and new annual cohorts use the useful-life inputs and half-year convention. Expense reduces asset carrying value and is added back once in operating cash flow.
Formula: =0
Cross-sheet references identify the owning schedule. Same-sheet references identify intermediate calculations.</x:t>
        </x:r>
      </x:text>
    </x:comment>
    <x:comment ref="Q11" authorId="0">
      <x:text>
        <x:r>
          <x:t>Other depreciation adjustments and impairments (FY:29 E).
Noncash expense for PPE. Forecast legacy assets and new annual cohorts use the useful-life inputs and half-year convention. Expense reduces asset carrying value and is added back once in operating cash flow.
Formula: =0
Cross-sheet references identify the owning schedule. Same-sheet references identify intermediate calculations.</x:t>
        </x:r>
      </x:text>
    </x:comment>
    <x:comment ref="R11" authorId="0">
      <x:text>
        <x:r>
          <x:t>Other depreciation adjustments and impairments (FY:30 E).
Noncash expense for PPE. Forecast legacy assets and new annual cohorts use the useful-life inputs and half-year convention. Expense reduces asset carrying value and is added back once in operating cash flow.
Formula: =0
Cross-sheet references identify the owning schedule. Same-sheet references identify intermediate calculations.</x:t>
        </x:r>
      </x:text>
    </x:comment>
    <x:comment ref="S11" authorId="0">
      <x:text>
        <x:r>
          <x:t>Other depreciation adjustments and impairments (FY:31 E).
Noncash expense for PPE. Forecast legacy assets and new annual cohorts use the useful-life inputs and half-year convention. Expense reduces asset carrying value and is added back once in operating cash flow.
Formula: =0
Cross-sheet references identify the owning schedule. Same-sheet references identify intermediate calculations.</x:t>
        </x:r>
      </x:text>
    </x:comment>
    <x:comment ref="C12" authorId="0">
      <x:text>
        <x:r>
          <x:t>Noncash employee equity compensation. It remains embedded in operating expenses, is added back once in CFO, and increases paid-in capital.</x:t>
        </x:r>
      </x:text>
    </x:comment>
    <x:comment ref="E12" authorId="0">
      <x:text>
        <x:r>
          <x:t>Stock-based compensation (FY:17 A).
Noncash employee equity compensation. It remains embedded in operating expenses, is added back once in CFO, and increases paid-in capital.
Formula: ='Historical Inputs'!E68
Cross-sheet references identify the owning schedule. Same-sheet references identify intermediate calculations.</x:t>
        </x:r>
      </x:text>
    </x:comment>
    <x:comment ref="F12" authorId="0">
      <x:text>
        <x:r>
          <x:t>Stock-based compensation (FY:18 A).
Noncash employee equity compensation. It remains embedded in operating expenses, is added back once in CFO, and increases paid-in capital.
Formula: ='Historical Inputs'!F68
Cross-sheet references identify the owning schedule. Same-sheet references identify intermediate calculations.</x:t>
        </x:r>
      </x:text>
    </x:comment>
    <x:comment ref="G12" authorId="0">
      <x:text>
        <x:r>
          <x:t>Stock-based compensation (FY:19 A).
Noncash employee equity compensation. It remains embedded in operating expenses, is added back once in CFO, and increases paid-in capital.
Formula: ='Historical Inputs'!G68
Cross-sheet references identify the owning schedule. Same-sheet references identify intermediate calculations.</x:t>
        </x:r>
      </x:text>
    </x:comment>
    <x:comment ref="H12" authorId="0">
      <x:text>
        <x:r>
          <x:t>Stock-based compensation (FY:20 A).
Noncash employee equity compensation. It remains embedded in operating expenses, is added back once in CFO, and increases paid-in capital.
Formula: ='Historical Inputs'!H68
Cross-sheet references identify the owning schedule. Same-sheet references identify intermediate calculations.</x:t>
        </x:r>
      </x:text>
    </x:comment>
    <x:comment ref="I12" authorId="0">
      <x:text>
        <x:r>
          <x:t>Stock-based compensation (FY:21 A).
Noncash employee equity compensation. It remains embedded in operating expenses, is added back once in CFO, and increases paid-in capital.
Formula: ='Historical Inputs'!I68
Cross-sheet references identify the owning schedule. Same-sheet references identify intermediate calculations.</x:t>
        </x:r>
      </x:text>
    </x:comment>
    <x:comment ref="J12" authorId="0">
      <x:text>
        <x:r>
          <x:t>Stock-based compensation (FY:22 A).
Noncash employee equity compensation. It remains embedded in operating expenses, is added back once in CFO, and increases paid-in capital.
Formula: ='Historical Inputs'!J68
Cross-sheet references identify the owning schedule. Same-sheet references identify intermediate calculations.</x:t>
        </x:r>
      </x:text>
    </x:comment>
    <x:comment ref="K12" authorId="0">
      <x:text>
        <x:r>
          <x:t>Stock-based compensation (FY:23 A).
Noncash employee equity compensation. It remains embedded in operating expenses, is added back once in CFO, and increases paid-in capital.
Formula: ='Historical Inputs'!K68
Cross-sheet references identify the owning schedule. Same-sheet references identify intermediate calculations.</x:t>
        </x:r>
      </x:text>
    </x:comment>
    <x:comment ref="L12" authorId="0">
      <x:text>
        <x:r>
          <x:t>Stock-based compensation (FY:24 A).
Noncash employee equity compensation. It remains embedded in operating expenses, is added back once in CFO, and increases paid-in capital.
Formula: ='Historical Inputs'!L68
Cross-sheet references identify the owning schedule. Same-sheet references identify intermediate calculations.</x:t>
        </x:r>
      </x:text>
    </x:comment>
    <x:comment ref="M12" authorId="0">
      <x:text>
        <x:r>
          <x:t>Stock-based compensation (FY:25 A).
Noncash employee equity compensation. It remains embedded in operating expenses, is added back once in CFO, and increases paid-in capital.
Formula: ='Historical Inputs'!M68
Cross-sheet references identify the owning schedule. Same-sheet references identify intermediate calculations.</x:t>
        </x:r>
      </x:text>
    </x:comment>
    <x:comment ref="N12" authorId="0">
      <x:text>
        <x:r>
          <x:t>Stock-based compensation (FY:26 A).
Noncash employee equity compensation. It remains embedded in operating expenses, is added back once in CFO, and increases paid-in capital.
Formula: ='Historical Inputs'!N68
Cross-sheet references identify the owning schedule. Same-sheet references identify intermediate calculations.</x:t>
        </x:r>
      </x:text>
    </x:comment>
    <x:comment ref="O12" authorId="0">
      <x:text>
        <x:r>
          <x:t>Stock-based compensation (FY:27 E).
Noncash employee equity compensation. It remains embedded in operating expenses, is added back once in CFO, and increases paid-in capital.
Formula: ='Tax and Equity'!O16
Cross-sheet references identify the owning schedule. Same-sheet references identify intermediate calculations.</x:t>
        </x:r>
      </x:text>
    </x:comment>
    <x:comment ref="P12" authorId="0">
      <x:text>
        <x:r>
          <x:t>Stock-based compensation (FY:28 E).
Noncash employee equity compensation. It remains embedded in operating expenses, is added back once in CFO, and increases paid-in capital.
Formula: ='Tax and Equity'!P16
Cross-sheet references identify the owning schedule. Same-sheet references identify intermediate calculations.</x:t>
        </x:r>
      </x:text>
    </x:comment>
    <x:comment ref="Q12" authorId="0">
      <x:text>
        <x:r>
          <x:t>Stock-based compensation (FY:29 E).
Noncash employee equity compensation. It remains embedded in operating expenses, is added back once in CFO, and increases paid-in capital.
Formula: ='Tax and Equity'!Q16
Cross-sheet references identify the owning schedule. Same-sheet references identify intermediate calculations.</x:t>
        </x:r>
      </x:text>
    </x:comment>
    <x:comment ref="R12" authorId="0">
      <x:text>
        <x:r>
          <x:t>Stock-based compensation (FY:30 E).
Noncash employee equity compensation. It remains embedded in operating expenses, is added back once in CFO, and increases paid-in capital.
Formula: ='Tax and Equity'!R16
Cross-sheet references identify the owning schedule. Same-sheet references identify intermediate calculations.</x:t>
        </x:r>
      </x:text>
    </x:comment>
    <x:comment ref="S12" authorId="0">
      <x:text>
        <x:r>
          <x:t>Stock-based compensation (FY:31 E).
Noncash employee equity compensation. It remains embedded in operating expenses, is added back once in CFO, and increases paid-in capital.
Formula: ='Tax and Equity'!S16
Cross-sheet references identify the owning schedule. Same-sheet references identify intermediate calculations.</x:t>
        </x:r>
      </x:text>
    </x:comment>
    <x:comment ref="C13" authorId="0">
      <x:text>
        <x:r>
          <x:t>Investment and derivative loss or gain adjustment. This line belongs to the Cash Flow calculation. Read its formula to trace the referenced inputs and intermediate totals.</x:t>
        </x:r>
      </x:text>
    </x:comment>
    <x:comment ref="E13" authorId="0">
      <x:text>
        <x:r>
          <x:t>Investment and derivative loss or gain adjustment (FY:17 A).
Investment and derivative loss or gain adjustment. This line belongs to the Cash Flow calculation. Read its formula to trace the referenced inputs and intermediate totals.
Formula: ='Historical Inputs'!E69
Cross-sheet references identify the owning schedule. Same-sheet references identify intermediate calculations.</x:t>
        </x:r>
      </x:text>
    </x:comment>
    <x:comment ref="F13" authorId="0">
      <x:text>
        <x:r>
          <x:t>Investment and derivative loss or gain adjustment (FY:18 A).
Investment and derivative loss or gain adjustment. This line belongs to the Cash Flow calculation. Read its formula to trace the referenced inputs and intermediate totals.
Formula: ='Historical Inputs'!F69
Cross-sheet references identify the owning schedule. Same-sheet references identify intermediate calculations.</x:t>
        </x:r>
      </x:text>
    </x:comment>
    <x:comment ref="G13" authorId="0">
      <x:text>
        <x:r>
          <x:t>Investment and derivative loss or gain adjustment (FY:19 A).
Investment and derivative loss or gain adjustment. This line belongs to the Cash Flow calculation. Read its formula to trace the referenced inputs and intermediate totals.
Formula: ='Historical Inputs'!G69
Cross-sheet references identify the owning schedule. Same-sheet references identify intermediate calculations.</x:t>
        </x:r>
      </x:text>
    </x:comment>
    <x:comment ref="H13" authorId="0">
      <x:text>
        <x:r>
          <x:t>Investment and derivative loss or gain adjustment (FY:20 A).
Investment and derivative loss or gain adjustment. This line belongs to the Cash Flow calculation. Read its formula to trace the referenced inputs and intermediate totals.
Formula: ='Historical Inputs'!H69
Cross-sheet references identify the owning schedule. Same-sheet references identify intermediate calculations.</x:t>
        </x:r>
      </x:text>
    </x:comment>
    <x:comment ref="I13" authorId="0">
      <x:text>
        <x:r>
          <x:t>Investment and derivative loss or gain adjustment (FY:21 A).
Investment and derivative loss or gain adjustment. This line belongs to the Cash Flow calculation. Read its formula to trace the referenced inputs and intermediate totals.
Formula: ='Historical Inputs'!I69
Cross-sheet references identify the owning schedule. Same-sheet references identify intermediate calculations.</x:t>
        </x:r>
      </x:text>
    </x:comment>
    <x:comment ref="J13" authorId="0">
      <x:text>
        <x:r>
          <x:t>Investment and derivative loss or gain adjustment (FY:22 A).
Investment and derivative loss or gain adjustment. This line belongs to the Cash Flow calculation. Read its formula to trace the referenced inputs and intermediate totals.
Formula: ='Historical Inputs'!J69
Cross-sheet references identify the owning schedule. Same-sheet references identify intermediate calculations.</x:t>
        </x:r>
      </x:text>
    </x:comment>
    <x:comment ref="K13" authorId="0">
      <x:text>
        <x:r>
          <x:t>Investment and derivative loss or gain adjustment (FY:23 A).
Investment and derivative loss or gain adjustment. This line belongs to the Cash Flow calculation. Read its formula to trace the referenced inputs and intermediate totals.
Formula: ='Historical Inputs'!K69
Cross-sheet references identify the owning schedule. Same-sheet references identify intermediate calculations.</x:t>
        </x:r>
      </x:text>
    </x:comment>
    <x:comment ref="L13" authorId="0">
      <x:text>
        <x:r>
          <x:t>Investment and derivative loss or gain adjustment (FY:24 A).
Investment and derivative loss or gain adjustment. This line belongs to the Cash Flow calculation. Read its formula to trace the referenced inputs and intermediate totals.
Formula: ='Historical Inputs'!L69
Cross-sheet references identify the owning schedule. Same-sheet references identify intermediate calculations.</x:t>
        </x:r>
      </x:text>
    </x:comment>
    <x:comment ref="M13" authorId="0">
      <x:text>
        <x:r>
          <x:t>Investment and derivative loss or gain adjustment (FY:25 A).
Investment and derivative loss or gain adjustment. This line belongs to the Cash Flow calculation. Read its formula to trace the referenced inputs and intermediate totals.
Formula: ='Historical Inputs'!M69
Cross-sheet references identify the owning schedule. Same-sheet references identify intermediate calculations.</x:t>
        </x:r>
      </x:text>
    </x:comment>
    <x:comment ref="N13" authorId="0">
      <x:text>
        <x:r>
          <x:t>Investment and derivative loss or gain adjustment (FY:26 A).
Investment and derivative loss or gain adjustment. This line belongs to the Cash Flow calculation. Read its formula to trace the referenced inputs and intermediate totals.
Formula: ='Historical Inputs'!N69
Cross-sheet references identify the owning schedule. Same-sheet references identify intermediate calculations.</x:t>
        </x:r>
      </x:text>
    </x:comment>
    <x:comment ref="O13" authorId="0">
      <x:text>
        <x:r>
          <x:t>Investment and derivative loss or gain adjustment (FY:27 E).
Investment and derivative loss or gain adjustment. This line belongs to the Cash Flow calculation. Read its formula to trace the referenced inputs and intermediate totals.
Formula: =0
Cross-sheet references identify the owning schedule. Same-sheet references identify intermediate calculations.</x:t>
        </x:r>
      </x:text>
    </x:comment>
    <x:comment ref="P13" authorId="0">
      <x:text>
        <x:r>
          <x:t>Investment and derivative loss or gain adjustment (FY:28 E).
Investment and derivative loss or gain adjustment. This line belongs to the Cash Flow calculation. Read its formula to trace the referenced inputs and intermediate totals.
Formula: =0
Cross-sheet references identify the owning schedule. Same-sheet references identify intermediate calculations.</x:t>
        </x:r>
      </x:text>
    </x:comment>
    <x:comment ref="Q13" authorId="0">
      <x:text>
        <x:r>
          <x:t>Investment and derivative loss or gain adjustment (FY:29 E).
Investment and derivative loss or gain adjustment. This line belongs to the Cash Flow calculation. Read its formula to trace the referenced inputs and intermediate totals.
Formula: =0
Cross-sheet references identify the owning schedule. Same-sheet references identify intermediate calculations.</x:t>
        </x:r>
      </x:text>
    </x:comment>
    <x:comment ref="R13" authorId="0">
      <x:text>
        <x:r>
          <x:t>Investment and derivative loss or gain adjustment (FY:30 E).
Investment and derivative loss or gain adjustment. This line belongs to the Cash Flow calculation. Read its formula to trace the referenced inputs and intermediate totals.
Formula: =0
Cross-sheet references identify the owning schedule. Same-sheet references identify intermediate calculations.</x:t>
        </x:r>
      </x:text>
    </x:comment>
    <x:comment ref="S13" authorId="0">
      <x:text>
        <x:r>
          <x:t>Investment and derivative loss or gain adjustment (FY:31 E).
Investment and derivative loss or gain adjustment. This line belongs to the Cash Flow calculation. Read its formula to trace the referenced inputs and intermediate totals.
Formula: =0
Cross-sheet references identify the owning schedule. Same-sheet references identify intermediate calculations.</x:t>
        </x:r>
      </x:text>
    </x:comment>
    <x:comment ref="C14" authorId="0">
      <x:text>
        <x:r>
          <x:t>Deferred income taxes. This line belongs to the Cash Flow calculation. Read its formula to trace the referenced inputs and intermediate totals.</x:t>
        </x:r>
      </x:text>
    </x:comment>
    <x:comment ref="E14" authorId="0">
      <x:text>
        <x:r>
          <x:t>Deferred income taxes (FY:17 A).
Deferred income taxes. This line belongs to the Cash Flow calculation. Read its formula to trace the referenced inputs and intermediate totals.
Formula: ='Historical Inputs'!E70
Cross-sheet references identify the owning schedule. Same-sheet references identify intermediate calculations.</x:t>
        </x:r>
      </x:text>
    </x:comment>
    <x:comment ref="F14" authorId="0">
      <x:text>
        <x:r>
          <x:t>Deferred income taxes (FY:18 A).
Deferred income taxes. This line belongs to the Cash Flow calculation. Read its formula to trace the referenced inputs and intermediate totals.
Formula: ='Historical Inputs'!F70
Cross-sheet references identify the owning schedule. Same-sheet references identify intermediate calculations.</x:t>
        </x:r>
      </x:text>
    </x:comment>
    <x:comment ref="G14" authorId="0">
      <x:text>
        <x:r>
          <x:t>Deferred income taxes (FY:19 A).
Deferred income taxes. This line belongs to the Cash Flow calculation. Read its formula to trace the referenced inputs and intermediate totals.
Formula: ='Historical Inputs'!G70
Cross-sheet references identify the owning schedule. Same-sheet references identify intermediate calculations.</x:t>
        </x:r>
      </x:text>
    </x:comment>
    <x:comment ref="H14" authorId="0">
      <x:text>
        <x:r>
          <x:t>Deferred income taxes (FY:20 A).
Deferred income taxes. This line belongs to the Cash Flow calculation. Read its formula to trace the referenced inputs and intermediate totals.
Formula: ='Historical Inputs'!H70
Cross-sheet references identify the owning schedule. Same-sheet references identify intermediate calculations.</x:t>
        </x:r>
      </x:text>
    </x:comment>
    <x:comment ref="I14" authorId="0">
      <x:text>
        <x:r>
          <x:t>Deferred income taxes (FY:21 A).
Deferred income taxes. This line belongs to the Cash Flow calculation. Read its formula to trace the referenced inputs and intermediate totals.
Formula: ='Historical Inputs'!I70
Cross-sheet references identify the owning schedule. Same-sheet references identify intermediate calculations.</x:t>
        </x:r>
      </x:text>
    </x:comment>
    <x:comment ref="J14" authorId="0">
      <x:text>
        <x:r>
          <x:t>Deferred income taxes (FY:22 A).
Deferred income taxes. This line belongs to the Cash Flow calculation. Read its formula to trace the referenced inputs and intermediate totals.
Formula: ='Historical Inputs'!J70
Cross-sheet references identify the owning schedule. Same-sheet references identify intermediate calculations.</x:t>
        </x:r>
      </x:text>
    </x:comment>
    <x:comment ref="K14" authorId="0">
      <x:text>
        <x:r>
          <x:t>Deferred income taxes (FY:23 A).
Deferred income taxes. This line belongs to the Cash Flow calculation. Read its formula to trace the referenced inputs and intermediate totals.
Formula: ='Historical Inputs'!K70
Cross-sheet references identify the owning schedule. Same-sheet references identify intermediate calculations.</x:t>
        </x:r>
      </x:text>
    </x:comment>
    <x:comment ref="L14" authorId="0">
      <x:text>
        <x:r>
          <x:t>Deferred income taxes (FY:24 A).
Deferred income taxes. This line belongs to the Cash Flow calculation. Read its formula to trace the referenced inputs and intermediate totals.
Formula: ='Historical Inputs'!L70
Cross-sheet references identify the owning schedule. Same-sheet references identify intermediate calculations.</x:t>
        </x:r>
      </x:text>
    </x:comment>
    <x:comment ref="M14" authorId="0">
      <x:text>
        <x:r>
          <x:t>Deferred income taxes (FY:25 A).
Deferred income taxes. This line belongs to the Cash Flow calculation. Read its formula to trace the referenced inputs and intermediate totals.
Formula: ='Historical Inputs'!M70
Cross-sheet references identify the owning schedule. Same-sheet references identify intermediate calculations.</x:t>
        </x:r>
      </x:text>
    </x:comment>
    <x:comment ref="N14" authorId="0">
      <x:text>
        <x:r>
          <x:t>Deferred income taxes (FY:26 A).
Deferred income taxes. This line belongs to the Cash Flow calculation. Read its formula to trace the referenced inputs and intermediate totals.
Formula: ='Historical Inputs'!N70
Cross-sheet references identify the owning schedule. Same-sheet references identify intermediate calculations.</x:t>
        </x:r>
      </x:text>
    </x:comment>
    <x:comment ref="O14" authorId="0">
      <x:text>
        <x:r>
          <x:t>Deferred income taxes (FY:27 E).
Deferred income taxes. This line belongs to the Cash Flow calculation. Read its formula to trace the referenced inputs and intermediate totals.
Formula: ='Tax and Equity'!O11
Cross-sheet references identify the owning schedule. Same-sheet references identify intermediate calculations.</x:t>
        </x:r>
      </x:text>
    </x:comment>
    <x:comment ref="P14" authorId="0">
      <x:text>
        <x:r>
          <x:t>Deferred income taxes (FY:28 E).
Deferred income taxes. This line belongs to the Cash Flow calculation. Read its formula to trace the referenced inputs and intermediate totals.
Formula: ='Tax and Equity'!P11
Cross-sheet references identify the owning schedule. Same-sheet references identify intermediate calculations.</x:t>
        </x:r>
      </x:text>
    </x:comment>
    <x:comment ref="Q14" authorId="0">
      <x:text>
        <x:r>
          <x:t>Deferred income taxes (FY:29 E).
Deferred income taxes. This line belongs to the Cash Flow calculation. Read its formula to trace the referenced inputs and intermediate totals.
Formula: ='Tax and Equity'!Q11
Cross-sheet references identify the owning schedule. Same-sheet references identify intermediate calculations.</x:t>
        </x:r>
      </x:text>
    </x:comment>
    <x:comment ref="R14" authorId="0">
      <x:text>
        <x:r>
          <x:t>Deferred income taxes (FY:30 E).
Deferred income taxes. This line belongs to the Cash Flow calculation. Read its formula to trace the referenced inputs and intermediate totals.
Formula: ='Tax and Equity'!R11
Cross-sheet references identify the owning schedule. Same-sheet references identify intermediate calculations.</x:t>
        </x:r>
      </x:text>
    </x:comment>
    <x:comment ref="S14" authorId="0">
      <x:text>
        <x:r>
          <x:t>Deferred income taxes (FY:31 E).
Deferred income taxes. This line belongs to the Cash Flow calculation. Read its formula to trace the referenced inputs and intermediate totals.
Formula: ='Tax and Equity'!S11
Cross-sheet references identify the owning schedule. Same-sheet references identify intermediate calculations.</x:t>
        </x:r>
      </x:text>
    </x:comment>
    <x:comment ref="C15" authorId="0">
      <x:text>
        <x:r>
          <x:t>Cash balance or signed cash flow as named in the row. Positive cash-flow amounts are inflows and negative amounts are outflows. Follow the formula or source reference below for the classification.</x:t>
        </x:r>
      </x:text>
    </x:comment>
    <x:comment ref="E15" authorId="0">
      <x:text>
        <x:r>
          <x:t>Noncash debt accounting amortization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15" authorId="0">
      <x:text>
        <x:r>
          <x:t>Noncash debt accounting amortization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15" authorId="0">
      <x:text>
        <x:r>
          <x:t>Noncash debt accounting amortization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15" authorId="0">
      <x:text>
        <x:r>
          <x:t>Noncash debt accounting amortization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xt>
        <x:r>
          <x:t>Noncash debt accounting amortization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15" authorId="0">
      <x:text>
        <x:r>
          <x:t>Noncash debt accounting amortization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15" authorId="0">
      <x:text>
        <x:r>
          <x:t>Noncash debt accounting amortization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15" authorId="0">
      <x:text>
        <x:r>
          <x:t>Noncash debt accounting amortization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15" authorId="0">
      <x:text>
        <x:r>
          <x:t>Noncash debt accounting amortization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15" authorId="0">
      <x:text>
        <x:r>
          <x:t>Noncash debt accounting amortization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15" authorId="0">
      <x:text>
        <x:r>
          <x:t>Noncash debt accounting amortization (FY:27 E).
Cash balance or signed cash flow as named in the row. Positive cash-flow amounts are inflows and negative amounts are outflows. Follow the formula or source reference below for the classification.
Formula: ='Debt and Leases'!O15
Cross-sheet references identify the owning schedule. Same-sheet references identify intermediate calculations.</x:t>
        </x:r>
      </x:text>
    </x:comment>
    <x:comment ref="P15" authorId="0">
      <x:text>
        <x:r>
          <x:t>Noncash debt accounting amortization (FY:28 E).
Cash balance or signed cash flow as named in the row. Positive cash-flow amounts are inflows and negative amounts are outflows. Follow the formula or source reference below for the classification.
Formula: ='Debt and Leases'!P15
Cross-sheet references identify the owning schedule. Same-sheet references identify intermediate calculations.</x:t>
        </x:r>
      </x:text>
    </x:comment>
    <x:comment ref="Q15" authorId="0">
      <x:text>
        <x:r>
          <x:t>Noncash debt accounting amortization (FY:29 E).
Cash balance or signed cash flow as named in the row. Positive cash-flow amounts are inflows and negative amounts are outflows. Follow the formula or source reference below for the classification.
Formula: ='Debt and Leases'!Q15
Cross-sheet references identify the owning schedule. Same-sheet references identify intermediate calculations.</x:t>
        </x:r>
      </x:text>
    </x:comment>
    <x:comment ref="R15" authorId="0">
      <x:text>
        <x:r>
          <x:t>Noncash debt accounting amortization (FY:30 E).
Cash balance or signed cash flow as named in the row. Positive cash-flow amounts are inflows and negative amounts are outflows. Follow the formula or source reference below for the classification.
Formula: ='Debt and Leases'!R15
Cross-sheet references identify the owning schedule. Same-sheet references identify intermediate calculations.</x:t>
        </x:r>
      </x:text>
    </x:comment>
    <x:comment ref="S15" authorId="0">
      <x:text>
        <x:r>
          <x:t>Noncash debt accounting amortization (FY:31 E).
Cash balance or signed cash flow as named in the row. Positive cash-flow amounts are inflows and negative amounts are outflows. Follow the formula or source reference below for the classification.
Formula: ='Debt and Leases'!S15
Cross-sheet references identify the owning schedule. Same-sheet references identify intermediate calculations.</x:t>
        </x:r>
      </x:text>
    </x:comment>
    <x:comment ref="C17"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17" authorId="0">
      <x:text>
        <x:r>
          <x:t>Change in accounts receivable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Inputs'!E71
Cross-sheet references identify the owning schedule. Same-sheet references identify intermediate calculations.</x:t>
        </x:r>
      </x:text>
    </x:comment>
    <x:comment ref="F17" authorId="0">
      <x:text>
        <x:r>
          <x:t>Change in accounts receivable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Inputs'!F71
Cross-sheet references identify the owning schedule. Same-sheet references identify intermediate calculations.</x:t>
        </x:r>
      </x:text>
    </x:comment>
    <x:comment ref="G17" authorId="0">
      <x:text>
        <x:r>
          <x:t>Change in accounts receivable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Inputs'!G71
Cross-sheet references identify the owning schedule. Same-sheet references identify intermediate calculations.</x:t>
        </x:r>
      </x:text>
    </x:comment>
    <x:comment ref="H17" authorId="0">
      <x:text>
        <x:r>
          <x:t>Change in accounts receivable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Inputs'!H71
Cross-sheet references identify the owning schedule. Same-sheet references identify intermediate calculations.</x:t>
        </x:r>
      </x:text>
    </x:comment>
    <x:comment ref="I17" authorId="0">
      <x:text>
        <x:r>
          <x:t>Change in accounts receivable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Inputs'!I71
Cross-sheet references identify the owning schedule. Same-sheet references identify intermediate calculations.</x:t>
        </x:r>
      </x:text>
    </x:comment>
    <x:comment ref="J17" authorId="0">
      <x:text>
        <x:r>
          <x:t>Change in accounts receivable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Inputs'!J71
Cross-sheet references identify the owning schedule. Same-sheet references identify intermediate calculations.</x:t>
        </x:r>
      </x:text>
    </x:comment>
    <x:comment ref="K17" authorId="0">
      <x:text>
        <x:r>
          <x:t>Change in accounts receivable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Inputs'!K71
Cross-sheet references identify the owning schedule. Same-sheet references identify intermediate calculations.</x:t>
        </x:r>
      </x:text>
    </x:comment>
    <x:comment ref="L17" authorId="0">
      <x:text>
        <x:r>
          <x:t>Change in accounts receivable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Inputs'!L71
Cross-sheet references identify the owning schedule. Same-sheet references identify intermediate calculations.</x:t>
        </x:r>
      </x:text>
    </x:comment>
    <x:comment ref="M17" authorId="0">
      <x:text>
        <x:r>
          <x:t>Change in accounts receivable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Inputs'!M71
Cross-sheet references identify the owning schedule. Same-sheet references identify intermediate calculations.</x:t>
        </x:r>
      </x:text>
    </x:comment>
    <x:comment ref="N17" authorId="0">
      <x:text>
        <x:r>
          <x:t>Change in accounts receivable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Inputs'!N71
Cross-sheet references identify the owning schedule. Same-sheet references identify intermediate calculations.</x:t>
        </x:r>
      </x:text>
    </x:comment>
    <x:comment ref="O17" authorId="0">
      <x:text>
        <x:r>
          <x:t>Change in accounts receivable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Capital'!O31
Cross-sheet references identify the owning schedule. Same-sheet references identify intermediate calculations.</x:t>
        </x:r>
      </x:text>
    </x:comment>
    <x:comment ref="P17" authorId="0">
      <x:text>
        <x:r>
          <x:t>Change in accounts receivable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Capital'!P31
Cross-sheet references identify the owning schedule. Same-sheet references identify intermediate calculations.</x:t>
        </x:r>
      </x:text>
    </x:comment>
    <x:comment ref="Q17" authorId="0">
      <x:text>
        <x:r>
          <x:t>Change in accounts receivable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Capital'!Q31
Cross-sheet references identify the owning schedule. Same-sheet references identify intermediate calculations.</x:t>
        </x:r>
      </x:text>
    </x:comment>
    <x:comment ref="R17" authorId="0">
      <x:text>
        <x:r>
          <x:t>Change in accounts receivable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Capital'!R31
Cross-sheet references identify the owning schedule. Same-sheet references identify intermediate calculations.</x:t>
        </x:r>
      </x:text>
    </x:comment>
    <x:comment ref="S17" authorId="0">
      <x:text>
        <x:r>
          <x:t>Change in accounts receivable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Capital'!S31
Cross-sheet references identify the owning schedule. Same-sheet references identify intermediate calculations.</x:t>
        </x:r>
      </x:text>
    </x:comment>
    <x:comment ref="C18"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18" authorId="0">
      <x:text>
        <x:r>
          <x:t>Change in inventories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Inputs'!E72
Cross-sheet references identify the owning schedule. Same-sheet references identify intermediate calculations.</x:t>
        </x:r>
      </x:text>
    </x:comment>
    <x:comment ref="F18" authorId="0">
      <x:text>
        <x:r>
          <x:t>Change in inventories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Inputs'!F72
Cross-sheet references identify the owning schedule. Same-sheet references identify intermediate calculations.</x:t>
        </x:r>
      </x:text>
    </x:comment>
    <x:comment ref="G18" authorId="0">
      <x:text>
        <x:r>
          <x:t>Change in inventories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Inputs'!G72
Cross-sheet references identify the owning schedule. Same-sheet references identify intermediate calculations.</x:t>
        </x:r>
      </x:text>
    </x:comment>
    <x:comment ref="H18" authorId="0">
      <x:text>
        <x:r>
          <x:t>Change in inventories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Inputs'!H72
Cross-sheet references identify the owning schedule. Same-sheet references identify intermediate calculations.</x:t>
        </x:r>
      </x:text>
    </x:comment>
    <x:comment ref="I18" authorId="0">
      <x:text>
        <x:r>
          <x:t>Change in inventories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Inputs'!I72
Cross-sheet references identify the owning schedule. Same-sheet references identify intermediate calculations.</x:t>
        </x:r>
      </x:text>
    </x:comment>
    <x:comment ref="J18" authorId="0">
      <x:text>
        <x:r>
          <x:t>Change in inventories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Inputs'!J72
Cross-sheet references identify the owning schedule. Same-sheet references identify intermediate calculations.</x:t>
        </x:r>
      </x:text>
    </x:comment>
    <x:comment ref="K18" authorId="0">
      <x:text>
        <x:r>
          <x:t>Change in inventories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Inputs'!K72
Cross-sheet references identify the owning schedule. Same-sheet references identify intermediate calculations.</x:t>
        </x:r>
      </x:text>
    </x:comment>
    <x:comment ref="L18" authorId="0">
      <x:text>
        <x:r>
          <x:t>Change in inventories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Inputs'!L72
Cross-sheet references identify the owning schedule. Same-sheet references identify intermediate calculations.</x:t>
        </x:r>
      </x:text>
    </x:comment>
    <x:comment ref="M18" authorId="0">
      <x:text>
        <x:r>
          <x:t>Change in inventories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Inputs'!M72
Cross-sheet references identify the owning schedule. Same-sheet references identify intermediate calculations.</x:t>
        </x:r>
      </x:text>
    </x:comment>
    <x:comment ref="N18" authorId="0">
      <x:text>
        <x:r>
          <x:t>Change in inventories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Inputs'!N72
Cross-sheet references identify the owning schedule. Same-sheet references identify intermediate calculations.</x:t>
        </x:r>
      </x:text>
    </x:comment>
    <x:comment ref="O18" authorId="0">
      <x:text>
        <x:r>
          <x:t>Change in inventories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Capital'!O32
Cross-sheet references identify the owning schedule. Same-sheet references identify intermediate calculations.</x:t>
        </x:r>
      </x:text>
    </x:comment>
    <x:comment ref="P18" authorId="0">
      <x:text>
        <x:r>
          <x:t>Change in inventories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Capital'!P32
Cross-sheet references identify the owning schedule. Same-sheet references identify intermediate calculations.</x:t>
        </x:r>
      </x:text>
    </x:comment>
    <x:comment ref="Q18" authorId="0">
      <x:text>
        <x:r>
          <x:t>Change in inventories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Capital'!Q32
Cross-sheet references identify the owning schedule. Same-sheet references identify intermediate calculations.</x:t>
        </x:r>
      </x:text>
    </x:comment>
    <x:comment ref="R18" authorId="0">
      <x:text>
        <x:r>
          <x:t>Change in inventories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Capital'!R32
Cross-sheet references identify the owning schedule. Same-sheet references identify intermediate calculations.</x:t>
        </x:r>
      </x:text>
    </x:comment>
    <x:comment ref="S18" authorId="0">
      <x:text>
        <x:r>
          <x:t>Change in inventories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Capital'!S32
Cross-sheet references identify the owning schedule. Same-sheet references identify intermediate calculations.</x:t>
        </x:r>
      </x:text>
    </x:comment>
    <x:comment ref="C19"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19" authorId="0">
      <x:text>
        <x:r>
          <x:t>Change in other current assets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Inputs'!E73
Cross-sheet references identify the owning schedule. Same-sheet references identify intermediate calculations.</x:t>
        </x:r>
      </x:text>
    </x:comment>
    <x:comment ref="F19" authorId="0">
      <x:text>
        <x:r>
          <x:t>Change in other current assets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Inputs'!F73
Cross-sheet references identify the owning schedule. Same-sheet references identify intermediate calculations.</x:t>
        </x:r>
      </x:text>
    </x:comment>
    <x:comment ref="G19" authorId="0">
      <x:text>
        <x:r>
          <x:t>Change in other current assets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Inputs'!G73
Cross-sheet references identify the owning schedule. Same-sheet references identify intermediate calculations.</x:t>
        </x:r>
      </x:text>
    </x:comment>
    <x:comment ref="H19" authorId="0">
      <x:text>
        <x:r>
          <x:t>Change in other current assets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Inputs'!H73
Cross-sheet references identify the owning schedule. Same-sheet references identify intermediate calculations.</x:t>
        </x:r>
      </x:text>
    </x:comment>
    <x:comment ref="I19" authorId="0">
      <x:text>
        <x:r>
          <x:t>Change in other current assets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Inputs'!I73
Cross-sheet references identify the owning schedule. Same-sheet references identify intermediate calculations.</x:t>
        </x:r>
      </x:text>
    </x:comment>
    <x:comment ref="J19" authorId="0">
      <x:text>
        <x:r>
          <x:t>Change in other current assets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Inputs'!J73
Cross-sheet references identify the owning schedule. Same-sheet references identify intermediate calculations.</x:t>
        </x:r>
      </x:text>
    </x:comment>
    <x:comment ref="K19" authorId="0">
      <x:text>
        <x:r>
          <x:t>Change in other current assets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Inputs'!K73
Cross-sheet references identify the owning schedule. Same-sheet references identify intermediate calculations.</x:t>
        </x:r>
      </x:text>
    </x:comment>
    <x:comment ref="L19" authorId="0">
      <x:text>
        <x:r>
          <x:t>Change in other current assets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Inputs'!L73
Cross-sheet references identify the owning schedule. Same-sheet references identify intermediate calculations.</x:t>
        </x:r>
      </x:text>
    </x:comment>
    <x:comment ref="M19" authorId="0">
      <x:text>
        <x:r>
          <x:t>Change in other current assets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Inputs'!M73
Cross-sheet references identify the owning schedule. Same-sheet references identify intermediate calculations.</x:t>
        </x:r>
      </x:text>
    </x:comment>
    <x:comment ref="N19" authorId="0">
      <x:text>
        <x:r>
          <x:t>Change in other current assets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Inputs'!N73
Cross-sheet references identify the owning schedule. Same-sheet references identify intermediate calculations.</x:t>
        </x:r>
      </x:text>
    </x:comment>
    <x:comment ref="O19" authorId="0">
      <x:text>
        <x:r>
          <x:t>Change in other current assets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Capital'!O33
Cross-sheet references identify the owning schedule. Same-sheet references identify intermediate calculations.</x:t>
        </x:r>
      </x:text>
    </x:comment>
    <x:comment ref="P19" authorId="0">
      <x:text>
        <x:r>
          <x:t>Change in other current assets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Capital'!P33
Cross-sheet references identify the owning schedule. Same-sheet references identify intermediate calculations.</x:t>
        </x:r>
      </x:text>
    </x:comment>
    <x:comment ref="Q19" authorId="0">
      <x:text>
        <x:r>
          <x:t>Change in other current assets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Capital'!Q33
Cross-sheet references identify the owning schedule. Same-sheet references identify intermediate calculations.</x:t>
        </x:r>
      </x:text>
    </x:comment>
    <x:comment ref="R19" authorId="0">
      <x:text>
        <x:r>
          <x:t>Change in other current assets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Capital'!R33
Cross-sheet references identify the owning schedule. Same-sheet references identify intermediate calculations.</x:t>
        </x:r>
      </x:text>
    </x:comment>
    <x:comment ref="S19" authorId="0">
      <x:text>
        <x:r>
          <x:t>Change in other current assets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Capital'!S33
Cross-sheet references identify the owning schedule. Same-sheet references identify intermediate calculations.</x:t>
        </x:r>
      </x:text>
    </x:comment>
    <x:comment ref="C20"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20" authorId="0">
      <x:text>
        <x:r>
          <x:t>Change in other long-term assets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Inputs'!E74
Cross-sheet references identify the owning schedule. Same-sheet references identify intermediate calculations.</x:t>
        </x:r>
      </x:text>
    </x:comment>
    <x:comment ref="F20" authorId="0">
      <x:text>
        <x:r>
          <x:t>Change in other long-term assets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Inputs'!F74
Cross-sheet references identify the owning schedule. Same-sheet references identify intermediate calculations.</x:t>
        </x:r>
      </x:text>
    </x:comment>
    <x:comment ref="G20" authorId="0">
      <x:text>
        <x:r>
          <x:t>Change in other long-term assets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Inputs'!G74
Cross-sheet references identify the owning schedule. Same-sheet references identify intermediate calculations.</x:t>
        </x:r>
      </x:text>
    </x:comment>
    <x:comment ref="H20" authorId="0">
      <x:text>
        <x:r>
          <x:t>Change in other long-term assets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Inputs'!H74
Cross-sheet references identify the owning schedule. Same-sheet references identify intermediate calculations.</x:t>
        </x:r>
      </x:text>
    </x:comment>
    <x:comment ref="I20" authorId="0">
      <x:text>
        <x:r>
          <x:t>Change in other long-term assets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Inputs'!I74
Cross-sheet references identify the owning schedule. Same-sheet references identify intermediate calculations.</x:t>
        </x:r>
      </x:text>
    </x:comment>
    <x:comment ref="J20" authorId="0">
      <x:text>
        <x:r>
          <x:t>Change in other long-term assets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Inputs'!J74
Cross-sheet references identify the owning schedule. Same-sheet references identify intermediate calculations.</x:t>
        </x:r>
      </x:text>
    </x:comment>
    <x:comment ref="K20" authorId="0">
      <x:text>
        <x:r>
          <x:t>Change in other long-term assets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Inputs'!K74
Cross-sheet references identify the owning schedule. Same-sheet references identify intermediate calculations.</x:t>
        </x:r>
      </x:text>
    </x:comment>
    <x:comment ref="L20" authorId="0">
      <x:text>
        <x:r>
          <x:t>Change in other long-term assets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Inputs'!L74
Cross-sheet references identify the owning schedule. Same-sheet references identify intermediate calculations.</x:t>
        </x:r>
      </x:text>
    </x:comment>
    <x:comment ref="M20" authorId="0">
      <x:text>
        <x:r>
          <x:t>Change in other long-term assets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Inputs'!M74
Cross-sheet references identify the owning schedule. Same-sheet references identify intermediate calculations.</x:t>
        </x:r>
      </x:text>
    </x:comment>
    <x:comment ref="N20" authorId="0">
      <x:text>
        <x:r>
          <x:t>Change in other long-term assets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Inputs'!N74
Cross-sheet references identify the owning schedule. Same-sheet references identify intermediate calculations.</x:t>
        </x:r>
      </x:text>
    </x:comment>
    <x:comment ref="O20" authorId="0">
      <x:text>
        <x:r>
          <x:t>Change in other long-term assets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Capital'!O34
Cross-sheet references identify the owning schedule. Same-sheet references identify intermediate calculations.</x:t>
        </x:r>
      </x:text>
    </x:comment>
    <x:comment ref="P20" authorId="0">
      <x:text>
        <x:r>
          <x:t>Change in other long-term assets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Capital'!P34
Cross-sheet references identify the owning schedule. Same-sheet references identify intermediate calculations.</x:t>
        </x:r>
      </x:text>
    </x:comment>
    <x:comment ref="Q20" authorId="0">
      <x:text>
        <x:r>
          <x:t>Change in other long-term assets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Capital'!Q34
Cross-sheet references identify the owning schedule. Same-sheet references identify intermediate calculations.</x:t>
        </x:r>
      </x:text>
    </x:comment>
    <x:comment ref="R20" authorId="0">
      <x:text>
        <x:r>
          <x:t>Change in other long-term assets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Capital'!R34
Cross-sheet references identify the owning schedule. Same-sheet references identify intermediate calculations.</x:t>
        </x:r>
      </x:text>
    </x:comment>
    <x:comment ref="S20" authorId="0">
      <x:text>
        <x:r>
          <x:t>Change in other long-term assets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Capital'!S34
Cross-sheet references identify the owning schedule. Same-sheet references identify intermediate calculations.</x:t>
        </x:r>
      </x:text>
    </x:comment>
    <x:comment ref="C21"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21" authorId="0">
      <x:text>
        <x:r>
          <x:t>Change in operating accounts payable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Inputs'!E75
Cross-sheet references identify the owning schedule. Same-sheet references identify intermediate calculations.</x:t>
        </x:r>
      </x:text>
    </x:comment>
    <x:comment ref="F21" authorId="0">
      <x:text>
        <x:r>
          <x:t>Change in operating accounts payable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Inputs'!F75
Cross-sheet references identify the owning schedule. Same-sheet references identify intermediate calculations.</x:t>
        </x:r>
      </x:text>
    </x:comment>
    <x:comment ref="G21" authorId="0">
      <x:text>
        <x:r>
          <x:t>Change in operating accounts payable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Inputs'!G75
Cross-sheet references identify the owning schedule. Same-sheet references identify intermediate calculations.</x:t>
        </x:r>
      </x:text>
    </x:comment>
    <x:comment ref="H21" authorId="0">
      <x:text>
        <x:r>
          <x:t>Change in operating accounts payable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Inputs'!H75
Cross-sheet references identify the owning schedule. Same-sheet references identify intermediate calculations.</x:t>
        </x:r>
      </x:text>
    </x:comment>
    <x:comment ref="I21" authorId="0">
      <x:text>
        <x:r>
          <x:t>Change in operating accounts payable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Inputs'!I75
Cross-sheet references identify the owning schedule. Same-sheet references identify intermediate calculations.</x:t>
        </x:r>
      </x:text>
    </x:comment>
    <x:comment ref="J21" authorId="0">
      <x:text>
        <x:r>
          <x:t>Change in operating accounts payable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Inputs'!J75
Cross-sheet references identify the owning schedule. Same-sheet references identify intermediate calculations.</x:t>
        </x:r>
      </x:text>
    </x:comment>
    <x:comment ref="K21" authorId="0">
      <x:text>
        <x:r>
          <x:t>Change in operating accounts payable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Inputs'!K75
Cross-sheet references identify the owning schedule. Same-sheet references identify intermediate calculations.</x:t>
        </x:r>
      </x:text>
    </x:comment>
    <x:comment ref="L21" authorId="0">
      <x:text>
        <x:r>
          <x:t>Change in operating accounts payable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Inputs'!L75
Cross-sheet references identify the owning schedule. Same-sheet references identify intermediate calculations.</x:t>
        </x:r>
      </x:text>
    </x:comment>
    <x:comment ref="M21" authorId="0">
      <x:text>
        <x:r>
          <x:t>Change in operating accounts payable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Inputs'!M75
Cross-sheet references identify the owning schedule. Same-sheet references identify intermediate calculations.</x:t>
        </x:r>
      </x:text>
    </x:comment>
    <x:comment ref="N21" authorId="0">
      <x:text>
        <x:r>
          <x:t>Change in operating accounts payable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Inputs'!N75
Cross-sheet references identify the owning schedule. Same-sheet references identify intermediate calculations.</x:t>
        </x:r>
      </x:text>
    </x:comment>
    <x:comment ref="O21" authorId="0">
      <x:text>
        <x:r>
          <x:t>Change in operating accounts payable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Capital'!O35
Cross-sheet references identify the owning schedule. Same-sheet references identify intermediate calculations.</x:t>
        </x:r>
      </x:text>
    </x:comment>
    <x:comment ref="P21" authorId="0">
      <x:text>
        <x:r>
          <x:t>Change in operating accounts payable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Capital'!P35
Cross-sheet references identify the owning schedule. Same-sheet references identify intermediate calculations.</x:t>
        </x:r>
      </x:text>
    </x:comment>
    <x:comment ref="Q21" authorId="0">
      <x:text>
        <x:r>
          <x:t>Change in operating accounts payable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Capital'!Q35
Cross-sheet references identify the owning schedule. Same-sheet references identify intermediate calculations.</x:t>
        </x:r>
      </x:text>
    </x:comment>
    <x:comment ref="R21" authorId="0">
      <x:text>
        <x:r>
          <x:t>Change in operating accounts payable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Capital'!R35
Cross-sheet references identify the owning schedule. Same-sheet references identify intermediate calculations.</x:t>
        </x:r>
      </x:text>
    </x:comment>
    <x:comment ref="S21" authorId="0">
      <x:text>
        <x:r>
          <x:t>Change in operating accounts payable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Capital'!S35
Cross-sheet references identify the owning schedule. Same-sheet references identify intermediate calculations.</x:t>
        </x:r>
      </x:text>
    </x:comment>
    <x:comment ref="C22"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22" authorId="0">
      <x:text>
        <x:r>
          <x:t>Change in unearned revenue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Inputs'!E76
Cross-sheet references identify the owning schedule. Same-sheet references identify intermediate calculations.</x:t>
        </x:r>
      </x:text>
    </x:comment>
    <x:comment ref="F22" authorId="0">
      <x:text>
        <x:r>
          <x:t>Change in unearned revenue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Inputs'!F76
Cross-sheet references identify the owning schedule. Same-sheet references identify intermediate calculations.</x:t>
        </x:r>
      </x:text>
    </x:comment>
    <x:comment ref="G22" authorId="0">
      <x:text>
        <x:r>
          <x:t>Change in unearned revenue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Inputs'!G76
Cross-sheet references identify the owning schedule. Same-sheet references identify intermediate calculations.</x:t>
        </x:r>
      </x:text>
    </x:comment>
    <x:comment ref="H22" authorId="0">
      <x:text>
        <x:r>
          <x:t>Change in unearned revenue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Inputs'!H76
Cross-sheet references identify the owning schedule. Same-sheet references identify intermediate calculations.</x:t>
        </x:r>
      </x:text>
    </x:comment>
    <x:comment ref="I22" authorId="0">
      <x:text>
        <x:r>
          <x:t>Change in unearned revenue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Inputs'!I76
Cross-sheet references identify the owning schedule. Same-sheet references identify intermediate calculations.</x:t>
        </x:r>
      </x:text>
    </x:comment>
    <x:comment ref="J22" authorId="0">
      <x:text>
        <x:r>
          <x:t>Change in unearned revenue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Inputs'!J76
Cross-sheet references identify the owning schedule. Same-sheet references identify intermediate calculations.</x:t>
        </x:r>
      </x:text>
    </x:comment>
    <x:comment ref="K22" authorId="0">
      <x:text>
        <x:r>
          <x:t>Change in unearned revenue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Inputs'!K76
Cross-sheet references identify the owning schedule. Same-sheet references identify intermediate calculations.</x:t>
        </x:r>
      </x:text>
    </x:comment>
    <x:comment ref="L22" authorId="0">
      <x:text>
        <x:r>
          <x:t>Change in unearned revenue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Inputs'!L76
Cross-sheet references identify the owning schedule. Same-sheet references identify intermediate calculations.</x:t>
        </x:r>
      </x:text>
    </x:comment>
    <x:comment ref="M22" authorId="0">
      <x:text>
        <x:r>
          <x:t>Change in unearned revenue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Inputs'!M76
Cross-sheet references identify the owning schedule. Same-sheet references identify intermediate calculations.</x:t>
        </x:r>
      </x:text>
    </x:comment>
    <x:comment ref="N22" authorId="0">
      <x:text>
        <x:r>
          <x:t>Change in unearned revenue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Inputs'!N76
Cross-sheet references identify the owning schedule. Same-sheet references identify intermediate calculations.</x:t>
        </x:r>
      </x:text>
    </x:comment>
    <x:comment ref="O22" authorId="0">
      <x:text>
        <x:r>
          <x:t>Change in unearned revenue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Capital'!O36
Cross-sheet references identify the owning schedule. Same-sheet references identify intermediate calculations.</x:t>
        </x:r>
      </x:text>
    </x:comment>
    <x:comment ref="P22" authorId="0">
      <x:text>
        <x:r>
          <x:t>Change in unearned revenue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Capital'!P36
Cross-sheet references identify the owning schedule. Same-sheet references identify intermediate calculations.</x:t>
        </x:r>
      </x:text>
    </x:comment>
    <x:comment ref="Q22" authorId="0">
      <x:text>
        <x:r>
          <x:t>Change in unearned revenue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Capital'!Q36
Cross-sheet references identify the owning schedule. Same-sheet references identify intermediate calculations.</x:t>
        </x:r>
      </x:text>
    </x:comment>
    <x:comment ref="R22" authorId="0">
      <x:text>
        <x:r>
          <x:t>Change in unearned revenue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Capital'!R36
Cross-sheet references identify the owning schedule. Same-sheet references identify intermediate calculations.</x:t>
        </x:r>
      </x:text>
    </x:comment>
    <x:comment ref="S22" authorId="0">
      <x:text>
        <x:r>
          <x:t>Change in unearned revenue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Capital'!S36
Cross-sheet references identify the owning schedule. Same-sheet references identify intermediate calculations.</x:t>
        </x:r>
      </x:text>
    </x:comment>
    <x:comment ref="C23"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23" authorId="0">
      <x:text>
        <x:r>
          <x:t>Change in income taxes payable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Inputs'!E77
Cross-sheet references identify the owning schedule. Same-sheet references identify intermediate calculations.</x:t>
        </x:r>
      </x:text>
    </x:comment>
    <x:comment ref="F23" authorId="0">
      <x:text>
        <x:r>
          <x:t>Change in income taxes payable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Inputs'!F77
Cross-sheet references identify the owning schedule. Same-sheet references identify intermediate calculations.</x:t>
        </x:r>
      </x:text>
    </x:comment>
    <x:comment ref="G23" authorId="0">
      <x:text>
        <x:r>
          <x:t>Change in income taxes payable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Inputs'!G77
Cross-sheet references identify the owning schedule. Same-sheet references identify intermediate calculations.</x:t>
        </x:r>
      </x:text>
    </x:comment>
    <x:comment ref="H23" authorId="0">
      <x:text>
        <x:r>
          <x:t>Change in income taxes payable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Inputs'!H77
Cross-sheet references identify the owning schedule. Same-sheet references identify intermediate calculations.</x:t>
        </x:r>
      </x:text>
    </x:comment>
    <x:comment ref="I23" authorId="0">
      <x:text>
        <x:r>
          <x:t>Change in income taxes payable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Inputs'!I77
Cross-sheet references identify the owning schedule. Same-sheet references identify intermediate calculations.</x:t>
        </x:r>
      </x:text>
    </x:comment>
    <x:comment ref="J23" authorId="0">
      <x:text>
        <x:r>
          <x:t>Change in income taxes payable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Inputs'!J77
Cross-sheet references identify the owning schedule. Same-sheet references identify intermediate calculations.</x:t>
        </x:r>
      </x:text>
    </x:comment>
    <x:comment ref="K23" authorId="0">
      <x:text>
        <x:r>
          <x:t>Change in income taxes payable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Inputs'!K77
Cross-sheet references identify the owning schedule. Same-sheet references identify intermediate calculations.</x:t>
        </x:r>
      </x:text>
    </x:comment>
    <x:comment ref="L23" authorId="0">
      <x:text>
        <x:r>
          <x:t>Change in income taxes payable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Inputs'!L77
Cross-sheet references identify the owning schedule. Same-sheet references identify intermediate calculations.</x:t>
        </x:r>
      </x:text>
    </x:comment>
    <x:comment ref="M23" authorId="0">
      <x:text>
        <x:r>
          <x:t>Change in income taxes payable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Inputs'!M77
Cross-sheet references identify the owning schedule. Same-sheet references identify intermediate calculations.</x:t>
        </x:r>
      </x:text>
    </x:comment>
    <x:comment ref="N23" authorId="0">
      <x:text>
        <x:r>
          <x:t>Change in income taxes payable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Inputs'!N77
Cross-sheet references identify the owning schedule. Same-sheet references identify intermediate calculations.</x:t>
        </x:r>
      </x:text>
    </x:comment>
    <x:comment ref="O23" authorId="0">
      <x:text>
        <x:r>
          <x:t>Change in income taxes payable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Capital'!O37
Cross-sheet references identify the owning schedule. Same-sheet references identify intermediate calculations.</x:t>
        </x:r>
      </x:text>
    </x:comment>
    <x:comment ref="P23" authorId="0">
      <x:text>
        <x:r>
          <x:t>Change in income taxes payable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Capital'!P37
Cross-sheet references identify the owning schedule. Same-sheet references identify intermediate calculations.</x:t>
        </x:r>
      </x:text>
    </x:comment>
    <x:comment ref="Q23" authorId="0">
      <x:text>
        <x:r>
          <x:t>Change in income taxes payable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Capital'!Q37
Cross-sheet references identify the owning schedule. Same-sheet references identify intermediate calculations.</x:t>
        </x:r>
      </x:text>
    </x:comment>
    <x:comment ref="R23" authorId="0">
      <x:text>
        <x:r>
          <x:t>Change in income taxes payable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Capital'!R37
Cross-sheet references identify the owning schedule. Same-sheet references identify intermediate calculations.</x:t>
        </x:r>
      </x:text>
    </x:comment>
    <x:comment ref="S23" authorId="0">
      <x:text>
        <x:r>
          <x:t>Change in income taxes payable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Capital'!S37
Cross-sheet references identify the owning schedule. Same-sheet references identify intermediate calculations.</x:t>
        </x:r>
      </x:text>
    </x:comment>
    <x:comment ref="C24"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24" authorId="0">
      <x:text>
        <x:r>
          <x:t>Change in other current operating liabilities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Inputs'!E78
Cross-sheet references identify the owning schedule. Same-sheet references identify intermediate calculations.</x:t>
        </x:r>
      </x:text>
    </x:comment>
    <x:comment ref="F24" authorId="0">
      <x:text>
        <x:r>
          <x:t>Change in other current operating liabilities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Inputs'!F78
Cross-sheet references identify the owning schedule. Same-sheet references identify intermediate calculations.</x:t>
        </x:r>
      </x:text>
    </x:comment>
    <x:comment ref="G24" authorId="0">
      <x:text>
        <x:r>
          <x:t>Change in other current operating liabilities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Inputs'!G78
Cross-sheet references identify the owning schedule. Same-sheet references identify intermediate calculations.</x:t>
        </x:r>
      </x:text>
    </x:comment>
    <x:comment ref="H24" authorId="0">
      <x:text>
        <x:r>
          <x:t>Change in other current operating liabilities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Inputs'!H78
Cross-sheet references identify the owning schedule. Same-sheet references identify intermediate calculations.</x:t>
        </x:r>
      </x:text>
    </x:comment>
    <x:comment ref="I24" authorId="0">
      <x:text>
        <x:r>
          <x:t>Change in other current operating liabilities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Inputs'!I78
Cross-sheet references identify the owning schedule. Same-sheet references identify intermediate calculations.</x:t>
        </x:r>
      </x:text>
    </x:comment>
    <x:comment ref="J24" authorId="0">
      <x:text>
        <x:r>
          <x:t>Change in other current operating liabilities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Inputs'!J78
Cross-sheet references identify the owning schedule. Same-sheet references identify intermediate calculations.</x:t>
        </x:r>
      </x:text>
    </x:comment>
    <x:comment ref="K24" authorId="0">
      <x:text>
        <x:r>
          <x:t>Change in other current operating liabilities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Inputs'!K78
Cross-sheet references identify the owning schedule. Same-sheet references identify intermediate calculations.</x:t>
        </x:r>
      </x:text>
    </x:comment>
    <x:comment ref="L24" authorId="0">
      <x:text>
        <x:r>
          <x:t>Change in other current operating liabilities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Inputs'!L78
Cross-sheet references identify the owning schedule. Same-sheet references identify intermediate calculations.</x:t>
        </x:r>
      </x:text>
    </x:comment>
    <x:comment ref="M24" authorId="0">
      <x:text>
        <x:r>
          <x:t>Change in other current operating liabilities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Inputs'!M78
Cross-sheet references identify the owning schedule. Same-sheet references identify intermediate calculations.</x:t>
        </x:r>
      </x:text>
    </x:comment>
    <x:comment ref="N24" authorId="0">
      <x:text>
        <x:r>
          <x:t>Change in other current operating liabilities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Inputs'!N78
Cross-sheet references identify the owning schedule. Same-sheet references identify intermediate calculations.</x:t>
        </x:r>
      </x:text>
    </x:comment>
    <x:comment ref="O24" authorId="0">
      <x:text>
        <x:r>
          <x:t>Change in other current operating liabilities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Capital'!O38
Cross-sheet references identify the owning schedule. Same-sheet references identify intermediate calculations.</x:t>
        </x:r>
      </x:text>
    </x:comment>
    <x:comment ref="P24" authorId="0">
      <x:text>
        <x:r>
          <x:t>Change in other current operating liabilities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Capital'!P38
Cross-sheet references identify the owning schedule. Same-sheet references identify intermediate calculations.</x:t>
        </x:r>
      </x:text>
    </x:comment>
    <x:comment ref="Q24" authorId="0">
      <x:text>
        <x:r>
          <x:t>Change in other current operating liabilities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Capital'!Q38
Cross-sheet references identify the owning schedule. Same-sheet references identify intermediate calculations.</x:t>
        </x:r>
      </x:text>
    </x:comment>
    <x:comment ref="R24" authorId="0">
      <x:text>
        <x:r>
          <x:t>Change in other current operating liabilities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Capital'!R38
Cross-sheet references identify the owning schedule. Same-sheet references identify intermediate calculations.</x:t>
        </x:r>
      </x:text>
    </x:comment>
    <x:comment ref="S24" authorId="0">
      <x:text>
        <x:r>
          <x:t>Change in other current operating liabilities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Capital'!S38
Cross-sheet references identify the owning schedule. Same-sheet references identify intermediate calculations.</x:t>
        </x:r>
      </x:text>
    </x:comment>
    <x:comment ref="C25"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25" authorId="0">
      <x:text>
        <x:r>
          <x:t>Change in other long-term operating liabilities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Inputs'!E79
Cross-sheet references identify the owning schedule. Same-sheet references identify intermediate calculations.</x:t>
        </x:r>
      </x:text>
    </x:comment>
    <x:comment ref="F25" authorId="0">
      <x:text>
        <x:r>
          <x:t>Change in other long-term operating liabilities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Inputs'!F79
Cross-sheet references identify the owning schedule. Same-sheet references identify intermediate calculations.</x:t>
        </x:r>
      </x:text>
    </x:comment>
    <x:comment ref="G25" authorId="0">
      <x:text>
        <x:r>
          <x:t>Change in other long-term operating liabilities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Inputs'!G79
Cross-sheet references identify the owning schedule. Same-sheet references identify intermediate calculations.</x:t>
        </x:r>
      </x:text>
    </x:comment>
    <x:comment ref="H25" authorId="0">
      <x:text>
        <x:r>
          <x:t>Change in other long-term operating liabilities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Inputs'!H79
Cross-sheet references identify the owning schedule. Same-sheet references identify intermediate calculations.</x:t>
        </x:r>
      </x:text>
    </x:comment>
    <x:comment ref="I25" authorId="0">
      <x:text>
        <x:r>
          <x:t>Change in other long-term operating liabilities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Inputs'!I79
Cross-sheet references identify the owning schedule. Same-sheet references identify intermediate calculations.</x:t>
        </x:r>
      </x:text>
    </x:comment>
    <x:comment ref="J25" authorId="0">
      <x:text>
        <x:r>
          <x:t>Change in other long-term operating liabilities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Inputs'!J79
Cross-sheet references identify the owning schedule. Same-sheet references identify intermediate calculations.</x:t>
        </x:r>
      </x:text>
    </x:comment>
    <x:comment ref="K25" authorId="0">
      <x:text>
        <x:r>
          <x:t>Change in other long-term operating liabilities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Inputs'!K79
Cross-sheet references identify the owning schedule. Same-sheet references identify intermediate calculations.</x:t>
        </x:r>
      </x:text>
    </x:comment>
    <x:comment ref="L25" authorId="0">
      <x:text>
        <x:r>
          <x:t>Change in other long-term operating liabilities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Inputs'!L79
Cross-sheet references identify the owning schedule. Same-sheet references identify intermediate calculations.</x:t>
        </x:r>
      </x:text>
    </x:comment>
    <x:comment ref="M25" authorId="0">
      <x:text>
        <x:r>
          <x:t>Change in other long-term operating liabilities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Inputs'!M79
Cross-sheet references identify the owning schedule. Same-sheet references identify intermediate calculations.</x:t>
        </x:r>
      </x:text>
    </x:comment>
    <x:comment ref="N25" authorId="0">
      <x:text>
        <x:r>
          <x:t>Change in other long-term operating liabilities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Inputs'!N79
Cross-sheet references identify the owning schedule. Same-sheet references identify intermediate calculations.</x:t>
        </x:r>
      </x:text>
    </x:comment>
    <x:comment ref="O25" authorId="0">
      <x:text>
        <x:r>
          <x:t>Change in other long-term operating liabilities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Capital'!O39
Cross-sheet references identify the owning schedule. Same-sheet references identify intermediate calculations.</x:t>
        </x:r>
      </x:text>
    </x:comment>
    <x:comment ref="P25" authorId="0">
      <x:text>
        <x:r>
          <x:t>Change in other long-term operating liabilities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Capital'!P39
Cross-sheet references identify the owning schedule. Same-sheet references identify intermediate calculations.</x:t>
        </x:r>
      </x:text>
    </x:comment>
    <x:comment ref="Q25" authorId="0">
      <x:text>
        <x:r>
          <x:t>Change in other long-term operating liabilities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Capital'!Q39
Cross-sheet references identify the owning schedule. Same-sheet references identify intermediate calculations.</x:t>
        </x:r>
      </x:text>
    </x:comment>
    <x:comment ref="R25" authorId="0">
      <x:text>
        <x:r>
          <x:t>Change in other long-term operating liabilities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Capital'!R39
Cross-sheet references identify the owning schedule. Same-sheet references identify intermediate calculations.</x:t>
        </x:r>
      </x:text>
    </x:comment>
    <x:comment ref="S25" authorId="0">
      <x:text>
        <x:r>
          <x:t>Change in other long-term operating liabilities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Capital'!S39
Cross-sheet references identify the owning schedule. Same-sheet references identify intermediate calculations.</x:t>
        </x:r>
      </x:text>
    </x:comment>
    <x:comment ref="C26" authorId="0">
      <x:text>
        <x:r>
          <x:t>Cash balance or signed cash flow as named in the row. Positive cash-flow amounts are inflows and negative amounts are outflows. Follow the formula or source reference below for the classification.</x:t>
        </x:r>
      </x:text>
    </x:comment>
    <x:comment ref="E26" authorId="0">
      <x:text>
        <x:r>
          <x:t>Operating lease cash reconciliation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26" authorId="0">
      <x:text>
        <x:r>
          <x:t>Operating lease cash reconciliation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26" authorId="0">
      <x:text>
        <x:r>
          <x:t>Operating lease cash reconciliation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26" authorId="0">
      <x:text>
        <x:r>
          <x:t>Operating lease cash reconciliation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26" authorId="0">
      <x:text>
        <x:r>
          <x:t>Operating lease cash reconciliation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26" authorId="0">
      <x:text>
        <x:r>
          <x:t>Operating lease cash reconciliation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26" authorId="0">
      <x:text>
        <x:r>
          <x:t>Operating lease cash reconciliation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26" authorId="0">
      <x:text>
        <x:r>
          <x:t>Operating lease cash reconciliation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26" authorId="0">
      <x:text>
        <x:r>
          <x:t>Operating lease cash reconciliation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26" authorId="0">
      <x:text>
        <x:r>
          <x:t>Operating lease cash reconciliation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26" authorId="0">
      <x:text>
        <x:r>
          <x:t>Operating lease cash reconciliation (FY:27 E).
Cash balance or signed cash flow as named in the row. Positive cash-flow amounts are inflows and negative amounts are outflows. Follow the formula or source reference below for the classification.
Formula: ='Debt and Leases'!O66
Cross-sheet references identify the owning schedule. Same-sheet references identify intermediate calculations.</x:t>
        </x:r>
      </x:text>
    </x:comment>
    <x:comment ref="P26" authorId="0">
      <x:text>
        <x:r>
          <x:t>Operating lease cash reconciliation (FY:28 E).
Cash balance or signed cash flow as named in the row. Positive cash-flow amounts are inflows and negative amounts are outflows. Follow the formula or source reference below for the classification.
Formula: ='Debt and Leases'!P66
Cross-sheet references identify the owning schedule. Same-sheet references identify intermediate calculations.</x:t>
        </x:r>
      </x:text>
    </x:comment>
    <x:comment ref="Q26" authorId="0">
      <x:text>
        <x:r>
          <x:t>Operating lease cash reconciliation (FY:29 E).
Cash balance or signed cash flow as named in the row. Positive cash-flow amounts are inflows and negative amounts are outflows. Follow the formula or source reference below for the classification.
Formula: ='Debt and Leases'!Q66
Cross-sheet references identify the owning schedule. Same-sheet references identify intermediate calculations.</x:t>
        </x:r>
      </x:text>
    </x:comment>
    <x:comment ref="R26" authorId="0">
      <x:text>
        <x:r>
          <x:t>Operating lease cash reconciliation (FY:30 E).
Cash balance or signed cash flow as named in the row. Positive cash-flow amounts are inflows and negative amounts are outflows. Follow the formula or source reference below for the classification.
Formula: ='Debt and Leases'!R66
Cross-sheet references identify the owning schedule. Same-sheet references identify intermediate calculations.</x:t>
        </x:r>
      </x:text>
    </x:comment>
    <x:comment ref="S26" authorId="0">
      <x:text>
        <x:r>
          <x:t>Operating lease cash reconciliation (FY:31 E).
Cash balance or signed cash flow as named in the row. Positive cash-flow amounts are inflows and negative amounts are outflows. Follow the formula or source reference below for the classification.
Formula: ='Debt and Leases'!S66
Cross-sheet references identify the owning schedule. Same-sheet references identify intermediate calculations.</x:t>
        </x:r>
      </x:text>
    </x:comment>
    <x:comment ref="C27" authorId="0">
      <x:text>
        <x:r>
          <x:t>Other operating adjustments. This line belongs to the Cash Flow calculation. Read its formula to trace the referenced inputs and intermediate totals.</x:t>
        </x:r>
      </x:text>
    </x:comment>
    <x:comment ref="E27" authorId="0">
      <x:text>
        <x:r>
          <x:t>Other operating adjustments (FY:17 A).
Other operating adjustments. This line belongs to the Cash Flow calculation. Read its formula to trace the referenced inputs and intermediate totals.
Formula: ='Historical Inputs'!E103
Cross-sheet references identify the owning schedule. Same-sheet references identify intermediate calculations.</x:t>
        </x:r>
      </x:text>
    </x:comment>
    <x:comment ref="F27" authorId="0">
      <x:text>
        <x:r>
          <x:t>Other operating adjustments (FY:18 A).
Other operating adjustments. This line belongs to the Cash Flow calculation. Read its formula to trace the referenced inputs and intermediate totals.
Formula: ='Historical Inputs'!F103
Cross-sheet references identify the owning schedule. Same-sheet references identify intermediate calculations.</x:t>
        </x:r>
      </x:text>
    </x:comment>
    <x:comment ref="G27" authorId="0">
      <x:text>
        <x:r>
          <x:t>Other operating adjustments (FY:19 A).
Other operating adjustments. This line belongs to the Cash Flow calculation. Read its formula to trace the referenced inputs and intermediate totals.
Formula: ='Historical Inputs'!G103
Cross-sheet references identify the owning schedule. Same-sheet references identify intermediate calculations.</x:t>
        </x:r>
      </x:text>
    </x:comment>
    <x:comment ref="H27" authorId="0">
      <x:text>
        <x:r>
          <x:t>Other operating adjustments (FY:20 A).
Other operating adjustments. This line belongs to the Cash Flow calculation. Read its formula to trace the referenced inputs and intermediate totals.
Formula: ='Historical Inputs'!H103
Cross-sheet references identify the owning schedule. Same-sheet references identify intermediate calculations.</x:t>
        </x:r>
      </x:text>
    </x:comment>
    <x:comment ref="I27" authorId="0">
      <x:text>
        <x:r>
          <x:t>Other operating adjustments (FY:21 A).
Other operating adjustments. This line belongs to the Cash Flow calculation. Read its formula to trace the referenced inputs and intermediate totals.
Formula: ='Historical Inputs'!I103
Cross-sheet references identify the owning schedule. Same-sheet references identify intermediate calculations.</x:t>
        </x:r>
      </x:text>
    </x:comment>
    <x:comment ref="J27" authorId="0">
      <x:text>
        <x:r>
          <x:t>Other operating adjustments (FY:22 A).
Other operating adjustments. This line belongs to the Cash Flow calculation. Read its formula to trace the referenced inputs and intermediate totals.
Formula: ='Historical Inputs'!J103
Cross-sheet references identify the owning schedule. Same-sheet references identify intermediate calculations.</x:t>
        </x:r>
      </x:text>
    </x:comment>
    <x:comment ref="K27" authorId="0">
      <x:text>
        <x:r>
          <x:t>Other operating adjustments (FY:23 A).
Other operating adjustments. This line belongs to the Cash Flow calculation. Read its formula to trace the referenced inputs and intermediate totals.
Formula: ='Historical Inputs'!K103
Cross-sheet references identify the owning schedule. Same-sheet references identify intermediate calculations.</x:t>
        </x:r>
      </x:text>
    </x:comment>
    <x:comment ref="L27" authorId="0">
      <x:text>
        <x:r>
          <x:t>Other operating adjustments (FY:24 A).
Other operating adjustments. This line belongs to the Cash Flow calculation. Read its formula to trace the referenced inputs and intermediate totals.
Formula: ='Historical Inputs'!L103
Cross-sheet references identify the owning schedule. Same-sheet references identify intermediate calculations.</x:t>
        </x:r>
      </x:text>
    </x:comment>
    <x:comment ref="M27" authorId="0">
      <x:text>
        <x:r>
          <x:t>Other operating adjustments (FY:25 A).
Other operating adjustments. This line belongs to the Cash Flow calculation. Read its formula to trace the referenced inputs and intermediate totals.
Formula: ='Historical Inputs'!M103
Cross-sheet references identify the owning schedule. Same-sheet references identify intermediate calculations.</x:t>
        </x:r>
      </x:text>
    </x:comment>
    <x:comment ref="N27" authorId="0">
      <x:text>
        <x:r>
          <x:t>Other operating adjustments (FY:26 A).
Other operating adjustments. This line belongs to the Cash Flow calculation. Read its formula to trace the referenced inputs and intermediate totals.
Formula: ='Historical Inputs'!N103
Cross-sheet references identify the owning schedule. Same-sheet references identify intermediate calculations.</x:t>
        </x:r>
      </x:text>
    </x:comment>
    <x:comment ref="O27" authorId="0">
      <x:text>
        <x:r>
          <x:t>Other operating adjustments (FY:27 E).
Other operating adjustments. This line belongs to the Cash Flow calculation. Read its formula to trace the referenced inputs and intermediate totals.
Formula: =0
Cross-sheet references identify the owning schedule. Same-sheet references identify intermediate calculations.</x:t>
        </x:r>
      </x:text>
    </x:comment>
    <x:comment ref="P27" authorId="0">
      <x:text>
        <x:r>
          <x:t>Other operating adjustments (FY:28 E).
Other operating adjustments. This line belongs to the Cash Flow calculation. Read its formula to trace the referenced inputs and intermediate totals.
Formula: =0
Cross-sheet references identify the owning schedule. Same-sheet references identify intermediate calculations.</x:t>
        </x:r>
      </x:text>
    </x:comment>
    <x:comment ref="Q27" authorId="0">
      <x:text>
        <x:r>
          <x:t>Other operating adjustments (FY:29 E).
Other operating adjustments. This line belongs to the Cash Flow calculation. Read its formula to trace the referenced inputs and intermediate totals.
Formula: =0
Cross-sheet references identify the owning schedule. Same-sheet references identify intermediate calculations.</x:t>
        </x:r>
      </x:text>
    </x:comment>
    <x:comment ref="R27" authorId="0">
      <x:text>
        <x:r>
          <x:t>Other operating adjustments (FY:30 E).
Other operating adjustments. This line belongs to the Cash Flow calculation. Read its formula to trace the referenced inputs and intermediate totals.
Formula: =0
Cross-sheet references identify the owning schedule. Same-sheet references identify intermediate calculations.</x:t>
        </x:r>
      </x:text>
    </x:comment>
    <x:comment ref="S27" authorId="0">
      <x:text>
        <x:r>
          <x:t>Other operating adjustments (FY:31 E).
Other operating adjustments. This line belongs to the Cash Flow calculation. Read its formula to trace the referenced inputs and intermediate totals.
Formula: =0
Cross-sheet references identify the owning schedule. Same-sheet references identify intermediate calculations.</x:t>
        </x:r>
      </x:text>
    </x:comment>
    <x:comment ref="C28" authorId="0">
      <x:text>
        <x:r>
          <x:t>Net income plus noncash adjustments and signed operating balance changes. Depreciation and stock-based compensation are added back once.</x:t>
        </x:r>
      </x:text>
    </x:comment>
    <x:comment ref="E28" authorId="0">
      <x:text>
        <x:r>
          <x:t>Net cash from operations (FY:17 A).
Net income plus noncash adjustments and signed operating balance changes. Depreciation and stock-based compensation are added back once.
Formula: =SUM(E8:E15,E17:E27)
Cross-sheet references identify the owning schedule. Same-sheet references identify intermediate calculations.</x:t>
        </x:r>
      </x:text>
    </x:comment>
    <x:comment ref="F28" authorId="0">
      <x:text>
        <x:r>
          <x:t>Net cash from operations (FY:18 A).
Net income plus noncash adjustments and signed operating balance changes. Depreciation and stock-based compensation are added back once.
Formula: =SUM(F8:F15,F17:F27)
Cross-sheet references identify the owning schedule. Same-sheet references identify intermediate calculations.</x:t>
        </x:r>
      </x:text>
    </x:comment>
    <x:comment ref="G28" authorId="0">
      <x:text>
        <x:r>
          <x:t>Net cash from operations (FY:19 A).
Net income plus noncash adjustments and signed operating balance changes. Depreciation and stock-based compensation are added back once.
Formula: =SUM(G8:G15,G17:G27)
Cross-sheet references identify the owning schedule. Same-sheet references identify intermediate calculations.</x:t>
        </x:r>
      </x:text>
    </x:comment>
    <x:comment ref="H28" authorId="0">
      <x:text>
        <x:r>
          <x:t>Net cash from operations (FY:20 A).
Net income plus noncash adjustments and signed operating balance changes. Depreciation and stock-based compensation are added back once.
Formula: =SUM(H8:H15,H17:H27)
Cross-sheet references identify the owning schedule. Same-sheet references identify intermediate calculations.</x:t>
        </x:r>
      </x:text>
    </x:comment>
    <x:comment ref="I28" authorId="0">
      <x:text>
        <x:r>
          <x:t>Net cash from operations (FY:21 A).
Net income plus noncash adjustments and signed operating balance changes. Depreciation and stock-based compensation are added back once.
Formula: =SUM(I8:I15,I17:I27)
Cross-sheet references identify the owning schedule. Same-sheet references identify intermediate calculations.</x:t>
        </x:r>
      </x:text>
    </x:comment>
    <x:comment ref="J28" authorId="0">
      <x:text>
        <x:r>
          <x:t>Net cash from operations (FY:22 A).
Net income plus noncash adjustments and signed operating balance changes. Depreciation and stock-based compensation are added back once.
Formula: =SUM(J8:J15,J17:J27)
Cross-sheet references identify the owning schedule. Same-sheet references identify intermediate calculations.</x:t>
        </x:r>
      </x:text>
    </x:comment>
    <x:comment ref="K28" authorId="0">
      <x:text>
        <x:r>
          <x:t>Net cash from operations (FY:23 A).
Net income plus noncash adjustments and signed operating balance changes. Depreciation and stock-based compensation are added back once.
Formula: =SUM(K8:K15,K17:K27)
Cross-sheet references identify the owning schedule. Same-sheet references identify intermediate calculations.</x:t>
        </x:r>
      </x:text>
    </x:comment>
    <x:comment ref="L28" authorId="0">
      <x:text>
        <x:r>
          <x:t>Net cash from operations (FY:24 A).
Net income plus noncash adjustments and signed operating balance changes. Depreciation and stock-based compensation are added back once.
Formula: =SUM(L8:L15,L17:L27)
Cross-sheet references identify the owning schedule. Same-sheet references identify intermediate calculations.</x:t>
        </x:r>
      </x:text>
    </x:comment>
    <x:comment ref="M28" authorId="0">
      <x:text>
        <x:r>
          <x:t>Net cash from operations (FY:25 A).
Net income plus noncash adjustments and signed operating balance changes. Depreciation and stock-based compensation are added back once.
Formula: =SUM(M8:M15,M17:M27)
Cross-sheet references identify the owning schedule. Same-sheet references identify intermediate calculations.</x:t>
        </x:r>
      </x:text>
    </x:comment>
    <x:comment ref="N28" authorId="0">
      <x:text>
        <x:r>
          <x:t>Net cash from operations (FY:26 A).
Net income plus noncash adjustments and signed operating balance changes. Depreciation and stock-based compensation are added back once.
Formula: =SUM(N8:N15,N17:N27)
Cross-sheet references identify the owning schedule. Same-sheet references identify intermediate calculations.</x:t>
        </x:r>
      </x:text>
    </x:comment>
    <x:comment ref="O28" authorId="0">
      <x:text>
        <x:r>
          <x:t>Net cash from operations (FY:27 E).
Net income plus noncash adjustments and signed operating balance changes. Depreciation and stock-based compensation are added back once.
Formula: =SUM(O8:O15,O17:O27)
Cross-sheet references identify the owning schedule. Same-sheet references identify intermediate calculations.</x:t>
        </x:r>
      </x:text>
    </x:comment>
    <x:comment ref="P28" authorId="0">
      <x:text>
        <x:r>
          <x:t>Net cash from operations (FY:28 E).
Net income plus noncash adjustments and signed operating balance changes. Depreciation and stock-based compensation are added back once.
Formula: =SUM(P8:P15,P17:P27)
Cross-sheet references identify the owning schedule. Same-sheet references identify intermediate calculations.</x:t>
        </x:r>
      </x:text>
    </x:comment>
    <x:comment ref="Q28" authorId="0">
      <x:text>
        <x:r>
          <x:t>Net cash from operations (FY:29 E).
Net income plus noncash adjustments and signed operating balance changes. Depreciation and stock-based compensation are added back once.
Formula: =SUM(Q8:Q15,Q17:Q27)
Cross-sheet references identify the owning schedule. Same-sheet references identify intermediate calculations.</x:t>
        </x:r>
      </x:text>
    </x:comment>
    <x:comment ref="R28" authorId="0">
      <x:text>
        <x:r>
          <x:t>Net cash from operations (FY:30 E).
Net income plus noncash adjustments and signed operating balance changes. Depreciation and stock-based compensation are added back once.
Formula: =SUM(R8:R15,R17:R27)
Cross-sheet references identify the owning schedule. Same-sheet references identify intermediate calculations.</x:t>
        </x:r>
      </x:text>
    </x:comment>
    <x:comment ref="S28" authorId="0">
      <x:text>
        <x:r>
          <x:t>Net cash from operations (FY:31 E).
Net income plus noncash adjustments and signed operating balance changes. Depreciation and stock-based compensation are added back once.
Formula: =SUM(S8:S15,S17:S27)
Cross-sheet references identify the owning schedule. Same-sheet references identify intermediate calculations.</x:t>
        </x:r>
      </x:text>
    </x:comment>
    <x:comment ref="C30" authorId="0">
      <x:text>
        <x:r>
          <x:t>Signed cash outflow for capital investment. Its absolute amount includes capitalized cash interest. New finance lease assets are noncash and excluded.</x:t>
        </x:r>
      </x:text>
    </x:comment>
    <x:comment ref="E30" authorId="0">
      <x:text>
        <x:r>
          <x:t>Cash capital expenditure (FY:17 A).
Signed cash outflow for capital investment. Its absolute amount includes capitalized cash interest. New finance lease assets are noncash and excluded.
Formula: ='Historical Inputs'!E89
Cross-sheet references identify the owning schedule. Same-sheet references identify intermediate calculations.</x:t>
        </x:r>
      </x:text>
    </x:comment>
    <x:comment ref="F30" authorId="0">
      <x:text>
        <x:r>
          <x:t>Cash capital expenditure (FY:18 A).
Signed cash outflow for capital investment. Its absolute amount includes capitalized cash interest. New finance lease assets are noncash and excluded.
Formula: ='Historical Inputs'!F89
Cross-sheet references identify the owning schedule. Same-sheet references identify intermediate calculations.</x:t>
        </x:r>
      </x:text>
    </x:comment>
    <x:comment ref="G30" authorId="0">
      <x:text>
        <x:r>
          <x:t>Cash capital expenditure (FY:19 A).
Signed cash outflow for capital investment. Its absolute amount includes capitalized cash interest. New finance lease assets are noncash and excluded.
Formula: ='Historical Inputs'!G89
Cross-sheet references identify the owning schedule. Same-sheet references identify intermediate calculations.</x:t>
        </x:r>
      </x:text>
    </x:comment>
    <x:comment ref="H30" authorId="0">
      <x:text>
        <x:r>
          <x:t>Cash capital expenditure (FY:20 A).
Signed cash outflow for capital investment. Its absolute amount includes capitalized cash interest. New finance lease assets are noncash and excluded.
Formula: ='Historical Inputs'!H89
Cross-sheet references identify the owning schedule. Same-sheet references identify intermediate calculations.</x:t>
        </x:r>
      </x:text>
    </x:comment>
    <x:comment ref="I30" authorId="0">
      <x:text>
        <x:r>
          <x:t>Cash capital expenditure (FY:21 A).
Signed cash outflow for capital investment. Its absolute amount includes capitalized cash interest. New finance lease assets are noncash and excluded.
Formula: ='Historical Inputs'!I89
Cross-sheet references identify the owning schedule. Same-sheet references identify intermediate calculations.</x:t>
        </x:r>
      </x:text>
    </x:comment>
    <x:comment ref="J30" authorId="0">
      <x:text>
        <x:r>
          <x:t>Cash capital expenditure (FY:22 A).
Signed cash outflow for capital investment. Its absolute amount includes capitalized cash interest. New finance lease assets are noncash and excluded.
Formula: ='Historical Inputs'!J89
Cross-sheet references identify the owning schedule. Same-sheet references identify intermediate calculations.</x:t>
        </x:r>
      </x:text>
    </x:comment>
    <x:comment ref="K30" authorId="0">
      <x:text>
        <x:r>
          <x:t>Cash capital expenditure (FY:23 A).
Signed cash outflow for capital investment. Its absolute amount includes capitalized cash interest. New finance lease assets are noncash and excluded.
Formula: ='Historical Inputs'!K89
Cross-sheet references identify the owning schedule. Same-sheet references identify intermediate calculations.</x:t>
        </x:r>
      </x:text>
    </x:comment>
    <x:comment ref="L30" authorId="0">
      <x:text>
        <x:r>
          <x:t>Cash capital expenditure (FY:24 A).
Signed cash outflow for capital investment. Its absolute amount includes capitalized cash interest. New finance lease assets are noncash and excluded.
Formula: ='Historical Inputs'!L89
Cross-sheet references identify the owning schedule. Same-sheet references identify intermediate calculations.</x:t>
        </x:r>
      </x:text>
    </x:comment>
    <x:comment ref="M30" authorId="0">
      <x:text>
        <x:r>
          <x:t>Cash capital expenditure (FY:25 A).
Signed cash outflow for capital investment. Its absolute amount includes capitalized cash interest. New finance lease assets are noncash and excluded.
Formula: ='Historical Inputs'!M89
Cross-sheet references identify the owning schedule. Same-sheet references identify intermediate calculations.</x:t>
        </x:r>
      </x:text>
    </x:comment>
    <x:comment ref="N30" authorId="0">
      <x:text>
        <x:r>
          <x:t>Cash capital expenditure (FY:26 A).
Signed cash outflow for capital investment. Its absolute amount includes capitalized cash interest. New finance lease assets are noncash and excluded.
Formula: ='Historical Inputs'!N89
Cross-sheet references identify the owning schedule. Same-sheet references identify intermediate calculations.</x:t>
        </x:r>
      </x:text>
    </x:comment>
    <x:comment ref="O30" authorId="0">
      <x:text>
        <x:r>
          <x:t>Cash capital expenditure (FY:27 E).
Signed cash outflow for capital investment. Its absolute amount includes capitalized cash interest. New finance lease assets are noncash and excluded.
Formula: =-'PPE and Intangibles'!O8
Cross-sheet references identify the owning schedule. Same-sheet references identify intermediate calculations.</x:t>
        </x:r>
      </x:text>
    </x:comment>
    <x:comment ref="P30" authorId="0">
      <x:text>
        <x:r>
          <x:t>Cash capital expenditure (FY:28 E).
Signed cash outflow for capital investment. Its absolute amount includes capitalized cash interest. New finance lease assets are noncash and excluded.
Formula: =-'PPE and Intangibles'!P8
Cross-sheet references identify the owning schedule. Same-sheet references identify intermediate calculations.</x:t>
        </x:r>
      </x:text>
    </x:comment>
    <x:comment ref="Q30" authorId="0">
      <x:text>
        <x:r>
          <x:t>Cash capital expenditure (FY:29 E).
Signed cash outflow for capital investment. Its absolute amount includes capitalized cash interest. New finance lease assets are noncash and excluded.
Formula: =-'PPE and Intangibles'!Q8
Cross-sheet references identify the owning schedule. Same-sheet references identify intermediate calculations.</x:t>
        </x:r>
      </x:text>
    </x:comment>
    <x:comment ref="R30" authorId="0">
      <x:text>
        <x:r>
          <x:t>Cash capital expenditure (FY:30 E).
Signed cash outflow for capital investment. Its absolute amount includes capitalized cash interest. New finance lease assets are noncash and excluded.
Formula: =-'PPE and Intangibles'!R8
Cross-sheet references identify the owning schedule. Same-sheet references identify intermediate calculations.</x:t>
        </x:r>
      </x:text>
    </x:comment>
    <x:comment ref="S30" authorId="0">
      <x:text>
        <x:r>
          <x:t>Cash capital expenditure (FY:31 E).
Signed cash outflow for capital investment. Its absolute amount includes capitalized cash interest. New finance lease assets are noncash and excluded.
Formula: =-'PPE and Intangibles'!S8
Cross-sheet references identify the owning schedule. Same-sheet references identify intermediate calculations.</x:t>
        </x:r>
      </x:text>
    </x:comment>
    <x:comment ref="C31" authorId="0">
      <x:text>
        <x:r>
          <x:t>Acquisitions and purchases of other assets. This line belongs to the Cash Flow calculation. Read its formula to trace the referenced inputs and intermediate totals.</x:t>
        </x:r>
      </x:text>
    </x:comment>
    <x:comment ref="E31" authorId="0">
      <x:text>
        <x:r>
          <x:t>Acquisitions and purchases of other assets (FY:17 A).
Acquisitions and purchases of other assets. This line belongs to the Cash Flow calculation. Read its formula to trace the referenced inputs and intermediate totals.
Formula: ='Historical Inputs'!E90
Cross-sheet references identify the owning schedule. Same-sheet references identify intermediate calculations.</x:t>
        </x:r>
      </x:text>
    </x:comment>
    <x:comment ref="F31" authorId="0">
      <x:text>
        <x:r>
          <x:t>Acquisitions and purchases of other assets (FY:18 A).
Acquisitions and purchases of other assets. This line belongs to the Cash Flow calculation. Read its formula to trace the referenced inputs and intermediate totals.
Formula: ='Historical Inputs'!F90
Cross-sheet references identify the owning schedule. Same-sheet references identify intermediate calculations.</x:t>
        </x:r>
      </x:text>
    </x:comment>
    <x:comment ref="G31" authorId="0">
      <x:text>
        <x:r>
          <x:t>Acquisitions and purchases of other assets (FY:19 A).
Acquisitions and purchases of other assets. This line belongs to the Cash Flow calculation. Read its formula to trace the referenced inputs and intermediate totals.
Formula: ='Historical Inputs'!G90
Cross-sheet references identify the owning schedule. Same-sheet references identify intermediate calculations.</x:t>
        </x:r>
      </x:text>
    </x:comment>
    <x:comment ref="H31" authorId="0">
      <x:text>
        <x:r>
          <x:t>Acquisitions and purchases of other assets (FY:20 A).
Acquisitions and purchases of other assets. This line belongs to the Cash Flow calculation. Read its formula to trace the referenced inputs and intermediate totals.
Formula: ='Historical Inputs'!H90
Cross-sheet references identify the owning schedule. Same-sheet references identify intermediate calculations.</x:t>
        </x:r>
      </x:text>
    </x:comment>
    <x:comment ref="I31" authorId="0">
      <x:text>
        <x:r>
          <x:t>Acquisitions and purchases of other assets (FY:21 A).
Acquisitions and purchases of other assets. This line belongs to the Cash Flow calculation. Read its formula to trace the referenced inputs and intermediate totals.
Formula: ='Historical Inputs'!I90
Cross-sheet references identify the owning schedule. Same-sheet references identify intermediate calculations.</x:t>
        </x:r>
      </x:text>
    </x:comment>
    <x:comment ref="J31" authorId="0">
      <x:text>
        <x:r>
          <x:t>Acquisitions and purchases of other assets (FY:22 A).
Acquisitions and purchases of other assets. This line belongs to the Cash Flow calculation. Read its formula to trace the referenced inputs and intermediate totals.
Formula: ='Historical Inputs'!J90
Cross-sheet references identify the owning schedule. Same-sheet references identify intermediate calculations.</x:t>
        </x:r>
      </x:text>
    </x:comment>
    <x:comment ref="K31" authorId="0">
      <x:text>
        <x:r>
          <x:t>Acquisitions and purchases of other assets (FY:23 A).
Acquisitions and purchases of other assets. This line belongs to the Cash Flow calculation. Read its formula to trace the referenced inputs and intermediate totals.
Formula: ='Historical Inputs'!K90
Cross-sheet references identify the owning schedule. Same-sheet references identify intermediate calculations.</x:t>
        </x:r>
      </x:text>
    </x:comment>
    <x:comment ref="L31" authorId="0">
      <x:text>
        <x:r>
          <x:t>Acquisitions and purchases of other assets (FY:24 A).
Acquisitions and purchases of other assets. This line belongs to the Cash Flow calculation. Read its formula to trace the referenced inputs and intermediate totals.
Formula: ='Historical Inputs'!L90
Cross-sheet references identify the owning schedule. Same-sheet references identify intermediate calculations.</x:t>
        </x:r>
      </x:text>
    </x:comment>
    <x:comment ref="M31" authorId="0">
      <x:text>
        <x:r>
          <x:t>Acquisitions and purchases of other assets (FY:25 A).
Acquisitions and purchases of other assets. This line belongs to the Cash Flow calculation. Read its formula to trace the referenced inputs and intermediate totals.
Formula: ='Historical Inputs'!M90
Cross-sheet references identify the owning schedule. Same-sheet references identify intermediate calculations.</x:t>
        </x:r>
      </x:text>
    </x:comment>
    <x:comment ref="N31" authorId="0">
      <x:text>
        <x:r>
          <x:t>Acquisitions and purchases of other assets (FY:26 A).
Acquisitions and purchases of other assets. This line belongs to the Cash Flow calculation. Read its formula to trace the referenced inputs and intermediate totals.
Formula: ='Historical Inputs'!N90
Cross-sheet references identify the owning schedule. Same-sheet references identify intermediate calculations.</x:t>
        </x:r>
      </x:text>
    </x:comment>
    <x:comment ref="O31" authorId="0">
      <x:text>
        <x:r>
          <x:t>Acquisitions and purchases of other assets (FY:27 E).
Acquisitions and purchases of other assets. This line belongs to the Cash Flow calculation. Read its formula to trace the referenced inputs and intermediate totals.
Formula: =0
Cross-sheet references identify the owning schedule. Same-sheet references identify intermediate calculations.</x:t>
        </x:r>
      </x:text>
    </x:comment>
    <x:comment ref="P31" authorId="0">
      <x:text>
        <x:r>
          <x:t>Acquisitions and purchases of other assets (FY:28 E).
Acquisitions and purchases of other assets. This line belongs to the Cash Flow calculation. Read its formula to trace the referenced inputs and intermediate totals.
Formula: =0
Cross-sheet references identify the owning schedule. Same-sheet references identify intermediate calculations.</x:t>
        </x:r>
      </x:text>
    </x:comment>
    <x:comment ref="Q31" authorId="0">
      <x:text>
        <x:r>
          <x:t>Acquisitions and purchases of other assets (FY:29 E).
Acquisitions and purchases of other assets. This line belongs to the Cash Flow calculation. Read its formula to trace the referenced inputs and intermediate totals.
Formula: =0
Cross-sheet references identify the owning schedule. Same-sheet references identify intermediate calculations.</x:t>
        </x:r>
      </x:text>
    </x:comment>
    <x:comment ref="R31" authorId="0">
      <x:text>
        <x:r>
          <x:t>Acquisitions and purchases of other assets (FY:30 E).
Acquisitions and purchases of other assets. This line belongs to the Cash Flow calculation. Read its formula to trace the referenced inputs and intermediate totals.
Formula: =0
Cross-sheet references identify the owning schedule. Same-sheet references identify intermediate calculations.</x:t>
        </x:r>
      </x:text>
    </x:comment>
    <x:comment ref="S31" authorId="0">
      <x:text>
        <x:r>
          <x:t>Acquisitions and purchases of other assets (FY:31 E).
Acquisitions and purchases of other assets. This line belongs to the Cash Flow calculation. Read its formula to trace the referenced inputs and intermediate totals.
Formula: =0
Cross-sheet references identify the owning schedule. Same-sheet references identify intermediate calculations.</x:t>
        </x:r>
      </x:text>
    </x:comment>
    <x:comment ref="C32" authorId="0">
      <x:text>
        <x:r>
          <x:t>Purchases of investments. This line belongs to the Cash Flow calculation. Read its formula to trace the referenced inputs and intermediate totals.</x:t>
        </x:r>
      </x:text>
    </x:comment>
    <x:comment ref="E32" authorId="0">
      <x:text>
        <x:r>
          <x:t>Purchases of investments (FY:17 A).
Purchases of investments. This line belongs to the Cash Flow calculation. Read its formula to trace the referenced inputs and intermediate totals.
Formula: ='Historical Inputs'!E91
Cross-sheet references identify the owning schedule. Same-sheet references identify intermediate calculations.</x:t>
        </x:r>
      </x:text>
    </x:comment>
    <x:comment ref="F32" authorId="0">
      <x:text>
        <x:r>
          <x:t>Purchases of investments (FY:18 A).
Purchases of investments. This line belongs to the Cash Flow calculation. Read its formula to trace the referenced inputs and intermediate totals.
Formula: ='Historical Inputs'!F91
Cross-sheet references identify the owning schedule. Same-sheet references identify intermediate calculations.</x:t>
        </x:r>
      </x:text>
    </x:comment>
    <x:comment ref="G32" authorId="0">
      <x:text>
        <x:r>
          <x:t>Purchases of investments (FY:19 A).
Purchases of investments. This line belongs to the Cash Flow calculation. Read its formula to trace the referenced inputs and intermediate totals.
Formula: ='Historical Inputs'!G91
Cross-sheet references identify the owning schedule. Same-sheet references identify intermediate calculations.</x:t>
        </x:r>
      </x:text>
    </x:comment>
    <x:comment ref="H32" authorId="0">
      <x:text>
        <x:r>
          <x:t>Purchases of investments (FY:20 A).
Purchases of investments. This line belongs to the Cash Flow calculation. Read its formula to trace the referenced inputs and intermediate totals.
Formula: ='Historical Inputs'!H91
Cross-sheet references identify the owning schedule. Same-sheet references identify intermediate calculations.</x:t>
        </x:r>
      </x:text>
    </x:comment>
    <x:comment ref="I32" authorId="0">
      <x:text>
        <x:r>
          <x:t>Purchases of investments (FY:21 A).
Purchases of investments. This line belongs to the Cash Flow calculation. Read its formula to trace the referenced inputs and intermediate totals.
Formula: ='Historical Inputs'!I91
Cross-sheet references identify the owning schedule. Same-sheet references identify intermediate calculations.</x:t>
        </x:r>
      </x:text>
    </x:comment>
    <x:comment ref="J32" authorId="0">
      <x:text>
        <x:r>
          <x:t>Purchases of investments (FY:22 A).
Purchases of investments. This line belongs to the Cash Flow calculation. Read its formula to trace the referenced inputs and intermediate totals.
Formula: ='Historical Inputs'!J91
Cross-sheet references identify the owning schedule. Same-sheet references identify intermediate calculations.</x:t>
        </x:r>
      </x:text>
    </x:comment>
    <x:comment ref="K32" authorId="0">
      <x:text>
        <x:r>
          <x:t>Purchases of investments (FY:23 A).
Purchases of investments. This line belongs to the Cash Flow calculation. Read its formula to trace the referenced inputs and intermediate totals.
Formula: ='Historical Inputs'!K91
Cross-sheet references identify the owning schedule. Same-sheet references identify intermediate calculations.</x:t>
        </x:r>
      </x:text>
    </x:comment>
    <x:comment ref="L32" authorId="0">
      <x:text>
        <x:r>
          <x:t>Purchases of investments (FY:24 A).
Purchases of investments. This line belongs to the Cash Flow calculation. Read its formula to trace the referenced inputs and intermediate totals.
Formula: ='Historical Inputs'!L91
Cross-sheet references identify the owning schedule. Same-sheet references identify intermediate calculations.</x:t>
        </x:r>
      </x:text>
    </x:comment>
    <x:comment ref="M32" authorId="0">
      <x:text>
        <x:r>
          <x:t>Purchases of investments (FY:25 A).
Purchases of investments. This line belongs to the Cash Flow calculation. Read its formula to trace the referenced inputs and intermediate totals.
Formula: ='Historical Inputs'!M91
Cross-sheet references identify the owning schedule. Same-sheet references identify intermediate calculations.</x:t>
        </x:r>
      </x:text>
    </x:comment>
    <x:comment ref="N32" authorId="0">
      <x:text>
        <x:r>
          <x:t>Purchases of investments (FY:26 A).
Purchases of investments. This line belongs to the Cash Flow calculation. Read its formula to trace the referenced inputs and intermediate totals.
Formula: ='Historical Inputs'!N91
Cross-sheet references identify the owning schedule. Same-sheet references identify intermediate calculations.</x:t>
        </x:r>
      </x:text>
    </x:comment>
    <x:comment ref="O32" authorId="0">
      <x:text>
        <x:r>
          <x:t>Purchases of investments (FY:27 E).
Purchases of investments. This line belongs to the Cash Flow calculation. Read its formula to trace the referenced inputs and intermediate totals.
Formula: =-MAX(0,'Debt and Leases'!O73-'Debt and Leases'!O72)
Cross-sheet references identify the owning schedule. Same-sheet references identify intermediate calculations.</x:t>
        </x:r>
      </x:text>
    </x:comment>
    <x:comment ref="P32" authorId="0">
      <x:text>
        <x:r>
          <x:t>Purchases of investments (FY:28 E).
Purchases of investments. This line belongs to the Cash Flow calculation. Read its formula to trace the referenced inputs and intermediate totals.
Formula: =-MAX(0,'Debt and Leases'!P73-'Debt and Leases'!P72)
Cross-sheet references identify the owning schedule. Same-sheet references identify intermediate calculations.</x:t>
        </x:r>
      </x:text>
    </x:comment>
    <x:comment ref="Q32" authorId="0">
      <x:text>
        <x:r>
          <x:t>Purchases of investments (FY:29 E).
Purchases of investments. This line belongs to the Cash Flow calculation. Read its formula to trace the referenced inputs and intermediate totals.
Formula: =-MAX(0,'Debt and Leases'!Q73-'Debt and Leases'!Q72)
Cross-sheet references identify the owning schedule. Same-sheet references identify intermediate calculations.</x:t>
        </x:r>
      </x:text>
    </x:comment>
    <x:comment ref="R32" authorId="0">
      <x:text>
        <x:r>
          <x:t>Purchases of investments (FY:30 E).
Purchases of investments. This line belongs to the Cash Flow calculation. Read its formula to trace the referenced inputs and intermediate totals.
Formula: =-MAX(0,'Debt and Leases'!R73-'Debt and Leases'!R72)
Cross-sheet references identify the owning schedule. Same-sheet references identify intermediate calculations.</x:t>
        </x:r>
      </x:text>
    </x:comment>
    <x:comment ref="S32" authorId="0">
      <x:text>
        <x:r>
          <x:t>Purchases of investments (FY:31 E).
Purchases of investments. This line belongs to the Cash Flow calculation. Read its formula to trace the referenced inputs and intermediate totals.
Formula: =-MAX(0,'Debt and Leases'!S73-'Debt and Leases'!S72)
Cross-sheet references identify the owning schedule. Same-sheet references identify intermediate calculations.</x:t>
        </x:r>
      </x:text>
    </x:comment>
    <x:comment ref="C33" authorId="0">
      <x:text>
        <x:r>
          <x:t>Maturities of investments. This line belongs to the Cash Flow calculation. Read its formula to trace the referenced inputs and intermediate totals.</x:t>
        </x:r>
      </x:text>
    </x:comment>
    <x:comment ref="E33" authorId="0">
      <x:text>
        <x:r>
          <x:t>Maturities of investments (FY:17 A).
Maturities of investments. This line belongs to the Cash Flow calculation. Read its formula to trace the referenced inputs and intermediate totals.
Formula: ='Historical Inputs'!E92
Cross-sheet references identify the owning schedule. Same-sheet references identify intermediate calculations.</x:t>
        </x:r>
      </x:text>
    </x:comment>
    <x:comment ref="F33" authorId="0">
      <x:text>
        <x:r>
          <x:t>Maturities of investments (FY:18 A).
Maturities of investments. This line belongs to the Cash Flow calculation. Read its formula to trace the referenced inputs and intermediate totals.
Formula: ='Historical Inputs'!F92
Cross-sheet references identify the owning schedule. Same-sheet references identify intermediate calculations.</x:t>
        </x:r>
      </x:text>
    </x:comment>
    <x:comment ref="G33" authorId="0">
      <x:text>
        <x:r>
          <x:t>Maturities of investments (FY:19 A).
Maturities of investments. This line belongs to the Cash Flow calculation. Read its formula to trace the referenced inputs and intermediate totals.
Formula: ='Historical Inputs'!G92
Cross-sheet references identify the owning schedule. Same-sheet references identify intermediate calculations.</x:t>
        </x:r>
      </x:text>
    </x:comment>
    <x:comment ref="H33" authorId="0">
      <x:text>
        <x:r>
          <x:t>Maturities of investments (FY:20 A).
Maturities of investments. This line belongs to the Cash Flow calculation. Read its formula to trace the referenced inputs and intermediate totals.
Formula: ='Historical Inputs'!H92
Cross-sheet references identify the owning schedule. Same-sheet references identify intermediate calculations.</x:t>
        </x:r>
      </x:text>
    </x:comment>
    <x:comment ref="I33" authorId="0">
      <x:text>
        <x:r>
          <x:t>Maturities of investments (FY:21 A).
Maturities of investments. This line belongs to the Cash Flow calculation. Read its formula to trace the referenced inputs and intermediate totals.
Formula: ='Historical Inputs'!I92
Cross-sheet references identify the owning schedule. Same-sheet references identify intermediate calculations.</x:t>
        </x:r>
      </x:text>
    </x:comment>
    <x:comment ref="J33" authorId="0">
      <x:text>
        <x:r>
          <x:t>Maturities of investments (FY:22 A).
Maturities of investments. This line belongs to the Cash Flow calculation. Read its formula to trace the referenced inputs and intermediate totals.
Formula: ='Historical Inputs'!J92
Cross-sheet references identify the owning schedule. Same-sheet references identify intermediate calculations.</x:t>
        </x:r>
      </x:text>
    </x:comment>
    <x:comment ref="K33" authorId="0">
      <x:text>
        <x:r>
          <x:t>Maturities of investments (FY:23 A).
Maturities of investments. This line belongs to the Cash Flow calculation. Read its formula to trace the referenced inputs and intermediate totals.
Formula: ='Historical Inputs'!K92
Cross-sheet references identify the owning schedule. Same-sheet references identify intermediate calculations.</x:t>
        </x:r>
      </x:text>
    </x:comment>
    <x:comment ref="L33" authorId="0">
      <x:text>
        <x:r>
          <x:t>Maturities of investments (FY:24 A).
Maturities of investments. This line belongs to the Cash Flow calculation. Read its formula to trace the referenced inputs and intermediate totals.
Formula: ='Historical Inputs'!L92
Cross-sheet references identify the owning schedule. Same-sheet references identify intermediate calculations.</x:t>
        </x:r>
      </x:text>
    </x:comment>
    <x:comment ref="M33" authorId="0">
      <x:text>
        <x:r>
          <x:t>Maturities of investments (FY:25 A).
Maturities of investments. This line belongs to the Cash Flow calculation. Read its formula to trace the referenced inputs and intermediate totals.
Formula: ='Historical Inputs'!M92
Cross-sheet references identify the owning schedule. Same-sheet references identify intermediate calculations.</x:t>
        </x:r>
      </x:text>
    </x:comment>
    <x:comment ref="N33" authorId="0">
      <x:text>
        <x:r>
          <x:t>Maturities of investments (FY:26 A).
Maturities of investments. This line belongs to the Cash Flow calculation. Read its formula to trace the referenced inputs and intermediate totals.
Formula: ='Historical Inputs'!N92
Cross-sheet references identify the owning schedule. Same-sheet references identify intermediate calculations.</x:t>
        </x:r>
      </x:text>
    </x:comment>
    <x:comment ref="O33" authorId="0">
      <x:text>
        <x:r>
          <x:t>Maturities of investments (FY:27 E).
Maturities of investments. This line belongs to the Cash Flow calculation. Read its formula to trace the referenced inputs and intermediate totals.
Formula: =MAX(0,'Debt and Leases'!O72-'Debt and Leases'!O73)
Cross-sheet references identify the owning schedule. Same-sheet references identify intermediate calculations.</x:t>
        </x:r>
      </x:text>
    </x:comment>
    <x:comment ref="P33" authorId="0">
      <x:text>
        <x:r>
          <x:t>Maturities of investments (FY:28 E).
Maturities of investments. This line belongs to the Cash Flow calculation. Read its formula to trace the referenced inputs and intermediate totals.
Formula: =MAX(0,'Debt and Leases'!P72-'Debt and Leases'!P73)
Cross-sheet references identify the owning schedule. Same-sheet references identify intermediate calculations.</x:t>
        </x:r>
      </x:text>
    </x:comment>
    <x:comment ref="Q33" authorId="0">
      <x:text>
        <x:r>
          <x:t>Maturities of investments (FY:29 E).
Maturities of investments. This line belongs to the Cash Flow calculation. Read its formula to trace the referenced inputs and intermediate totals.
Formula: =MAX(0,'Debt and Leases'!Q72-'Debt and Leases'!Q73)
Cross-sheet references identify the owning schedule. Same-sheet references identify intermediate calculations.</x:t>
        </x:r>
      </x:text>
    </x:comment>
    <x:comment ref="R33" authorId="0">
      <x:text>
        <x:r>
          <x:t>Maturities of investments (FY:30 E).
Maturities of investments. This line belongs to the Cash Flow calculation. Read its formula to trace the referenced inputs and intermediate totals.
Formula: =MAX(0,'Debt and Leases'!R72-'Debt and Leases'!R73)
Cross-sheet references identify the owning schedule. Same-sheet references identify intermediate calculations.</x:t>
        </x:r>
      </x:text>
    </x:comment>
    <x:comment ref="S33" authorId="0">
      <x:text>
        <x:r>
          <x:t>Maturities of investments (FY:31 E).
Maturities of investments. This line belongs to the Cash Flow calculation. Read its formula to trace the referenced inputs and intermediate totals.
Formula: =MAX(0,'Debt and Leases'!S72-'Debt and Leases'!S73)
Cross-sheet references identify the owning schedule. Same-sheet references identify intermediate calculations.</x:t>
        </x:r>
      </x:text>
    </x:comment>
    <x:comment ref="C34" authorId="0">
      <x:text>
        <x:r>
          <x:t>Sales of investments. This line belongs to the Cash Flow calculation. Read its formula to trace the referenced inputs and intermediate totals.</x:t>
        </x:r>
      </x:text>
    </x:comment>
    <x:comment ref="E34" authorId="0">
      <x:text>
        <x:r>
          <x:t>Sales of investments (FY:17 A).
Sales of investments. This line belongs to the Cash Flow calculation. Read its formula to trace the referenced inputs and intermediate totals.
Formula: ='Historical Inputs'!E93
Cross-sheet references identify the owning schedule. Same-sheet references identify intermediate calculations.</x:t>
        </x:r>
      </x:text>
    </x:comment>
    <x:comment ref="F34" authorId="0">
      <x:text>
        <x:r>
          <x:t>Sales of investments (FY:18 A).
Sales of investments. This line belongs to the Cash Flow calculation. Read its formula to trace the referenced inputs and intermediate totals.
Formula: ='Historical Inputs'!F93
Cross-sheet references identify the owning schedule. Same-sheet references identify intermediate calculations.</x:t>
        </x:r>
      </x:text>
    </x:comment>
    <x:comment ref="G34" authorId="0">
      <x:text>
        <x:r>
          <x:t>Sales of investments (FY:19 A).
Sales of investments. This line belongs to the Cash Flow calculation. Read its formula to trace the referenced inputs and intermediate totals.
Formula: ='Historical Inputs'!G93
Cross-sheet references identify the owning schedule. Same-sheet references identify intermediate calculations.</x:t>
        </x:r>
      </x:text>
    </x:comment>
    <x:comment ref="H34" authorId="0">
      <x:text>
        <x:r>
          <x:t>Sales of investments (FY:20 A).
Sales of investments. This line belongs to the Cash Flow calculation. Read its formula to trace the referenced inputs and intermediate totals.
Formula: ='Historical Inputs'!H93
Cross-sheet references identify the owning schedule. Same-sheet references identify intermediate calculations.</x:t>
        </x:r>
      </x:text>
    </x:comment>
    <x:comment ref="I34" authorId="0">
      <x:text>
        <x:r>
          <x:t>Sales of investments (FY:21 A).
Sales of investments. This line belongs to the Cash Flow calculation. Read its formula to trace the referenced inputs and intermediate totals.
Formula: ='Historical Inputs'!I93
Cross-sheet references identify the owning schedule. Same-sheet references identify intermediate calculations.</x:t>
        </x:r>
      </x:text>
    </x:comment>
    <x:comment ref="J34" authorId="0">
      <x:text>
        <x:r>
          <x:t>Sales of investments (FY:22 A).
Sales of investments. This line belongs to the Cash Flow calculation. Read its formula to trace the referenced inputs and intermediate totals.
Formula: ='Historical Inputs'!J93
Cross-sheet references identify the owning schedule. Same-sheet references identify intermediate calculations.</x:t>
        </x:r>
      </x:text>
    </x:comment>
    <x:comment ref="K34" authorId="0">
      <x:text>
        <x:r>
          <x:t>Sales of investments (FY:23 A).
Sales of investments. This line belongs to the Cash Flow calculation. Read its formula to trace the referenced inputs and intermediate totals.
Formula: ='Historical Inputs'!K93
Cross-sheet references identify the owning schedule. Same-sheet references identify intermediate calculations.</x:t>
        </x:r>
      </x:text>
    </x:comment>
    <x:comment ref="L34" authorId="0">
      <x:text>
        <x:r>
          <x:t>Sales of investments (FY:24 A).
Sales of investments. This line belongs to the Cash Flow calculation. Read its formula to trace the referenced inputs and intermediate totals.
Formula: ='Historical Inputs'!L93
Cross-sheet references identify the owning schedule. Same-sheet references identify intermediate calculations.</x:t>
        </x:r>
      </x:text>
    </x:comment>
    <x:comment ref="M34" authorId="0">
      <x:text>
        <x:r>
          <x:t>Sales of investments (FY:25 A).
Sales of investments. This line belongs to the Cash Flow calculation. Read its formula to trace the referenced inputs and intermediate totals.
Formula: ='Historical Inputs'!M93
Cross-sheet references identify the owning schedule. Same-sheet references identify intermediate calculations.</x:t>
        </x:r>
      </x:text>
    </x:comment>
    <x:comment ref="N34" authorId="0">
      <x:text>
        <x:r>
          <x:t>Sales of investments (FY:26 A).
Sales of investments. This line belongs to the Cash Flow calculation. Read its formula to trace the referenced inputs and intermediate totals.
Formula: ='Historical Inputs'!N93
Cross-sheet references identify the owning schedule. Same-sheet references identify intermediate calculations.</x:t>
        </x:r>
      </x:text>
    </x:comment>
    <x:comment ref="O34" authorId="0">
      <x:text>
        <x:r>
          <x:t>Sales of investments (FY:27 E).
Sales of investments. This line belongs to the Cash Flow calculation. Read its formula to trace the referenced inputs and intermediate totals.
Formula: ='Debt and Leases'!O77
Cross-sheet references identify the owning schedule. Same-sheet references identify intermediate calculations.</x:t>
        </x:r>
      </x:text>
    </x:comment>
    <x:comment ref="P34" authorId="0">
      <x:text>
        <x:r>
          <x:t>Sales of investments (FY:28 E).
Sales of investments. This line belongs to the Cash Flow calculation. Read its formula to trace the referenced inputs and intermediate totals.
Formula: ='Debt and Leases'!P77
Cross-sheet references identify the owning schedule. Same-sheet references identify intermediate calculations.</x:t>
        </x:r>
      </x:text>
    </x:comment>
    <x:comment ref="Q34" authorId="0">
      <x:text>
        <x:r>
          <x:t>Sales of investments (FY:29 E).
Sales of investments. This line belongs to the Cash Flow calculation. Read its formula to trace the referenced inputs and intermediate totals.
Formula: ='Debt and Leases'!Q77
Cross-sheet references identify the owning schedule. Same-sheet references identify intermediate calculations.</x:t>
        </x:r>
      </x:text>
    </x:comment>
    <x:comment ref="R34" authorId="0">
      <x:text>
        <x:r>
          <x:t>Sales of investments (FY:30 E).
Sales of investments. This line belongs to the Cash Flow calculation. Read its formula to trace the referenced inputs and intermediate totals.
Formula: ='Debt and Leases'!R77
Cross-sheet references identify the owning schedule. Same-sheet references identify intermediate calculations.</x:t>
        </x:r>
      </x:text>
    </x:comment>
    <x:comment ref="S34" authorId="0">
      <x:text>
        <x:r>
          <x:t>Sales of investments (FY:31 E).
Sales of investments. This line belongs to the Cash Flow calculation. Read its formula to trace the referenced inputs and intermediate totals.
Formula: ='Debt and Leases'!S77
Cross-sheet references identify the owning schedule. Same-sheet references identify intermediate calculations.</x:t>
        </x:r>
      </x:text>
    </x:comment>
    <x:comment ref="C35" authorId="0">
      <x:text>
        <x:r>
          <x:t>Cash balance or signed cash flow as named in the row. Positive cash-flow amounts are inflows and negative amounts are outflows. Follow the formula or source reference below for the classification.</x:t>
        </x:r>
      </x:text>
    </x:comment>
    <x:comment ref="E35" authorId="0">
      <x:text>
        <x:r>
          <x:t>Cash purchases of equity investments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35" authorId="0">
      <x:text>
        <x:r>
          <x:t>Cash purchases of equity investments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35" authorId="0">
      <x:text>
        <x:r>
          <x:t>Cash purchases of equity investments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35" authorId="0">
      <x:text>
        <x:r>
          <x:t>Cash purchases of equity investments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35" authorId="0">
      <x:text>
        <x:r>
          <x:t>Cash purchases of equity investments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35" authorId="0">
      <x:text>
        <x:r>
          <x:t>Cash purchases of equity investments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35" authorId="0">
      <x:text>
        <x:r>
          <x:t>Cash purchases of equity investments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35" authorId="0">
      <x:text>
        <x:r>
          <x:t>Cash purchases of equity investments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35" authorId="0">
      <x:text>
        <x:r>
          <x:t>Cash purchases of equity investments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35" authorId="0">
      <x:text>
        <x:r>
          <x:t>Cash purchases of equity investments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35" authorId="0">
      <x:text>
        <x:r>
          <x:t>Cash purchases of equity investments (FY:27 E).
Cash balance or signed cash flow as named in the row. Positive cash-flow amounts are inflows and negative amounts are outflows. Follow the formula or source reference below for the classification.
Formula: =-'Debt and Leases'!O83
Cross-sheet references identify the owning schedule. Same-sheet references identify intermediate calculations.</x:t>
        </x:r>
      </x:text>
    </x:comment>
    <x:comment ref="P35" authorId="0">
      <x:text>
        <x:r>
          <x:t>Cash purchases of equity investments (FY:28 E).
Cash balance or signed cash flow as named in the row. Positive cash-flow amounts are inflows and negative amounts are outflows. Follow the formula or source reference below for the classification.
Formula: =-'Debt and Leases'!P83
Cross-sheet references identify the owning schedule. Same-sheet references identify intermediate calculations.</x:t>
        </x:r>
      </x:text>
    </x:comment>
    <x:comment ref="Q35" authorId="0">
      <x:text>
        <x:r>
          <x:t>Cash purchases of equity investments (FY:29 E).
Cash balance or signed cash flow as named in the row. Positive cash-flow amounts are inflows and negative amounts are outflows. Follow the formula or source reference below for the classification.
Formula: =-'Debt and Leases'!Q83
Cross-sheet references identify the owning schedule. Same-sheet references identify intermediate calculations.</x:t>
        </x:r>
      </x:text>
    </x:comment>
    <x:comment ref="R35" authorId="0">
      <x:text>
        <x:r>
          <x:t>Cash purchases of equity investments (FY:30 E).
Cash balance or signed cash flow as named in the row. Positive cash-flow amounts are inflows and negative amounts are outflows. Follow the formula or source reference below for the classification.
Formula: =-'Debt and Leases'!R83
Cross-sheet references identify the owning schedule. Same-sheet references identify intermediate calculations.</x:t>
        </x:r>
      </x:text>
    </x:comment>
    <x:comment ref="S35" authorId="0">
      <x:text>
        <x:r>
          <x:t>Cash purchases of equity investments (FY:31 E).
Cash balance or signed cash flow as named in the row. Positive cash-flow amounts are inflows and negative amounts are outflows. Follow the formula or source reference below for the classification.
Formula: =-'Debt and Leases'!S83
Cross-sheet references identify the owning schedule. Same-sheet references identify intermediate calculations.</x:t>
        </x:r>
      </x:text>
    </x:comment>
    <x:comment ref="C36" authorId="0">
      <x:text>
        <x:r>
          <x:t>Other investing and securities lending. This line belongs to the Cash Flow calculation. Read its formula to trace the referenced inputs and intermediate totals.</x:t>
        </x:r>
      </x:text>
    </x:comment>
    <x:comment ref="E36" authorId="0">
      <x:text>
        <x:r>
          <x:t>Other investing and securities lending (FY:17 A).
Other investing and securities lending. This line belongs to the Cash Flow calculation. Read its formula to trace the referenced inputs and intermediate totals.
Formula: ='Historical Inputs'!E94+'Historical Inputs'!E101
Cross-sheet references identify the owning schedule. Same-sheet references identify intermediate calculations.</x:t>
        </x:r>
      </x:text>
    </x:comment>
    <x:comment ref="F36" authorId="0">
      <x:text>
        <x:r>
          <x:t>Other investing and securities lending (FY:18 A).
Other investing and securities lending. This line belongs to the Cash Flow calculation. Read its formula to trace the referenced inputs and intermediate totals.
Formula: ='Historical Inputs'!F94+'Historical Inputs'!F101
Cross-sheet references identify the owning schedule. Same-sheet references identify intermediate calculations.</x:t>
        </x:r>
      </x:text>
    </x:comment>
    <x:comment ref="G36" authorId="0">
      <x:text>
        <x:r>
          <x:t>Other investing and securities lending (FY:19 A).
Other investing and securities lending. This line belongs to the Cash Flow calculation. Read its formula to trace the referenced inputs and intermediate totals.
Formula: ='Historical Inputs'!G94+'Historical Inputs'!G101
Cross-sheet references identify the owning schedule. Same-sheet references identify intermediate calculations.</x:t>
        </x:r>
      </x:text>
    </x:comment>
    <x:comment ref="H36" authorId="0">
      <x:text>
        <x:r>
          <x:t>Other investing and securities lending (FY:20 A).
Other investing and securities lending. This line belongs to the Cash Flow calculation. Read its formula to trace the referenced inputs and intermediate totals.
Formula: ='Historical Inputs'!H94+'Historical Inputs'!H101
Cross-sheet references identify the owning schedule. Same-sheet references identify intermediate calculations.</x:t>
        </x:r>
      </x:text>
    </x:comment>
    <x:comment ref="I36" authorId="0">
      <x:text>
        <x:r>
          <x:t>Other investing and securities lending (FY:21 A).
Other investing and securities lending. This line belongs to the Cash Flow calculation. Read its formula to trace the referenced inputs and intermediate totals.
Formula: ='Historical Inputs'!I94+'Historical Inputs'!I101
Cross-sheet references identify the owning schedule. Same-sheet references identify intermediate calculations.</x:t>
        </x:r>
      </x:text>
    </x:comment>
    <x:comment ref="J36" authorId="0">
      <x:text>
        <x:r>
          <x:t>Other investing and securities lending (FY:22 A).
Other investing and securities lending. This line belongs to the Cash Flow calculation. Read its formula to trace the referenced inputs and intermediate totals.
Formula: ='Historical Inputs'!J94+'Historical Inputs'!J101
Cross-sheet references identify the owning schedule. Same-sheet references identify intermediate calculations.</x:t>
        </x:r>
      </x:text>
    </x:comment>
    <x:comment ref="K36" authorId="0">
      <x:text>
        <x:r>
          <x:t>Other investing and securities lending (FY:23 A).
Other investing and securities lending. This line belongs to the Cash Flow calculation. Read its formula to trace the referenced inputs and intermediate totals.
Formula: ='Historical Inputs'!K94+'Historical Inputs'!K101
Cross-sheet references identify the owning schedule. Same-sheet references identify intermediate calculations.</x:t>
        </x:r>
      </x:text>
    </x:comment>
    <x:comment ref="L36" authorId="0">
      <x:text>
        <x:r>
          <x:t>Other investing and securities lending (FY:24 A).
Other investing and securities lending. This line belongs to the Cash Flow calculation. Read its formula to trace the referenced inputs and intermediate totals.
Formula: ='Historical Inputs'!L94+'Historical Inputs'!L101
Cross-sheet references identify the owning schedule. Same-sheet references identify intermediate calculations.</x:t>
        </x:r>
      </x:text>
    </x:comment>
    <x:comment ref="M36" authorId="0">
      <x:text>
        <x:r>
          <x:t>Other investing and securities lending (FY:25 A).
Other investing and securities lending. This line belongs to the Cash Flow calculation. Read its formula to trace the referenced inputs and intermediate totals.
Formula: ='Historical Inputs'!M94+'Historical Inputs'!M101
Cross-sheet references identify the owning schedule. Same-sheet references identify intermediate calculations.</x:t>
        </x:r>
      </x:text>
    </x:comment>
    <x:comment ref="N36" authorId="0">
      <x:text>
        <x:r>
          <x:t>Other investing and securities lending (FY:26 A).
Other investing and securities lending. This line belongs to the Cash Flow calculation. Read its formula to trace the referenced inputs and intermediate totals.
Formula: ='Historical Inputs'!N94+'Historical Inputs'!N101
Cross-sheet references identify the owning schedule. Same-sheet references identify intermediate calculations.</x:t>
        </x:r>
      </x:text>
    </x:comment>
    <x:comment ref="O36" authorId="0">
      <x:text>
        <x:r>
          <x:t>Other investing and securities lending (FY:27 E).
Other investing and securities lending. This line belongs to the Cash Flow calculation. Read its formula to trace the referenced inputs and intermediate totals.
Formula: =0
Cross-sheet references identify the owning schedule. Same-sheet references identify intermediate calculations.</x:t>
        </x:r>
      </x:text>
    </x:comment>
    <x:comment ref="P36" authorId="0">
      <x:text>
        <x:r>
          <x:t>Other investing and securities lending (FY:28 E).
Other investing and securities lending. This line belongs to the Cash Flow calculation. Read its formula to trace the referenced inputs and intermediate totals.
Formula: =0
Cross-sheet references identify the owning schedule. Same-sheet references identify intermediate calculations.</x:t>
        </x:r>
      </x:text>
    </x:comment>
    <x:comment ref="Q36" authorId="0">
      <x:text>
        <x:r>
          <x:t>Other investing and securities lending (FY:29 E).
Other investing and securities lending. This line belongs to the Cash Flow calculation. Read its formula to trace the referenced inputs and intermediate totals.
Formula: =0
Cross-sheet references identify the owning schedule. Same-sheet references identify intermediate calculations.</x:t>
        </x:r>
      </x:text>
    </x:comment>
    <x:comment ref="R36" authorId="0">
      <x:text>
        <x:r>
          <x:t>Other investing and securities lending (FY:30 E).
Other investing and securities lending. This line belongs to the Cash Flow calculation. Read its formula to trace the referenced inputs and intermediate totals.
Formula: =0
Cross-sheet references identify the owning schedule. Same-sheet references identify intermediate calculations.</x:t>
        </x:r>
      </x:text>
    </x:comment>
    <x:comment ref="S36" authorId="0">
      <x:text>
        <x:r>
          <x:t>Other investing and securities lending (FY:31 E).
Other investing and securities lending. This line belongs to the Cash Flow calculation. Read its formula to trace the referenced inputs and intermediate totals.
Formula: =0
Cross-sheet references identify the owning schedule. Same-sheet references identify intermediate calculations.</x:t>
        </x:r>
      </x:text>
    </x:comment>
    <x:comment ref="C37" authorId="0">
      <x:text>
        <x:r>
          <x:t>Cash balance or signed cash flow as named in the row. Positive cash-flow amounts are inflows and negative amounts are outflows. Follow the formula or source reference below for the classification.</x:t>
        </x:r>
      </x:text>
    </x:comment>
    <x:comment ref="E37" authorId="0">
      <x:text>
        <x:r>
          <x:t>Net cash from investing (FY:17 A).
Cash balance or signed cash flow as named in the row. Positive cash-flow amounts are inflows and negative amounts are outflows. Follow the formula or source reference below for the classification.
Formula: =SUM(E30:E36)
Cross-sheet references identify the owning schedule. Same-sheet references identify intermediate calculations.</x:t>
        </x:r>
      </x:text>
    </x:comment>
    <x:comment ref="F37" authorId="0">
      <x:text>
        <x:r>
          <x:t>Net cash from investing (FY:18 A).
Cash balance or signed cash flow as named in the row. Positive cash-flow amounts are inflows and negative amounts are outflows. Follow the formula or source reference below for the classification.
Formula: =SUM(F30:F36)
Cross-sheet references identify the owning schedule. Same-sheet references identify intermediate calculations.</x:t>
        </x:r>
      </x:text>
    </x:comment>
    <x:comment ref="G37" authorId="0">
      <x:text>
        <x:r>
          <x:t>Net cash from investing (FY:19 A).
Cash balance or signed cash flow as named in the row. Positive cash-flow amounts are inflows and negative amounts are outflows. Follow the formula or source reference below for the classification.
Formula: =SUM(G30:G36)
Cross-sheet references identify the owning schedule. Same-sheet references identify intermediate calculations.</x:t>
        </x:r>
      </x:text>
    </x:comment>
    <x:comment ref="H37" authorId="0">
      <x:text>
        <x:r>
          <x:t>Net cash from investing (FY:20 A).
Cash balance or signed cash flow as named in the row. Positive cash-flow amounts are inflows and negative amounts are outflows. Follow the formula or source reference below for the classification.
Formula: =SUM(H30:H36)
Cross-sheet references identify the owning schedule. Same-sheet references identify intermediate calculations.</x:t>
        </x:r>
      </x:text>
    </x:comment>
    <x:comment ref="I37" authorId="0">
      <x:text>
        <x:r>
          <x:t>Net cash from investing (FY:21 A).
Cash balance or signed cash flow as named in the row. Positive cash-flow amounts are inflows and negative amounts are outflows. Follow the formula or source reference below for the classification.
Formula: =SUM(I30:I36)
Cross-sheet references identify the owning schedule. Same-sheet references identify intermediate calculations.</x:t>
        </x:r>
      </x:text>
    </x:comment>
    <x:comment ref="J37" authorId="0">
      <x:text>
        <x:r>
          <x:t>Net cash from investing (FY:22 A).
Cash balance or signed cash flow as named in the row. Positive cash-flow amounts are inflows and negative amounts are outflows. Follow the formula or source reference below for the classification.
Formula: =SUM(J30:J36)
Cross-sheet references identify the owning schedule. Same-sheet references identify intermediate calculations.</x:t>
        </x:r>
      </x:text>
    </x:comment>
    <x:comment ref="K37" authorId="0">
      <x:text>
        <x:r>
          <x:t>Net cash from investing (FY:23 A).
Cash balance or signed cash flow as named in the row. Positive cash-flow amounts are inflows and negative amounts are outflows. Follow the formula or source reference below for the classification.
Formula: =SUM(K30:K36)
Cross-sheet references identify the owning schedule. Same-sheet references identify intermediate calculations.</x:t>
        </x:r>
      </x:text>
    </x:comment>
    <x:comment ref="L37" authorId="0">
      <x:text>
        <x:r>
          <x:t>Net cash from investing (FY:24 A).
Cash balance or signed cash flow as named in the row. Positive cash-flow amounts are inflows and negative amounts are outflows. Follow the formula or source reference below for the classification.
Formula: =SUM(L30:L36)
Cross-sheet references identify the owning schedule. Same-sheet references identify intermediate calculations.</x:t>
        </x:r>
      </x:text>
    </x:comment>
    <x:comment ref="M37" authorId="0">
      <x:text>
        <x:r>
          <x:t>Net cash from investing (FY:25 A).
Cash balance or signed cash flow as named in the row. Positive cash-flow amounts are inflows and negative amounts are outflows. Follow the formula or source reference below for the classification.
Formula: =SUM(M30:M36)
Cross-sheet references identify the owning schedule. Same-sheet references identify intermediate calculations.</x:t>
        </x:r>
      </x:text>
    </x:comment>
    <x:comment ref="N37" authorId="0">
      <x:text>
        <x:r>
          <x:t>Net cash from investing (FY:26 A).
Cash balance or signed cash flow as named in the row. Positive cash-flow amounts are inflows and negative amounts are outflows. Follow the formula or source reference below for the classification.
Formula: =SUM(N30:N36)
Cross-sheet references identify the owning schedule. Same-sheet references identify intermediate calculations.</x:t>
        </x:r>
      </x:text>
    </x:comment>
    <x:comment ref="O37" authorId="0">
      <x:text>
        <x:r>
          <x:t>Net cash from investing (FY:27 E).
Cash balance or signed cash flow as named in the row. Positive cash-flow amounts are inflows and negative amounts are outflows. Follow the formula or source reference below for the classification.
Formula: =SUM(O30:O36)
Cross-sheet references identify the owning schedule. Same-sheet references identify intermediate calculations.</x:t>
        </x:r>
      </x:text>
    </x:comment>
    <x:comment ref="P37" authorId="0">
      <x:text>
        <x:r>
          <x:t>Net cash from investing (FY:28 E).
Cash balance or signed cash flow as named in the row. Positive cash-flow amounts are inflows and negative amounts are outflows. Follow the formula or source reference below for the classification.
Formula: =SUM(P30:P36)
Cross-sheet references identify the owning schedule. Same-sheet references identify intermediate calculations.</x:t>
        </x:r>
      </x:text>
    </x:comment>
    <x:comment ref="Q37" authorId="0">
      <x:text>
        <x:r>
          <x:t>Net cash from investing (FY:29 E).
Cash balance or signed cash flow as named in the row. Positive cash-flow amounts are inflows and negative amounts are outflows. Follow the formula or source reference below for the classification.
Formula: =SUM(Q30:Q36)
Cross-sheet references identify the owning schedule. Same-sheet references identify intermediate calculations.</x:t>
        </x:r>
      </x:text>
    </x:comment>
    <x:comment ref="R37" authorId="0">
      <x:text>
        <x:r>
          <x:t>Net cash from investing (FY:30 E).
Cash balance or signed cash flow as named in the row. Positive cash-flow amounts are inflows and negative amounts are outflows. Follow the formula or source reference below for the classification.
Formula: =SUM(R30:R36)
Cross-sheet references identify the owning schedule. Same-sheet references identify intermediate calculations.</x:t>
        </x:r>
      </x:text>
    </x:comment>
    <x:comment ref="S37" authorId="0">
      <x:text>
        <x:r>
          <x:t>Net cash from investing (FY:31 E).
Cash balance or signed cash flow as named in the row. Positive cash-flow amounts are inflows and negative amounts are outflows. Follow the formula or source reference below for the classification.
Formula: =SUM(S30:S36)
Cross-sheet references identify the owning schedule. Same-sheet references identify intermediate calculations.</x:t>
        </x:r>
      </x:text>
    </x:comment>
    <x:comment ref="C39" authorId="0">
      <x:text>
        <x:r>
          <x:t>New debt and liquidity borrowing. This line belongs to the Cash Flow calculation. Read its formula to trace the referenced inputs and intermediate totals.</x:t>
        </x:r>
      </x:text>
    </x:comment>
    <x:comment ref="E39" authorId="0">
      <x:text>
        <x:r>
          <x:t>New debt and liquidity borrowing (FY:17 A).
New debt and liquidity borrowing. This line belongs to the Cash Flow calculation. Read its formula to trace the referenced inputs and intermediate totals.
Formula: ='Historical Inputs'!E82
Cross-sheet references identify the owning schedule. Same-sheet references identify intermediate calculations.</x:t>
        </x:r>
      </x:text>
    </x:comment>
    <x:comment ref="F39" authorId="0">
      <x:text>
        <x:r>
          <x:t>New debt and liquidity borrowing (FY:18 A).
New debt and liquidity borrowing. This line belongs to the Cash Flow calculation. Read its formula to trace the referenced inputs and intermediate totals.
Formula: ='Historical Inputs'!F82
Cross-sheet references identify the owning schedule. Same-sheet references identify intermediate calculations.</x:t>
        </x:r>
      </x:text>
    </x:comment>
    <x:comment ref="G39" authorId="0">
      <x:text>
        <x:r>
          <x:t>New debt and liquidity borrowing (FY:19 A).
New debt and liquidity borrowing. This line belongs to the Cash Flow calculation. Read its formula to trace the referenced inputs and intermediate totals.
Formula: ='Historical Inputs'!G82
Cross-sheet references identify the owning schedule. Same-sheet references identify intermediate calculations.</x:t>
        </x:r>
      </x:text>
    </x:comment>
    <x:comment ref="H39" authorId="0">
      <x:text>
        <x:r>
          <x:t>New debt and liquidity borrowing (FY:20 A).
New debt and liquidity borrowing. This line belongs to the Cash Flow calculation. Read its formula to trace the referenced inputs and intermediate totals.
Formula: ='Historical Inputs'!H82
Cross-sheet references identify the owning schedule. Same-sheet references identify intermediate calculations.</x:t>
        </x:r>
      </x:text>
    </x:comment>
    <x:comment ref="I39" authorId="0">
      <x:text>
        <x:r>
          <x:t>New debt and liquidity borrowing (FY:21 A).
New debt and liquidity borrowing. This line belongs to the Cash Flow calculation. Read its formula to trace the referenced inputs and intermediate totals.
Formula: ='Historical Inputs'!I82
Cross-sheet references identify the owning schedule. Same-sheet references identify intermediate calculations.</x:t>
        </x:r>
      </x:text>
    </x:comment>
    <x:comment ref="J39" authorId="0">
      <x:text>
        <x:r>
          <x:t>New debt and liquidity borrowing (FY:22 A).
New debt and liquidity borrowing. This line belongs to the Cash Flow calculation. Read its formula to trace the referenced inputs and intermediate totals.
Formula: ='Historical Inputs'!J82
Cross-sheet references identify the owning schedule. Same-sheet references identify intermediate calculations.</x:t>
        </x:r>
      </x:text>
    </x:comment>
    <x:comment ref="K39" authorId="0">
      <x:text>
        <x:r>
          <x:t>New debt and liquidity borrowing (FY:23 A).
New debt and liquidity borrowing. This line belongs to the Cash Flow calculation. Read its formula to trace the referenced inputs and intermediate totals.
Formula: ='Historical Inputs'!K82
Cross-sheet references identify the owning schedule. Same-sheet references identify intermediate calculations.</x:t>
        </x:r>
      </x:text>
    </x:comment>
    <x:comment ref="L39" authorId="0">
      <x:text>
        <x:r>
          <x:t>New debt and liquidity borrowing (FY:24 A).
New debt and liquidity borrowing. This line belongs to the Cash Flow calculation. Read its formula to trace the referenced inputs and intermediate totals.
Formula: ='Historical Inputs'!L82
Cross-sheet references identify the owning schedule. Same-sheet references identify intermediate calculations.</x:t>
        </x:r>
      </x:text>
    </x:comment>
    <x:comment ref="M39" authorId="0">
      <x:text>
        <x:r>
          <x:t>New debt and liquidity borrowing (FY:25 A).
New debt and liquidity borrowing. This line belongs to the Cash Flow calculation. Read its formula to trace the referenced inputs and intermediate totals.
Formula: ='Historical Inputs'!M82
Cross-sheet references identify the owning schedule. Same-sheet references identify intermediate calculations.</x:t>
        </x:r>
      </x:text>
    </x:comment>
    <x:comment ref="N39" authorId="0">
      <x:text>
        <x:r>
          <x:t>New debt and liquidity borrowing (FY:26 A).
New debt and liquidity borrowing. This line belongs to the Cash Flow calculation. Read its formula to trace the referenced inputs and intermediate totals.
Formula: ='Historical Inputs'!N82
Cross-sheet references identify the owning schedule. Same-sheet references identify intermediate calculations.</x:t>
        </x:r>
      </x:text>
    </x:comment>
    <x:comment ref="O39" authorId="0">
      <x:text>
        <x:r>
          <x:t>New debt and liquidity borrowing (FY:27 E).
New debt and liquidity borrowing. This line belongs to the Cash Flow calculation. Read its formula to trace the referenced inputs and intermediate totals.
Formula: ='Debt and Leases'!O10
Cross-sheet references identify the owning schedule. Same-sheet references identify intermediate calculations.</x:t>
        </x:r>
      </x:text>
    </x:comment>
    <x:comment ref="P39" authorId="0">
      <x:text>
        <x:r>
          <x:t>New debt and liquidity borrowing (FY:28 E).
New debt and liquidity borrowing. This line belongs to the Cash Flow calculation. Read its formula to trace the referenced inputs and intermediate totals.
Formula: ='Debt and Leases'!P10
Cross-sheet references identify the owning schedule. Same-sheet references identify intermediate calculations.</x:t>
        </x:r>
      </x:text>
    </x:comment>
    <x:comment ref="Q39" authorId="0">
      <x:text>
        <x:r>
          <x:t>New debt and liquidity borrowing (FY:29 E).
New debt and liquidity borrowing. This line belongs to the Cash Flow calculation. Read its formula to trace the referenced inputs and intermediate totals.
Formula: ='Debt and Leases'!Q10
Cross-sheet references identify the owning schedule. Same-sheet references identify intermediate calculations.</x:t>
        </x:r>
      </x:text>
    </x:comment>
    <x:comment ref="R39" authorId="0">
      <x:text>
        <x:r>
          <x:t>New debt and liquidity borrowing (FY:30 E).
New debt and liquidity borrowing. This line belongs to the Cash Flow calculation. Read its formula to trace the referenced inputs and intermediate totals.
Formula: ='Debt and Leases'!R10
Cross-sheet references identify the owning schedule. Same-sheet references identify intermediate calculations.</x:t>
        </x:r>
      </x:text>
    </x:comment>
    <x:comment ref="S39" authorId="0">
      <x:text>
        <x:r>
          <x:t>New debt and liquidity borrowing (FY:31 E).
New debt and liquidity borrowing. This line belongs to the Cash Flow calculation. Read its formula to trace the referenced inputs and intermediate totals.
Formula: ='Debt and Leases'!S10
Cross-sheet references identify the owning schedule. Same-sheet references identify intermediate calculations.</x:t>
        </x:r>
      </x:text>
    </x:comment>
    <x:comment ref="C40" authorId="0">
      <x:text>
        <x:r>
          <x:t>Net proceeds or repayments of short-term debt. This line belongs to the Cash Flow calculation. Read its formula to trace the referenced inputs and intermediate totals.</x:t>
        </x:r>
      </x:text>
    </x:comment>
    <x:comment ref="E40" authorId="0">
      <x:text>
        <x:r>
          <x:t>Net proceeds or repayments of short-term debt (FY:17 A).
Net proceeds or repayments of short-term debt. This line belongs to the Cash Flow calculation. Read its formula to trace the referenced inputs and intermediate totals.
Formula: ='Historical Inputs'!E81
Cross-sheet references identify the owning schedule. Same-sheet references identify intermediate calculations.</x:t>
        </x:r>
      </x:text>
    </x:comment>
    <x:comment ref="F40" authorId="0">
      <x:text>
        <x:r>
          <x:t>Net proceeds or repayments of short-term debt (FY:18 A).
Net proceeds or repayments of short-term debt. This line belongs to the Cash Flow calculation. Read its formula to trace the referenced inputs and intermediate totals.
Formula: ='Historical Inputs'!F81
Cross-sheet references identify the owning schedule. Same-sheet references identify intermediate calculations.</x:t>
        </x:r>
      </x:text>
    </x:comment>
    <x:comment ref="G40" authorId="0">
      <x:text>
        <x:r>
          <x:t>Net proceeds or repayments of short-term debt (FY:19 A).
Net proceeds or repayments of short-term debt. This line belongs to the Cash Flow calculation. Read its formula to trace the referenced inputs and intermediate totals.
Formula: ='Historical Inputs'!G81
Cross-sheet references identify the owning schedule. Same-sheet references identify intermediate calculations.</x:t>
        </x:r>
      </x:text>
    </x:comment>
    <x:comment ref="H40" authorId="0">
      <x:text>
        <x:r>
          <x:t>Net proceeds or repayments of short-term debt (FY:20 A).
Net proceeds or repayments of short-term debt. This line belongs to the Cash Flow calculation. Read its formula to trace the referenced inputs and intermediate totals.
Formula: ='Historical Inputs'!H81
Cross-sheet references identify the owning schedule. Same-sheet references identify intermediate calculations.</x:t>
        </x:r>
      </x:text>
    </x:comment>
    <x:comment ref="I40" authorId="0">
      <x:text>
        <x:r>
          <x:t>Net proceeds or repayments of short-term debt (FY:21 A).
Net proceeds or repayments of short-term debt. This line belongs to the Cash Flow calculation. Read its formula to trace the referenced inputs and intermediate totals.
Formula: ='Historical Inputs'!I81
Cross-sheet references identify the owning schedule. Same-sheet references identify intermediate calculations.</x:t>
        </x:r>
      </x:text>
    </x:comment>
    <x:comment ref="J40" authorId="0">
      <x:text>
        <x:r>
          <x:t>Net proceeds or repayments of short-term debt (FY:22 A).
Net proceeds or repayments of short-term debt. This line belongs to the Cash Flow calculation. Read its formula to trace the referenced inputs and intermediate totals.
Formula: ='Historical Inputs'!J81
Cross-sheet references identify the owning schedule. Same-sheet references identify intermediate calculations.</x:t>
        </x:r>
      </x:text>
    </x:comment>
    <x:comment ref="K40" authorId="0">
      <x:text>
        <x:r>
          <x:t>Net proceeds or repayments of short-term debt (FY:23 A).
Net proceeds or repayments of short-term debt. This line belongs to the Cash Flow calculation. Read its formula to trace the referenced inputs and intermediate totals.
Formula: ='Historical Inputs'!K81
Cross-sheet references identify the owning schedule. Same-sheet references identify intermediate calculations.</x:t>
        </x:r>
      </x:text>
    </x:comment>
    <x:comment ref="L40" authorId="0">
      <x:text>
        <x:r>
          <x:t>Net proceeds or repayments of short-term debt (FY:24 A).
Net proceeds or repayments of short-term debt. This line belongs to the Cash Flow calculation. Read its formula to trace the referenced inputs and intermediate totals.
Formula: ='Historical Inputs'!L81
Cross-sheet references identify the owning schedule. Same-sheet references identify intermediate calculations.</x:t>
        </x:r>
      </x:text>
    </x:comment>
    <x:comment ref="M40" authorId="0">
      <x:text>
        <x:r>
          <x:t>Net proceeds or repayments of short-term debt (FY:25 A).
Net proceeds or repayments of short-term debt. This line belongs to the Cash Flow calculation. Read its formula to trace the referenced inputs and intermediate totals.
Formula: ='Historical Inputs'!M81
Cross-sheet references identify the owning schedule. Same-sheet references identify intermediate calculations.</x:t>
        </x:r>
      </x:text>
    </x:comment>
    <x:comment ref="N40" authorId="0">
      <x:text>
        <x:r>
          <x:t>Net proceeds or repayments of short-term debt (FY:26 A).
Net proceeds or repayments of short-term debt. This line belongs to the Cash Flow calculation. Read its formula to trace the referenced inputs and intermediate totals.
Formula: ='Historical Inputs'!N81
Cross-sheet references identify the owning schedule. Same-sheet references identify intermediate calculations.</x:t>
        </x:r>
      </x:text>
    </x:comment>
    <x:comment ref="O40" authorId="0">
      <x:text>
        <x:r>
          <x:t>Net proceeds or repayments of short-term debt (FY:27 E).
Net proceeds or repayments of short-term debt. This line belongs to the Cash Flow calculation. Read its formula to trace the referenced inputs and intermediate totals.
Formula: =0
Cross-sheet references identify the owning schedule. Same-sheet references identify intermediate calculations.</x:t>
        </x:r>
      </x:text>
    </x:comment>
    <x:comment ref="P40" authorId="0">
      <x:text>
        <x:r>
          <x:t>Net proceeds or repayments of short-term debt (FY:28 E).
Net proceeds or repayments of short-term debt. This line belongs to the Cash Flow calculation. Read its formula to trace the referenced inputs and intermediate totals.
Formula: =0
Cross-sheet references identify the owning schedule. Same-sheet references identify intermediate calculations.</x:t>
        </x:r>
      </x:text>
    </x:comment>
    <x:comment ref="Q40" authorId="0">
      <x:text>
        <x:r>
          <x:t>Net proceeds or repayments of short-term debt (FY:29 E).
Net proceeds or repayments of short-term debt. This line belongs to the Cash Flow calculation. Read its formula to trace the referenced inputs and intermediate totals.
Formula: =0
Cross-sheet references identify the owning schedule. Same-sheet references identify intermediate calculations.</x:t>
        </x:r>
      </x:text>
    </x:comment>
    <x:comment ref="R40" authorId="0">
      <x:text>
        <x:r>
          <x:t>Net proceeds or repayments of short-term debt (FY:30 E).
Net proceeds or repayments of short-term debt. This line belongs to the Cash Flow calculation. Read its formula to trace the referenced inputs and intermediate totals.
Formula: =0
Cross-sheet references identify the owning schedule. Same-sheet references identify intermediate calculations.</x:t>
        </x:r>
      </x:text>
    </x:comment>
    <x:comment ref="S40" authorId="0">
      <x:text>
        <x:r>
          <x:t>Net proceeds or repayments of short-term debt (FY:31 E).
Net proceeds or repayments of short-term debt. This line belongs to the Cash Flow calculation. Read its formula to trace the referenced inputs and intermediate totals.
Formula: =0
Cross-sheet references identify the owning schedule. Same-sheet references identify intermediate calculations.</x:t>
        </x:r>
      </x:text>
    </x:comment>
    <x:comment ref="C41" authorId="0">
      <x:text>
        <x:r>
          <x:t>Repayments of debt. This line belongs to the Cash Flow calculation. Read its formula to trace the referenced inputs and intermediate totals.</x:t>
        </x:r>
      </x:text>
    </x:comment>
    <x:comment ref="E41" authorId="0">
      <x:text>
        <x:r>
          <x:t>Repayments of debt (FY:17 A).
Repayments of debt. This line belongs to the Cash Flow calculation. Read its formula to trace the referenced inputs and intermediate totals.
Formula: ='Historical Inputs'!E83
Cross-sheet references identify the owning schedule. Same-sheet references identify intermediate calculations.</x:t>
        </x:r>
      </x:text>
    </x:comment>
    <x:comment ref="F41" authorId="0">
      <x:text>
        <x:r>
          <x:t>Repayments of debt (FY:18 A).
Repayments of debt. This line belongs to the Cash Flow calculation. Read its formula to trace the referenced inputs and intermediate totals.
Formula: ='Historical Inputs'!F83
Cross-sheet references identify the owning schedule. Same-sheet references identify intermediate calculations.</x:t>
        </x:r>
      </x:text>
    </x:comment>
    <x:comment ref="G41" authorId="0">
      <x:text>
        <x:r>
          <x:t>Repayments of debt (FY:19 A).
Repayments of debt. This line belongs to the Cash Flow calculation. Read its formula to trace the referenced inputs and intermediate totals.
Formula: ='Historical Inputs'!G83
Cross-sheet references identify the owning schedule. Same-sheet references identify intermediate calculations.</x:t>
        </x:r>
      </x:text>
    </x:comment>
    <x:comment ref="H41" authorId="0">
      <x:text>
        <x:r>
          <x:t>Repayments of debt (FY:20 A).
Repayments of debt. This line belongs to the Cash Flow calculation. Read its formula to trace the referenced inputs and intermediate totals.
Formula: ='Historical Inputs'!H83
Cross-sheet references identify the owning schedule. Same-sheet references identify intermediate calculations.</x:t>
        </x:r>
      </x:text>
    </x:comment>
    <x:comment ref="I41" authorId="0">
      <x:text>
        <x:r>
          <x:t>Repayments of debt (FY:21 A).
Repayments of debt. This line belongs to the Cash Flow calculation. Read its formula to trace the referenced inputs and intermediate totals.
Formula: ='Historical Inputs'!I83
Cross-sheet references identify the owning schedule. Same-sheet references identify intermediate calculations.</x:t>
        </x:r>
      </x:text>
    </x:comment>
    <x:comment ref="J41" authorId="0">
      <x:text>
        <x:r>
          <x:t>Repayments of debt (FY:22 A).
Repayments of debt. This line belongs to the Cash Flow calculation. Read its formula to trace the referenced inputs and intermediate totals.
Formula: ='Historical Inputs'!J83
Cross-sheet references identify the owning schedule. Same-sheet references identify intermediate calculations.</x:t>
        </x:r>
      </x:text>
    </x:comment>
    <x:comment ref="K41" authorId="0">
      <x:text>
        <x:r>
          <x:t>Repayments of debt (FY:23 A).
Repayments of debt. This line belongs to the Cash Flow calculation. Read its formula to trace the referenced inputs and intermediate totals.
Formula: ='Historical Inputs'!K83
Cross-sheet references identify the owning schedule. Same-sheet references identify intermediate calculations.</x:t>
        </x:r>
      </x:text>
    </x:comment>
    <x:comment ref="L41" authorId="0">
      <x:text>
        <x:r>
          <x:t>Repayments of debt (FY:24 A).
Repayments of debt. This line belongs to the Cash Flow calculation. Read its formula to trace the referenced inputs and intermediate totals.
Formula: ='Historical Inputs'!L83
Cross-sheet references identify the owning schedule. Same-sheet references identify intermediate calculations.</x:t>
        </x:r>
      </x:text>
    </x:comment>
    <x:comment ref="M41" authorId="0">
      <x:text>
        <x:r>
          <x:t>Repayments of debt (FY:25 A).
Repayments of debt. This line belongs to the Cash Flow calculation. Read its formula to trace the referenced inputs and intermediate totals.
Formula: ='Historical Inputs'!M83
Cross-sheet references identify the owning schedule. Same-sheet references identify intermediate calculations.</x:t>
        </x:r>
      </x:text>
    </x:comment>
    <x:comment ref="N41" authorId="0">
      <x:text>
        <x:r>
          <x:t>Repayments of debt (FY:26 A).
Repayments of debt. This line belongs to the Cash Flow calculation. Read its formula to trace the referenced inputs and intermediate totals.
Formula: ='Historical Inputs'!N83
Cross-sheet references identify the owning schedule. Same-sheet references identify intermediate calculations.</x:t>
        </x:r>
      </x:text>
    </x:comment>
    <x:comment ref="O41" authorId="0">
      <x:text>
        <x:r>
          <x:t>Repayments of debt (FY:27 E).
Repayments of debt. This line belongs to the Cash Flow calculation. Read its formula to trace the referenced inputs and intermediate totals.
Formula: =-'Debt and Leases'!O9
Cross-sheet references identify the owning schedule. Same-sheet references identify intermediate calculations.</x:t>
        </x:r>
      </x:text>
    </x:comment>
    <x:comment ref="P41" authorId="0">
      <x:text>
        <x:r>
          <x:t>Repayments of debt (FY:28 E).
Repayments of debt. This line belongs to the Cash Flow calculation. Read its formula to trace the referenced inputs and intermediate totals.
Formula: =-'Debt and Leases'!P9
Cross-sheet references identify the owning schedule. Same-sheet references identify intermediate calculations.</x:t>
        </x:r>
      </x:text>
    </x:comment>
    <x:comment ref="Q41" authorId="0">
      <x:text>
        <x:r>
          <x:t>Repayments of debt (FY:29 E).
Repayments of debt. This line belongs to the Cash Flow calculation. Read its formula to trace the referenced inputs and intermediate totals.
Formula: =-'Debt and Leases'!Q9
Cross-sheet references identify the owning schedule. Same-sheet references identify intermediate calculations.</x:t>
        </x:r>
      </x:text>
    </x:comment>
    <x:comment ref="R41" authorId="0">
      <x:text>
        <x:r>
          <x:t>Repayments of debt (FY:30 E).
Repayments of debt. This line belongs to the Cash Flow calculation. Read its formula to trace the referenced inputs and intermediate totals.
Formula: =-'Debt and Leases'!R9
Cross-sheet references identify the owning schedule. Same-sheet references identify intermediate calculations.</x:t>
        </x:r>
      </x:text>
    </x:comment>
    <x:comment ref="S41" authorId="0">
      <x:text>
        <x:r>
          <x:t>Repayments of debt (FY:31 E).
Repayments of debt. This line belongs to the Cash Flow calculation. Read its formula to trace the referenced inputs and intermediate totals.
Formula: =-'Debt and Leases'!S9
Cross-sheet references identify the owning schedule. Same-sheet references identify intermediate calculations.</x:t>
        </x:r>
      </x:text>
    </x:comment>
    <x:comment ref="C42" authorId="0">
      <x:text>
        <x:r>
          <x:t>Funding needed after available short-term investments above the reserve are liquidated. Borrowing occurs at year-end and starts accruing interest next year. This is not a committed credit facility.</x:t>
        </x:r>
      </x:text>
    </x:comment>
    <x:comment ref="E42" authorId="0">
      <x:text>
        <x:r>
          <x:t>Liquidity borrowing requirement (FY:17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F42" authorId="0">
      <x:text>
        <x:r>
          <x:t>Liquidity borrowing requirement (FY:18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G42" authorId="0">
      <x:text>
        <x:r>
          <x:t>Liquidity borrowing requirement (FY:19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H42" authorId="0">
      <x:text>
        <x:r>
          <x:t>Liquidity borrowing requirement (FY:20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I42" authorId="0">
      <x:text>
        <x:r>
          <x:t>Liquidity borrowing requirement (FY:21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J42" authorId="0">
      <x:text>
        <x:r>
          <x:t>Liquidity borrowing requirement (FY:22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K42" authorId="0">
      <x:text>
        <x:r>
          <x:t>Liquidity borrowing requirement (FY:23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L42" authorId="0">
      <x:text>
        <x:r>
          <x:t>Liquidity borrowing requirement (FY:24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M42" authorId="0">
      <x:text>
        <x:r>
          <x:t>Liquidity borrowing requirement (FY:25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N42" authorId="0">
      <x:text>
        <x:r>
          <x:t>Liquidity borrowing requirement (FY:26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O42" authorId="0">
      <x:text>
        <x:r>
          <x:t>Liquidity borrowing requirement (FY:27 E).
Funding needed after available short-term investments above the reserve are liquidated. Borrowing occurs at year-end and starts accruing interest next year. This is not a committed credit facility.
Formula: ='Debt and Leases'!O11
Cross-sheet references identify the owning schedule. Same-sheet references identify intermediate calculations.</x:t>
        </x:r>
      </x:text>
    </x:comment>
    <x:comment ref="P42" authorId="0">
      <x:text>
        <x:r>
          <x:t>Liquidity borrowing requirement (FY:28 E).
Funding needed after available short-term investments above the reserve are liquidated. Borrowing occurs at year-end and starts accruing interest next year. This is not a committed credit facility.
Formula: ='Debt and Leases'!P11
Cross-sheet references identify the owning schedule. Same-sheet references identify intermediate calculations.</x:t>
        </x:r>
      </x:text>
    </x:comment>
    <x:comment ref="Q42" authorId="0">
      <x:text>
        <x:r>
          <x:t>Liquidity borrowing requirement (FY:29 E).
Funding needed after available short-term investments above the reserve are liquidated. Borrowing occurs at year-end and starts accruing interest next year. This is not a committed credit facility.
Formula: ='Debt and Leases'!Q11
Cross-sheet references identify the owning schedule. Same-sheet references identify intermediate calculations.</x:t>
        </x:r>
      </x:text>
    </x:comment>
    <x:comment ref="R42" authorId="0">
      <x:text>
        <x:r>
          <x:t>Liquidity borrowing requirement (FY:30 E).
Funding needed after available short-term investments above the reserve are liquidated. Borrowing occurs at year-end and starts accruing interest next year. This is not a committed credit facility.
Formula: ='Debt and Leases'!R11
Cross-sheet references identify the owning schedule. Same-sheet references identify intermediate calculations.</x:t>
        </x:r>
      </x:text>
    </x:comment>
    <x:comment ref="S42" authorId="0">
      <x:text>
        <x:r>
          <x:t>Liquidity borrowing requirement (FY:31 E).
Funding needed after available short-term investments above the reserve are liquidated. Borrowing occurs at year-end and starts accruing interest next year. This is not a committed credit facility.
Formula: ='Debt and Leases'!S11
Cross-sheet references identify the owning schedule. Same-sheet references identify intermediate calculations.</x:t>
        </x:r>
      </x:text>
    </x:comment>
    <x:comment ref="C43" authorId="0">
      <x:text>
        <x:r>
          <x:t>Cash balance or signed cash flow as named in the row. Positive cash-flow amounts are inflows and negative amounts are outflows. Follow the formula or source reference below for the classification.</x:t>
        </x:r>
      </x:text>
    </x:comment>
    <x:comment ref="E43" authorId="0">
      <x:text>
        <x:r>
          <x:t>Cash proceeds from share issuance (FY:17 A).
Cash balance or signed cash flow as named in the row. Positive cash-flow amounts are inflows and negative amounts are outflows. Follow the formula or source reference below for the classification.
Formula: ='Historical Inputs'!E84
Cross-sheet references identify the owning schedule. Same-sheet references identify intermediate calculations.</x:t>
        </x:r>
      </x:text>
    </x:comment>
    <x:comment ref="F43" authorId="0">
      <x:text>
        <x:r>
          <x:t>Cash proceeds from share issuance (FY:18 A).
Cash balance or signed cash flow as named in the row. Positive cash-flow amounts are inflows and negative amounts are outflows. Follow the formula or source reference below for the classification.
Formula: ='Historical Inputs'!F84
Cross-sheet references identify the owning schedule. Same-sheet references identify intermediate calculations.</x:t>
        </x:r>
      </x:text>
    </x:comment>
    <x:comment ref="G43" authorId="0">
      <x:text>
        <x:r>
          <x:t>Cash proceeds from share issuance (FY:19 A).
Cash balance or signed cash flow as named in the row. Positive cash-flow amounts are inflows and negative amounts are outflows. Follow the formula or source reference below for the classification.
Formula: ='Historical Inputs'!G84
Cross-sheet references identify the owning schedule. Same-sheet references identify intermediate calculations.</x:t>
        </x:r>
      </x:text>
    </x:comment>
    <x:comment ref="H43" authorId="0">
      <x:text>
        <x:r>
          <x:t>Cash proceeds from share issuance (FY:20 A).
Cash balance or signed cash flow as named in the row. Positive cash-flow amounts are inflows and negative amounts are outflows. Follow the formula or source reference below for the classification.
Formula: ='Historical Inputs'!H84
Cross-sheet references identify the owning schedule. Same-sheet references identify intermediate calculations.</x:t>
        </x:r>
      </x:text>
    </x:comment>
    <x:comment ref="I43" authorId="0">
      <x:text>
        <x:r>
          <x:t>Cash proceeds from share issuance (FY:21 A).
Cash balance or signed cash flow as named in the row. Positive cash-flow amounts are inflows and negative amounts are outflows. Follow the formula or source reference below for the classification.
Formula: ='Historical Inputs'!I84
Cross-sheet references identify the owning schedule. Same-sheet references identify intermediate calculations.</x:t>
        </x:r>
      </x:text>
    </x:comment>
    <x:comment ref="J43" authorId="0">
      <x:text>
        <x:r>
          <x:t>Cash proceeds from share issuance (FY:22 A).
Cash balance or signed cash flow as named in the row. Positive cash-flow amounts are inflows and negative amounts are outflows. Follow the formula or source reference below for the classification.
Formula: ='Historical Inputs'!J84
Cross-sheet references identify the owning schedule. Same-sheet references identify intermediate calculations.</x:t>
        </x:r>
      </x:text>
    </x:comment>
    <x:comment ref="K43" authorId="0">
      <x:text>
        <x:r>
          <x:t>Cash proceeds from share issuance (FY:23 A).
Cash balance or signed cash flow as named in the row. Positive cash-flow amounts are inflows and negative amounts are outflows. Follow the formula or source reference below for the classification.
Formula: ='Historical Inputs'!K84
Cross-sheet references identify the owning schedule. Same-sheet references identify intermediate calculations.</x:t>
        </x:r>
      </x:text>
    </x:comment>
    <x:comment ref="L43" authorId="0">
      <x:text>
        <x:r>
          <x:t>Cash proceeds from share issuance (FY:24 A).
Cash balance or signed cash flow as named in the row. Positive cash-flow amounts are inflows and negative amounts are outflows. Follow the formula or source reference below for the classification.
Formula: ='Historical Inputs'!L84
Cross-sheet references identify the owning schedule. Same-sheet references identify intermediate calculations.</x:t>
        </x:r>
      </x:text>
    </x:comment>
    <x:comment ref="M43" authorId="0">
      <x:text>
        <x:r>
          <x:t>Cash proceeds from share issuance (FY:25 A).
Cash balance or signed cash flow as named in the row. Positive cash-flow amounts are inflows and negative amounts are outflows. Follow the formula or source reference below for the classification.
Formula: ='Historical Inputs'!M84
Cross-sheet references identify the owning schedule. Same-sheet references identify intermediate calculations.</x:t>
        </x:r>
      </x:text>
    </x:comment>
    <x:comment ref="N43" authorId="0">
      <x:text>
        <x:r>
          <x:t>Cash proceeds from share issuance (FY:26 A).
Cash balance or signed cash flow as named in the row. Positive cash-flow amounts are inflows and negative amounts are outflows. Follow the formula or source reference below for the classification.
Formula: ='Historical Inputs'!N84
Cross-sheet references identify the owning schedule. Same-sheet references identify intermediate calculations.</x:t>
        </x:r>
      </x:text>
    </x:comment>
    <x:comment ref="O43" authorId="0">
      <x:text>
        <x:r>
          <x:t>Cash proceeds from share issuance (FY:27 E).
Cash balance or signed cash flow as named in the row. Positive cash-flow amounts are inflows and negative amounts are outflows. Follow the formula or source reference below for the classification.
Formula: ='Tax and Equity'!O17
Cross-sheet references identify the owning schedule. Same-sheet references identify intermediate calculations.</x:t>
        </x:r>
      </x:text>
    </x:comment>
    <x:comment ref="P43" authorId="0">
      <x:text>
        <x:r>
          <x:t>Cash proceeds from share issuance (FY:28 E).
Cash balance or signed cash flow as named in the row. Positive cash-flow amounts are inflows and negative amounts are outflows. Follow the formula or source reference below for the classification.
Formula: ='Tax and Equity'!P17
Cross-sheet references identify the owning schedule. Same-sheet references identify intermediate calculations.</x:t>
        </x:r>
      </x:text>
    </x:comment>
    <x:comment ref="Q43" authorId="0">
      <x:text>
        <x:r>
          <x:t>Cash proceeds from share issuance (FY:29 E).
Cash balance or signed cash flow as named in the row. Positive cash-flow amounts are inflows and negative amounts are outflows. Follow the formula or source reference below for the classification.
Formula: ='Tax and Equity'!Q17
Cross-sheet references identify the owning schedule. Same-sheet references identify intermediate calculations.</x:t>
        </x:r>
      </x:text>
    </x:comment>
    <x:comment ref="R43" authorId="0">
      <x:text>
        <x:r>
          <x:t>Cash proceeds from share issuance (FY:30 E).
Cash balance or signed cash flow as named in the row. Positive cash-flow amounts are inflows and negative amounts are outflows. Follow the formula or source reference below for the classification.
Formula: ='Tax and Equity'!R17
Cross-sheet references identify the owning schedule. Same-sheet references identify intermediate calculations.</x:t>
        </x:r>
      </x:text>
    </x:comment>
    <x:comment ref="S43" authorId="0">
      <x:text>
        <x:r>
          <x:t>Cash proceeds from share issuance (FY:31 E).
Cash balance or signed cash flow as named in the row. Positive cash-flow amounts are inflows and negative amounts are outflows. Follow the formula or source reference below for the classification.
Formula: ='Tax and Equity'!S17
Cross-sheet references identify the owning schedule. Same-sheet references identify intermediate calculations.</x:t>
        </x:r>
      </x:text>
    </x:comment>
    <x:comment ref="C44" authorId="0">
      <x:text>
        <x:r>
          <x:t>Cash balance or signed cash flow as named in the row. Positive cash-flow amounts are inflows and negative amounts are outflows. Follow the formula or source reference below for the classification.</x:t>
        </x:r>
      </x:text>
    </x:comment>
    <x:comment ref="E44" authorId="0">
      <x:text>
        <x:r>
          <x:t>Cash share repurchases (FY:17 A).
Cash balance or signed cash flow as named in the row. Positive cash-flow amounts are inflows and negative amounts are outflows. Follow the formula or source reference below for the classification.
Formula: ='Historical Inputs'!E85
Cross-sheet references identify the owning schedule. Same-sheet references identify intermediate calculations.</x:t>
        </x:r>
      </x:text>
    </x:comment>
    <x:comment ref="F44" authorId="0">
      <x:text>
        <x:r>
          <x:t>Cash share repurchases (FY:18 A).
Cash balance or signed cash flow as named in the row. Positive cash-flow amounts are inflows and negative amounts are outflows. Follow the formula or source reference below for the classification.
Formula: ='Historical Inputs'!F85
Cross-sheet references identify the owning schedule. Same-sheet references identify intermediate calculations.</x:t>
        </x:r>
      </x:text>
    </x:comment>
    <x:comment ref="G44" authorId="0">
      <x:text>
        <x:r>
          <x:t>Cash share repurchases (FY:19 A).
Cash balance or signed cash flow as named in the row. Positive cash-flow amounts are inflows and negative amounts are outflows. Follow the formula or source reference below for the classification.
Formula: ='Historical Inputs'!G85
Cross-sheet references identify the owning schedule. Same-sheet references identify intermediate calculations.</x:t>
        </x:r>
      </x:text>
    </x:comment>
    <x:comment ref="H44" authorId="0">
      <x:text>
        <x:r>
          <x:t>Cash share repurchases (FY:20 A).
Cash balance or signed cash flow as named in the row. Positive cash-flow amounts are inflows and negative amounts are outflows. Follow the formula or source reference below for the classification.
Formula: ='Historical Inputs'!H85
Cross-sheet references identify the owning schedule. Same-sheet references identify intermediate calculations.</x:t>
        </x:r>
      </x:text>
    </x:comment>
    <x:comment ref="I44" authorId="0">
      <x:text>
        <x:r>
          <x:t>Cash share repurchases (FY:21 A).
Cash balance or signed cash flow as named in the row. Positive cash-flow amounts are inflows and negative amounts are outflows. Follow the formula or source reference below for the classification.
Formula: ='Historical Inputs'!I85
Cross-sheet references identify the owning schedule. Same-sheet references identify intermediate calculations.</x:t>
        </x:r>
      </x:text>
    </x:comment>
    <x:comment ref="J44" authorId="0">
      <x:text>
        <x:r>
          <x:t>Cash share repurchases (FY:22 A).
Cash balance or signed cash flow as named in the row. Positive cash-flow amounts are inflows and negative amounts are outflows. Follow the formula or source reference below for the classification.
Formula: ='Historical Inputs'!J85
Cross-sheet references identify the owning schedule. Same-sheet references identify intermediate calculations.</x:t>
        </x:r>
      </x:text>
    </x:comment>
    <x:comment ref="K44" authorId="0">
      <x:text>
        <x:r>
          <x:t>Cash share repurchases (FY:23 A).
Cash balance or signed cash flow as named in the row. Positive cash-flow amounts are inflows and negative amounts are outflows. Follow the formula or source reference below for the classification.
Formula: ='Historical Inputs'!K85
Cross-sheet references identify the owning schedule. Same-sheet references identify intermediate calculations.</x:t>
        </x:r>
      </x:text>
    </x:comment>
    <x:comment ref="L44" authorId="0">
      <x:text>
        <x:r>
          <x:t>Cash share repurchases (FY:24 A).
Cash balance or signed cash flow as named in the row. Positive cash-flow amounts are inflows and negative amounts are outflows. Follow the formula or source reference below for the classification.
Formula: ='Historical Inputs'!L85
Cross-sheet references identify the owning schedule. Same-sheet references identify intermediate calculations.</x:t>
        </x:r>
      </x:text>
    </x:comment>
    <x:comment ref="M44" authorId="0">
      <x:text>
        <x:r>
          <x:t>Cash share repurchases (FY:25 A).
Cash balance or signed cash flow as named in the row. Positive cash-flow amounts are inflows and negative amounts are outflows. Follow the formula or source reference below for the classification.
Formula: ='Historical Inputs'!M85
Cross-sheet references identify the owning schedule. Same-sheet references identify intermediate calculations.</x:t>
        </x:r>
      </x:text>
    </x:comment>
    <x:comment ref="N44" authorId="0">
      <x:text>
        <x:r>
          <x:t>Cash share repurchases (FY:26 A).
Cash balance or signed cash flow as named in the row. Positive cash-flow amounts are inflows and negative amounts are outflows. Follow the formula or source reference below for the classification.
Formula: ='Historical Inputs'!N85
Cross-sheet references identify the owning schedule. Same-sheet references identify intermediate calculations.</x:t>
        </x:r>
      </x:text>
    </x:comment>
    <x:comment ref="O44" authorId="0">
      <x:text>
        <x:r>
          <x:t>Cash share repurchases (FY:27 E).
Cash balance or signed cash flow as named in the row. Positive cash-flow amounts are inflows and negative amounts are outflows. Follow the formula or source reference below for the classification.
Formula: =-'Tax and Equity'!O18
Cross-sheet references identify the owning schedule. Same-sheet references identify intermediate calculations.</x:t>
        </x:r>
      </x:text>
    </x:comment>
    <x:comment ref="P44" authorId="0">
      <x:text>
        <x:r>
          <x:t>Cash share repurchases (FY:28 E).
Cash balance or signed cash flow as named in the row. Positive cash-flow amounts are inflows and negative amounts are outflows. Follow the formula or source reference below for the classification.
Formula: =-'Tax and Equity'!P18
Cross-sheet references identify the owning schedule. Same-sheet references identify intermediate calculations.</x:t>
        </x:r>
      </x:text>
    </x:comment>
    <x:comment ref="Q44" authorId="0">
      <x:text>
        <x:r>
          <x:t>Cash share repurchases (FY:29 E).
Cash balance or signed cash flow as named in the row. Positive cash-flow amounts are inflows and negative amounts are outflows. Follow the formula or source reference below for the classification.
Formula: =-'Tax and Equity'!Q18
Cross-sheet references identify the owning schedule. Same-sheet references identify intermediate calculations.</x:t>
        </x:r>
      </x:text>
    </x:comment>
    <x:comment ref="R44" authorId="0">
      <x:text>
        <x:r>
          <x:t>Cash share repurchases (FY:30 E).
Cash balance or signed cash flow as named in the row. Positive cash-flow amounts are inflows and negative amounts are outflows. Follow the formula or source reference below for the classification.
Formula: =-'Tax and Equity'!R18
Cross-sheet references identify the owning schedule. Same-sheet references identify intermediate calculations.</x:t>
        </x:r>
      </x:text>
    </x:comment>
    <x:comment ref="S44" authorId="0">
      <x:text>
        <x:r>
          <x:t>Cash share repurchases (FY:31 E).
Cash balance or signed cash flow as named in the row. Positive cash-flow amounts are inflows and negative amounts are outflows. Follow the formula or source reference below for the classification.
Formula: =-'Tax and Equity'!S18
Cross-sheet references identify the owning schedule. Same-sheet references identify intermediate calculations.</x:t>
        </x:r>
      </x:text>
    </x:comment>
    <x:comment ref="C45" authorId="0">
      <x:text>
        <x:r>
          <x:t>Cash balance or signed cash flow as named in the row. Positive cash-flow amounts are inflows and negative amounts are outflows. Follow the formula or source reference below for the classification.</x:t>
        </x:r>
      </x:text>
    </x:comment>
    <x:comment ref="E45" authorId="0">
      <x:text>
        <x:r>
          <x:t>Cash dividends (FY:17 A).
Cash balance or signed cash flow as named in the row. Positive cash-flow amounts are inflows and negative amounts are outflows. Follow the formula or source reference below for the classification.
Formula: ='Historical Inputs'!E86
Cross-sheet references identify the owning schedule. Same-sheet references identify intermediate calculations.</x:t>
        </x:r>
      </x:text>
    </x:comment>
    <x:comment ref="F45" authorId="0">
      <x:text>
        <x:r>
          <x:t>Cash dividends (FY:18 A).
Cash balance or signed cash flow as named in the row. Positive cash-flow amounts are inflows and negative amounts are outflows. Follow the formula or source reference below for the classification.
Formula: ='Historical Inputs'!F86
Cross-sheet references identify the owning schedule. Same-sheet references identify intermediate calculations.</x:t>
        </x:r>
      </x:text>
    </x:comment>
    <x:comment ref="G45" authorId="0">
      <x:text>
        <x:r>
          <x:t>Cash dividends (FY:19 A).
Cash balance or signed cash flow as named in the row. Positive cash-flow amounts are inflows and negative amounts are outflows. Follow the formula or source reference below for the classification.
Formula: ='Historical Inputs'!G86
Cross-sheet references identify the owning schedule. Same-sheet references identify intermediate calculations.</x:t>
        </x:r>
      </x:text>
    </x:comment>
    <x:comment ref="H45" authorId="0">
      <x:text>
        <x:r>
          <x:t>Cash dividends (FY:20 A).
Cash balance or signed cash flow as named in the row. Positive cash-flow amounts are inflows and negative amounts are outflows. Follow the formula or source reference below for the classification.
Formula: ='Historical Inputs'!H86
Cross-sheet references identify the owning schedule. Same-sheet references identify intermediate calculations.</x:t>
        </x:r>
      </x:text>
    </x:comment>
    <x:comment ref="I45" authorId="0">
      <x:text>
        <x:r>
          <x:t>Cash dividends (FY:21 A).
Cash balance or signed cash flow as named in the row. Positive cash-flow amounts are inflows and negative amounts are outflows. Follow the formula or source reference below for the classification.
Formula: ='Historical Inputs'!I86
Cross-sheet references identify the owning schedule. Same-sheet references identify intermediate calculations.</x:t>
        </x:r>
      </x:text>
    </x:comment>
    <x:comment ref="J45" authorId="0">
      <x:text>
        <x:r>
          <x:t>Cash dividends (FY:22 A).
Cash balance or signed cash flow as named in the row. Positive cash-flow amounts are inflows and negative amounts are outflows. Follow the formula or source reference below for the classification.
Formula: ='Historical Inputs'!J86
Cross-sheet references identify the owning schedule. Same-sheet references identify intermediate calculations.</x:t>
        </x:r>
      </x:text>
    </x:comment>
    <x:comment ref="K45" authorId="0">
      <x:text>
        <x:r>
          <x:t>Cash dividends (FY:23 A).
Cash balance or signed cash flow as named in the row. Positive cash-flow amounts are inflows and negative amounts are outflows. Follow the formula or source reference below for the classification.
Formula: ='Historical Inputs'!K86
Cross-sheet references identify the owning schedule. Same-sheet references identify intermediate calculations.</x:t>
        </x:r>
      </x:text>
    </x:comment>
    <x:comment ref="L45" authorId="0">
      <x:text>
        <x:r>
          <x:t>Cash dividends (FY:24 A).
Cash balance or signed cash flow as named in the row. Positive cash-flow amounts are inflows and negative amounts are outflows. Follow the formula or source reference below for the classification.
Formula: ='Historical Inputs'!L86
Cross-sheet references identify the owning schedule. Same-sheet references identify intermediate calculations.</x:t>
        </x:r>
      </x:text>
    </x:comment>
    <x:comment ref="M45" authorId="0">
      <x:text>
        <x:r>
          <x:t>Cash dividends (FY:25 A).
Cash balance or signed cash flow as named in the row. Positive cash-flow amounts are inflows and negative amounts are outflows. Follow the formula or source reference below for the classification.
Formula: ='Historical Inputs'!M86
Cross-sheet references identify the owning schedule. Same-sheet references identify intermediate calculations.</x:t>
        </x:r>
      </x:text>
    </x:comment>
    <x:comment ref="N45" authorId="0">
      <x:text>
        <x:r>
          <x:t>Cash dividends (FY:26 A).
Cash balance or signed cash flow as named in the row. Positive cash-flow amounts are inflows and negative amounts are outflows. Follow the formula or source reference below for the classification.
Formula: ='Historical Inputs'!N86
Cross-sheet references identify the owning schedule. Same-sheet references identify intermediate calculations.</x:t>
        </x:r>
      </x:text>
    </x:comment>
    <x:comment ref="O45" authorId="0">
      <x:text>
        <x:r>
          <x:t>Cash dividends (FY:27 E).
Cash balance or signed cash flow as named in the row. Positive cash-flow amounts are inflows and negative amounts are outflows. Follow the formula or source reference below for the classification.
Formula: =-'Tax and Equity'!O19
Cross-sheet references identify the owning schedule. Same-sheet references identify intermediate calculations.</x:t>
        </x:r>
      </x:text>
    </x:comment>
    <x:comment ref="P45" authorId="0">
      <x:text>
        <x:r>
          <x:t>Cash dividends (FY:28 E).
Cash balance or signed cash flow as named in the row. Positive cash-flow amounts are inflows and negative amounts are outflows. Follow the formula or source reference below for the classification.
Formula: =-'Tax and Equity'!P19
Cross-sheet references identify the owning schedule. Same-sheet references identify intermediate calculations.</x:t>
        </x:r>
      </x:text>
    </x:comment>
    <x:comment ref="Q45" authorId="0">
      <x:text>
        <x:r>
          <x:t>Cash dividends (FY:29 E).
Cash balance or signed cash flow as named in the row. Positive cash-flow amounts are inflows and negative amounts are outflows. Follow the formula or source reference below for the classification.
Formula: =-'Tax and Equity'!Q19
Cross-sheet references identify the owning schedule. Same-sheet references identify intermediate calculations.</x:t>
        </x:r>
      </x:text>
    </x:comment>
    <x:comment ref="R45" authorId="0">
      <x:text>
        <x:r>
          <x:t>Cash dividends (FY:30 E).
Cash balance or signed cash flow as named in the row. Positive cash-flow amounts are inflows and negative amounts are outflows. Follow the formula or source reference below for the classification.
Formula: =-'Tax and Equity'!R19
Cross-sheet references identify the owning schedule. Same-sheet references identify intermediate calculations.</x:t>
        </x:r>
      </x:text>
    </x:comment>
    <x:comment ref="S45" authorId="0">
      <x:text>
        <x:r>
          <x:t>Cash dividends (FY:31 E).
Cash balance or signed cash flow as named in the row. Positive cash-flow amounts are inflows and negative amounts are outflows. Follow the formula or source reference below for the classification.
Formula: =-'Tax and Equity'!S19
Cross-sheet references identify the owning schedule. Same-sheet references identify intermediate calculations.</x:t>
        </x:r>
      </x:text>
    </x:comment>
    <x:comment ref="C46" authorId="0">
      <x:text>
        <x:r>
          <x:t>Reduction of debt or lease principal, separate from interest expense. Read the formula for the specific contractual or modeled payment schedule and sign.</x:t>
        </x:r>
      </x:text>
    </x:comment>
    <x:comment ref="E46" authorId="0">
      <x:text>
        <x:r>
          <x:t>Finance lease principal payments (FY:17 A).
Reduction of debt or lease principal, separate from interest expense. Read the formula for the specific contractual or modeled payment schedule and sign.
Formula: =-'Filing Notes'!E13
Cross-sheet references identify the owning schedule. Same-sheet references identify intermediate calculations.</x:t>
        </x:r>
      </x:text>
    </x:comment>
    <x:comment ref="F46" authorId="0">
      <x:text>
        <x:r>
          <x:t>Finance lease principal payments (FY:18 A).
Reduction of debt or lease principal, separate from interest expense. Read the formula for the specific contractual or modeled payment schedule and sign.
Formula: =-'Filing Notes'!F13
Cross-sheet references identify the owning schedule. Same-sheet references identify intermediate calculations.</x:t>
        </x:r>
      </x:text>
    </x:comment>
    <x:comment ref="G46" authorId="0">
      <x:text>
        <x:r>
          <x:t>Finance lease principal payments (FY:19 A).
Reduction of debt or lease principal, separate from interest expense. Read the formula for the specific contractual or modeled payment schedule and sign.
Formula: =-'Filing Notes'!G13
Cross-sheet references identify the owning schedule. Same-sheet references identify intermediate calculations.</x:t>
        </x:r>
      </x:text>
    </x:comment>
    <x:comment ref="H46" authorId="0">
      <x:text>
        <x:r>
          <x:t>Finance lease principal payments (FY:20 A).
Reduction of debt or lease principal, separate from interest expense. Read the formula for the specific contractual or modeled payment schedule and sign.
Formula: =-'Filing Notes'!H13
Cross-sheet references identify the owning schedule. Same-sheet references identify intermediate calculations.</x:t>
        </x:r>
      </x:text>
    </x:comment>
    <x:comment ref="I46" authorId="0">
      <x:text>
        <x:r>
          <x:t>Finance lease principal payments (FY:21 A).
Reduction of debt or lease principal, separate from interest expense. Read the formula for the specific contractual or modeled payment schedule and sign.
Formula: =-'Filing Notes'!I13
Cross-sheet references identify the owning schedule. Same-sheet references identify intermediate calculations.</x:t>
        </x:r>
      </x:text>
    </x:comment>
    <x:comment ref="J46" authorId="0">
      <x:text>
        <x:r>
          <x:t>Finance lease principal payments (FY:22 A).
Reduction of debt or lease principal, separate from interest expense. Read the formula for the specific contractual or modeled payment schedule and sign.
Formula: =-'Filing Notes'!J13
Cross-sheet references identify the owning schedule. Same-sheet references identify intermediate calculations.</x:t>
        </x:r>
      </x:text>
    </x:comment>
    <x:comment ref="K46" authorId="0">
      <x:text>
        <x:r>
          <x:t>Finance lease principal payments (FY:23 A).
Reduction of debt or lease principal, separate from interest expense. Read the formula for the specific contractual or modeled payment schedule and sign.
Formula: =-'Filing Notes'!K13
Cross-sheet references identify the owning schedule. Same-sheet references identify intermediate calculations.</x:t>
        </x:r>
      </x:text>
    </x:comment>
    <x:comment ref="L46" authorId="0">
      <x:text>
        <x:r>
          <x:t>Finance lease principal payments (FY:24 A).
Reduction of debt or lease principal, separate from interest expense. Read the formula for the specific contractual or modeled payment schedule and sign.
Formula: =-'Filing Notes'!L13
Cross-sheet references identify the owning schedule. Same-sheet references identify intermediate calculations.</x:t>
        </x:r>
      </x:text>
    </x:comment>
    <x:comment ref="M46" authorId="0">
      <x:text>
        <x:r>
          <x:t>Finance lease principal payments (FY:25 A).
Reduction of debt or lease principal, separate from interest expense. Read the formula for the specific contractual or modeled payment schedule and sign.
Formula: =-'Filing Notes'!M13
Cross-sheet references identify the owning schedule. Same-sheet references identify intermediate calculations.</x:t>
        </x:r>
      </x:text>
    </x:comment>
    <x:comment ref="N46" authorId="0">
      <x:text>
        <x:r>
          <x:t>Finance lease principal payments (FY:26 A).
Reduction of debt or lease principal, separate from interest expense. Read the formula for the specific contractual or modeled payment schedule and sign.
Formula: =-'Filing Notes'!N13
Cross-sheet references identify the owning schedule. Same-sheet references identify intermediate calculations.</x:t>
        </x:r>
      </x:text>
    </x:comment>
    <x:comment ref="O46" authorId="0">
      <x:text>
        <x:r>
          <x:t>Finance lease principal payments (FY:27 E).
Reduction of debt or lease principal, separate from interest expense. Read the formula for the specific contractual or modeled payment schedule and sign.
Formula: =-'Debt and Leases'!O41
Cross-sheet references identify the owning schedule. Same-sheet references identify intermediate calculations.</x:t>
        </x:r>
      </x:text>
    </x:comment>
    <x:comment ref="P46" authorId="0">
      <x:text>
        <x:r>
          <x:t>Finance lease principal payments (FY:28 E).
Reduction of debt or lease principal, separate from interest expense. Read the formula for the specific contractual or modeled payment schedule and sign.
Formula: =-'Debt and Leases'!P41
Cross-sheet references identify the owning schedule. Same-sheet references identify intermediate calculations.</x:t>
        </x:r>
      </x:text>
    </x:comment>
    <x:comment ref="Q46" authorId="0">
      <x:text>
        <x:r>
          <x:t>Finance lease principal payments (FY:29 E).
Reduction of debt or lease principal, separate from interest expense. Read the formula for the specific contractual or modeled payment schedule and sign.
Formula: =-'Debt and Leases'!Q41
Cross-sheet references identify the owning schedule. Same-sheet references identify intermediate calculations.</x:t>
        </x:r>
      </x:text>
    </x:comment>
    <x:comment ref="R46" authorId="0">
      <x:text>
        <x:r>
          <x:t>Finance lease principal payments (FY:30 E).
Reduction of debt or lease principal, separate from interest expense. Read the formula for the specific contractual or modeled payment schedule and sign.
Formula: =-'Debt and Leases'!R41
Cross-sheet references identify the owning schedule. Same-sheet references identify intermediate calculations.</x:t>
        </x:r>
      </x:text>
    </x:comment>
    <x:comment ref="S46" authorId="0">
      <x:text>
        <x:r>
          <x:t>Finance lease principal payments (FY:31 E).
Reduction of debt or lease principal, separate from interest expense. Read the formula for the specific contractual or modeled payment schedule and sign.
Formula: =-'Debt and Leases'!S41
Cross-sheet references identify the owning schedule. Same-sheet references identify intermediate calculations.</x:t>
        </x:r>
      </x:text>
    </x:comment>
    <x:comment ref="C47" authorId="0">
      <x:text>
        <x:r>
          <x:t>Reduction of debt or lease principal, separate from interest expense. Read the formula for the specific contractual or modeled payment schedule and sign.</x:t>
        </x:r>
      </x:text>
    </x:comment>
    <x:comment ref="E47" authorId="0">
      <x:text>
        <x:r>
          <x:t>Other financing excluding finance lease principal (FY:17 A).
Reduction of debt or lease principal, separate from interest expense. Read the formula for the specific contractual or modeled payment schedule and sign.
Formula: ='Historical Inputs'!E87-E46
Cross-sheet references identify the owning schedule. Same-sheet references identify intermediate calculations.</x:t>
        </x:r>
      </x:text>
    </x:comment>
    <x:comment ref="F47" authorId="0">
      <x:text>
        <x:r>
          <x:t>Other financing excluding finance lease principal (FY:18 A).
Reduction of debt or lease principal, separate from interest expense. Read the formula for the specific contractual or modeled payment schedule and sign.
Formula: ='Historical Inputs'!F87-F46
Cross-sheet references identify the owning schedule. Same-sheet references identify intermediate calculations.</x:t>
        </x:r>
      </x:text>
    </x:comment>
    <x:comment ref="G47" authorId="0">
      <x:text>
        <x:r>
          <x:t>Other financing excluding finance lease principal (FY:19 A).
Reduction of debt or lease principal, separate from interest expense. Read the formula for the specific contractual or modeled payment schedule and sign.
Formula: ='Historical Inputs'!G87-G46
Cross-sheet references identify the owning schedule. Same-sheet references identify intermediate calculations.</x:t>
        </x:r>
      </x:text>
    </x:comment>
    <x:comment ref="H47" authorId="0">
      <x:text>
        <x:r>
          <x:t>Other financing excluding finance lease principal (FY:20 A).
Reduction of debt or lease principal, separate from interest expense. Read the formula for the specific contractual or modeled payment schedule and sign.
Formula: ='Historical Inputs'!H87-H46
Cross-sheet references identify the owning schedule. Same-sheet references identify intermediate calculations.</x:t>
        </x:r>
      </x:text>
    </x:comment>
    <x:comment ref="I47" authorId="0">
      <x:text>
        <x:r>
          <x:t>Other financing excluding finance lease principal (FY:21 A).
Reduction of debt or lease principal, separate from interest expense. Read the formula for the specific contractual or modeled payment schedule and sign.
Formula: ='Historical Inputs'!I87-I46
Cross-sheet references identify the owning schedule. Same-sheet references identify intermediate calculations.</x:t>
        </x:r>
      </x:text>
    </x:comment>
    <x:comment ref="J47" authorId="0">
      <x:text>
        <x:r>
          <x:t>Other financing excluding finance lease principal (FY:22 A).
Reduction of debt or lease principal, separate from interest expense. Read the formula for the specific contractual or modeled payment schedule and sign.
Formula: ='Historical Inputs'!J87-J46
Cross-sheet references identify the owning schedule. Same-sheet references identify intermediate calculations.</x:t>
        </x:r>
      </x:text>
    </x:comment>
    <x:comment ref="K47" authorId="0">
      <x:text>
        <x:r>
          <x:t>Other financing excluding finance lease principal (FY:23 A).
Reduction of debt or lease principal, separate from interest expense. Read the formula for the specific contractual or modeled payment schedule and sign.
Formula: ='Historical Inputs'!K87-K46
Cross-sheet references identify the owning schedule. Same-sheet references identify intermediate calculations.</x:t>
        </x:r>
      </x:text>
    </x:comment>
    <x:comment ref="L47" authorId="0">
      <x:text>
        <x:r>
          <x:t>Other financing excluding finance lease principal (FY:24 A).
Reduction of debt or lease principal, separate from interest expense. Read the formula for the specific contractual or modeled payment schedule and sign.
Formula: ='Historical Inputs'!L87-L46
Cross-sheet references identify the owning schedule. Same-sheet references identify intermediate calculations.</x:t>
        </x:r>
      </x:text>
    </x:comment>
    <x:comment ref="M47" authorId="0">
      <x:text>
        <x:r>
          <x:t>Other financing excluding finance lease principal (FY:25 A).
Reduction of debt or lease principal, separate from interest expense. Read the formula for the specific contractual or modeled payment schedule and sign.
Formula: ='Historical Inputs'!M87-M46
Cross-sheet references identify the owning schedule. Same-sheet references identify intermediate calculations.</x:t>
        </x:r>
      </x:text>
    </x:comment>
    <x:comment ref="N47" authorId="0">
      <x:text>
        <x:r>
          <x:t>Other financing excluding finance lease principal (FY:26 A).
Reduction of debt or lease principal, separate from interest expense. Read the formula for the specific contractual or modeled payment schedule and sign.
Formula: ='Historical Inputs'!N87-N46
Cross-sheet references identify the owning schedule. Same-sheet references identify intermediate calculations.</x:t>
        </x:r>
      </x:text>
    </x:comment>
    <x:comment ref="O47" authorId="0">
      <x:text>
        <x:r>
          <x:t>Other financing excluding finance lease principal (FY:27 E).
Reduction of debt or lease principal, separate from interest expense. Read the formula for the specific contractual or modeled payment schedule and sign.
Formula: =0
Cross-sheet references identify the owning schedule. Same-sheet references identify intermediate calculations.</x:t>
        </x:r>
      </x:text>
    </x:comment>
    <x:comment ref="P47" authorId="0">
      <x:text>
        <x:r>
          <x:t>Other financing excluding finance lease principal (FY:28 E).
Reduction of debt or lease principal, separate from interest expense. Read the formula for the specific contractual or modeled payment schedule and sign.
Formula: =0
Cross-sheet references identify the owning schedule. Same-sheet references identify intermediate calculations.</x:t>
        </x:r>
      </x:text>
    </x:comment>
    <x:comment ref="Q47" authorId="0">
      <x:text>
        <x:r>
          <x:t>Other financing excluding finance lease principal (FY:29 E).
Reduction of debt or lease principal, separate from interest expense. Read the formula for the specific contractual or modeled payment schedule and sign.
Formula: =0
Cross-sheet references identify the owning schedule. Same-sheet references identify intermediate calculations.</x:t>
        </x:r>
      </x:text>
    </x:comment>
    <x:comment ref="R47" authorId="0">
      <x:text>
        <x:r>
          <x:t>Other financing excluding finance lease principal (FY:30 E).
Reduction of debt or lease principal, separate from interest expense. Read the formula for the specific contractual or modeled payment schedule and sign.
Formula: =0
Cross-sheet references identify the owning schedule. Same-sheet references identify intermediate calculations.</x:t>
        </x:r>
      </x:text>
    </x:comment>
    <x:comment ref="S47" authorId="0">
      <x:text>
        <x:r>
          <x:t>Other financing excluding finance lease principal (FY:31 E).
Reduction of debt or lease principal, separate from interest expense. Read the formula for the specific contractual or modeled payment schedule and sign.
Formula: =0
Cross-sheet references identify the owning schedule. Same-sheet references identify intermediate calculations.</x:t>
        </x:r>
      </x:text>
    </x:comment>
    <x:comment ref="C48" authorId="0">
      <x:text>
        <x:r>
          <x:t>Cash balance or signed cash flow as named in the row. Positive cash-flow amounts are inflows and negative amounts are outflows. Follow the formula or source reference below for the classification.</x:t>
        </x:r>
      </x:text>
    </x:comment>
    <x:comment ref="E48" authorId="0">
      <x:text>
        <x:r>
          <x:t>Net cash from financing (FY:17 A).
Cash balance or signed cash flow as named in the row. Positive cash-flow amounts are inflows and negative amounts are outflows. Follow the formula or source reference below for the classification.
Formula: =SUM(E39:E47)
Cross-sheet references identify the owning schedule. Same-sheet references identify intermediate calculations.</x:t>
        </x:r>
      </x:text>
    </x:comment>
    <x:comment ref="F48" authorId="0">
      <x:text>
        <x:r>
          <x:t>Net cash from financing (FY:18 A).
Cash balance or signed cash flow as named in the row. Positive cash-flow amounts are inflows and negative amounts are outflows. Follow the formula or source reference below for the classification.
Formula: =SUM(F39:F47)
Cross-sheet references identify the owning schedule. Same-sheet references identify intermediate calculations.</x:t>
        </x:r>
      </x:text>
    </x:comment>
    <x:comment ref="G48" authorId="0">
      <x:text>
        <x:r>
          <x:t>Net cash from financing (FY:19 A).
Cash balance or signed cash flow as named in the row. Positive cash-flow amounts are inflows and negative amounts are outflows. Follow the formula or source reference below for the classification.
Formula: =SUM(G39:G47)
Cross-sheet references identify the owning schedule. Same-sheet references identify intermediate calculations.</x:t>
        </x:r>
      </x:text>
    </x:comment>
    <x:comment ref="H48" authorId="0">
      <x:text>
        <x:r>
          <x:t>Net cash from financing (FY:20 A).
Cash balance or signed cash flow as named in the row. Positive cash-flow amounts are inflows and negative amounts are outflows. Follow the formula or source reference below for the classification.
Formula: =SUM(H39:H47)
Cross-sheet references identify the owning schedule. Same-sheet references identify intermediate calculations.</x:t>
        </x:r>
      </x:text>
    </x:comment>
    <x:comment ref="I48" authorId="0">
      <x:text>
        <x:r>
          <x:t>Net cash from financing (FY:21 A).
Cash balance or signed cash flow as named in the row. Positive cash-flow amounts are inflows and negative amounts are outflows. Follow the formula or source reference below for the classification.
Formula: =SUM(I39:I47)
Cross-sheet references identify the owning schedule. Same-sheet references identify intermediate calculations.</x:t>
        </x:r>
      </x:text>
    </x:comment>
    <x:comment ref="J48" authorId="0">
      <x:text>
        <x:r>
          <x:t>Net cash from financing (FY:22 A).
Cash balance or signed cash flow as named in the row. Positive cash-flow amounts are inflows and negative amounts are outflows. Follow the formula or source reference below for the classification.
Formula: =SUM(J39:J47)
Cross-sheet references identify the owning schedule. Same-sheet references identify intermediate calculations.</x:t>
        </x:r>
      </x:text>
    </x:comment>
    <x:comment ref="K48" authorId="0">
      <x:text>
        <x:r>
          <x:t>Net cash from financing (FY:23 A).
Cash balance or signed cash flow as named in the row. Positive cash-flow amounts are inflows and negative amounts are outflows. Follow the formula or source reference below for the classification.
Formula: =SUM(K39:K47)
Cross-sheet references identify the owning schedule. Same-sheet references identify intermediate calculations.</x:t>
        </x:r>
      </x:text>
    </x:comment>
    <x:comment ref="L48" authorId="0">
      <x:text>
        <x:r>
          <x:t>Net cash from financing (FY:24 A).
Cash balance or signed cash flow as named in the row. Positive cash-flow amounts are inflows and negative amounts are outflows. Follow the formula or source reference below for the classification.
Formula: =SUM(L39:L47)
Cross-sheet references identify the owning schedule. Same-sheet references identify intermediate calculations.</x:t>
        </x:r>
      </x:text>
    </x:comment>
    <x:comment ref="M48" authorId="0">
      <x:text>
        <x:r>
          <x:t>Net cash from financing (FY:25 A).
Cash balance or signed cash flow as named in the row. Positive cash-flow amounts are inflows and negative amounts are outflows. Follow the formula or source reference below for the classification.
Formula: =SUM(M39:M47)
Cross-sheet references identify the owning schedule. Same-sheet references identify intermediate calculations.</x:t>
        </x:r>
      </x:text>
    </x:comment>
    <x:comment ref="N48" authorId="0">
      <x:text>
        <x:r>
          <x:t>Net cash from financing (FY:26 A).
Cash balance or signed cash flow as named in the row. Positive cash-flow amounts are inflows and negative amounts are outflows. Follow the formula or source reference below for the classification.
Formula: =SUM(N39:N47)
Cross-sheet references identify the owning schedule. Same-sheet references identify intermediate calculations.</x:t>
        </x:r>
      </x:text>
    </x:comment>
    <x:comment ref="O48" authorId="0">
      <x:text>
        <x:r>
          <x:t>Net cash from financing (FY:27 E).
Cash balance or signed cash flow as named in the row. Positive cash-flow amounts are inflows and negative amounts are outflows. Follow the formula or source reference below for the classification.
Formula: =SUM(O39:O47)
Cross-sheet references identify the owning schedule. Same-sheet references identify intermediate calculations.</x:t>
        </x:r>
      </x:text>
    </x:comment>
    <x:comment ref="P48" authorId="0">
      <x:text>
        <x:r>
          <x:t>Net cash from financing (FY:28 E).
Cash balance or signed cash flow as named in the row. Positive cash-flow amounts are inflows and negative amounts are outflows. Follow the formula or source reference below for the classification.
Formula: =SUM(P39:P47)
Cross-sheet references identify the owning schedule. Same-sheet references identify intermediate calculations.</x:t>
        </x:r>
      </x:text>
    </x:comment>
    <x:comment ref="Q48" authorId="0">
      <x:text>
        <x:r>
          <x:t>Net cash from financing (FY:29 E).
Cash balance or signed cash flow as named in the row. Positive cash-flow amounts are inflows and negative amounts are outflows. Follow the formula or source reference below for the classification.
Formula: =SUM(Q39:Q47)
Cross-sheet references identify the owning schedule. Same-sheet references identify intermediate calculations.</x:t>
        </x:r>
      </x:text>
    </x:comment>
    <x:comment ref="R48" authorId="0">
      <x:text>
        <x:r>
          <x:t>Net cash from financing (FY:30 E).
Cash balance or signed cash flow as named in the row. Positive cash-flow amounts are inflows and negative amounts are outflows. Follow the formula or source reference below for the classification.
Formula: =SUM(R39:R47)
Cross-sheet references identify the owning schedule. Same-sheet references identify intermediate calculations.</x:t>
        </x:r>
      </x:text>
    </x:comment>
    <x:comment ref="S48" authorId="0">
      <x:text>
        <x:r>
          <x:t>Net cash from financing (FY:31 E).
Cash balance or signed cash flow as named in the row. Positive cash-flow amounts are inflows and negative amounts are outflows. Follow the formula or source reference below for the classification.
Formula: =SUM(S39:S47)
Cross-sheet references identify the owning schedule. Same-sheet references identify intermediate calculations.</x:t>
        </x:r>
      </x:text>
    </x:comment>
    <x:comment ref="C50" authorId="0">
      <x:text>
        <x:r>
          <x:t>Cash balance or signed cash flow as named in the row. Positive cash-flow amounts are inflows and negative amounts are outflows. Follow the formula or source reference below for the classification.</x:t>
        </x:r>
      </x:text>
    </x:comment>
    <x:comment ref="E50" authorId="0">
      <x:text>
        <x:r>
          <x:t>Effect of exchange rates on cash (FY:17 A).
Cash balance or signed cash flow as named in the row. Positive cash-flow amounts are inflows and negative amounts are outflows. Follow the formula or source reference below for the classification.
Formula: ='Historical Inputs'!E96
Cross-sheet references identify the owning schedule. Same-sheet references identify intermediate calculations.</x:t>
        </x:r>
      </x:text>
    </x:comment>
    <x:comment ref="F50" authorId="0">
      <x:text>
        <x:r>
          <x:t>Effect of exchange rates on cash (FY:18 A).
Cash balance or signed cash flow as named in the row. Positive cash-flow amounts are inflows and negative amounts are outflows. Follow the formula or source reference below for the classification.
Formula: ='Historical Inputs'!F96
Cross-sheet references identify the owning schedule. Same-sheet references identify intermediate calculations.</x:t>
        </x:r>
      </x:text>
    </x:comment>
    <x:comment ref="G50" authorId="0">
      <x:text>
        <x:r>
          <x:t>Effect of exchange rates on cash (FY:19 A).
Cash balance or signed cash flow as named in the row. Positive cash-flow amounts are inflows and negative amounts are outflows. Follow the formula or source reference below for the classification.
Formula: ='Historical Inputs'!G96
Cross-sheet references identify the owning schedule. Same-sheet references identify intermediate calculations.</x:t>
        </x:r>
      </x:text>
    </x:comment>
    <x:comment ref="H50" authorId="0">
      <x:text>
        <x:r>
          <x:t>Effect of exchange rates on cash (FY:20 A).
Cash balance or signed cash flow as named in the row. Positive cash-flow amounts are inflows and negative amounts are outflows. Follow the formula or source reference below for the classification.
Formula: ='Historical Inputs'!H96
Cross-sheet references identify the owning schedule. Same-sheet references identify intermediate calculations.</x:t>
        </x:r>
      </x:text>
    </x:comment>
    <x:comment ref="I50" authorId="0">
      <x:text>
        <x:r>
          <x:t>Effect of exchange rates on cash (FY:21 A).
Cash balance or signed cash flow as named in the row. Positive cash-flow amounts are inflows and negative amounts are outflows. Follow the formula or source reference below for the classification.
Formula: ='Historical Inputs'!I96
Cross-sheet references identify the owning schedule. Same-sheet references identify intermediate calculations.</x:t>
        </x:r>
      </x:text>
    </x:comment>
    <x:comment ref="J50" authorId="0">
      <x:text>
        <x:r>
          <x:t>Effect of exchange rates on cash (FY:22 A).
Cash balance or signed cash flow as named in the row. Positive cash-flow amounts are inflows and negative amounts are outflows. Follow the formula or source reference below for the classification.
Formula: ='Historical Inputs'!J96
Cross-sheet references identify the owning schedule. Same-sheet references identify intermediate calculations.</x:t>
        </x:r>
      </x:text>
    </x:comment>
    <x:comment ref="K50" authorId="0">
      <x:text>
        <x:r>
          <x:t>Effect of exchange rates on cash (FY:23 A).
Cash balance or signed cash flow as named in the row. Positive cash-flow amounts are inflows and negative amounts are outflows. Follow the formula or source reference below for the classification.
Formula: ='Historical Inputs'!K96
Cross-sheet references identify the owning schedule. Same-sheet references identify intermediate calculations.</x:t>
        </x:r>
      </x:text>
    </x:comment>
    <x:comment ref="L50" authorId="0">
      <x:text>
        <x:r>
          <x:t>Effect of exchange rates on cash (FY:24 A).
Cash balance or signed cash flow as named in the row. Positive cash-flow amounts are inflows and negative amounts are outflows. Follow the formula or source reference below for the classification.
Formula: ='Historical Inputs'!L96
Cross-sheet references identify the owning schedule. Same-sheet references identify intermediate calculations.</x:t>
        </x:r>
      </x:text>
    </x:comment>
    <x:comment ref="M50" authorId="0">
      <x:text>
        <x:r>
          <x:t>Effect of exchange rates on cash (FY:25 A).
Cash balance or signed cash flow as named in the row. Positive cash-flow amounts are inflows and negative amounts are outflows. Follow the formula or source reference below for the classification.
Formula: ='Historical Inputs'!M96
Cross-sheet references identify the owning schedule. Same-sheet references identify intermediate calculations.</x:t>
        </x:r>
      </x:text>
    </x:comment>
    <x:comment ref="N50" authorId="0">
      <x:text>
        <x:r>
          <x:t>Effect of exchange rates on cash (FY:26 A).
Cash balance or signed cash flow as named in the row. Positive cash-flow amounts are inflows and negative amounts are outflows. Follow the formula or source reference below for the classification.
Formula: ='Historical Inputs'!N96
Cross-sheet references identify the owning schedule. Same-sheet references identify intermediate calculations.</x:t>
        </x:r>
      </x:text>
    </x:comment>
    <x:comment ref="O50" authorId="0">
      <x:text>
        <x:r>
          <x:t>Effect of exchange rates on cash (FY:27 E).
Cash balance or signed cash flow as named in the row. Positive cash-flow amounts are inflows and negative amounts are outflows. Follow the formula or source reference below for the classification.
Formula: =0
Cross-sheet references identify the owning schedule. Same-sheet references identify intermediate calculations.</x:t>
        </x:r>
      </x:text>
    </x:comment>
    <x:comment ref="P50" authorId="0">
      <x:text>
        <x:r>
          <x:t>Effect of exchange rates on cash (FY:28 E).
Cash balance or signed cash flow as named in the row. Positive cash-flow amounts are inflows and negative amounts are outflows. Follow the formula or source reference below for the classification.
Formula: =0
Cross-sheet references identify the owning schedule. Same-sheet references identify intermediate calculations.</x:t>
        </x:r>
      </x:text>
    </x:comment>
    <x:comment ref="Q50" authorId="0">
      <x:text>
        <x:r>
          <x:t>Effect of exchange rates on cash (FY:29 E).
Cash balance or signed cash flow as named in the row. Positive cash-flow amounts are inflows and negative amounts are outflows. Follow the formula or source reference below for the classification.
Formula: =0
Cross-sheet references identify the owning schedule. Same-sheet references identify intermediate calculations.</x:t>
        </x:r>
      </x:text>
    </x:comment>
    <x:comment ref="R50" authorId="0">
      <x:text>
        <x:r>
          <x:t>Effect of exchange rates on cash (FY:30 E).
Cash balance or signed cash flow as named in the row. Positive cash-flow amounts are inflows and negative amounts are outflows. Follow the formula or source reference below for the classification.
Formula: =0
Cross-sheet references identify the owning schedule. Same-sheet references identify intermediate calculations.</x:t>
        </x:r>
      </x:text>
    </x:comment>
    <x:comment ref="S50" authorId="0">
      <x:text>
        <x:r>
          <x:t>Effect of exchange rates on cash (FY:31 E).
Cash balance or signed cash flow as named in the row. Positive cash-flow amounts are inflows and negative amounts are outflows. Follow the formula or source reference below for the classification.
Formula: =0
Cross-sheet references identify the owning schedule. Same-sheet references identify intermediate calculations.</x:t>
        </x:r>
      </x:text>
    </x:comment>
    <x:comment ref="C51" authorId="0">
      <x:text>
        <x:r>
          <x:t>Cash balance or signed cash flow as named in the row. Positive cash-flow amounts are inflows and negative amounts are outflows. Follow the formula or source reference below for the classification.</x:t>
        </x:r>
      </x:text>
    </x:comment>
    <x:comment ref="E51" authorId="0">
      <x:text>
        <x:r>
          <x:t>Net change in cash (FY:17 A).
Cash balance or signed cash flow as named in the row. Positive cash-flow amounts are inflows and negative amounts are outflows. Follow the formula or source reference below for the classification.
Formula: =SUM(E28,E37,E48,E50)
Cross-sheet references identify the owning schedule. Same-sheet references identify intermediate calculations.</x:t>
        </x:r>
      </x:text>
    </x:comment>
    <x:comment ref="F51" authorId="0">
      <x:text>
        <x:r>
          <x:t>Net change in cash (FY:18 A).
Cash balance or signed cash flow as named in the row. Positive cash-flow amounts are inflows and negative amounts are outflows. Follow the formula or source reference below for the classification.
Formula: =SUM(F28,F37,F48,F50)
Cross-sheet references identify the owning schedule. Same-sheet references identify intermediate calculations.</x:t>
        </x:r>
      </x:text>
    </x:comment>
    <x:comment ref="G51" authorId="0">
      <x:text>
        <x:r>
          <x:t>Net change in cash (FY:19 A).
Cash balance or signed cash flow as named in the row. Positive cash-flow amounts are inflows and negative amounts are outflows. Follow the formula or source reference below for the classification.
Formula: =SUM(G28,G37,G48,G50)
Cross-sheet references identify the owning schedule. Same-sheet references identify intermediate calculations.</x:t>
        </x:r>
      </x:text>
    </x:comment>
    <x:comment ref="H51" authorId="0">
      <x:text>
        <x:r>
          <x:t>Net change in cash (FY:20 A).
Cash balance or signed cash flow as named in the row. Positive cash-flow amounts are inflows and negative amounts are outflows. Follow the formula or source reference below for the classification.
Formula: =SUM(H28,H37,H48,H50)
Cross-sheet references identify the owning schedule. Same-sheet references identify intermediate calculations.</x:t>
        </x:r>
      </x:text>
    </x:comment>
    <x:comment ref="I51" authorId="0">
      <x:text>
        <x:r>
          <x:t>Net change in cash (FY:21 A).
Cash balance or signed cash flow as named in the row. Positive cash-flow amounts are inflows and negative amounts are outflows. Follow the formula or source reference below for the classification.
Formula: =SUM(I28,I37,I48,I50)
Cross-sheet references identify the owning schedule. Same-sheet references identify intermediate calculations.</x:t>
        </x:r>
      </x:text>
    </x:comment>
    <x:comment ref="J51" authorId="0">
      <x:text>
        <x:r>
          <x:t>Net change in cash (FY:22 A).
Cash balance or signed cash flow as named in the row. Positive cash-flow amounts are inflows and negative amounts are outflows. Follow the formula or source reference below for the classification.
Formula: =SUM(J28,J37,J48,J50)
Cross-sheet references identify the owning schedule. Same-sheet references identify intermediate calculations.</x:t>
        </x:r>
      </x:text>
    </x:comment>
    <x:comment ref="K51" authorId="0">
      <x:text>
        <x:r>
          <x:t>Net change in cash (FY:23 A).
Cash balance or signed cash flow as named in the row. Positive cash-flow amounts are inflows and negative amounts are outflows. Follow the formula or source reference below for the classification.
Formula: =SUM(K28,K37,K48,K50)
Cross-sheet references identify the owning schedule. Same-sheet references identify intermediate calculations.</x:t>
        </x:r>
      </x:text>
    </x:comment>
    <x:comment ref="L51" authorId="0">
      <x:text>
        <x:r>
          <x:t>Net change in cash (FY:24 A).
Cash balance or signed cash flow as named in the row. Positive cash-flow amounts are inflows and negative amounts are outflows. Follow the formula or source reference below for the classification.
Formula: =SUM(L28,L37,L48,L50)
Cross-sheet references identify the owning schedule. Same-sheet references identify intermediate calculations.</x:t>
        </x:r>
      </x:text>
    </x:comment>
    <x:comment ref="M51" authorId="0">
      <x:text>
        <x:r>
          <x:t>Net change in cash (FY:25 A).
Cash balance or signed cash flow as named in the row. Positive cash-flow amounts are inflows and negative amounts are outflows. Follow the formula or source reference below for the classification.
Formula: =SUM(M28,M37,M48,M50)
Cross-sheet references identify the owning schedule. Same-sheet references identify intermediate calculations.</x:t>
        </x:r>
      </x:text>
    </x:comment>
    <x:comment ref="N51" authorId="0">
      <x:text>
        <x:r>
          <x:t>Net change in cash (FY:26 A).
Cash balance or signed cash flow as named in the row. Positive cash-flow amounts are inflows and negative amounts are outflows. Follow the formula or source reference below for the classification.
Formula: =SUM(N28,N37,N48,N50)
Cross-sheet references identify the owning schedule. Same-sheet references identify intermediate calculations.</x:t>
        </x:r>
      </x:text>
    </x:comment>
    <x:comment ref="O51" authorId="0">
      <x:text>
        <x:r>
          <x:t>Net change in cash (FY:27 E).
Cash balance or signed cash flow as named in the row. Positive cash-flow amounts are inflows and negative amounts are outflows. Follow the formula or source reference below for the classification.
Formula: =SUM(O28,O37,O48,O50)
Cross-sheet references identify the owning schedule. Same-sheet references identify intermediate calculations.</x:t>
        </x:r>
      </x:text>
    </x:comment>
    <x:comment ref="P51" authorId="0">
      <x:text>
        <x:r>
          <x:t>Net change in cash (FY:28 E).
Cash balance or signed cash flow as named in the row. Positive cash-flow amounts are inflows and negative amounts are outflows. Follow the formula or source reference below for the classification.
Formula: =SUM(P28,P37,P48,P50)
Cross-sheet references identify the owning schedule. Same-sheet references identify intermediate calculations.</x:t>
        </x:r>
      </x:text>
    </x:comment>
    <x:comment ref="Q51" authorId="0">
      <x:text>
        <x:r>
          <x:t>Net change in cash (FY:29 E).
Cash balance or signed cash flow as named in the row. Positive cash-flow amounts are inflows and negative amounts are outflows. Follow the formula or source reference below for the classification.
Formula: =SUM(Q28,Q37,Q48,Q50)
Cross-sheet references identify the owning schedule. Same-sheet references identify intermediate calculations.</x:t>
        </x:r>
      </x:text>
    </x:comment>
    <x:comment ref="R51" authorId="0">
      <x:text>
        <x:r>
          <x:t>Net change in cash (FY:30 E).
Cash balance or signed cash flow as named in the row. Positive cash-flow amounts are inflows and negative amounts are outflows. Follow the formula or source reference below for the classification.
Formula: =SUM(R28,R37,R48,R50)
Cross-sheet references identify the owning schedule. Same-sheet references identify intermediate calculations.</x:t>
        </x:r>
      </x:text>
    </x:comment>
    <x:comment ref="S51" authorId="0">
      <x:text>
        <x:r>
          <x:t>Net change in cash (FY:31 E).
Cash balance or signed cash flow as named in the row. Positive cash-flow amounts are inflows and negative amounts are outflows. Follow the formula or source reference below for the classification.
Formula: =SUM(S28,S37,S48,S50)
Cross-sheet references identify the owning schedule. Same-sheet references identify intermediate calculations.</x:t>
        </x:r>
      </x:text>
    </x:comment>
    <x:comment ref="C53" authorId="0">
      <x:text>
        <x:r>
          <x:t>Beginning-of-year balance. Forecast periods carry forward the prior closing balance, with FY2026 providing the first forecast opening balance.</x:t>
        </x:r>
      </x:text>
    </x:comment>
    <x:comment ref="E53" authorId="0">
      <x:text>
        <x:r>
          <x:t>Opening cash and cash equivalents (FY:17 A).
Beginning-of-year balance. Forecast periods carry forward the prior closing balance, with FY2026 providing the first forecast opening balance.
Formula: ='Historical Inputs'!E98
Cross-sheet references identify the owning schedule. Same-sheet references identify intermediate calculations.</x:t>
        </x:r>
      </x:text>
    </x:comment>
    <x:comment ref="F53" authorId="0">
      <x:text>
        <x:r>
          <x:t>Opening cash and cash equivalents (FY:18 A).
Beginning-of-year balance. Forecast periods carry forward the prior closing balance, with FY2026 providing the first forecast opening balance.
Formula: ='Historical Inputs'!F98
Cross-sheet references identify the owning schedule. Same-sheet references identify intermediate calculations.</x:t>
        </x:r>
      </x:text>
    </x:comment>
    <x:comment ref="G53" authorId="0">
      <x:text>
        <x:r>
          <x:t>Opening cash and cash equivalents (FY:19 A).
Beginning-of-year balance. Forecast periods carry forward the prior closing balance, with FY2026 providing the first forecast opening balance.
Formula: ='Historical Inputs'!G98
Cross-sheet references identify the owning schedule. Same-sheet references identify intermediate calculations.</x:t>
        </x:r>
      </x:text>
    </x:comment>
    <x:comment ref="H53" authorId="0">
      <x:text>
        <x:r>
          <x:t>Opening cash and cash equivalents (FY:20 A).
Beginning-of-year balance. Forecast periods carry forward the prior closing balance, with FY2026 providing the first forecast opening balance.
Formula: ='Historical Inputs'!H98
Cross-sheet references identify the owning schedule. Same-sheet references identify intermediate calculations.</x:t>
        </x:r>
      </x:text>
    </x:comment>
    <x:comment ref="I53" authorId="0">
      <x:text>
        <x:r>
          <x:t>Opening cash and cash equivalents (FY:21 A).
Beginning-of-year balance. Forecast periods carry forward the prior closing balance, with FY2026 providing the first forecast opening balance.
Formula: ='Historical Inputs'!I98
Cross-sheet references identify the owning schedule. Same-sheet references identify intermediate calculations.</x:t>
        </x:r>
      </x:text>
    </x:comment>
    <x:comment ref="J53" authorId="0">
      <x:text>
        <x:r>
          <x:t>Opening cash and cash equivalents (FY:22 A).
Beginning-of-year balance. Forecast periods carry forward the prior closing balance, with FY2026 providing the first forecast opening balance.
Formula: ='Historical Inputs'!J98
Cross-sheet references identify the owning schedule. Same-sheet references identify intermediate calculations.</x:t>
        </x:r>
      </x:text>
    </x:comment>
    <x:comment ref="K53" authorId="0">
      <x:text>
        <x:r>
          <x:t>Opening cash and cash equivalents (FY:23 A).
Beginning-of-year balance. Forecast periods carry forward the prior closing balance, with FY2026 providing the first forecast opening balance.
Formula: ='Historical Inputs'!K98
Cross-sheet references identify the owning schedule. Same-sheet references identify intermediate calculations.</x:t>
        </x:r>
      </x:text>
    </x:comment>
    <x:comment ref="L53" authorId="0">
      <x:text>
        <x:r>
          <x:t>Opening cash and cash equivalents (FY:24 A).
Beginning-of-year balance. Forecast periods carry forward the prior closing balance, with FY2026 providing the first forecast opening balance.
Formula: ='Historical Inputs'!L98
Cross-sheet references identify the owning schedule. Same-sheet references identify intermediate calculations.</x:t>
        </x:r>
      </x:text>
    </x:comment>
    <x:comment ref="M53" authorId="0">
      <x:text>
        <x:r>
          <x:t>Opening cash and cash equivalents (FY:25 A).
Beginning-of-year balance. Forecast periods carry forward the prior closing balance, with FY2026 providing the first forecast opening balance.
Formula: ='Historical Inputs'!M98
Cross-sheet references identify the owning schedule. Same-sheet references identify intermediate calculations.</x:t>
        </x:r>
      </x:text>
    </x:comment>
    <x:comment ref="N53" authorId="0">
      <x:text>
        <x:r>
          <x:t>Opening cash and cash equivalents (FY:26 A).
Beginning-of-year balance. Forecast periods carry forward the prior closing balance, with FY2026 providing the first forecast opening balance.
Formula: ='Historical Inputs'!N98
Cross-sheet references identify the owning schedule. Same-sheet references identify intermediate calculations.</x:t>
        </x:r>
      </x:text>
    </x:comment>
    <x:comment ref="O53" authorId="0">
      <x:text>
        <x:r>
          <x:t>Opening cash and cash equivalents (FY:27 E).
Beginning-of-year balance. Forecast periods carry forward the prior closing balance, with FY2026 providing the first forecast opening balance.
Formula: ='Balance Sheet'!N8
Cross-sheet references identify the owning schedule. Same-sheet references identify intermediate calculations.</x:t>
        </x:r>
      </x:text>
    </x:comment>
    <x:comment ref="P53" authorId="0">
      <x:text>
        <x:r>
          <x:t>Opening cash and cash equivalents (FY:28 E).
Beginning-of-year balance. Forecast periods carry forward the prior closing balance, with FY2026 providing the first forecast opening balance.
Formula: ='Balance Sheet'!O8
Cross-sheet references identify the owning schedule. Same-sheet references identify intermediate calculations.</x:t>
        </x:r>
      </x:text>
    </x:comment>
    <x:comment ref="Q53" authorId="0">
      <x:text>
        <x:r>
          <x:t>Opening cash and cash equivalents (FY:29 E).
Beginning-of-year balance. Forecast periods carry forward the prior closing balance, with FY2026 providing the first forecast opening balance.
Formula: ='Balance Sheet'!P8
Cross-sheet references identify the owning schedule. Same-sheet references identify intermediate calculations.</x:t>
        </x:r>
      </x:text>
    </x:comment>
    <x:comment ref="R53" authorId="0">
      <x:text>
        <x:r>
          <x:t>Opening cash and cash equivalents (FY:30 E).
Beginning-of-year balance. Forecast periods carry forward the prior closing balance, with FY2026 providing the first forecast opening balance.
Formula: ='Balance Sheet'!Q8
Cross-sheet references identify the owning schedule. Same-sheet references identify intermediate calculations.</x:t>
        </x:r>
      </x:text>
    </x:comment>
    <x:comment ref="S53" authorId="0">
      <x:text>
        <x:r>
          <x:t>Opening cash and cash equivalents (FY:31 E).
Beginning-of-year balance. Forecast periods carry forward the prior closing balance, with FY2026 providing the first forecast opening balance.
Formula: ='Balance Sheet'!R8
Cross-sheet references identify the owning schedule. Same-sheet references identify intermediate calculations.</x:t>
        </x:r>
      </x:text>
    </x:comment>
    <x:comment ref="C54" authorId="0">
      <x:text>
        <x:r>
          <x:t>Opening cash plus operating, investing and financing cash flows and the FX cash effect. This closing balance links to the balance sheet.</x:t>
        </x:r>
      </x:text>
    </x:comment>
    <x:comment ref="E54" authorId="0">
      <x:text>
        <x:r>
          <x:t>Closing cash and cash equivalents (FY:17 A).
Opening cash plus operating, investing and financing cash flows and the FX cash effect. This closing balance links to the balance sheet.
Formula: =E53+E51
Cross-sheet references identify the owning schedule. Same-sheet references identify intermediate calculations.</x:t>
        </x:r>
      </x:text>
    </x:comment>
    <x:comment ref="F54" authorId="0">
      <x:text>
        <x:r>
          <x:t>Closing cash and cash equivalents (FY:18 A).
Opening cash plus operating, investing and financing cash flows and the FX cash effect. This closing balance links to the balance sheet.
Formula: =F53+F51
Cross-sheet references identify the owning schedule. Same-sheet references identify intermediate calculations.</x:t>
        </x:r>
      </x:text>
    </x:comment>
    <x:comment ref="G54" authorId="0">
      <x:text>
        <x:r>
          <x:t>Closing cash and cash equivalents (FY:19 A).
Opening cash plus operating, investing and financing cash flows and the FX cash effect. This closing balance links to the balance sheet.
Formula: =G53+G51
Cross-sheet references identify the owning schedule. Same-sheet references identify intermediate calculations.</x:t>
        </x:r>
      </x:text>
    </x:comment>
    <x:comment ref="H54" authorId="0">
      <x:text>
        <x:r>
          <x:t>Closing cash and cash equivalents (FY:20 A).
Opening cash plus operating, investing and financing cash flows and the FX cash effect. This closing balance links to the balance sheet.
Formula: =H53+H51
Cross-sheet references identify the owning schedule. Same-sheet references identify intermediate calculations.</x:t>
        </x:r>
      </x:text>
    </x:comment>
    <x:comment ref="I54" authorId="0">
      <x:text>
        <x:r>
          <x:t>Closing cash and cash equivalents (FY:21 A).
Opening cash plus operating, investing and financing cash flows and the FX cash effect. This closing balance links to the balance sheet.
Formula: =I53+I51
Cross-sheet references identify the owning schedule. Same-sheet references identify intermediate calculations.</x:t>
        </x:r>
      </x:text>
    </x:comment>
    <x:comment ref="J54" authorId="0">
      <x:text>
        <x:r>
          <x:t>Closing cash and cash equivalents (FY:22 A).
Opening cash plus operating, investing and financing cash flows and the FX cash effect. This closing balance links to the balance sheet.
Formula: =J53+J51
Cross-sheet references identify the owning schedule. Same-sheet references identify intermediate calculations.</x:t>
        </x:r>
      </x:text>
    </x:comment>
    <x:comment ref="K54" authorId="0">
      <x:text>
        <x:r>
          <x:t>Closing cash and cash equivalents (FY:23 A).
Opening cash plus operating, investing and financing cash flows and the FX cash effect. This closing balance links to the balance sheet.
Formula: =K53+K51
Cross-sheet references identify the owning schedule. Same-sheet references identify intermediate calculations.</x:t>
        </x:r>
      </x:text>
    </x:comment>
    <x:comment ref="L54" authorId="0">
      <x:text>
        <x:r>
          <x:t>Closing cash and cash equivalents (FY:24 A).
Opening cash plus operating, investing and financing cash flows and the FX cash effect. This closing balance links to the balance sheet.
Formula: =L53+L51
Cross-sheet references identify the owning schedule. Same-sheet references identify intermediate calculations.</x:t>
        </x:r>
      </x:text>
    </x:comment>
    <x:comment ref="M54" authorId="0">
      <x:text>
        <x:r>
          <x:t>Closing cash and cash equivalents (FY:25 A).
Opening cash plus operating, investing and financing cash flows and the FX cash effect. This closing balance links to the balance sheet.
Formula: =M53+M51
Cross-sheet references identify the owning schedule. Same-sheet references identify intermediate calculations.</x:t>
        </x:r>
      </x:text>
    </x:comment>
    <x:comment ref="N54" authorId="0">
      <x:text>
        <x:r>
          <x:t>Closing cash and cash equivalents (FY:26 A).
Opening cash plus operating, investing and financing cash flows and the FX cash effect. This closing balance links to the balance sheet.
Formula: =N53+N51
Cross-sheet references identify the owning schedule. Same-sheet references identify intermediate calculations.</x:t>
        </x:r>
      </x:text>
    </x:comment>
    <x:comment ref="O54" authorId="0">
      <x:text>
        <x:r>
          <x:t>Closing cash and cash equivalents (FY:27 E).
Opening cash plus operating, investing and financing cash flows and the FX cash effect. This closing balance links to the balance sheet.
Formula: =O53+O51
Cross-sheet references identify the owning schedule. Same-sheet references identify intermediate calculations.</x:t>
        </x:r>
      </x:text>
    </x:comment>
    <x:comment ref="P54" authorId="0">
      <x:text>
        <x:r>
          <x:t>Closing cash and cash equivalents (FY:28 E).
Opening cash plus operating, investing and financing cash flows and the FX cash effect. This closing balance links to the balance sheet.
Formula: =P53+P51
Cross-sheet references identify the owning schedule. Same-sheet references identify intermediate calculations.</x:t>
        </x:r>
      </x:text>
    </x:comment>
    <x:comment ref="Q54" authorId="0">
      <x:text>
        <x:r>
          <x:t>Closing cash and cash equivalents (FY:29 E).
Opening cash plus operating, investing and financing cash flows and the FX cash effect. This closing balance links to the balance sheet.
Formula: =Q53+Q51
Cross-sheet references identify the owning schedule. Same-sheet references identify intermediate calculations.</x:t>
        </x:r>
      </x:text>
    </x:comment>
    <x:comment ref="R54" authorId="0">
      <x:text>
        <x:r>
          <x:t>Closing cash and cash equivalents (FY:30 E).
Opening cash plus operating, investing and financing cash flows and the FX cash effect. This closing balance links to the balance sheet.
Formula: =R53+R51
Cross-sheet references identify the owning schedule. Same-sheet references identify intermediate calculations.</x:t>
        </x:r>
      </x:text>
    </x:comment>
    <x:comment ref="S54" authorId="0">
      <x:text>
        <x:r>
          <x:t>Closing cash and cash equivalents (FY:31 E).
Opening cash plus operating, investing and financing cash flows and the FX cash effect. This closing balance links to the balance sheet.
Formula: =S53+S51
Cross-sheet references identify the owning schedule. Same-sheet references identify intermediate calculations.</x:t>
        </x:r>
      </x:text>
    </x:comment>
    <x:comment ref="C56" authorId="0">
      <x:text>
        <x:r>
          <x:t>Operating cash flow less cash capital expenditure. Cash capex is negative in the cash-flow statement, so the worksheet adds that signed amount to CFO. This measure excludes finance lease principal.</x:t>
        </x:r>
      </x:text>
    </x:comment>
    <x:comment ref="E56" authorId="0">
      <x:text>
        <x:r>
          <x:t>Free cash flow (FY:17 A).
Operating cash flow less cash capital expenditure. Cash capex is negative in the cash-flow statement, so the worksheet adds that signed amount to CFO. This measure excludes finance lease principal.
Formula: =E28+E30
Cross-sheet references identify the owning schedule. Same-sheet references identify intermediate calculations.</x:t>
        </x:r>
      </x:text>
    </x:comment>
    <x:comment ref="F56" authorId="0">
      <x:text>
        <x:r>
          <x:t>Free cash flow (FY:18 A).
Operating cash flow less cash capital expenditure. Cash capex is negative in the cash-flow statement, so the worksheet adds that signed amount to CFO. This measure excludes finance lease principal.
Formula: =F28+F30
Cross-sheet references identify the owning schedule. Same-sheet references identify intermediate calculations.</x:t>
        </x:r>
      </x:text>
    </x:comment>
    <x:comment ref="G56" authorId="0">
      <x:text>
        <x:r>
          <x:t>Free cash flow (FY:19 A).
Operating cash flow less cash capital expenditure. Cash capex is negative in the cash-flow statement, so the worksheet adds that signed amount to CFO. This measure excludes finance lease principal.
Formula: =G28+G30
Cross-sheet references identify the owning schedule. Same-sheet references identify intermediate calculations.</x:t>
        </x:r>
      </x:text>
    </x:comment>
    <x:comment ref="H56" authorId="0">
      <x:text>
        <x:r>
          <x:t>Free cash flow (FY:20 A).
Operating cash flow less cash capital expenditure. Cash capex is negative in the cash-flow statement, so the worksheet adds that signed amount to CFO. This measure excludes finance lease principal.
Formula: =H28+H30
Cross-sheet references identify the owning schedule. Same-sheet references identify intermediate calculations.</x:t>
        </x:r>
      </x:text>
    </x:comment>
    <x:comment ref="I56" authorId="0">
      <x:text>
        <x:r>
          <x:t>Free cash flow (FY:21 A).
Operating cash flow less cash capital expenditure. Cash capex is negative in the cash-flow statement, so the worksheet adds that signed amount to CFO. This measure excludes finance lease principal.
Formula: =I28+I30
Cross-sheet references identify the owning schedule. Same-sheet references identify intermediate calculations.</x:t>
        </x:r>
      </x:text>
    </x:comment>
    <x:comment ref="J56" authorId="0">
      <x:text>
        <x:r>
          <x:t>Free cash flow (FY:22 A).
Operating cash flow less cash capital expenditure. Cash capex is negative in the cash-flow statement, so the worksheet adds that signed amount to CFO. This measure excludes finance lease principal.
Formula: =J28+J30
Cross-sheet references identify the owning schedule. Same-sheet references identify intermediate calculations.</x:t>
        </x:r>
      </x:text>
    </x:comment>
    <x:comment ref="K56" authorId="0">
      <x:text>
        <x:r>
          <x:t>Free cash flow (FY:23 A).
Operating cash flow less cash capital expenditure. Cash capex is negative in the cash-flow statement, so the worksheet adds that signed amount to CFO. This measure excludes finance lease principal.
Formula: =K28+K30
Cross-sheet references identify the owning schedule. Same-sheet references identify intermediate calculations.</x:t>
        </x:r>
      </x:text>
    </x:comment>
    <x:comment ref="L56" authorId="0">
      <x:text>
        <x:r>
          <x:t>Free cash flow (FY:24 A).
Operating cash flow less cash capital expenditure. Cash capex is negative in the cash-flow statement, so the worksheet adds that signed amount to CFO. This measure excludes finance lease principal.
Formula: =L28+L30
Cross-sheet references identify the owning schedule. Same-sheet references identify intermediate calculations.</x:t>
        </x:r>
      </x:text>
    </x:comment>
    <x:comment ref="M56" authorId="0">
      <x:text>
        <x:r>
          <x:t>Free cash flow (FY:25 A).
Operating cash flow less cash capital expenditure. Cash capex is negative in the cash-flow statement, so the worksheet adds that signed amount to CFO. This measure excludes finance lease principal.
Formula: =M28+M30
Cross-sheet references identify the owning schedule. Same-sheet references identify intermediate calculations.</x:t>
        </x:r>
      </x:text>
    </x:comment>
    <x:comment ref="N56" authorId="0">
      <x:text>
        <x:r>
          <x:t>Free cash flow (FY:26 A).
Operating cash flow less cash capital expenditure. Cash capex is negative in the cash-flow statement, so the worksheet adds that signed amount to CFO. This measure excludes finance lease principal.
Formula: =N28+N30
Cross-sheet references identify the owning schedule. Same-sheet references identify intermediate calculations.</x:t>
        </x:r>
      </x:text>
    </x:comment>
    <x:comment ref="O56" authorId="0">
      <x:text>
        <x:r>
          <x:t>Free cash flow (FY:27 E).
Operating cash flow less cash capital expenditure. Cash capex is negative in the cash-flow statement, so the worksheet adds that signed amount to CFO. This measure excludes finance lease principal.
Formula: =O28+O30
Cross-sheet references identify the owning schedule. Same-sheet references identify intermediate calculations.</x:t>
        </x:r>
      </x:text>
    </x:comment>
    <x:comment ref="P56" authorId="0">
      <x:text>
        <x:r>
          <x:t>Free cash flow (FY:28 E).
Operating cash flow less cash capital expenditure. Cash capex is negative in the cash-flow statement, so the worksheet adds that signed amount to CFO. This measure excludes finance lease principal.
Formula: =P28+P30
Cross-sheet references identify the owning schedule. Same-sheet references identify intermediate calculations.</x:t>
        </x:r>
      </x:text>
    </x:comment>
    <x:comment ref="Q56" authorId="0">
      <x:text>
        <x:r>
          <x:t>Free cash flow (FY:29 E).
Operating cash flow less cash capital expenditure. Cash capex is negative in the cash-flow statement, so the worksheet adds that signed amount to CFO. This measure excludes finance lease principal.
Formula: =Q28+Q30
Cross-sheet references identify the owning schedule. Same-sheet references identify intermediate calculations.</x:t>
        </x:r>
      </x:text>
    </x:comment>
    <x:comment ref="R56" authorId="0">
      <x:text>
        <x:r>
          <x:t>Free cash flow (FY:30 E).
Operating cash flow less cash capital expenditure. Cash capex is negative in the cash-flow statement, so the worksheet adds that signed amount to CFO. This measure excludes finance lease principal.
Formula: =R28+R30
Cross-sheet references identify the owning schedule. Same-sheet references identify intermediate calculations.</x:t>
        </x:r>
      </x:text>
    </x:comment>
    <x:comment ref="S56" authorId="0">
      <x:text>
        <x:r>
          <x:t>Free cash flow (FY:31 E).
Operating cash flow less cash capital expenditure. Cash capex is negative in the cash-flow statement, so the worksheet adds that signed amount to CFO. This measure excludes finance lease principal.
Formula: =S28+S30
Cross-sheet references identify the owning schedule. Same-sheet references identify intermediate calculations.</x:t>
        </x:r>
      </x:text>
    </x:comment>
    <x:comment ref="C57" authorId="0">
      <x:text>
        <x:r>
          <x:t>Free cash flow less cash finance lease principal payments. It makes the financing cash burden of leased assets visible.</x:t>
        </x:r>
      </x:text>
    </x:comment>
    <x:comment ref="E57" authorId="0">
      <x:text>
        <x:r>
          <x:t>FCF after finance lease principal (FY:17 A).
Free cash flow less cash finance lease principal payments. It makes the financing cash burden of leased assets visible.
Formula: =SUM(E56,E46)
Cross-sheet references identify the owning schedule. Same-sheet references identify intermediate calculations.</x:t>
        </x:r>
      </x:text>
    </x:comment>
    <x:comment ref="F57" authorId="0">
      <x:text>
        <x:r>
          <x:t>FCF after finance lease principal (FY:18 A).
Free cash flow less cash finance lease principal payments. It makes the financing cash burden of leased assets visible.
Formula: =SUM(F56,F46)
Cross-sheet references identify the owning schedule. Same-sheet references identify intermediate calculations.</x:t>
        </x:r>
      </x:text>
    </x:comment>
    <x:comment ref="G57" authorId="0">
      <x:text>
        <x:r>
          <x:t>FCF after finance lease principal (FY:19 A).
Free cash flow less cash finance lease principal payments. It makes the financing cash burden of leased assets visible.
Formula: =SUM(G56,G46)
Cross-sheet references identify the owning schedule. Same-sheet references identify intermediate calculations.</x:t>
        </x:r>
      </x:text>
    </x:comment>
    <x:comment ref="H57" authorId="0">
      <x:text>
        <x:r>
          <x:t>FCF after finance lease principal (FY:20 A).
Free cash flow less cash finance lease principal payments. It makes the financing cash burden of leased assets visible.
Formula: =SUM(H56,H46)
Cross-sheet references identify the owning schedule. Same-sheet references identify intermediate calculations.</x:t>
        </x:r>
      </x:text>
    </x:comment>
    <x:comment ref="I57" authorId="0">
      <x:text>
        <x:r>
          <x:t>FCF after finance lease principal (FY:21 A).
Free cash flow less cash finance lease principal payments. It makes the financing cash burden of leased assets visible.
Formula: =SUM(I56,I46)
Cross-sheet references identify the owning schedule. Same-sheet references identify intermediate calculations.</x:t>
        </x:r>
      </x:text>
    </x:comment>
    <x:comment ref="J57" authorId="0">
      <x:text>
        <x:r>
          <x:t>FCF after finance lease principal (FY:22 A).
Free cash flow less cash finance lease principal payments. It makes the financing cash burden of leased assets visible.
Formula: =SUM(J56,J46)
Cross-sheet references identify the owning schedule. Same-sheet references identify intermediate calculations.</x:t>
        </x:r>
      </x:text>
    </x:comment>
    <x:comment ref="K57" authorId="0">
      <x:text>
        <x:r>
          <x:t>FCF after finance lease principal (FY:23 A).
Free cash flow less cash finance lease principal payments. It makes the financing cash burden of leased assets visible.
Formula: =SUM(K56,K46)
Cross-sheet references identify the owning schedule. Same-sheet references identify intermediate calculations.</x:t>
        </x:r>
      </x:text>
    </x:comment>
    <x:comment ref="L57" authorId="0">
      <x:text>
        <x:r>
          <x:t>FCF after finance lease principal (FY:24 A).
Free cash flow less cash finance lease principal payments. It makes the financing cash burden of leased assets visible.
Formula: =SUM(L56,L46)
Cross-sheet references identify the owning schedule. Same-sheet references identify intermediate calculations.</x:t>
        </x:r>
      </x:text>
    </x:comment>
    <x:comment ref="M57" authorId="0">
      <x:text>
        <x:r>
          <x:t>FCF after finance lease principal (FY:25 A).
Free cash flow less cash finance lease principal payments. It makes the financing cash burden of leased assets visible.
Formula: =SUM(M56,M46)
Cross-sheet references identify the owning schedule. Same-sheet references identify intermediate calculations.</x:t>
        </x:r>
      </x:text>
    </x:comment>
    <x:comment ref="N57" authorId="0">
      <x:text>
        <x:r>
          <x:t>FCF after finance lease principal (FY:26 A).
Free cash flow less cash finance lease principal payments. It makes the financing cash burden of leased assets visible.
Formula: =SUM(N56,N46)
Cross-sheet references identify the owning schedule. Same-sheet references identify intermediate calculations.</x:t>
        </x:r>
      </x:text>
    </x:comment>
    <x:comment ref="O57" authorId="0">
      <x:text>
        <x:r>
          <x:t>FCF after finance lease principal (FY:27 E).
Free cash flow less cash finance lease principal payments. It makes the financing cash burden of leased assets visible.
Formula: =SUM(O56,O46)
Cross-sheet references identify the owning schedule. Same-sheet references identify intermediate calculations.</x:t>
        </x:r>
      </x:text>
    </x:comment>
    <x:comment ref="P57" authorId="0">
      <x:text>
        <x:r>
          <x:t>FCF after finance lease principal (FY:28 E).
Free cash flow less cash finance lease principal payments. It makes the financing cash burden of leased assets visible.
Formula: =SUM(P56,P46)
Cross-sheet references identify the owning schedule. Same-sheet references identify intermediate calculations.</x:t>
        </x:r>
      </x:text>
    </x:comment>
    <x:comment ref="Q57" authorId="0">
      <x:text>
        <x:r>
          <x:t>FCF after finance lease principal (FY:29 E).
Free cash flow less cash finance lease principal payments. It makes the financing cash burden of leased assets visible.
Formula: =SUM(Q56,Q46)
Cross-sheet references identify the owning schedule. Same-sheet references identify intermediate calculations.</x:t>
        </x:r>
      </x:text>
    </x:comment>
    <x:comment ref="R57" authorId="0">
      <x:text>
        <x:r>
          <x:t>FCF after finance lease principal (FY:30 E).
Free cash flow less cash finance lease principal payments. It makes the financing cash burden of leased assets visible.
Formula: =SUM(R56,R46)
Cross-sheet references identify the owning schedule. Same-sheet references identify intermediate calculations.</x:t>
        </x:r>
      </x:text>
    </x:comment>
    <x:comment ref="S57" authorId="0">
      <x:text>
        <x:r>
          <x:t>FCF after finance lease principal (FY:31 E).
Free cash flow less cash finance lease principal payments. It makes the financing cash burden of leased assets visible.
Formula: =SUM(S56,S46)
Cross-sheet references identify the owning schedule. Same-sheet references identify intermediate calculations.</x:t>
        </x:r>
      </x:text>
    </x:comment>
    <x:comment ref="C59" authorId="0">
      <x:text>
        <x:r>
          <x:t>Cash balance or signed cash flow as named in the row. Positive cash-flow amounts are inflows and negative amounts are outflows. Follow the formula or source reference below for the classification.</x:t>
        </x:r>
      </x:text>
    </x:comment>
    <x:comment ref="E59" authorId="0">
      <x:text>
        <x:r>
          <x:t>Cash before reserve liquidation and funding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59" authorId="0">
      <x:text>
        <x:r>
          <x:t>Cash before reserve liquidation and funding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59" authorId="0">
      <x:text>
        <x:r>
          <x:t>Cash before reserve liquidation and funding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59" authorId="0">
      <x:text>
        <x:r>
          <x:t>Cash before reserve liquidation and funding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59" authorId="0">
      <x:text>
        <x:r>
          <x:t>Cash before reserve liquidation and funding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59" authorId="0">
      <x:text>
        <x:r>
          <x:t>Cash before reserve liquidation and funding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59" authorId="0">
      <x:text>
        <x:r>
          <x:t>Cash before reserve liquidation and funding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59" authorId="0">
      <x:text>
        <x:r>
          <x:t>Cash before reserve liquidation and funding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59" authorId="0">
      <x:text>
        <x:r>
          <x:t>Cash before reserve liquidation and funding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59" authorId="0">
      <x:text>
        <x:r>
          <x:t>Cash before reserve liquidation and funding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59" authorId="0">
      <x:text>
        <x:r>
          <x:t>Cash before reserve liquidation and funding (FY:27 E).
Cash balance or signed cash flow as named in the row. Positive cash-flow amounts are inflows and negative amounts are outflows. Follow the formula or source reference below for the classification.
Formula: =O53+O28+SUM(O30:O33,O35:O36,O39:O41,O43:O47)
Cross-sheet references identify the owning schedule. Same-sheet references identify intermediate calculations.</x:t>
        </x:r>
      </x:text>
    </x:comment>
    <x:comment ref="P59" authorId="0">
      <x:text>
        <x:r>
          <x:t>Cash before reserve liquidation and funding (FY:28 E).
Cash balance or signed cash flow as named in the row. Positive cash-flow amounts are inflows and negative amounts are outflows. Follow the formula or source reference below for the classification.
Formula: =P53+P28+SUM(P30:P33,P35:P36,P39:P41,P43:P47)
Cross-sheet references identify the owning schedule. Same-sheet references identify intermediate calculations.</x:t>
        </x:r>
      </x:text>
    </x:comment>
    <x:comment ref="Q59" authorId="0">
      <x:text>
        <x:r>
          <x:t>Cash before reserve liquidation and funding (FY:29 E).
Cash balance or signed cash flow as named in the row. Positive cash-flow amounts are inflows and negative amounts are outflows. Follow the formula or source reference below for the classification.
Formula: =Q53+Q28+SUM(Q30:Q33,Q35:Q36,Q39:Q41,Q43:Q47)
Cross-sheet references identify the owning schedule. Same-sheet references identify intermediate calculations.</x:t>
        </x:r>
      </x:text>
    </x:comment>
    <x:comment ref="R59" authorId="0">
      <x:text>
        <x:r>
          <x:t>Cash before reserve liquidation and funding (FY:30 E).
Cash balance or signed cash flow as named in the row. Positive cash-flow amounts are inflows and negative amounts are outflows. Follow the formula or source reference below for the classification.
Formula: =R53+R28+SUM(R30:R33,R35:R36,R39:R41,R43:R47)
Cross-sheet references identify the owning schedule. Same-sheet references identify intermediate calculations.</x:t>
        </x:r>
      </x:text>
    </x:comment>
    <x:comment ref="S59" authorId="0">
      <x:text>
        <x:r>
          <x:t>Cash before reserve liquidation and funding (FY:31 E).
Cash balance or signed cash flow as named in the row. Positive cash-flow amounts are inflows and negative amounts are outflows. Follow the formula or source reference below for the classification.
Formula: =S53+S28+SUM(S30:S33,S35:S36,S39:S41,S43:S47)
Cross-sheet references identify the owning schedule. Same-sheet references identify intermediate calculations.</x:t>
        </x:r>
      </x:text>
    </x:comment>
    <x:comment ref="C60" authorId="0">
      <x:text>
        <x:r>
          <x:t>Short-term investment liquidation. This line belongs to the Cash Flow calculation. Read its formula to trace the referenced inputs and intermediate totals.</x:t>
        </x:r>
      </x:text>
    </x:comment>
    <x:comment ref="E60" authorId="0">
      <x:text>
        <x:r>
          <x:t>Short-term investment liquidation (FY:17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F60" authorId="0">
      <x:text>
        <x:r>
          <x:t>Short-term investment liquidation (FY:18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G60" authorId="0">
      <x:text>
        <x:r>
          <x:t>Short-term investment liquidation (FY:19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H60" authorId="0">
      <x:text>
        <x:r>
          <x:t>Short-term investment liquidation (FY:20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I60" authorId="0">
      <x:text>
        <x:r>
          <x:t>Short-term investment liquidation (FY:21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J60" authorId="0">
      <x:text>
        <x:r>
          <x:t>Short-term investment liquidation (FY:22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K60" authorId="0">
      <x:text>
        <x:r>
          <x:t>Short-term investment liquidation (FY:23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L60" authorId="0">
      <x:text>
        <x:r>
          <x:t>Short-term investment liquidation (FY:24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M60" authorId="0">
      <x:text>
        <x:r>
          <x:t>Short-term investment liquidation (FY:25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N60" authorId="0">
      <x:text>
        <x:r>
          <x:t>Short-term investment liquidation (FY:26 A).
Short-term investment liquidation. This line belongs to the Cash Flow calculation. Read its formula to trace the referenced inputs and intermediate totals. This period is unavailable or not applicable. Do not interpret it as zero.
Stored input or primary source observation. It is not calculated in this cell.</x:t>
        </x:r>
      </x:text>
    </x:comment>
    <x:comment ref="O60" authorId="0">
      <x:text>
        <x:r>
          <x:t>Short-term investment liquidation (FY:27 E).
Short-term investment liquidation. This line belongs to the Cash Flow calculation. Read its formula to trace the referenced inputs and intermediate totals.
Formula: ='Debt and Leases'!O77
Cross-sheet references identify the owning schedule. Same-sheet references identify intermediate calculations.</x:t>
        </x:r>
      </x:text>
    </x:comment>
    <x:comment ref="P60" authorId="0">
      <x:text>
        <x:r>
          <x:t>Short-term investment liquidation (FY:28 E).
Short-term investment liquidation. This line belongs to the Cash Flow calculation. Read its formula to trace the referenced inputs and intermediate totals.
Formula: ='Debt and Leases'!P77
Cross-sheet references identify the owning schedule. Same-sheet references identify intermediate calculations.</x:t>
        </x:r>
      </x:text>
    </x:comment>
    <x:comment ref="Q60" authorId="0">
      <x:text>
        <x:r>
          <x:t>Short-term investment liquidation (FY:29 E).
Short-term investment liquidation. This line belongs to the Cash Flow calculation. Read its formula to trace the referenced inputs and intermediate totals.
Formula: ='Debt and Leases'!Q77
Cross-sheet references identify the owning schedule. Same-sheet references identify intermediate calculations.</x:t>
        </x:r>
      </x:text>
    </x:comment>
    <x:comment ref="R60" authorId="0">
      <x:text>
        <x:r>
          <x:t>Short-term investment liquidation (FY:30 E).
Short-term investment liquidation. This line belongs to the Cash Flow calculation. Read its formula to trace the referenced inputs and intermediate totals.
Formula: ='Debt and Leases'!R77
Cross-sheet references identify the owning schedule. Same-sheet references identify intermediate calculations.</x:t>
        </x:r>
      </x:text>
    </x:comment>
    <x:comment ref="S60" authorId="0">
      <x:text>
        <x:r>
          <x:t>Short-term investment liquidation (FY:31 E).
Short-term investment liquidation. This line belongs to the Cash Flow calculation. Read its formula to trace the referenced inputs and intermediate totals.
Formula: ='Debt and Leases'!S77
Cross-sheet references identify the owning schedule. Same-sheet references identify intermediate calculations.</x:t>
        </x:r>
      </x:text>
    </x:comment>
    <x:comment ref="C61" authorId="0">
      <x:text>
        <x:r>
          <x:t>Funding needed after available short-term investments above the reserve are liquidated. Borrowing occurs at year-end and starts accruing interest next year. This is not a committed credit facility.</x:t>
        </x:r>
      </x:text>
    </x:comment>
    <x:comment ref="E61" authorId="0">
      <x:text>
        <x:r>
          <x:t>Liquidity borrowing requirement (FY:17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F61" authorId="0">
      <x:text>
        <x:r>
          <x:t>Liquidity borrowing requirement (FY:18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G61" authorId="0">
      <x:text>
        <x:r>
          <x:t>Liquidity borrowing requirement (FY:19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H61" authorId="0">
      <x:text>
        <x:r>
          <x:t>Liquidity borrowing requirement (FY:20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I61" authorId="0">
      <x:text>
        <x:r>
          <x:t>Liquidity borrowing requirement (FY:21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J61" authorId="0">
      <x:text>
        <x:r>
          <x:t>Liquidity borrowing requirement (FY:22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K61" authorId="0">
      <x:text>
        <x:r>
          <x:t>Liquidity borrowing requirement (FY:23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L61" authorId="0">
      <x:text>
        <x:r>
          <x:t>Liquidity borrowing requirement (FY:24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M61" authorId="0">
      <x:text>
        <x:r>
          <x:t>Liquidity borrowing requirement (FY:25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N61" authorId="0">
      <x:text>
        <x:r>
          <x:t>Liquidity borrowing requirement (FY:26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O61" authorId="0">
      <x:text>
        <x:r>
          <x:t>Liquidity borrowing requirement (FY:27 E).
Funding needed after available short-term investments above the reserve are liquidated. Borrowing occurs at year-end and starts accruing interest next year. This is not a committed credit facility.
Formula: ='Debt and Leases'!O11
Cross-sheet references identify the owning schedule. Same-sheet references identify intermediate calculations.</x:t>
        </x:r>
      </x:text>
    </x:comment>
    <x:comment ref="P61" authorId="0">
      <x:text>
        <x:r>
          <x:t>Liquidity borrowing requirement (FY:28 E).
Funding needed after available short-term investments above the reserve are liquidated. Borrowing occurs at year-end and starts accruing interest next year. This is not a committed credit facility.
Formula: ='Debt and Leases'!P11
Cross-sheet references identify the owning schedule. Same-sheet references identify intermediate calculations.</x:t>
        </x:r>
      </x:text>
    </x:comment>
    <x:comment ref="Q61" authorId="0">
      <x:text>
        <x:r>
          <x:t>Liquidity borrowing requirement (FY:29 E).
Funding needed after available short-term investments above the reserve are liquidated. Borrowing occurs at year-end and starts accruing interest next year. This is not a committed credit facility.
Formula: ='Debt and Leases'!Q11
Cross-sheet references identify the owning schedule. Same-sheet references identify intermediate calculations.</x:t>
        </x:r>
      </x:text>
    </x:comment>
    <x:comment ref="R61" authorId="0">
      <x:text>
        <x:r>
          <x:t>Liquidity borrowing requirement (FY:30 E).
Funding needed after available short-term investments above the reserve are liquidated. Borrowing occurs at year-end and starts accruing interest next year. This is not a committed credit facility.
Formula: ='Debt and Leases'!R11
Cross-sheet references identify the owning schedule. Same-sheet references identify intermediate calculations.</x:t>
        </x:r>
      </x:text>
    </x:comment>
    <x:comment ref="S61" authorId="0">
      <x:text>
        <x:r>
          <x:t>Liquidity borrowing requirement (FY:31 E).
Funding needed after available short-term investments above the reserve are liquidated. Borrowing occurs at year-end and starts accruing interest next year. This is not a committed credit facility.
Formula: ='Debt and Leases'!S11
Cross-sheet references identify the owning schedule. Same-sheet references identify intermediate calculations.</x:t>
        </x:r>
      </x:text>
    </x:comment>
    <x:comment ref="C80" authorId="0">
      <x:text>
        <x:r>
          <x:t>Live analytical observation. This formula reads the existing statement or schedule and updates with the selected case. ="FY2031 CFO: "&amp;FIXED(S28/1000,1,TRUE)&amp;"bn. Cash capex: "&amp;FIXED(-S30/1000,1,TRUE)&amp;"bn. FCF: "&amp;FIXED(S56/1000,1,TRUE)&amp;"bn."</x:t>
        </x:r>
      </x:text>
    </x:comment>
    <x:comment ref="C81" authorId="0">
      <x:text>
        <x:r>
          <x:t>Live analytical observation. This formula reads the existing statement or schedule and updates with the selected case. ="Finance lease principal reduces FY2031 FCF by "&amp;FIXED((S56-S57)/1000,1,TRUE)&amp;"bn."</x:t>
        </x:r>
      </x:text>
    </x:comment>
    <x:comment ref="C82" authorId="0">
      <x:text>
        <x:r>
          <x:t>Live analytical observation. This formula reads the existing statement or schedule and updates with the selected case. ="FY2031 reserve liquidation: "&amp;FIXED(S60/1000,1,TRUE)&amp;"bn; liquidity borrowing requirement: "&amp;FIXED(S61/1000,1,TRUE)&amp;"bn."</x:t>
        </x:r>
      </x:text>
    </x:comment>
    <x:comment ref="C106" authorId="0">
      <x:text>
        <x:r>
          <x:t>Operating cash and reinvestment (USD billions). Formula-linked chart data. A means actual and E means the active-case estimate. Unavailable historical observations remain blank.</x:t>
        </x:r>
      </x:text>
    </x:comment>
    <x:comment ref="C125" authorId="0">
      <x:text>
        <x:r>
          <x:t>FCF before and after lease principal (USD billions). Formula-linked chart data. A means actual and E means the active-case estimate. Unavailable historical observations remain blank.</x:t>
        </x:r>
      </x:text>
    </x:comment>
  </x:commentList>
</x:comments>
</file>

<file path=xl/comments10.xml><?xml version="1.0" encoding="utf-8"?>
<x:comments xmlns:x="http://schemas.openxmlformats.org/spreadsheetml/2006/main">
  <x:authors>
    <x:author>Goran Brkich</x:author>
  </x:authors>
  <x:commentList>
    <x:comment ref="C2" authorId="0">
      <x:text>
        <x:r>
          <x:t>Segments.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Recognized sales from products and services. Consolidated forecast revenue is the sum of the three segment forecasts. Revenue is different from cash collected.</x:t>
        </x:r>
      </x:text>
    </x:comment>
    <x:comment ref="E8" authorId="0">
      <x:text>
        <x:r>
          <x:t>Revenue (FY:17 A).
Recognized sales from products and services. Consolidated forecast revenue is the sum of the three segment forecasts. Revenue is different from cash collected.
Stored input or primary source observation. It is not calculated in this cell.</x:t>
        </x:r>
      </x:text>
    </x:comment>
    <x:comment ref="F8" authorId="0">
      <x:text>
        <x:r>
          <x:t>Revenue (FY:18 A).
Recognized sales from products and services. Consolidated forecast revenue is the sum of the three segment forecasts. Revenue is different from cash collected.
Stored input or primary source observation. It is not calculated in this cell.</x:t>
        </x:r>
      </x:text>
    </x:comment>
    <x:comment ref="G8" authorId="0">
      <x:text>
        <x:r>
          <x:t>Revenue (FY:19 A).
Recognized sales from products and services. Consolidated forecast revenue is the sum of the three segment forecasts. Revenue is different from cash collected.
Stored input or primary source observation. It is not calculated in this cell.</x:t>
        </x:r>
      </x:text>
    </x:comment>
    <x:comment ref="H8" authorId="0">
      <x:text>
        <x:r>
          <x:t>Revenue (FY:20 A).
Recognized sales from products and services. Consolidated forecast revenue is the sum of the three segment forecasts. Revenue is different from cash collected.
Stored input or primary source observation. It is not calculated in this cell.</x:t>
        </x:r>
      </x:text>
    </x:comment>
    <x:comment ref="I8" authorId="0">
      <x:text>
        <x:r>
          <x:t>Revenue (FY:21 A).
Recognized sales from products and services. Consolidated forecast revenue is the sum of the three segment forecasts. Revenue is different from cash collected.
Stored input or primary source observation. It is not calculated in this cell.</x:t>
        </x:r>
      </x:text>
    </x:comment>
    <x:comment ref="J8" authorId="0">
      <x:text>
        <x:r>
          <x:t>Revenue (FY:22 A).
Recognized sales from products and services. Consolidated forecast revenue is the sum of the three segment forecasts. Revenue is different from cash collected.
Stored input or primary source observation. It is not calculated in this cell.</x:t>
        </x:r>
      </x:text>
    </x:comment>
    <x:comment ref="K8" authorId="0">
      <x:text>
        <x:r>
          <x:t>Revenue (FY:23 A).
Recognized sales from products and services. Consolidated forecast revenue is the sum of the three segment forecasts. Revenue is different from cash collected.
Stored input or primary source observation. It is not calculated in this cell.</x:t>
        </x:r>
      </x:text>
    </x:comment>
    <x:comment ref="L8" authorId="0">
      <x:text>
        <x:r>
          <x:t>Revenue (FY:24 A).
Recognized sales from products and services. Consolidated forecast revenue is the sum of the three segment forecasts. Revenue is different from cash collected.
Stored input or primary source observation. It is not calculated in this cell.</x:t>
        </x:r>
      </x:text>
    </x:comment>
    <x:comment ref="M8" authorId="0">
      <x:text>
        <x:r>
          <x:t>Revenue (FY:25 A).
Recognized sales from products and services. Consolidated forecast revenue is the sum of the three segment forecasts. Revenue is different from cash collected.
Stored input or primary source observation. It is not calculated in this cell.</x:t>
        </x:r>
      </x:text>
    </x:comment>
    <x:comment ref="N8" authorId="0">
      <x:text>
        <x:r>
          <x:t>Revenue (FY:26 A).
Recognized sales from products and services. Consolidated forecast revenue is the sum of the three segment forecasts. Revenue is different from cash collected.
Stored input or primary source observation. It is not calculated in this cell.</x:t>
        </x:r>
      </x:text>
    </x:comment>
    <x:comment ref="O8" authorId="0">
      <x:text>
        <x:r>
          <x:t>Revenue (FY:27 E).
Recognized sales from products and services. Consolidated forecast revenue is the sum of the three segment forecasts. Revenue is different from cash collected.
Formula: =N8*(1+'Assumptions'!O9)
Cross-sheet references identify the owning schedule. Same-sheet references identify intermediate calculations.</x:t>
        </x:r>
      </x:text>
    </x:comment>
    <x:comment ref="P8" authorId="0">
      <x:text>
        <x:r>
          <x:t>Revenue (FY:28 E).
Recognized sales from products and services. Consolidated forecast revenue is the sum of the three segment forecasts. Revenue is different from cash collected.
Formula: =O8*(1+'Assumptions'!P9)
Cross-sheet references identify the owning schedule. Same-sheet references identify intermediate calculations.</x:t>
        </x:r>
      </x:text>
    </x:comment>
    <x:comment ref="Q8" authorId="0">
      <x:text>
        <x:r>
          <x:t>Revenue (FY:29 E).
Recognized sales from products and services. Consolidated forecast revenue is the sum of the three segment forecasts. Revenue is different from cash collected.
Formula: =P8*(1+'Assumptions'!Q9)
Cross-sheet references identify the owning schedule. Same-sheet references identify intermediate calculations.</x:t>
        </x:r>
      </x:text>
    </x:comment>
    <x:comment ref="R8" authorId="0">
      <x:text>
        <x:r>
          <x:t>Revenue (FY:30 E).
Recognized sales from products and services. Consolidated forecast revenue is the sum of the three segment forecasts. Revenue is different from cash collected.
Formula: =Q8*(1+'Assumptions'!R9)
Cross-sheet references identify the owning schedule. Same-sheet references identify intermediate calculations.</x:t>
        </x:r>
      </x:text>
    </x:comment>
    <x:comment ref="S8" authorId="0">
      <x:text>
        <x:r>
          <x:t>Revenue (FY:31 E).
Recognized sales from products and services. Consolidated forecast revenue is the sum of the three segment forecasts. Revenue is different from cash collected.
Formula: =R8*(1+'Assumptions'!S9)
Cross-sheet references identify the owning schedule. Same-sheet references identify intermediate calculations.</x:t>
        </x:r>
      </x:text>
    </x:comment>
    <x:comment ref="C9" authorId="0">
      <x:text>
        <x:r>
          <x:t>Current-year revenue divided by prior-year revenue less one. Growth across a segment definition change is unavailable.</x:t>
        </x:r>
      </x:text>
    </x:comment>
    <x:comment ref="E9" authorId="0">
      <x:text>
        <x:r>
          <x:t>Revenue growth (FY:17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F9" authorId="0">
      <x:text>
        <x:r>
          <x:t>Revenue growth (FY:18 A).
Current-year revenue divided by prior-year revenue less one. Growth across a segment definition change is unavailable.
Formula: =F8/E8-1
Cross-sheet references identify the owning schedule. Same-sheet references identify intermediate calculations.</x:t>
        </x:r>
      </x:text>
    </x:comment>
    <x:comment ref="G9" authorId="0">
      <x:text>
        <x:r>
          <x:t>Revenue growth (FY:19 A).
Current-year revenue divided by prior-year revenue less one. Growth across a segment definition change is unavailable.
Formula: =G8/F8-1
Cross-sheet references identify the owning schedule. Same-sheet references identify intermediate calculations.</x:t>
        </x:r>
      </x:text>
    </x:comment>
    <x:comment ref="H9" authorId="0">
      <x:text>
        <x:r>
          <x:t>Revenue growth (FY:20 A).
Current-year revenue divided by prior-year revenue less one. Growth across a segment definition change is unavailable.
Formula: =H8/G8-1
Cross-sheet references identify the owning schedule. Same-sheet references identify intermediate calculations.</x:t>
        </x:r>
      </x:text>
    </x:comment>
    <x:comment ref="I9" authorId="0">
      <x:text>
        <x:r>
          <x:t>Revenue growth (FY:21 A).
Current-year revenue divided by prior-year revenue less one. Growth across a segment definition change is unavailable.
Formula: =I8/H8-1
Cross-sheet references identify the owning schedule. Same-sheet references identify intermediate calculations.</x:t>
        </x:r>
      </x:text>
    </x:comment>
    <x:comment ref="J9" authorId="0">
      <x:text>
        <x:r>
          <x:t>Revenue growth (FY:22 A).
Current-year revenue divided by prior-year revenue less one. Growth across a segment definition change is unavailable.
Formula: =J8/I8-1
Cross-sheet references identify the owning schedule. Same-sheet references identify intermediate calculations.</x:t>
        </x:r>
      </x:text>
    </x:comment>
    <x:comment ref="K9" authorId="0">
      <x:text>
        <x:r>
          <x:t>Revenue growth (FY:23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L9" authorId="0">
      <x:text>
        <x:r>
          <x:t>Revenue growth (FY:24 A).
Current-year revenue divided by prior-year revenue less one. Growth across a segment definition change is unavailable.
Formula: =L8/K8-1
Cross-sheet references identify the owning schedule. Same-sheet references identify intermediate calculations.</x:t>
        </x:r>
      </x:text>
    </x:comment>
    <x:comment ref="M9" authorId="0">
      <x:text>
        <x:r>
          <x:t>Revenue growth (FY:25 A).
Current-year revenue divided by prior-year revenue less one. Growth across a segment definition change is unavailable.
Formula: =M8/L8-1
Cross-sheet references identify the owning schedule. Same-sheet references identify intermediate calculations.</x:t>
        </x:r>
      </x:text>
    </x:comment>
    <x:comment ref="N9" authorId="0">
      <x:text>
        <x:r>
          <x:t>Revenue growth (FY:26 A).
Current-year revenue divided by prior-year revenue less one. Growth across a segment definition change is unavailable.
Formula: =N8/M8-1
Cross-sheet references identify the owning schedule. Same-sheet references identify intermediate calculations.</x:t>
        </x:r>
      </x:text>
    </x:comment>
    <x:comment ref="O9" authorId="0">
      <x:text>
        <x:r>
          <x:t>Revenue growth (FY:27 E).
Current-year revenue divided by prior-year revenue less one. Growth across a segment definition change is unavailable.
Formula: =O8/N8-1
Cross-sheet references identify the owning schedule. Same-sheet references identify intermediate calculations.</x:t>
        </x:r>
      </x:text>
    </x:comment>
    <x:comment ref="P9" authorId="0">
      <x:text>
        <x:r>
          <x:t>Revenue growth (FY:28 E).
Current-year revenue divided by prior-year revenue less one. Growth across a segment definition change is unavailable.
Formula: =P8/O8-1
Cross-sheet references identify the owning schedule. Same-sheet references identify intermediate calculations.</x:t>
        </x:r>
      </x:text>
    </x:comment>
    <x:comment ref="Q9" authorId="0">
      <x:text>
        <x:r>
          <x:t>Revenue growth (FY:29 E).
Current-year revenue divided by prior-year revenue less one. Growth across a segment definition change is unavailable.
Formula: =Q8/P8-1
Cross-sheet references identify the owning schedule. Same-sheet references identify intermediate calculations.</x:t>
        </x:r>
      </x:text>
    </x:comment>
    <x:comment ref="R9" authorId="0">
      <x:text>
        <x:r>
          <x:t>Revenue growth (FY:30 E).
Current-year revenue divided by prior-year revenue less one. Growth across a segment definition change is unavailable.
Formula: =R8/Q8-1
Cross-sheet references identify the owning schedule. Same-sheet references identify intermediate calculations.</x:t>
        </x:r>
      </x:text>
    </x:comment>
    <x:comment ref="S9" authorId="0">
      <x:text>
        <x:r>
          <x:t>Revenue growth (FY:31 E).
Current-year revenue divided by prior-year revenue less one. Growth across a segment definition change is unavailable.
Formula: =S8/R8-1
Cross-sheet references identify the owning schedule. Same-sheet references identify intermediate calculations.</x:t>
        </x:r>
      </x:text>
    </x:comment>
    <x:comment ref="C10"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0" authorId="0">
      <x:text>
        <x:r>
          <x:t>Cost before allocated D&amp;A and operating leases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0" authorId="0">
      <x:text>
        <x:r>
          <x:t>Cost before allocated D&amp;A and operating leases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0" authorId="0">
      <x:text>
        <x:r>
          <x:t>Cost before allocated D&amp;A and operating leases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0" authorId="0">
      <x:text>
        <x:r>
          <x:t>Cost before allocated D&amp;A and operating leases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0" authorId="0">
      <x:text>
        <x:r>
          <x:t>Cost before allocated D&amp;A and operating leases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0" authorId="0">
      <x:text>
        <x:r>
          <x:t>Cost before allocated D&amp;A and operating leases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0" authorId="0">
      <x:text>
        <x:r>
          <x:t>Cost before allocated D&amp;A and operating leases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0" authorId="0">
      <x:text>
        <x:r>
          <x:t>Cost before allocated D&amp;A and operating leases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0" authorId="0">
      <x:text>
        <x:r>
          <x:t>Cost before allocated D&amp;A and operating leases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0" authorId="0">
      <x:text>
        <x:r>
          <x:t>Cost before allocated D&amp;A and operating leases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0" authorId="0">
      <x:text>
        <x:r>
          <x:t>Cost before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Formula: =O8*'Assumptions'!O21
Cross-sheet references identify the owning schedule. Same-sheet references identify intermediate calculations.</x:t>
        </x:r>
      </x:text>
    </x:comment>
    <x:comment ref="P10" authorId="0">
      <x:text>
        <x:r>
          <x:t>Cost before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Formula: =P8*'Assumptions'!P21
Cross-sheet references identify the owning schedule. Same-sheet references identify intermediate calculations.</x:t>
        </x:r>
      </x:text>
    </x:comment>
    <x:comment ref="Q10" authorId="0">
      <x:text>
        <x:r>
          <x:t>Cost before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Formula: =Q8*'Assumptions'!Q21
Cross-sheet references identify the owning schedule. Same-sheet references identify intermediate calculations.</x:t>
        </x:r>
      </x:text>
    </x:comment>
    <x:comment ref="R10" authorId="0">
      <x:text>
        <x:r>
          <x:t>Cost before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Formula: =R8*'Assumptions'!R21
Cross-sheet references identify the owning schedule. Same-sheet references identify intermediate calculations.</x:t>
        </x:r>
      </x:text>
    </x:comment>
    <x:comment ref="S10" authorId="0">
      <x:text>
        <x:r>
          <x:t>Cost before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Formula: =S8*'Assumptions'!S21
Cross-sheet references identify the owning schedule. Same-sheet references identify intermediate calculations.</x:t>
        </x:r>
      </x:text>
    </x:comment>
    <x:comment ref="C11"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1" authorId="0">
      <x:text>
        <x:r>
          <x:t>Allocated PPE depreciation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1" authorId="0">
      <x:text>
        <x:r>
          <x:t>Allocated PPE depreciation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1" authorId="0">
      <x:text>
        <x:r>
          <x:t>Allocated PPE depreciation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1" authorId="0">
      <x:text>
        <x:r>
          <x:t>Allocated PPE depreciation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1" authorId="0">
      <x:text>
        <x:r>
          <x:t>Allocated PPE depreciation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1" authorId="0">
      <x:text>
        <x:r>
          <x:t>Allocated PPE depreciation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1" authorId="0">
      <x:text>
        <x:r>
          <x:t>Allocated PPE depreciation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1" authorId="0">
      <x:text>
        <x:r>
          <x:t>Allocated PPE depreciation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1" authorId="0">
      <x:text>
        <x:r>
          <x:t>Allocated PPE depreciation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1" authorId="0">
      <x:text>
        <x:r>
          <x:t>Allocated PPE depreciation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1" authorId="0">
      <x:text>
        <x:r>
          <x:t>Allocated PPE depreciation (FY:27 E).
Expense distributed using the explicit allocation inputs on Assumptions. These allocations are modeling assumptions rather than a Microsoft disclosure of these costs by segment. The formula identifies the owning expense schedule and percentage.
Formula: ='PPE and Intangibles'!O21*'Assumptions'!E205
Cross-sheet references identify the owning schedule. Same-sheet references identify intermediate calculations.</x:t>
        </x:r>
      </x:text>
    </x:comment>
    <x:comment ref="P11" authorId="0">
      <x:text>
        <x:r>
          <x:t>Allocated PPE depreciation (FY:28 E).
Expense distributed using the explicit allocation inputs on Assumptions. These allocations are modeling assumptions rather than a Microsoft disclosure of these costs by segment. The formula identifies the owning expense schedule and percentage.
Formula: ='PPE and Intangibles'!P21*'Assumptions'!E205
Cross-sheet references identify the owning schedule. Same-sheet references identify intermediate calculations.</x:t>
        </x:r>
      </x:text>
    </x:comment>
    <x:comment ref="Q11" authorId="0">
      <x:text>
        <x:r>
          <x:t>Allocated PPE depreciation (FY:29 E).
Expense distributed using the explicit allocation inputs on Assumptions. These allocations are modeling assumptions rather than a Microsoft disclosure of these costs by segment. The formula identifies the owning expense schedule and percentage.
Formula: ='PPE and Intangibles'!Q21*'Assumptions'!E205
Cross-sheet references identify the owning schedule. Same-sheet references identify intermediate calculations.</x:t>
        </x:r>
      </x:text>
    </x:comment>
    <x:comment ref="R11" authorId="0">
      <x:text>
        <x:r>
          <x:t>Allocated PPE depreciation (FY:30 E).
Expense distributed using the explicit allocation inputs on Assumptions. These allocations are modeling assumptions rather than a Microsoft disclosure of these costs by segment. The formula identifies the owning expense schedule and percentage.
Formula: ='PPE and Intangibles'!R21*'Assumptions'!E205
Cross-sheet references identify the owning schedule. Same-sheet references identify intermediate calculations.</x:t>
        </x:r>
      </x:text>
    </x:comment>
    <x:comment ref="S11" authorId="0">
      <x:text>
        <x:r>
          <x:t>Allocated PPE depreciation (FY:31 E).
Expense distributed using the explicit allocation inputs on Assumptions. These allocations are modeling assumptions rather than a Microsoft disclosure of these costs by segment. The formula identifies the owning expense schedule and percentage.
Formula: ='PPE and Intangibles'!S21*'Assumptions'!E205
Cross-sheet references identify the owning schedule. Same-sheet references identify intermediate calculations.</x:t>
        </x:r>
      </x:text>
    </x:comment>
    <x:comment ref="C12"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2" authorId="0">
      <x:text>
        <x:r>
          <x:t>Allocated intangible amortization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2" authorId="0">
      <x:text>
        <x:r>
          <x:t>Allocated intangible amortization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2" authorId="0">
      <x:text>
        <x:r>
          <x:t>Allocated intangible amortization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2" authorId="0">
      <x:text>
        <x:r>
          <x:t>Allocated intangible amortization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2" authorId="0">
      <x:text>
        <x:r>
          <x:t>Allocated intangible amortization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2" authorId="0">
      <x:text>
        <x:r>
          <x:t>Allocated intangible amortization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2" authorId="0">
      <x:text>
        <x:r>
          <x:t>Allocated intangible amortization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2" authorId="0">
      <x:text>
        <x:r>
          <x:t>Allocated intangible amortization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2" authorId="0">
      <x:text>
        <x:r>
          <x:t>Allocated intangible amortization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2" authorId="0">
      <x:text>
        <x:r>
          <x:t>Allocated intangible amortization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2" authorId="0">
      <x:text>
        <x:r>
          <x:t>Allocated intangible amortization (FY:27 E).
Expense distributed using the explicit allocation inputs on Assumptions. These allocations are modeling assumptions rather than a Microsoft disclosure of these costs by segment. The formula identifies the owning expense schedule and percentage.
Formula: ='PPE and Intangibles'!O42*'Assumptions'!E206
Cross-sheet references identify the owning schedule. Same-sheet references identify intermediate calculations.</x:t>
        </x:r>
      </x:text>
    </x:comment>
    <x:comment ref="P12" authorId="0">
      <x:text>
        <x:r>
          <x:t>Allocated intangible amortization (FY:28 E).
Expense distributed using the explicit allocation inputs on Assumptions. These allocations are modeling assumptions rather than a Microsoft disclosure of these costs by segment. The formula identifies the owning expense schedule and percentage.
Formula: ='PPE and Intangibles'!P42*'Assumptions'!E206
Cross-sheet references identify the owning schedule. Same-sheet references identify intermediate calculations.</x:t>
        </x:r>
      </x:text>
    </x:comment>
    <x:comment ref="Q12" authorId="0">
      <x:text>
        <x:r>
          <x:t>Allocated intangible amortization (FY:29 E).
Expense distributed using the explicit allocation inputs on Assumptions. These allocations are modeling assumptions rather than a Microsoft disclosure of these costs by segment. The formula identifies the owning expense schedule and percentage.
Formula: ='PPE and Intangibles'!Q42*'Assumptions'!E206
Cross-sheet references identify the owning schedule. Same-sheet references identify intermediate calculations.</x:t>
        </x:r>
      </x:text>
    </x:comment>
    <x:comment ref="R12" authorId="0">
      <x:text>
        <x:r>
          <x:t>Allocated intangible amortization (FY:30 E).
Expense distributed using the explicit allocation inputs on Assumptions. These allocations are modeling assumptions rather than a Microsoft disclosure of these costs by segment. The formula identifies the owning expense schedule and percentage.
Formula: ='PPE and Intangibles'!R42*'Assumptions'!E206
Cross-sheet references identify the owning schedule. Same-sheet references identify intermediate calculations.</x:t>
        </x:r>
      </x:text>
    </x:comment>
    <x:comment ref="S12" authorId="0">
      <x:text>
        <x:r>
          <x:t>Allocated intangible amortization (FY:31 E).
Expense distributed using the explicit allocation inputs on Assumptions. These allocations are modeling assumptions rather than a Microsoft disclosure of these costs by segment. The formula identifies the owning expense schedule and percentage.
Formula: ='PPE and Intangibles'!S42*'Assumptions'!E206
Cross-sheet references identify the owning schedule. Same-sheet references identify intermediate calculations.</x:t>
        </x:r>
      </x:text>
    </x:comment>
    <x:comment ref="C13"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3" authorId="0">
      <x:text>
        <x:r>
          <x:t>Allocated operating lease expense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3" authorId="0">
      <x:text>
        <x:r>
          <x:t>Allocated operating lease expense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3" authorId="0">
      <x:text>
        <x:r>
          <x:t>Allocated operating lease expense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3" authorId="0">
      <x:text>
        <x:r>
          <x:t>Allocated operating lease expense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3" authorId="0">
      <x:text>
        <x:r>
          <x:t>Allocated operating lease expense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3" authorId="0">
      <x:text>
        <x:r>
          <x:t>Allocated operating lease expense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3" authorId="0">
      <x:text>
        <x:r>
          <x:t>Allocated operating lease expense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3" authorId="0">
      <x:text>
        <x:r>
          <x:t>Allocated operating lease expense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3" authorId="0">
      <x:text>
        <x:r>
          <x:t>Allocated operating lease expense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3" authorId="0">
      <x:text>
        <x:r>
          <x:t>Allocated operating lease expense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3" authorId="0">
      <x:text>
        <x:r>
          <x:t>Allocated operating lease expense (FY:27 E).
Expense distributed using the explicit allocation inputs on Assumptions. These allocations are modeling assumptions rather than a Microsoft disclosure of these costs by segment. The formula identifies the owning expense schedule and percentage.
Formula: ='Debt and Leases'!O61*'Assumptions'!E207
Cross-sheet references identify the owning schedule. Same-sheet references identify intermediate calculations.</x:t>
        </x:r>
      </x:text>
    </x:comment>
    <x:comment ref="P13" authorId="0">
      <x:text>
        <x:r>
          <x:t>Allocated operating lease expense (FY:28 E).
Expense distributed using the explicit allocation inputs on Assumptions. These allocations are modeling assumptions rather than a Microsoft disclosure of these costs by segment. The formula identifies the owning expense schedule and percentage.
Formula: ='Debt and Leases'!P61*'Assumptions'!E207
Cross-sheet references identify the owning schedule. Same-sheet references identify intermediate calculations.</x:t>
        </x:r>
      </x:text>
    </x:comment>
    <x:comment ref="Q13" authorId="0">
      <x:text>
        <x:r>
          <x:t>Allocated operating lease expense (FY:29 E).
Expense distributed using the explicit allocation inputs on Assumptions. These allocations are modeling assumptions rather than a Microsoft disclosure of these costs by segment. The formula identifies the owning expense schedule and percentage.
Formula: ='Debt and Leases'!Q61*'Assumptions'!E207
Cross-sheet references identify the owning schedule. Same-sheet references identify intermediate calculations.</x:t>
        </x:r>
      </x:text>
    </x:comment>
    <x:comment ref="R13" authorId="0">
      <x:text>
        <x:r>
          <x:t>Allocated operating lease expense (FY:30 E).
Expense distributed using the explicit allocation inputs on Assumptions. These allocations are modeling assumptions rather than a Microsoft disclosure of these costs by segment. The formula identifies the owning expense schedule and percentage.
Formula: ='Debt and Leases'!R61*'Assumptions'!E207
Cross-sheet references identify the owning schedule. Same-sheet references identify intermediate calculations.</x:t>
        </x:r>
      </x:text>
    </x:comment>
    <x:comment ref="S13" authorId="0">
      <x:text>
        <x:r>
          <x:t>Allocated operating lease expense (FY:31 E).
Expense distributed using the explicit allocation inputs on Assumptions. These allocations are modeling assumptions rather than a Microsoft disclosure of these costs by segment. The formula identifies the owning expense schedule and percentage.
Formula: ='Debt and Leases'!S61*'Assumptions'!E207
Cross-sheet references identify the owning schedule. Same-sheet references identify intermediate calculations.</x:t>
        </x:r>
      </x:text>
    </x:comment>
    <x:comment ref="C14" authorId="0">
      <x:text>
        <x:r>
          <x:t>Total cost of revenue. This line belongs to the Segments calculation. Read its formula to trace the referenced inputs and intermediate totals.</x:t>
        </x:r>
      </x:text>
    </x:comment>
    <x:comment ref="E14" authorId="0">
      <x:text>
        <x:r>
          <x:t>Total cost of revenue (FY:17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F14" authorId="0">
      <x:text>
        <x:r>
          <x:t>Total cost of revenue (FY:18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G14" authorId="0">
      <x:text>
        <x:r>
          <x:t>Total cost of revenue (FY:19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H14" authorId="0">
      <x:text>
        <x:r>
          <x:t>Total cost of revenue (FY:20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I14" authorId="0">
      <x:text>
        <x:r>
          <x:t>Total cost of revenue (FY:21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J14" authorId="0">
      <x:text>
        <x:r>
          <x:t>Total cost of revenue (FY:22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K14" authorId="0">
      <x:text>
        <x:r>
          <x:t>Total cost of revenue (FY:23 A).
Total cost of revenue. This line belongs to the Segments calculation. Read its formula to trace the referenced inputs and intermediate totals.
Stored input or primary source observation. It is not calculated in this cell.</x:t>
        </x:r>
      </x:text>
    </x:comment>
    <x:comment ref="L14" authorId="0">
      <x:text>
        <x:r>
          <x:t>Total cost of revenue (FY:24 A).
Total cost of revenue. This line belongs to the Segments calculation. Read its formula to trace the referenced inputs and intermediate totals.
Stored input or primary source observation. It is not calculated in this cell.</x:t>
        </x:r>
      </x:text>
    </x:comment>
    <x:comment ref="M14" authorId="0">
      <x:text>
        <x:r>
          <x:t>Total cost of revenue (FY:25 A).
Total cost of revenue. This line belongs to the Segments calculation. Read its formula to trace the referenced inputs and intermediate totals.
Stored input or primary source observation. It is not calculated in this cell.</x:t>
        </x:r>
      </x:text>
    </x:comment>
    <x:comment ref="N14" authorId="0">
      <x:text>
        <x:r>
          <x:t>Total cost of revenue (FY:26 A).
Total cost of revenue. This line belongs to the Segments calculation. Read its formula to trace the referenced inputs and intermediate totals.
Stored input or primary source observation. It is not calculated in this cell.</x:t>
        </x:r>
      </x:text>
    </x:comment>
    <x:comment ref="O14" authorId="0">
      <x:text>
        <x:r>
          <x:t>Total cost of revenue (FY:27 E).
Total cost of revenue. This line belongs to the Segments calculation. Read its formula to trace the referenced inputs and intermediate totals.
Formula: =SUM(O10:O13)
Cross-sheet references identify the owning schedule. Same-sheet references identify intermediate calculations.</x:t>
        </x:r>
      </x:text>
    </x:comment>
    <x:comment ref="P14" authorId="0">
      <x:text>
        <x:r>
          <x:t>Total cost of revenue (FY:28 E).
Total cost of revenue. This line belongs to the Segments calculation. Read its formula to trace the referenced inputs and intermediate totals.
Formula: =SUM(P10:P13)
Cross-sheet references identify the owning schedule. Same-sheet references identify intermediate calculations.</x:t>
        </x:r>
      </x:text>
    </x:comment>
    <x:comment ref="Q14" authorId="0">
      <x:text>
        <x:r>
          <x:t>Total cost of revenue (FY:29 E).
Total cost of revenue. This line belongs to the Segments calculation. Read its formula to trace the referenced inputs and intermediate totals.
Formula: =SUM(Q10:Q13)
Cross-sheet references identify the owning schedule. Same-sheet references identify intermediate calculations.</x:t>
        </x:r>
      </x:text>
    </x:comment>
    <x:comment ref="R14" authorId="0">
      <x:text>
        <x:r>
          <x:t>Total cost of revenue (FY:30 E).
Total cost of revenue. This line belongs to the Segments calculation. Read its formula to trace the referenced inputs and intermediate totals.
Formula: =SUM(R10:R13)
Cross-sheet references identify the owning schedule. Same-sheet references identify intermediate calculations.</x:t>
        </x:r>
      </x:text>
    </x:comment>
    <x:comment ref="S14" authorId="0">
      <x:text>
        <x:r>
          <x:t>Total cost of revenue (FY:31 E).
Total cost of revenue. This line belongs to the Segments calculation. Read its formula to trace the referenced inputs and intermediate totals.
Formula: =SUM(S10:S13)
Cross-sheet references identify the owning schedule. Same-sheet references identify intermediate calculations.</x:t>
        </x:r>
      </x:text>
    </x:comment>
    <x:comment ref="C15" authorId="0">
      <x:text>
        <x:r>
          <x:t>Revenue less cost of revenue. It measures profit before operating expenses.</x:t>
        </x:r>
      </x:text>
    </x:comment>
    <x:comment ref="E15" authorId="0">
      <x:text>
        <x:r>
          <x:t>Gross profit (FY:17 A).
Revenue less cost of revenue. It measures profit before operating expenses. This period is unavailable or not applicable. Do not interpret it as zero.
Stored input or primary source observation. It is not calculated in this cell.</x:t>
        </x:r>
      </x:text>
    </x:comment>
    <x:comment ref="F15" authorId="0">
      <x:text>
        <x:r>
          <x:t>Gross profit (FY:18 A).
Revenue less cost of revenue. It measures profit before operating expenses. This period is unavailable or not applicable. Do not interpret it as zero.
Stored input or primary source observation. It is not calculated in this cell.</x:t>
        </x:r>
      </x:text>
    </x:comment>
    <x:comment ref="G15" authorId="0">
      <x:text>
        <x:r>
          <x:t>Gross profit (FY:19 A).
Revenue less cost of revenue. It measures profit before operating expenses. This period is unavailable or not applicable. Do not interpret it as zero.
Stored input or primary source observation. It is not calculated in this cell.</x:t>
        </x:r>
      </x:text>
    </x:comment>
    <x:comment ref="H15" authorId="0">
      <x:text>
        <x:r>
          <x:t>Gross profit (FY:20 A).
Revenue less cost of revenue. It measures profit before operating expenses. This period is unavailable or not applicable. Do not interpret it as zero.
Stored input or primary source observation. It is not calculated in this cell.</x:t>
        </x:r>
      </x:text>
    </x:comment>
    <x:comment ref="I15" authorId="0">
      <x:text>
        <x:r>
          <x:t>Gross profit (FY:21 A).
Revenue less cost of revenue. It measures profit before operating expenses. This period is unavailable or not applicable. Do not interpret it as zero.
Stored input or primary source observation. It is not calculated in this cell.</x:t>
        </x:r>
      </x:text>
    </x:comment>
    <x:comment ref="J15" authorId="0">
      <x:text>
        <x:r>
          <x:t>Gross profit (FY:22 A).
Revenue less cost of revenue. It measures profit before operating expenses. This period is unavailable or not applicable. Do not interpret it as zero.
Stored input or primary source observation. It is not calculated in this cell.</x:t>
        </x:r>
      </x:text>
    </x:comment>
    <x:comment ref="K15" authorId="0">
      <x:text>
        <x:r>
          <x:t>Gross profit (FY:23 A).
Revenue less cost of revenue. It measures profit before operating expenses.
Formula: =K8-K14
Cross-sheet references identify the owning schedule. Same-sheet references identify intermediate calculations.</x:t>
        </x:r>
      </x:text>
    </x:comment>
    <x:comment ref="L15" authorId="0">
      <x:text>
        <x:r>
          <x:t>Gross profit (FY:24 A).
Revenue less cost of revenue. It measures profit before operating expenses.
Formula: =L8-L14
Cross-sheet references identify the owning schedule. Same-sheet references identify intermediate calculations.</x:t>
        </x:r>
      </x:text>
    </x:comment>
    <x:comment ref="M15" authorId="0">
      <x:text>
        <x:r>
          <x:t>Gross profit (FY:25 A).
Revenue less cost of revenue. It measures profit before operating expenses.
Formula: =M8-M14
Cross-sheet references identify the owning schedule. Same-sheet references identify intermediate calculations.</x:t>
        </x:r>
      </x:text>
    </x:comment>
    <x:comment ref="N15" authorId="0">
      <x:text>
        <x:r>
          <x:t>Gross profit (FY:26 A).
Revenue less cost of revenue. It measures profit before operating expenses.
Formula: =N8-N14
Cross-sheet references identify the owning schedule. Same-sheet references identify intermediate calculations.</x:t>
        </x:r>
      </x:text>
    </x:comment>
    <x:comment ref="O15" authorId="0">
      <x:text>
        <x:r>
          <x:t>Gross profit (FY:27 E).
Revenue less cost of revenue. It measures profit before operating expenses.
Formula: =O8-O14
Cross-sheet references identify the owning schedule. Same-sheet references identify intermediate calculations.</x:t>
        </x:r>
      </x:text>
    </x:comment>
    <x:comment ref="P15" authorId="0">
      <x:text>
        <x:r>
          <x:t>Gross profit (FY:28 E).
Revenue less cost of revenue. It measures profit before operating expenses.
Formula: =P8-P14
Cross-sheet references identify the owning schedule. Same-sheet references identify intermediate calculations.</x:t>
        </x:r>
      </x:text>
    </x:comment>
    <x:comment ref="Q15" authorId="0">
      <x:text>
        <x:r>
          <x:t>Gross profit (FY:29 E).
Revenue less cost of revenue. It measures profit before operating expenses.
Formula: =Q8-Q14
Cross-sheet references identify the owning schedule. Same-sheet references identify intermediate calculations.</x:t>
        </x:r>
      </x:text>
    </x:comment>
    <x:comment ref="R15" authorId="0">
      <x:text>
        <x:r>
          <x:t>Gross profit (FY:30 E).
Revenue less cost of revenue. It measures profit before operating expenses.
Formula: =R8-R14
Cross-sheet references identify the owning schedule. Same-sheet references identify intermediate calculations.</x:t>
        </x:r>
      </x:text>
    </x:comment>
    <x:comment ref="S15" authorId="0">
      <x:text>
        <x:r>
          <x:t>Gross profit (FY:31 E).
Revenue less cost of revenue. It measures profit before operating expenses.
Formula: =S8-S14
Cross-sheet references identify the owning schedule. Same-sheet references identify intermediate calculations.</x:t>
        </x:r>
      </x:text>
    </x:comment>
    <x:comment ref="C16" authorId="0">
      <x:text>
        <x:r>
          <x:t>Gross profit divided by revenue for the same fiscal year.</x:t>
        </x:r>
      </x:text>
    </x:comment>
    <x:comment ref="E16" authorId="0">
      <x:text>
        <x:r>
          <x:t>Gross margin (FY:17 A).
Gross profit divided by revenue for the same fiscal year. This period is unavailable or not applicable. Do not interpret it as zero.
Stored input or primary source observation. It is not calculated in this cell.</x:t>
        </x:r>
      </x:text>
    </x:comment>
    <x:comment ref="F16" authorId="0">
      <x:text>
        <x:r>
          <x:t>Gross margin (FY:18 A).
Gross profit divided by revenue for the same fiscal year. This period is unavailable or not applicable. Do not interpret it as zero.
Stored input or primary source observation. It is not calculated in this cell.</x:t>
        </x:r>
      </x:text>
    </x:comment>
    <x:comment ref="G16" authorId="0">
      <x:text>
        <x:r>
          <x:t>Gross margin (FY:19 A).
Gross profit divided by revenue for the same fiscal year. This period is unavailable or not applicable. Do not interpret it as zero.
Stored input or primary source observation. It is not calculated in this cell.</x:t>
        </x:r>
      </x:text>
    </x:comment>
    <x:comment ref="H16" authorId="0">
      <x:text>
        <x:r>
          <x:t>Gross margin (FY:20 A).
Gross profit divided by revenue for the same fiscal year. This period is unavailable or not applicable. Do not interpret it as zero.
Stored input or primary source observation. It is not calculated in this cell.</x:t>
        </x:r>
      </x:text>
    </x:comment>
    <x:comment ref="I16" authorId="0">
      <x:text>
        <x:r>
          <x:t>Gross margin (FY:21 A).
Gross profit divided by revenue for the same fiscal year. This period is unavailable or not applicable. Do not interpret it as zero.
Stored input or primary source observation. It is not calculated in this cell.</x:t>
        </x:r>
      </x:text>
    </x:comment>
    <x:comment ref="J16" authorId="0">
      <x:text>
        <x:r>
          <x:t>Gross margin (FY:22 A).
Gross profit divided by revenue for the same fiscal year. This period is unavailable or not applicable. Do not interpret it as zero.
Stored input or primary source observation. It is not calculated in this cell.</x:t>
        </x:r>
      </x:text>
    </x:comment>
    <x:comment ref="K16" authorId="0">
      <x:text>
        <x:r>
          <x:t>Gross margin (FY:23 A).
Gross profit divided by revenue for the same fiscal year.
Formula: =K15/K8
Cross-sheet references identify the owning schedule. Same-sheet references identify intermediate calculations.</x:t>
        </x:r>
      </x:text>
    </x:comment>
    <x:comment ref="L16" authorId="0">
      <x:text>
        <x:r>
          <x:t>Gross margin (FY:24 A).
Gross profit divided by revenue for the same fiscal year.
Formula: =L15/L8
Cross-sheet references identify the owning schedule. Same-sheet references identify intermediate calculations.</x:t>
        </x:r>
      </x:text>
    </x:comment>
    <x:comment ref="M16" authorId="0">
      <x:text>
        <x:r>
          <x:t>Gross margin (FY:25 A).
Gross profit divided by revenue for the same fiscal year.
Formula: =M15/M8
Cross-sheet references identify the owning schedule. Same-sheet references identify intermediate calculations.</x:t>
        </x:r>
      </x:text>
    </x:comment>
    <x:comment ref="N16" authorId="0">
      <x:text>
        <x:r>
          <x:t>Gross margin (FY:26 A).
Gross profit divided by revenue for the same fiscal year.
Formula: =N15/N8
Cross-sheet references identify the owning schedule. Same-sheet references identify intermediate calculations.</x:t>
        </x:r>
      </x:text>
    </x:comment>
    <x:comment ref="O16" authorId="0">
      <x:text>
        <x:r>
          <x:t>Gross margin (FY:27 E).
Gross profit divided by revenue for the same fiscal year.
Formula: =O15/O8
Cross-sheet references identify the owning schedule. Same-sheet references identify intermediate calculations.</x:t>
        </x:r>
      </x:text>
    </x:comment>
    <x:comment ref="P16" authorId="0">
      <x:text>
        <x:r>
          <x:t>Gross margin (FY:28 E).
Gross profit divided by revenue for the same fiscal year.
Formula: =P15/P8
Cross-sheet references identify the owning schedule. Same-sheet references identify intermediate calculations.</x:t>
        </x:r>
      </x:text>
    </x:comment>
    <x:comment ref="Q16" authorId="0">
      <x:text>
        <x:r>
          <x:t>Gross margin (FY:29 E).
Gross profit divided by revenue for the same fiscal year.
Formula: =Q15/Q8
Cross-sheet references identify the owning schedule. Same-sheet references identify intermediate calculations.</x:t>
        </x:r>
      </x:text>
    </x:comment>
    <x:comment ref="R16" authorId="0">
      <x:text>
        <x:r>
          <x:t>Gross margin (FY:30 E).
Gross profit divided by revenue for the same fiscal year.
Formula: =R15/R8
Cross-sheet references identify the owning schedule. Same-sheet references identify intermediate calculations.</x:t>
        </x:r>
      </x:text>
    </x:comment>
    <x:comment ref="S16" authorId="0">
      <x:text>
        <x:r>
          <x:t>Gross margin (FY:31 E).
Gross profit divided by revenue for the same fiscal year.
Formula: =S15/S8
Cross-sheet references identify the owning schedule. Same-sheet references identify intermediate calculations.</x:t>
        </x:r>
      </x:text>
    </x:comment>
    <x:comment ref="C17"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7" authorId="0">
      <x:text>
        <x:r>
          <x:t>Allocated operating expenses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7" authorId="0">
      <x:text>
        <x:r>
          <x:t>Allocated operating expenses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7" authorId="0">
      <x:text>
        <x:r>
          <x:t>Allocated operating expenses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7" authorId="0">
      <x:text>
        <x:r>
          <x:t>Allocated operating expenses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7" authorId="0">
      <x:text>
        <x:r>
          <x:t>Allocated operating expenses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7" authorId="0">
      <x:text>
        <x:r>
          <x:t>Allocated operating expenses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7" authorId="0">
      <x:text>
        <x:r>
          <x:t>Allocated operating expenses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7" authorId="0">
      <x:text>
        <x:r>
          <x:t>Allocated operating expenses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7" authorId="0">
      <x:text>
        <x:r>
          <x:t>Allocated operating expenses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7" authorId="0">
      <x:text>
        <x:r>
          <x:t>Allocated operating expenses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7" authorId="0">
      <x:text>
        <x:r>
          <x:t>Allocated operating expenses (FY:27 E).
Expense distributed using the explicit allocation inputs on Assumptions. These allocations are modeling assumptions rather than a Microsoft disclosure of these costs by segment. The formula identifies the owning expense schedule and percentage.
Formula: ='Expense Plan'!O24*'Assumptions'!E208
Cross-sheet references identify the owning schedule. Same-sheet references identify intermediate calculations.</x:t>
        </x:r>
      </x:text>
    </x:comment>
    <x:comment ref="P17" authorId="0">
      <x:text>
        <x:r>
          <x:t>Allocated operating expenses (FY:28 E).
Expense distributed using the explicit allocation inputs on Assumptions. These allocations are modeling assumptions rather than a Microsoft disclosure of these costs by segment. The formula identifies the owning expense schedule and percentage.
Formula: ='Expense Plan'!P24*'Assumptions'!E208
Cross-sheet references identify the owning schedule. Same-sheet references identify intermediate calculations.</x:t>
        </x:r>
      </x:text>
    </x:comment>
    <x:comment ref="Q17" authorId="0">
      <x:text>
        <x:r>
          <x:t>Allocated operating expenses (FY:29 E).
Expense distributed using the explicit allocation inputs on Assumptions. These allocations are modeling assumptions rather than a Microsoft disclosure of these costs by segment. The formula identifies the owning expense schedule and percentage.
Formula: ='Expense Plan'!Q24*'Assumptions'!E208
Cross-sheet references identify the owning schedule. Same-sheet references identify intermediate calculations.</x:t>
        </x:r>
      </x:text>
    </x:comment>
    <x:comment ref="R17" authorId="0">
      <x:text>
        <x:r>
          <x:t>Allocated operating expenses (FY:30 E).
Expense distributed using the explicit allocation inputs on Assumptions. These allocations are modeling assumptions rather than a Microsoft disclosure of these costs by segment. The formula identifies the owning expense schedule and percentage.
Formula: ='Expense Plan'!R24*'Assumptions'!E208
Cross-sheet references identify the owning schedule. Same-sheet references identify intermediate calculations.</x:t>
        </x:r>
      </x:text>
    </x:comment>
    <x:comment ref="S17" authorId="0">
      <x:text>
        <x:r>
          <x:t>Allocated operating expenses (FY:31 E).
Expense distributed using the explicit allocation inputs on Assumptions. These allocations are modeling assumptions rather than a Microsoft disclosure of these costs by segment. The formula identifies the owning expense schedule and percentage.
Formula: ='Expense Plan'!S24*'Assumptions'!E208
Cross-sheet references identify the owning schedule. Same-sheet references identify intermediate calculations.</x:t>
        </x:r>
      </x:text>
    </x:comment>
    <x:comment ref="C18" authorId="0">
      <x:text>
        <x:r>
          <x:t>Gross profit less research and development, sales and marketing, general and administrative costs, and other operating expenses. It excludes nonoperating items and income tax.</x:t>
        </x:r>
      </x:text>
    </x:comment>
    <x:comment ref="E18" authorId="0">
      <x:text>
        <x:r>
          <x:t>Operating income (FY:17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F18" authorId="0">
      <x:text>
        <x:r>
          <x:t>Operating income (FY:18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G18" authorId="0">
      <x:text>
        <x:r>
          <x:t>Operating income (FY:19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H18" authorId="0">
      <x:text>
        <x:r>
          <x:t>Operating income (FY:20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I18" authorId="0">
      <x:text>
        <x:r>
          <x:t>Operating income (FY:21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J18" authorId="0">
      <x:text>
        <x:r>
          <x:t>Operating income (FY:22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K18" authorId="0">
      <x:text>
        <x:r>
          <x:t>Operating income (FY:23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L18" authorId="0">
      <x:text>
        <x:r>
          <x:t>Operating income (FY:24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M18" authorId="0">
      <x:text>
        <x:r>
          <x:t>Operating income (FY:25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N18" authorId="0">
      <x:text>
        <x:r>
          <x:t>Operating income (FY:26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O18" authorId="0">
      <x:text>
        <x:r>
          <x:t>Operating income (FY:27 E).
Gross profit less research and development, sales and marketing, general and administrative costs, and other operating expenses. It excludes nonoperating items and income tax.
Formula: =O15-O17
Cross-sheet references identify the owning schedule. Same-sheet references identify intermediate calculations.</x:t>
        </x:r>
      </x:text>
    </x:comment>
    <x:comment ref="P18" authorId="0">
      <x:text>
        <x:r>
          <x:t>Operating income (FY:28 E).
Gross profit less research and development, sales and marketing, general and administrative costs, and other operating expenses. It excludes nonoperating items and income tax.
Formula: =P15-P17
Cross-sheet references identify the owning schedule. Same-sheet references identify intermediate calculations.</x:t>
        </x:r>
      </x:text>
    </x:comment>
    <x:comment ref="Q18" authorId="0">
      <x:text>
        <x:r>
          <x:t>Operating income (FY:29 E).
Gross profit less research and development, sales and marketing, general and administrative costs, and other operating expenses. It excludes nonoperating items and income tax.
Formula: =Q15-Q17
Cross-sheet references identify the owning schedule. Same-sheet references identify intermediate calculations.</x:t>
        </x:r>
      </x:text>
    </x:comment>
    <x:comment ref="R18" authorId="0">
      <x:text>
        <x:r>
          <x:t>Operating income (FY:30 E).
Gross profit less research and development, sales and marketing, general and administrative costs, and other operating expenses. It excludes nonoperating items and income tax.
Formula: =R15-R17
Cross-sheet references identify the owning schedule. Same-sheet references identify intermediate calculations.</x:t>
        </x:r>
      </x:text>
    </x:comment>
    <x:comment ref="S18" authorId="0">
      <x:text>
        <x:r>
          <x:t>Operating income (FY:31 E).
Gross profit less research and development, sales and marketing, general and administrative costs, and other operating expenses. It excludes nonoperating items and income tax.
Formula: =S15-S17
Cross-sheet references identify the owning schedule. Same-sheet references identify intermediate calculations.</x:t>
        </x:r>
      </x:text>
    </x:comment>
    <x:comment ref="C19" authorId="0">
      <x:text>
        <x:r>
          <x:t>Operating income divided by revenue for the same fiscal year. A declining margin can reflect infrastructure depreciation and operating cost assumptions.</x:t>
        </x:r>
      </x:text>
    </x:comment>
    <x:comment ref="E19" authorId="0">
      <x:text>
        <x:r>
          <x:t>Operating margin (FY:17 A).
Operating income divided by revenue for the same fiscal year. A declining margin can reflect infrastructure depreciation and operating cost assumptions.
Formula: =E18/E8
Cross-sheet references identify the owning schedule. Same-sheet references identify intermediate calculations.</x:t>
        </x:r>
      </x:text>
    </x:comment>
    <x:comment ref="F19" authorId="0">
      <x:text>
        <x:r>
          <x:t>Operating margin (FY:18 A).
Operating income divided by revenue for the same fiscal year. A declining margin can reflect infrastructure depreciation and operating cost assumptions.
Formula: =F18/F8
Cross-sheet references identify the owning schedule. Same-sheet references identify intermediate calculations.</x:t>
        </x:r>
      </x:text>
    </x:comment>
    <x:comment ref="G19" authorId="0">
      <x:text>
        <x:r>
          <x:t>Operating margin (FY:19 A).
Operating income divided by revenue for the same fiscal year. A declining margin can reflect infrastructure depreciation and operating cost assumptions.
Formula: =G18/G8
Cross-sheet references identify the owning schedule. Same-sheet references identify intermediate calculations.</x:t>
        </x:r>
      </x:text>
    </x:comment>
    <x:comment ref="H19" authorId="0">
      <x:text>
        <x:r>
          <x:t>Operating margin (FY:20 A).
Operating income divided by revenue for the same fiscal year. A declining margin can reflect infrastructure depreciation and operating cost assumptions.
Formula: =H18/H8
Cross-sheet references identify the owning schedule. Same-sheet references identify intermediate calculations.</x:t>
        </x:r>
      </x:text>
    </x:comment>
    <x:comment ref="I19" authorId="0">
      <x:text>
        <x:r>
          <x:t>Operating margin (FY:21 A).
Operating income divided by revenue for the same fiscal year. A declining margin can reflect infrastructure depreciation and operating cost assumptions.
Formula: =I18/I8
Cross-sheet references identify the owning schedule. Same-sheet references identify intermediate calculations.</x:t>
        </x:r>
      </x:text>
    </x:comment>
    <x:comment ref="J19" authorId="0">
      <x:text>
        <x:r>
          <x:t>Operating margin (FY:22 A).
Operating income divided by revenue for the same fiscal year. A declining margin can reflect infrastructure depreciation and operating cost assumptions.
Formula: =J18/J8
Cross-sheet references identify the owning schedule. Same-sheet references identify intermediate calculations.</x:t>
        </x:r>
      </x:text>
    </x:comment>
    <x:comment ref="K19" authorId="0">
      <x:text>
        <x:r>
          <x:t>Operating margin (FY:23 A).
Operating income divided by revenue for the same fiscal year. A declining margin can reflect infrastructure depreciation and operating cost assumptions.
Formula: =K18/K8
Cross-sheet references identify the owning schedule. Same-sheet references identify intermediate calculations.</x:t>
        </x:r>
      </x:text>
    </x:comment>
    <x:comment ref="L19" authorId="0">
      <x:text>
        <x:r>
          <x:t>Operating margin (FY:24 A).
Operating income divided by revenue for the same fiscal year. A declining margin can reflect infrastructure depreciation and operating cost assumptions.
Formula: =L18/L8
Cross-sheet references identify the owning schedule. Same-sheet references identify intermediate calculations.</x:t>
        </x:r>
      </x:text>
    </x:comment>
    <x:comment ref="M19" authorId="0">
      <x:text>
        <x:r>
          <x:t>Operating margin (FY:25 A).
Operating income divided by revenue for the same fiscal year. A declining margin can reflect infrastructure depreciation and operating cost assumptions.
Formula: =M18/M8
Cross-sheet references identify the owning schedule. Same-sheet references identify intermediate calculations.</x:t>
        </x:r>
      </x:text>
    </x:comment>
    <x:comment ref="N19" authorId="0">
      <x:text>
        <x:r>
          <x:t>Operating margin (FY:26 A).
Operating income divided by revenue for the same fiscal year. A declining margin can reflect infrastructure depreciation and operating cost assumptions.
Formula: =N18/N8
Cross-sheet references identify the owning schedule. Same-sheet references identify intermediate calculations.</x:t>
        </x:r>
      </x:text>
    </x:comment>
    <x:comment ref="O19" authorId="0">
      <x:text>
        <x:r>
          <x:t>Operating margin (FY:27 E).
Operating income divided by revenue for the same fiscal year. A declining margin can reflect infrastructure depreciation and operating cost assumptions.
Formula: =O18/O8
Cross-sheet references identify the owning schedule. Same-sheet references identify intermediate calculations.</x:t>
        </x:r>
      </x:text>
    </x:comment>
    <x:comment ref="P19" authorId="0">
      <x:text>
        <x:r>
          <x:t>Operating margin (FY:28 E).
Operating income divided by revenue for the same fiscal year. A declining margin can reflect infrastructure depreciation and operating cost assumptions.
Formula: =P18/P8
Cross-sheet references identify the owning schedule. Same-sheet references identify intermediate calculations.</x:t>
        </x:r>
      </x:text>
    </x:comment>
    <x:comment ref="Q19" authorId="0">
      <x:text>
        <x:r>
          <x:t>Operating margin (FY:29 E).
Operating income divided by revenue for the same fiscal year. A declining margin can reflect infrastructure depreciation and operating cost assumptions.
Formula: =Q18/Q8
Cross-sheet references identify the owning schedule. Same-sheet references identify intermediate calculations.</x:t>
        </x:r>
      </x:text>
    </x:comment>
    <x:comment ref="R19" authorId="0">
      <x:text>
        <x:r>
          <x:t>Operating margin (FY:30 E).
Operating income divided by revenue for the same fiscal year. A declining margin can reflect infrastructure depreciation and operating cost assumptions.
Formula: =R18/R8
Cross-sheet references identify the owning schedule. Same-sheet references identify intermediate calculations.</x:t>
        </x:r>
      </x:text>
    </x:comment>
    <x:comment ref="S19" authorId="0">
      <x:text>
        <x:r>
          <x:t>Operating margin (FY:31 E).
Operating income divided by revenue for the same fiscal year. A declining margin can reflect infrastructure depreciation and operating cost assumptions.
Formula: =S18/S8
Cross-sheet references identify the owning schedule. Same-sheet references identify intermediate calculations.</x:t>
        </x:r>
      </x:text>
    </x:comment>
    <x:comment ref="C22" authorId="0">
      <x:text>
        <x:r>
          <x:t>Recognized sales from products and services. Consolidated forecast revenue is the sum of the three segment forecasts. Revenue is different from cash collected.</x:t>
        </x:r>
      </x:text>
    </x:comment>
    <x:comment ref="E22" authorId="0">
      <x:text>
        <x:r>
          <x:t>Revenue (FY:17 A).
Recognized sales from products and services. Consolidated forecast revenue is the sum of the three segment forecasts. Revenue is different from cash collected.
Stored input or primary source observation. It is not calculated in this cell.</x:t>
        </x:r>
      </x:text>
    </x:comment>
    <x:comment ref="F22" authorId="0">
      <x:text>
        <x:r>
          <x:t>Revenue (FY:18 A).
Recognized sales from products and services. Consolidated forecast revenue is the sum of the three segment forecasts. Revenue is different from cash collected.
Stored input or primary source observation. It is not calculated in this cell.</x:t>
        </x:r>
      </x:text>
    </x:comment>
    <x:comment ref="G22" authorId="0">
      <x:text>
        <x:r>
          <x:t>Revenue (FY:19 A).
Recognized sales from products and services. Consolidated forecast revenue is the sum of the three segment forecasts. Revenue is different from cash collected.
Stored input or primary source observation. It is not calculated in this cell.</x:t>
        </x:r>
      </x:text>
    </x:comment>
    <x:comment ref="H22" authorId="0">
      <x:text>
        <x:r>
          <x:t>Revenue (FY:20 A).
Recognized sales from products and services. Consolidated forecast revenue is the sum of the three segment forecasts. Revenue is different from cash collected.
Stored input or primary source observation. It is not calculated in this cell.</x:t>
        </x:r>
      </x:text>
    </x:comment>
    <x:comment ref="I22" authorId="0">
      <x:text>
        <x:r>
          <x:t>Revenue (FY:21 A).
Recognized sales from products and services. Consolidated forecast revenue is the sum of the three segment forecasts. Revenue is different from cash collected.
Stored input or primary source observation. It is not calculated in this cell.</x:t>
        </x:r>
      </x:text>
    </x:comment>
    <x:comment ref="J22" authorId="0">
      <x:text>
        <x:r>
          <x:t>Revenue (FY:22 A).
Recognized sales from products and services. Consolidated forecast revenue is the sum of the three segment forecasts. Revenue is different from cash collected.
Stored input or primary source observation. It is not calculated in this cell.</x:t>
        </x:r>
      </x:text>
    </x:comment>
    <x:comment ref="K22" authorId="0">
      <x:text>
        <x:r>
          <x:t>Revenue (FY:23 A).
Recognized sales from products and services. Consolidated forecast revenue is the sum of the three segment forecasts. Revenue is different from cash collected.
Stored input or primary source observation. It is not calculated in this cell.</x:t>
        </x:r>
      </x:text>
    </x:comment>
    <x:comment ref="L22" authorId="0">
      <x:text>
        <x:r>
          <x:t>Revenue (FY:24 A).
Recognized sales from products and services. Consolidated forecast revenue is the sum of the three segment forecasts. Revenue is different from cash collected.
Stored input or primary source observation. It is not calculated in this cell.</x:t>
        </x:r>
      </x:text>
    </x:comment>
    <x:comment ref="M22" authorId="0">
      <x:text>
        <x:r>
          <x:t>Revenue (FY:25 A).
Recognized sales from products and services. Consolidated forecast revenue is the sum of the three segment forecasts. Revenue is different from cash collected.
Stored input or primary source observation. It is not calculated in this cell.</x:t>
        </x:r>
      </x:text>
    </x:comment>
    <x:comment ref="N22" authorId="0">
      <x:text>
        <x:r>
          <x:t>Revenue (FY:26 A).
Recognized sales from products and services. Consolidated forecast revenue is the sum of the three segment forecasts. Revenue is different from cash collected.
Stored input or primary source observation. It is not calculated in this cell.</x:t>
        </x:r>
      </x:text>
    </x:comment>
    <x:comment ref="O22" authorId="0">
      <x:text>
        <x:r>
          <x:t>Revenue (FY:27 E).
Recognized sales from products and services. Consolidated forecast revenue is the sum of the three segment forecasts. Revenue is different from cash collected.
Formula: =N22*(1+'Assumptions'!O13)
Cross-sheet references identify the owning schedule. Same-sheet references identify intermediate calculations.</x:t>
        </x:r>
      </x:text>
    </x:comment>
    <x:comment ref="P22" authorId="0">
      <x:text>
        <x:r>
          <x:t>Revenue (FY:28 E).
Recognized sales from products and services. Consolidated forecast revenue is the sum of the three segment forecasts. Revenue is different from cash collected.
Formula: =O22*(1+'Assumptions'!P13)
Cross-sheet references identify the owning schedule. Same-sheet references identify intermediate calculations.</x:t>
        </x:r>
      </x:text>
    </x:comment>
    <x:comment ref="Q22" authorId="0">
      <x:text>
        <x:r>
          <x:t>Revenue (FY:29 E).
Recognized sales from products and services. Consolidated forecast revenue is the sum of the three segment forecasts. Revenue is different from cash collected.
Formula: =P22*(1+'Assumptions'!Q13)
Cross-sheet references identify the owning schedule. Same-sheet references identify intermediate calculations.</x:t>
        </x:r>
      </x:text>
    </x:comment>
    <x:comment ref="R22" authorId="0">
      <x:text>
        <x:r>
          <x:t>Revenue (FY:30 E).
Recognized sales from products and services. Consolidated forecast revenue is the sum of the three segment forecasts. Revenue is different from cash collected.
Formula: =Q22*(1+'Assumptions'!R13)
Cross-sheet references identify the owning schedule. Same-sheet references identify intermediate calculations.</x:t>
        </x:r>
      </x:text>
    </x:comment>
    <x:comment ref="S22" authorId="0">
      <x:text>
        <x:r>
          <x:t>Revenue (FY:31 E).
Recognized sales from products and services. Consolidated forecast revenue is the sum of the three segment forecasts. Revenue is different from cash collected.
Formula: =R22*(1+'Assumptions'!S13)
Cross-sheet references identify the owning schedule. Same-sheet references identify intermediate calculations.</x:t>
        </x:r>
      </x:text>
    </x:comment>
    <x:comment ref="C23" authorId="0">
      <x:text>
        <x:r>
          <x:t>Current-year revenue divided by prior-year revenue less one. Growth across a segment definition change is unavailable.</x:t>
        </x:r>
      </x:text>
    </x:comment>
    <x:comment ref="E23" authorId="0">
      <x:text>
        <x:r>
          <x:t>Revenue growth (FY:17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F23" authorId="0">
      <x:text>
        <x:r>
          <x:t>Revenue growth (FY:18 A).
Current-year revenue divided by prior-year revenue less one. Growth across a segment definition change is unavailable.
Formula: =F22/E22-1
Cross-sheet references identify the owning schedule. Same-sheet references identify intermediate calculations.</x:t>
        </x:r>
      </x:text>
    </x:comment>
    <x:comment ref="G23" authorId="0">
      <x:text>
        <x:r>
          <x:t>Revenue growth (FY:19 A).
Current-year revenue divided by prior-year revenue less one. Growth across a segment definition change is unavailable.
Formula: =G22/F22-1
Cross-sheet references identify the owning schedule. Same-sheet references identify intermediate calculations.</x:t>
        </x:r>
      </x:text>
    </x:comment>
    <x:comment ref="H23" authorId="0">
      <x:text>
        <x:r>
          <x:t>Revenue growth (FY:20 A).
Current-year revenue divided by prior-year revenue less one. Growth across a segment definition change is unavailable.
Formula: =H22/G22-1
Cross-sheet references identify the owning schedule. Same-sheet references identify intermediate calculations.</x:t>
        </x:r>
      </x:text>
    </x:comment>
    <x:comment ref="I23" authorId="0">
      <x:text>
        <x:r>
          <x:t>Revenue growth (FY:21 A).
Current-year revenue divided by prior-year revenue less one. Growth across a segment definition change is unavailable.
Formula: =I22/H22-1
Cross-sheet references identify the owning schedule. Same-sheet references identify intermediate calculations.</x:t>
        </x:r>
      </x:text>
    </x:comment>
    <x:comment ref="J23" authorId="0">
      <x:text>
        <x:r>
          <x:t>Revenue growth (FY:22 A).
Current-year revenue divided by prior-year revenue less one. Growth across a segment definition change is unavailable.
Formula: =J22/I22-1
Cross-sheet references identify the owning schedule. Same-sheet references identify intermediate calculations.</x:t>
        </x:r>
      </x:text>
    </x:comment>
    <x:comment ref="K23" authorId="0">
      <x:text>
        <x:r>
          <x:t>Revenue growth (FY:23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L23" authorId="0">
      <x:text>
        <x:r>
          <x:t>Revenue growth (FY:24 A).
Current-year revenue divided by prior-year revenue less one. Growth across a segment definition change is unavailable.
Formula: =L22/K22-1
Cross-sheet references identify the owning schedule. Same-sheet references identify intermediate calculations.</x:t>
        </x:r>
      </x:text>
    </x:comment>
    <x:comment ref="M23" authorId="0">
      <x:text>
        <x:r>
          <x:t>Revenue growth (FY:25 A).
Current-year revenue divided by prior-year revenue less one. Growth across a segment definition change is unavailable.
Formula: =M22/L22-1
Cross-sheet references identify the owning schedule. Same-sheet references identify intermediate calculations.</x:t>
        </x:r>
      </x:text>
    </x:comment>
    <x:comment ref="N23" authorId="0">
      <x:text>
        <x:r>
          <x:t>Revenue growth (FY:26 A).
Current-year revenue divided by prior-year revenue less one. Growth across a segment definition change is unavailable.
Formula: =N22/M22-1
Cross-sheet references identify the owning schedule. Same-sheet references identify intermediate calculations.</x:t>
        </x:r>
      </x:text>
    </x:comment>
    <x:comment ref="O23" authorId="0">
      <x:text>
        <x:r>
          <x:t>Revenue growth (FY:27 E).
Current-year revenue divided by prior-year revenue less one. Growth across a segment definition change is unavailable.
Formula: =O22/N22-1
Cross-sheet references identify the owning schedule. Same-sheet references identify intermediate calculations.</x:t>
        </x:r>
      </x:text>
    </x:comment>
    <x:comment ref="P23" authorId="0">
      <x:text>
        <x:r>
          <x:t>Revenue growth (FY:28 E).
Current-year revenue divided by prior-year revenue less one. Growth across a segment definition change is unavailable.
Formula: =P22/O22-1
Cross-sheet references identify the owning schedule. Same-sheet references identify intermediate calculations.</x:t>
        </x:r>
      </x:text>
    </x:comment>
    <x:comment ref="Q23" authorId="0">
      <x:text>
        <x:r>
          <x:t>Revenue growth (FY:29 E).
Current-year revenue divided by prior-year revenue less one. Growth across a segment definition change is unavailable.
Formula: =Q22/P22-1
Cross-sheet references identify the owning schedule. Same-sheet references identify intermediate calculations.</x:t>
        </x:r>
      </x:text>
    </x:comment>
    <x:comment ref="R23" authorId="0">
      <x:text>
        <x:r>
          <x:t>Revenue growth (FY:30 E).
Current-year revenue divided by prior-year revenue less one. Growth across a segment definition change is unavailable.
Formula: =R22/Q22-1
Cross-sheet references identify the owning schedule. Same-sheet references identify intermediate calculations.</x:t>
        </x:r>
      </x:text>
    </x:comment>
    <x:comment ref="S23" authorId="0">
      <x:text>
        <x:r>
          <x:t>Revenue growth (FY:31 E).
Current-year revenue divided by prior-year revenue less one. Growth across a segment definition change is unavailable.
Formula: =S22/R22-1
Cross-sheet references identify the owning schedule. Same-sheet references identify intermediate calculations.</x:t>
        </x:r>
      </x:text>
    </x:comment>
    <x:comment ref="C24"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24" authorId="0">
      <x:text>
        <x:r>
          <x:t>Cost before allocated D&amp;A and operating leases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24" authorId="0">
      <x:text>
        <x:r>
          <x:t>Cost before allocated D&amp;A and operating leases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24" authorId="0">
      <x:text>
        <x:r>
          <x:t>Cost before allocated D&amp;A and operating leases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24" authorId="0">
      <x:text>
        <x:r>
          <x:t>Cost before allocated D&amp;A and operating leases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24" authorId="0">
      <x:text>
        <x:r>
          <x:t>Cost before allocated D&amp;A and operating leases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24" authorId="0">
      <x:text>
        <x:r>
          <x:t>Cost before allocated D&amp;A and operating leases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24" authorId="0">
      <x:text>
        <x:r>
          <x:t>Cost before allocated D&amp;A and operating leases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24" authorId="0">
      <x:text>
        <x:r>
          <x:t>Cost before allocated D&amp;A and operating leases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24" authorId="0">
      <x:text>
        <x:r>
          <x:t>Cost before allocated D&amp;A and operating leases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24" authorId="0">
      <x:text>
        <x:r>
          <x:t>Cost before allocated D&amp;A and operating leases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24" authorId="0">
      <x:text>
        <x:r>
          <x:t>Cost before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Formula: =O22*'Assumptions'!O25
Cross-sheet references identify the owning schedule. Same-sheet references identify intermediate calculations.</x:t>
        </x:r>
      </x:text>
    </x:comment>
    <x:comment ref="P24" authorId="0">
      <x:text>
        <x:r>
          <x:t>Cost before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Formula: =P22*'Assumptions'!P25
Cross-sheet references identify the owning schedule. Same-sheet references identify intermediate calculations.</x:t>
        </x:r>
      </x:text>
    </x:comment>
    <x:comment ref="Q24" authorId="0">
      <x:text>
        <x:r>
          <x:t>Cost before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Formula: =Q22*'Assumptions'!Q25
Cross-sheet references identify the owning schedule. Same-sheet references identify intermediate calculations.</x:t>
        </x:r>
      </x:text>
    </x:comment>
    <x:comment ref="R24" authorId="0">
      <x:text>
        <x:r>
          <x:t>Cost before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Formula: =R22*'Assumptions'!R25
Cross-sheet references identify the owning schedule. Same-sheet references identify intermediate calculations.</x:t>
        </x:r>
      </x:text>
    </x:comment>
    <x:comment ref="S24" authorId="0">
      <x:text>
        <x:r>
          <x:t>Cost before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Formula: =S22*'Assumptions'!S25
Cross-sheet references identify the owning schedule. Same-sheet references identify intermediate calculations.</x:t>
        </x:r>
      </x:text>
    </x:comment>
    <x:comment ref="C25"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25" authorId="0">
      <x:text>
        <x:r>
          <x:t>Allocated PPE depreciation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25" authorId="0">
      <x:text>
        <x:r>
          <x:t>Allocated PPE depreciation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25" authorId="0">
      <x:text>
        <x:r>
          <x:t>Allocated PPE depreciation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25" authorId="0">
      <x:text>
        <x:r>
          <x:t>Allocated PPE depreciation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25" authorId="0">
      <x:text>
        <x:r>
          <x:t>Allocated PPE depreciation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25" authorId="0">
      <x:text>
        <x:r>
          <x:t>Allocated PPE depreciation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25" authorId="0">
      <x:text>
        <x:r>
          <x:t>Allocated PPE depreciation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25" authorId="0">
      <x:text>
        <x:r>
          <x:t>Allocated PPE depreciation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25" authorId="0">
      <x:text>
        <x:r>
          <x:t>Allocated PPE depreciation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25" authorId="0">
      <x:text>
        <x:r>
          <x:t>Allocated PPE depreciation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25" authorId="0">
      <x:text>
        <x:r>
          <x:t>Allocated PPE depreciation (FY:27 E).
Expense distributed using the explicit allocation inputs on Assumptions. These allocations are modeling assumptions rather than a Microsoft disclosure of these costs by segment. The formula identifies the owning expense schedule and percentage.
Formula: ='PPE and Intangibles'!O21*'Assumptions'!F205
Cross-sheet references identify the owning schedule. Same-sheet references identify intermediate calculations.</x:t>
        </x:r>
      </x:text>
    </x:comment>
    <x:comment ref="P25" authorId="0">
      <x:text>
        <x:r>
          <x:t>Allocated PPE depreciation (FY:28 E).
Expense distributed using the explicit allocation inputs on Assumptions. These allocations are modeling assumptions rather than a Microsoft disclosure of these costs by segment. The formula identifies the owning expense schedule and percentage.
Formula: ='PPE and Intangibles'!P21*'Assumptions'!F205
Cross-sheet references identify the owning schedule. Same-sheet references identify intermediate calculations.</x:t>
        </x:r>
      </x:text>
    </x:comment>
    <x:comment ref="Q25" authorId="0">
      <x:text>
        <x:r>
          <x:t>Allocated PPE depreciation (FY:29 E).
Expense distributed using the explicit allocation inputs on Assumptions. These allocations are modeling assumptions rather than a Microsoft disclosure of these costs by segment. The formula identifies the owning expense schedule and percentage.
Formula: ='PPE and Intangibles'!Q21*'Assumptions'!F205
Cross-sheet references identify the owning schedule. Same-sheet references identify intermediate calculations.</x:t>
        </x:r>
      </x:text>
    </x:comment>
    <x:comment ref="R25" authorId="0">
      <x:text>
        <x:r>
          <x:t>Allocated PPE depreciation (FY:30 E).
Expense distributed using the explicit allocation inputs on Assumptions. These allocations are modeling assumptions rather than a Microsoft disclosure of these costs by segment. The formula identifies the owning expense schedule and percentage.
Formula: ='PPE and Intangibles'!R21*'Assumptions'!F205
Cross-sheet references identify the owning schedule. Same-sheet references identify intermediate calculations.</x:t>
        </x:r>
      </x:text>
    </x:comment>
    <x:comment ref="S25" authorId="0">
      <x:text>
        <x:r>
          <x:t>Allocated PPE depreciation (FY:31 E).
Expense distributed using the explicit allocation inputs on Assumptions. These allocations are modeling assumptions rather than a Microsoft disclosure of these costs by segment. The formula identifies the owning expense schedule and percentage.
Formula: ='PPE and Intangibles'!S21*'Assumptions'!F205
Cross-sheet references identify the owning schedule. Same-sheet references identify intermediate calculations.</x:t>
        </x:r>
      </x:text>
    </x:comment>
    <x:comment ref="C26"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26" authorId="0">
      <x:text>
        <x:r>
          <x:t>Allocated intangible amortization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26" authorId="0">
      <x:text>
        <x:r>
          <x:t>Allocated intangible amortization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26" authorId="0">
      <x:text>
        <x:r>
          <x:t>Allocated intangible amortization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26" authorId="0">
      <x:text>
        <x:r>
          <x:t>Allocated intangible amortization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26" authorId="0">
      <x:text>
        <x:r>
          <x:t>Allocated intangible amortization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26" authorId="0">
      <x:text>
        <x:r>
          <x:t>Allocated intangible amortization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26" authorId="0">
      <x:text>
        <x:r>
          <x:t>Allocated intangible amortization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26" authorId="0">
      <x:text>
        <x:r>
          <x:t>Allocated intangible amortization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26" authorId="0">
      <x:text>
        <x:r>
          <x:t>Allocated intangible amortization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26" authorId="0">
      <x:text>
        <x:r>
          <x:t>Allocated intangible amortization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26" authorId="0">
      <x:text>
        <x:r>
          <x:t>Allocated intangible amortization (FY:27 E).
Expense distributed using the explicit allocation inputs on Assumptions. These allocations are modeling assumptions rather than a Microsoft disclosure of these costs by segment. The formula identifies the owning expense schedule and percentage.
Formula: ='PPE and Intangibles'!O42*'Assumptions'!F206
Cross-sheet references identify the owning schedule. Same-sheet references identify intermediate calculations.</x:t>
        </x:r>
      </x:text>
    </x:comment>
    <x:comment ref="P26" authorId="0">
      <x:text>
        <x:r>
          <x:t>Allocated intangible amortization (FY:28 E).
Expense distributed using the explicit allocation inputs on Assumptions. These allocations are modeling assumptions rather than a Microsoft disclosure of these costs by segment. The formula identifies the owning expense schedule and percentage.
Formula: ='PPE and Intangibles'!P42*'Assumptions'!F206
Cross-sheet references identify the owning schedule. Same-sheet references identify intermediate calculations.</x:t>
        </x:r>
      </x:text>
    </x:comment>
    <x:comment ref="Q26" authorId="0">
      <x:text>
        <x:r>
          <x:t>Allocated intangible amortization (FY:29 E).
Expense distributed using the explicit allocation inputs on Assumptions. These allocations are modeling assumptions rather than a Microsoft disclosure of these costs by segment. The formula identifies the owning expense schedule and percentage.
Formula: ='PPE and Intangibles'!Q42*'Assumptions'!F206
Cross-sheet references identify the owning schedule. Same-sheet references identify intermediate calculations.</x:t>
        </x:r>
      </x:text>
    </x:comment>
    <x:comment ref="R26" authorId="0">
      <x:text>
        <x:r>
          <x:t>Allocated intangible amortization (FY:30 E).
Expense distributed using the explicit allocation inputs on Assumptions. These allocations are modeling assumptions rather than a Microsoft disclosure of these costs by segment. The formula identifies the owning expense schedule and percentage.
Formula: ='PPE and Intangibles'!R42*'Assumptions'!F206
Cross-sheet references identify the owning schedule. Same-sheet references identify intermediate calculations.</x:t>
        </x:r>
      </x:text>
    </x:comment>
    <x:comment ref="S26" authorId="0">
      <x:text>
        <x:r>
          <x:t>Allocated intangible amortization (FY:31 E).
Expense distributed using the explicit allocation inputs on Assumptions. These allocations are modeling assumptions rather than a Microsoft disclosure of these costs by segment. The formula identifies the owning expense schedule and percentage.
Formula: ='PPE and Intangibles'!S42*'Assumptions'!F206
Cross-sheet references identify the owning schedule. Same-sheet references identify intermediate calculations.</x:t>
        </x:r>
      </x:text>
    </x:comment>
    <x:comment ref="C27"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27" authorId="0">
      <x:text>
        <x:r>
          <x:t>Allocated operating lease expense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27" authorId="0">
      <x:text>
        <x:r>
          <x:t>Allocated operating lease expense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27" authorId="0">
      <x:text>
        <x:r>
          <x:t>Allocated operating lease expense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27" authorId="0">
      <x:text>
        <x:r>
          <x:t>Allocated operating lease expense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27" authorId="0">
      <x:text>
        <x:r>
          <x:t>Allocated operating lease expense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27" authorId="0">
      <x:text>
        <x:r>
          <x:t>Allocated operating lease expense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27" authorId="0">
      <x:text>
        <x:r>
          <x:t>Allocated operating lease expense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27" authorId="0">
      <x:text>
        <x:r>
          <x:t>Allocated operating lease expense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27" authorId="0">
      <x:text>
        <x:r>
          <x:t>Allocated operating lease expense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27" authorId="0">
      <x:text>
        <x:r>
          <x:t>Allocated operating lease expense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27" authorId="0">
      <x:text>
        <x:r>
          <x:t>Allocated operating lease expense (FY:27 E).
Expense distributed using the explicit allocation inputs on Assumptions. These allocations are modeling assumptions rather than a Microsoft disclosure of these costs by segment. The formula identifies the owning expense schedule and percentage.
Formula: ='Debt and Leases'!O61*'Assumptions'!F207
Cross-sheet references identify the owning schedule. Same-sheet references identify intermediate calculations.</x:t>
        </x:r>
      </x:text>
    </x:comment>
    <x:comment ref="P27" authorId="0">
      <x:text>
        <x:r>
          <x:t>Allocated operating lease expense (FY:28 E).
Expense distributed using the explicit allocation inputs on Assumptions. These allocations are modeling assumptions rather than a Microsoft disclosure of these costs by segment. The formula identifies the owning expense schedule and percentage.
Formula: ='Debt and Leases'!P61*'Assumptions'!F207
Cross-sheet references identify the owning schedule. Same-sheet references identify intermediate calculations.</x:t>
        </x:r>
      </x:text>
    </x:comment>
    <x:comment ref="Q27" authorId="0">
      <x:text>
        <x:r>
          <x:t>Allocated operating lease expense (FY:29 E).
Expense distributed using the explicit allocation inputs on Assumptions. These allocations are modeling assumptions rather than a Microsoft disclosure of these costs by segment. The formula identifies the owning expense schedule and percentage.
Formula: ='Debt and Leases'!Q61*'Assumptions'!F207
Cross-sheet references identify the owning schedule. Same-sheet references identify intermediate calculations.</x:t>
        </x:r>
      </x:text>
    </x:comment>
    <x:comment ref="R27" authorId="0">
      <x:text>
        <x:r>
          <x:t>Allocated operating lease expense (FY:30 E).
Expense distributed using the explicit allocation inputs on Assumptions. These allocations are modeling assumptions rather than a Microsoft disclosure of these costs by segment. The formula identifies the owning expense schedule and percentage.
Formula: ='Debt and Leases'!R61*'Assumptions'!F207
Cross-sheet references identify the owning schedule. Same-sheet references identify intermediate calculations.</x:t>
        </x:r>
      </x:text>
    </x:comment>
    <x:comment ref="S27" authorId="0">
      <x:text>
        <x:r>
          <x:t>Allocated operating lease expense (FY:31 E).
Expense distributed using the explicit allocation inputs on Assumptions. These allocations are modeling assumptions rather than a Microsoft disclosure of these costs by segment. The formula identifies the owning expense schedule and percentage.
Formula: ='Debt and Leases'!S61*'Assumptions'!F207
Cross-sheet references identify the owning schedule. Same-sheet references identify intermediate calculations.</x:t>
        </x:r>
      </x:text>
    </x:comment>
    <x:comment ref="C28" authorId="0">
      <x:text>
        <x:r>
          <x:t>Total cost of revenue. This line belongs to the Segments calculation. Read its formula to trace the referenced inputs and intermediate totals.</x:t>
        </x:r>
      </x:text>
    </x:comment>
    <x:comment ref="E28" authorId="0">
      <x:text>
        <x:r>
          <x:t>Total cost of revenue (FY:17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F28" authorId="0">
      <x:text>
        <x:r>
          <x:t>Total cost of revenue (FY:18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G28" authorId="0">
      <x:text>
        <x:r>
          <x:t>Total cost of revenue (FY:19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H28" authorId="0">
      <x:text>
        <x:r>
          <x:t>Total cost of revenue (FY:20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I28" authorId="0">
      <x:text>
        <x:r>
          <x:t>Total cost of revenue (FY:21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J28" authorId="0">
      <x:text>
        <x:r>
          <x:t>Total cost of revenue (FY:22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K28" authorId="0">
      <x:text>
        <x:r>
          <x:t>Total cost of revenue (FY:23 A).
Total cost of revenue. This line belongs to the Segments calculation. Read its formula to trace the referenced inputs and intermediate totals.
Stored input or primary source observation. It is not calculated in this cell.</x:t>
        </x:r>
      </x:text>
    </x:comment>
    <x:comment ref="L28" authorId="0">
      <x:text>
        <x:r>
          <x:t>Total cost of revenue (FY:24 A).
Total cost of revenue. This line belongs to the Segments calculation. Read its formula to trace the referenced inputs and intermediate totals.
Stored input or primary source observation. It is not calculated in this cell.</x:t>
        </x:r>
      </x:text>
    </x:comment>
    <x:comment ref="M28" authorId="0">
      <x:text>
        <x:r>
          <x:t>Total cost of revenue (FY:25 A).
Total cost of revenue. This line belongs to the Segments calculation. Read its formula to trace the referenced inputs and intermediate totals.
Stored input or primary source observation. It is not calculated in this cell.</x:t>
        </x:r>
      </x:text>
    </x:comment>
    <x:comment ref="N28" authorId="0">
      <x:text>
        <x:r>
          <x:t>Total cost of revenue (FY:26 A).
Total cost of revenue. This line belongs to the Segments calculation. Read its formula to trace the referenced inputs and intermediate totals.
Stored input or primary source observation. It is not calculated in this cell.</x:t>
        </x:r>
      </x:text>
    </x:comment>
    <x:comment ref="O28" authorId="0">
      <x:text>
        <x:r>
          <x:t>Total cost of revenue (FY:27 E).
Total cost of revenue. This line belongs to the Segments calculation. Read its formula to trace the referenced inputs and intermediate totals.
Formula: =SUM(O24:O27)
Cross-sheet references identify the owning schedule. Same-sheet references identify intermediate calculations.</x:t>
        </x:r>
      </x:text>
    </x:comment>
    <x:comment ref="P28" authorId="0">
      <x:text>
        <x:r>
          <x:t>Total cost of revenue (FY:28 E).
Total cost of revenue. This line belongs to the Segments calculation. Read its formula to trace the referenced inputs and intermediate totals.
Formula: =SUM(P24:P27)
Cross-sheet references identify the owning schedule. Same-sheet references identify intermediate calculations.</x:t>
        </x:r>
      </x:text>
    </x:comment>
    <x:comment ref="Q28" authorId="0">
      <x:text>
        <x:r>
          <x:t>Total cost of revenue (FY:29 E).
Total cost of revenue. This line belongs to the Segments calculation. Read its formula to trace the referenced inputs and intermediate totals.
Formula: =SUM(Q24:Q27)
Cross-sheet references identify the owning schedule. Same-sheet references identify intermediate calculations.</x:t>
        </x:r>
      </x:text>
    </x:comment>
    <x:comment ref="R28" authorId="0">
      <x:text>
        <x:r>
          <x:t>Total cost of revenue (FY:30 E).
Total cost of revenue. This line belongs to the Segments calculation. Read its formula to trace the referenced inputs and intermediate totals.
Formula: =SUM(R24:R27)
Cross-sheet references identify the owning schedule. Same-sheet references identify intermediate calculations.</x:t>
        </x:r>
      </x:text>
    </x:comment>
    <x:comment ref="S28" authorId="0">
      <x:text>
        <x:r>
          <x:t>Total cost of revenue (FY:31 E).
Total cost of revenue. This line belongs to the Segments calculation. Read its formula to trace the referenced inputs and intermediate totals.
Formula: =SUM(S24:S27)
Cross-sheet references identify the owning schedule. Same-sheet references identify intermediate calculations.</x:t>
        </x:r>
      </x:text>
    </x:comment>
    <x:comment ref="C29" authorId="0">
      <x:text>
        <x:r>
          <x:t>Revenue less cost of revenue. It measures profit before operating expenses.</x:t>
        </x:r>
      </x:text>
    </x:comment>
    <x:comment ref="E29" authorId="0">
      <x:text>
        <x:r>
          <x:t>Gross profit (FY:17 A).
Revenue less cost of revenue. It measures profit before operating expenses. This period is unavailable or not applicable. Do not interpret it as zero.
Stored input or primary source observation. It is not calculated in this cell.</x:t>
        </x:r>
      </x:text>
    </x:comment>
    <x:comment ref="F29" authorId="0">
      <x:text>
        <x:r>
          <x:t>Gross profit (FY:18 A).
Revenue less cost of revenue. It measures profit before operating expenses. This period is unavailable or not applicable. Do not interpret it as zero.
Stored input or primary source observation. It is not calculated in this cell.</x:t>
        </x:r>
      </x:text>
    </x:comment>
    <x:comment ref="G29" authorId="0">
      <x:text>
        <x:r>
          <x:t>Gross profit (FY:19 A).
Revenue less cost of revenue. It measures profit before operating expenses. This period is unavailable or not applicable. Do not interpret it as zero.
Stored input or primary source observation. It is not calculated in this cell.</x:t>
        </x:r>
      </x:text>
    </x:comment>
    <x:comment ref="H29" authorId="0">
      <x:text>
        <x:r>
          <x:t>Gross profit (FY:20 A).
Revenue less cost of revenue. It measures profit before operating expenses. This period is unavailable or not applicable. Do not interpret it as zero.
Stored input or primary source observation. It is not calculated in this cell.</x:t>
        </x:r>
      </x:text>
    </x:comment>
    <x:comment ref="I29" authorId="0">
      <x:text>
        <x:r>
          <x:t>Gross profit (FY:21 A).
Revenue less cost of revenue. It measures profit before operating expenses. This period is unavailable or not applicable. Do not interpret it as zero.
Stored input or primary source observation. It is not calculated in this cell.</x:t>
        </x:r>
      </x:text>
    </x:comment>
    <x:comment ref="J29" authorId="0">
      <x:text>
        <x:r>
          <x:t>Gross profit (FY:22 A).
Revenue less cost of revenue. It measures profit before operating expenses. This period is unavailable or not applicable. Do not interpret it as zero.
Stored input or primary source observation. It is not calculated in this cell.</x:t>
        </x:r>
      </x:text>
    </x:comment>
    <x:comment ref="K29" authorId="0">
      <x:text>
        <x:r>
          <x:t>Gross profit (FY:23 A).
Revenue less cost of revenue. It measures profit before operating expenses.
Formula: =K22-K28
Cross-sheet references identify the owning schedule. Same-sheet references identify intermediate calculations.</x:t>
        </x:r>
      </x:text>
    </x:comment>
    <x:comment ref="L29" authorId="0">
      <x:text>
        <x:r>
          <x:t>Gross profit (FY:24 A).
Revenue less cost of revenue. It measures profit before operating expenses.
Formula: =L22-L28
Cross-sheet references identify the owning schedule. Same-sheet references identify intermediate calculations.</x:t>
        </x:r>
      </x:text>
    </x:comment>
    <x:comment ref="M29" authorId="0">
      <x:text>
        <x:r>
          <x:t>Gross profit (FY:25 A).
Revenue less cost of revenue. It measures profit before operating expenses.
Formula: =M22-M28
Cross-sheet references identify the owning schedule. Same-sheet references identify intermediate calculations.</x:t>
        </x:r>
      </x:text>
    </x:comment>
    <x:comment ref="N29" authorId="0">
      <x:text>
        <x:r>
          <x:t>Gross profit (FY:26 A).
Revenue less cost of revenue. It measures profit before operating expenses.
Formula: =N22-N28
Cross-sheet references identify the owning schedule. Same-sheet references identify intermediate calculations.</x:t>
        </x:r>
      </x:text>
    </x:comment>
    <x:comment ref="O29" authorId="0">
      <x:text>
        <x:r>
          <x:t>Gross profit (FY:27 E).
Revenue less cost of revenue. It measures profit before operating expenses.
Formula: =O22-O28
Cross-sheet references identify the owning schedule. Same-sheet references identify intermediate calculations.</x:t>
        </x:r>
      </x:text>
    </x:comment>
    <x:comment ref="P29" authorId="0">
      <x:text>
        <x:r>
          <x:t>Gross profit (FY:28 E).
Revenue less cost of revenue. It measures profit before operating expenses.
Formula: =P22-P28
Cross-sheet references identify the owning schedule. Same-sheet references identify intermediate calculations.</x:t>
        </x:r>
      </x:text>
    </x:comment>
    <x:comment ref="Q29" authorId="0">
      <x:text>
        <x:r>
          <x:t>Gross profit (FY:29 E).
Revenue less cost of revenue. It measures profit before operating expenses.
Formula: =Q22-Q28
Cross-sheet references identify the owning schedule. Same-sheet references identify intermediate calculations.</x:t>
        </x:r>
      </x:text>
    </x:comment>
    <x:comment ref="R29" authorId="0">
      <x:text>
        <x:r>
          <x:t>Gross profit (FY:30 E).
Revenue less cost of revenue. It measures profit before operating expenses.
Formula: =R22-R28
Cross-sheet references identify the owning schedule. Same-sheet references identify intermediate calculations.</x:t>
        </x:r>
      </x:text>
    </x:comment>
    <x:comment ref="S29" authorId="0">
      <x:text>
        <x:r>
          <x:t>Gross profit (FY:31 E).
Revenue less cost of revenue. It measures profit before operating expenses.
Formula: =S22-S28
Cross-sheet references identify the owning schedule. Same-sheet references identify intermediate calculations.</x:t>
        </x:r>
      </x:text>
    </x:comment>
    <x:comment ref="C30" authorId="0">
      <x:text>
        <x:r>
          <x:t>Gross profit divided by revenue for the same fiscal year.</x:t>
        </x:r>
      </x:text>
    </x:comment>
    <x:comment ref="E30" authorId="0">
      <x:text>
        <x:r>
          <x:t>Gross margin (FY:17 A).
Gross profit divided by revenue for the same fiscal year. This period is unavailable or not applicable. Do not interpret it as zero.
Stored input or primary source observation. It is not calculated in this cell.</x:t>
        </x:r>
      </x:text>
    </x:comment>
    <x:comment ref="F30" authorId="0">
      <x:text>
        <x:r>
          <x:t>Gross margin (FY:18 A).
Gross profit divided by revenue for the same fiscal year. This period is unavailable or not applicable. Do not interpret it as zero.
Stored input or primary source observation. It is not calculated in this cell.</x:t>
        </x:r>
      </x:text>
    </x:comment>
    <x:comment ref="G30" authorId="0">
      <x:text>
        <x:r>
          <x:t>Gross margin (FY:19 A).
Gross profit divided by revenue for the same fiscal year. This period is unavailable or not applicable. Do not interpret it as zero.
Stored input or primary source observation. It is not calculated in this cell.</x:t>
        </x:r>
      </x:text>
    </x:comment>
    <x:comment ref="H30" authorId="0">
      <x:text>
        <x:r>
          <x:t>Gross margin (FY:20 A).
Gross profit divided by revenue for the same fiscal year. This period is unavailable or not applicable. Do not interpret it as zero.
Stored input or primary source observation. It is not calculated in this cell.</x:t>
        </x:r>
      </x:text>
    </x:comment>
    <x:comment ref="I30" authorId="0">
      <x:text>
        <x:r>
          <x:t>Gross margin (FY:21 A).
Gross profit divided by revenue for the same fiscal year. This period is unavailable or not applicable. Do not interpret it as zero.
Stored input or primary source observation. It is not calculated in this cell.</x:t>
        </x:r>
      </x:text>
    </x:comment>
    <x:comment ref="J30" authorId="0">
      <x:text>
        <x:r>
          <x:t>Gross margin (FY:22 A).
Gross profit divided by revenue for the same fiscal year. This period is unavailable or not applicable. Do not interpret it as zero.
Stored input or primary source observation. It is not calculated in this cell.</x:t>
        </x:r>
      </x:text>
    </x:comment>
    <x:comment ref="K30" authorId="0">
      <x:text>
        <x:r>
          <x:t>Gross margin (FY:23 A).
Gross profit divided by revenue for the same fiscal year.
Formula: =K29/K22
Cross-sheet references identify the owning schedule. Same-sheet references identify intermediate calculations.</x:t>
        </x:r>
      </x:text>
    </x:comment>
    <x:comment ref="L30" authorId="0">
      <x:text>
        <x:r>
          <x:t>Gross margin (FY:24 A).
Gross profit divided by revenue for the same fiscal year.
Formula: =L29/L22
Cross-sheet references identify the owning schedule. Same-sheet references identify intermediate calculations.</x:t>
        </x:r>
      </x:text>
    </x:comment>
    <x:comment ref="M30" authorId="0">
      <x:text>
        <x:r>
          <x:t>Gross margin (FY:25 A).
Gross profit divided by revenue for the same fiscal year.
Formula: =M29/M22
Cross-sheet references identify the owning schedule. Same-sheet references identify intermediate calculations.</x:t>
        </x:r>
      </x:text>
    </x:comment>
    <x:comment ref="N30" authorId="0">
      <x:text>
        <x:r>
          <x:t>Gross margin (FY:26 A).
Gross profit divided by revenue for the same fiscal year.
Formula: =N29/N22
Cross-sheet references identify the owning schedule. Same-sheet references identify intermediate calculations.</x:t>
        </x:r>
      </x:text>
    </x:comment>
    <x:comment ref="O30" authorId="0">
      <x:text>
        <x:r>
          <x:t>Gross margin (FY:27 E).
Gross profit divided by revenue for the same fiscal year.
Formula: =O29/O22
Cross-sheet references identify the owning schedule. Same-sheet references identify intermediate calculations.</x:t>
        </x:r>
      </x:text>
    </x:comment>
    <x:comment ref="P30" authorId="0">
      <x:text>
        <x:r>
          <x:t>Gross margin (FY:28 E).
Gross profit divided by revenue for the same fiscal year.
Formula: =P29/P22
Cross-sheet references identify the owning schedule. Same-sheet references identify intermediate calculations.</x:t>
        </x:r>
      </x:text>
    </x:comment>
    <x:comment ref="Q30" authorId="0">
      <x:text>
        <x:r>
          <x:t>Gross margin (FY:29 E).
Gross profit divided by revenue for the same fiscal year.
Formula: =Q29/Q22
Cross-sheet references identify the owning schedule. Same-sheet references identify intermediate calculations.</x:t>
        </x:r>
      </x:text>
    </x:comment>
    <x:comment ref="R30" authorId="0">
      <x:text>
        <x:r>
          <x:t>Gross margin (FY:30 E).
Gross profit divided by revenue for the same fiscal year.
Formula: =R29/R22
Cross-sheet references identify the owning schedule. Same-sheet references identify intermediate calculations.</x:t>
        </x:r>
      </x:text>
    </x:comment>
    <x:comment ref="S30" authorId="0">
      <x:text>
        <x:r>
          <x:t>Gross margin (FY:31 E).
Gross profit divided by revenue for the same fiscal year.
Formula: =S29/S22
Cross-sheet references identify the owning schedule. Same-sheet references identify intermediate calculations.</x:t>
        </x:r>
      </x:text>
    </x:comment>
    <x:comment ref="C31"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31" authorId="0">
      <x:text>
        <x:r>
          <x:t>Allocated operating expenses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31" authorId="0">
      <x:text>
        <x:r>
          <x:t>Allocated operating expenses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31" authorId="0">
      <x:text>
        <x:r>
          <x:t>Allocated operating expenses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31" authorId="0">
      <x:text>
        <x:r>
          <x:t>Allocated operating expenses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31" authorId="0">
      <x:text>
        <x:r>
          <x:t>Allocated operating expenses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31" authorId="0">
      <x:text>
        <x:r>
          <x:t>Allocated operating expenses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31" authorId="0">
      <x:text>
        <x:r>
          <x:t>Allocated operating expenses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31" authorId="0">
      <x:text>
        <x:r>
          <x:t>Allocated operating expenses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31" authorId="0">
      <x:text>
        <x:r>
          <x:t>Allocated operating expenses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31" authorId="0">
      <x:text>
        <x:r>
          <x:t>Allocated operating expenses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31" authorId="0">
      <x:text>
        <x:r>
          <x:t>Allocated operating expenses (FY:27 E).
Expense distributed using the explicit allocation inputs on Assumptions. These allocations are modeling assumptions rather than a Microsoft disclosure of these costs by segment. The formula identifies the owning expense schedule and percentage.
Formula: ='Expense Plan'!O24*'Assumptions'!F208
Cross-sheet references identify the owning schedule. Same-sheet references identify intermediate calculations.</x:t>
        </x:r>
      </x:text>
    </x:comment>
    <x:comment ref="P31" authorId="0">
      <x:text>
        <x:r>
          <x:t>Allocated operating expenses (FY:28 E).
Expense distributed using the explicit allocation inputs on Assumptions. These allocations are modeling assumptions rather than a Microsoft disclosure of these costs by segment. The formula identifies the owning expense schedule and percentage.
Formula: ='Expense Plan'!P24*'Assumptions'!F208
Cross-sheet references identify the owning schedule. Same-sheet references identify intermediate calculations.</x:t>
        </x:r>
      </x:text>
    </x:comment>
    <x:comment ref="Q31" authorId="0">
      <x:text>
        <x:r>
          <x:t>Allocated operating expenses (FY:29 E).
Expense distributed using the explicit allocation inputs on Assumptions. These allocations are modeling assumptions rather than a Microsoft disclosure of these costs by segment. The formula identifies the owning expense schedule and percentage.
Formula: ='Expense Plan'!Q24*'Assumptions'!F208
Cross-sheet references identify the owning schedule. Same-sheet references identify intermediate calculations.</x:t>
        </x:r>
      </x:text>
    </x:comment>
    <x:comment ref="R31" authorId="0">
      <x:text>
        <x:r>
          <x:t>Allocated operating expenses (FY:30 E).
Expense distributed using the explicit allocation inputs on Assumptions. These allocations are modeling assumptions rather than a Microsoft disclosure of these costs by segment. The formula identifies the owning expense schedule and percentage.
Formula: ='Expense Plan'!R24*'Assumptions'!F208
Cross-sheet references identify the owning schedule. Same-sheet references identify intermediate calculations.</x:t>
        </x:r>
      </x:text>
    </x:comment>
    <x:comment ref="S31" authorId="0">
      <x:text>
        <x:r>
          <x:t>Allocated operating expenses (FY:31 E).
Expense distributed using the explicit allocation inputs on Assumptions. These allocations are modeling assumptions rather than a Microsoft disclosure of these costs by segment. The formula identifies the owning expense schedule and percentage.
Formula: ='Expense Plan'!S24*'Assumptions'!F208
Cross-sheet references identify the owning schedule. Same-sheet references identify intermediate calculations.</x:t>
        </x:r>
      </x:text>
    </x:comment>
    <x:comment ref="C32" authorId="0">
      <x:text>
        <x:r>
          <x:t>Gross profit less research and development, sales and marketing, general and administrative costs, and other operating expenses. It excludes nonoperating items and income tax.</x:t>
        </x:r>
      </x:text>
    </x:comment>
    <x:comment ref="E32" authorId="0">
      <x:text>
        <x:r>
          <x:t>Operating income (FY:17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F32" authorId="0">
      <x:text>
        <x:r>
          <x:t>Operating income (FY:18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G32" authorId="0">
      <x:text>
        <x:r>
          <x:t>Operating income (FY:19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H32" authorId="0">
      <x:text>
        <x:r>
          <x:t>Operating income (FY:20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I32" authorId="0">
      <x:text>
        <x:r>
          <x:t>Operating income (FY:21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J32" authorId="0">
      <x:text>
        <x:r>
          <x:t>Operating income (FY:22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K32" authorId="0">
      <x:text>
        <x:r>
          <x:t>Operating income (FY:23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L32" authorId="0">
      <x:text>
        <x:r>
          <x:t>Operating income (FY:24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M32" authorId="0">
      <x:text>
        <x:r>
          <x:t>Operating income (FY:25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N32" authorId="0">
      <x:text>
        <x:r>
          <x:t>Operating income (FY:26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O32" authorId="0">
      <x:text>
        <x:r>
          <x:t>Operating income (FY:27 E).
Gross profit less research and development, sales and marketing, general and administrative costs, and other operating expenses. It excludes nonoperating items and income tax.
Formula: =O29-O31
Cross-sheet references identify the owning schedule. Same-sheet references identify intermediate calculations.</x:t>
        </x:r>
      </x:text>
    </x:comment>
    <x:comment ref="P32" authorId="0">
      <x:text>
        <x:r>
          <x:t>Operating income (FY:28 E).
Gross profit less research and development, sales and marketing, general and administrative costs, and other operating expenses. It excludes nonoperating items and income tax.
Formula: =P29-P31
Cross-sheet references identify the owning schedule. Same-sheet references identify intermediate calculations.</x:t>
        </x:r>
      </x:text>
    </x:comment>
    <x:comment ref="Q32" authorId="0">
      <x:text>
        <x:r>
          <x:t>Operating income (FY:29 E).
Gross profit less research and development, sales and marketing, general and administrative costs, and other operating expenses. It excludes nonoperating items and income tax.
Formula: =Q29-Q31
Cross-sheet references identify the owning schedule. Same-sheet references identify intermediate calculations.</x:t>
        </x:r>
      </x:text>
    </x:comment>
    <x:comment ref="R32" authorId="0">
      <x:text>
        <x:r>
          <x:t>Operating income (FY:30 E).
Gross profit less research and development, sales and marketing, general and administrative costs, and other operating expenses. It excludes nonoperating items and income tax.
Formula: =R29-R31
Cross-sheet references identify the owning schedule. Same-sheet references identify intermediate calculations.</x:t>
        </x:r>
      </x:text>
    </x:comment>
    <x:comment ref="S32" authorId="0">
      <x:text>
        <x:r>
          <x:t>Operating income (FY:31 E).
Gross profit less research and development, sales and marketing, general and administrative costs, and other operating expenses. It excludes nonoperating items and income tax.
Formula: =S29-S31
Cross-sheet references identify the owning schedule. Same-sheet references identify intermediate calculations.</x:t>
        </x:r>
      </x:text>
    </x:comment>
    <x:comment ref="C33" authorId="0">
      <x:text>
        <x:r>
          <x:t>Operating income divided by revenue for the same fiscal year. A declining margin can reflect infrastructure depreciation and operating cost assumptions.</x:t>
        </x:r>
      </x:text>
    </x:comment>
    <x:comment ref="E33" authorId="0">
      <x:text>
        <x:r>
          <x:t>Operating margin (FY:17 A).
Operating income divided by revenue for the same fiscal year. A declining margin can reflect infrastructure depreciation and operating cost assumptions.
Formula: =E32/E22
Cross-sheet references identify the owning schedule. Same-sheet references identify intermediate calculations.</x:t>
        </x:r>
      </x:text>
    </x:comment>
    <x:comment ref="F33" authorId="0">
      <x:text>
        <x:r>
          <x:t>Operating margin (FY:18 A).
Operating income divided by revenue for the same fiscal year. A declining margin can reflect infrastructure depreciation and operating cost assumptions.
Formula: =F32/F22
Cross-sheet references identify the owning schedule. Same-sheet references identify intermediate calculations.</x:t>
        </x:r>
      </x:text>
    </x:comment>
    <x:comment ref="G33" authorId="0">
      <x:text>
        <x:r>
          <x:t>Operating margin (FY:19 A).
Operating income divided by revenue for the same fiscal year. A declining margin can reflect infrastructure depreciation and operating cost assumptions.
Formula: =G32/G22
Cross-sheet references identify the owning schedule. Same-sheet references identify intermediate calculations.</x:t>
        </x:r>
      </x:text>
    </x:comment>
    <x:comment ref="H33" authorId="0">
      <x:text>
        <x:r>
          <x:t>Operating margin (FY:20 A).
Operating income divided by revenue for the same fiscal year. A declining margin can reflect infrastructure depreciation and operating cost assumptions.
Formula: =H32/H22
Cross-sheet references identify the owning schedule. Same-sheet references identify intermediate calculations.</x:t>
        </x:r>
      </x:text>
    </x:comment>
    <x:comment ref="I33" authorId="0">
      <x:text>
        <x:r>
          <x:t>Operating margin (FY:21 A).
Operating income divided by revenue for the same fiscal year. A declining margin can reflect infrastructure depreciation and operating cost assumptions.
Formula: =I32/I22
Cross-sheet references identify the owning schedule. Same-sheet references identify intermediate calculations.</x:t>
        </x:r>
      </x:text>
    </x:comment>
    <x:comment ref="J33" authorId="0">
      <x:text>
        <x:r>
          <x:t>Operating margin (FY:22 A).
Operating income divided by revenue for the same fiscal year. A declining margin can reflect infrastructure depreciation and operating cost assumptions.
Formula: =J32/J22
Cross-sheet references identify the owning schedule. Same-sheet references identify intermediate calculations.</x:t>
        </x:r>
      </x:text>
    </x:comment>
    <x:comment ref="K33" authorId="0">
      <x:text>
        <x:r>
          <x:t>Operating margin (FY:23 A).
Operating income divided by revenue for the same fiscal year. A declining margin can reflect infrastructure depreciation and operating cost assumptions.
Formula: =K32/K22
Cross-sheet references identify the owning schedule. Same-sheet references identify intermediate calculations.</x:t>
        </x:r>
      </x:text>
    </x:comment>
    <x:comment ref="L33" authorId="0">
      <x:text>
        <x:r>
          <x:t>Operating margin (FY:24 A).
Operating income divided by revenue for the same fiscal year. A declining margin can reflect infrastructure depreciation and operating cost assumptions.
Formula: =L32/L22
Cross-sheet references identify the owning schedule. Same-sheet references identify intermediate calculations.</x:t>
        </x:r>
      </x:text>
    </x:comment>
    <x:comment ref="M33" authorId="0">
      <x:text>
        <x:r>
          <x:t>Operating margin (FY:25 A).
Operating income divided by revenue for the same fiscal year. A declining margin can reflect infrastructure depreciation and operating cost assumptions.
Formula: =M32/M22
Cross-sheet references identify the owning schedule. Same-sheet references identify intermediate calculations.</x:t>
        </x:r>
      </x:text>
    </x:comment>
    <x:comment ref="N33" authorId="0">
      <x:text>
        <x:r>
          <x:t>Operating margin (FY:26 A).
Operating income divided by revenue for the same fiscal year. A declining margin can reflect infrastructure depreciation and operating cost assumptions.
Formula: =N32/N22
Cross-sheet references identify the owning schedule. Same-sheet references identify intermediate calculations.</x:t>
        </x:r>
      </x:text>
    </x:comment>
    <x:comment ref="O33" authorId="0">
      <x:text>
        <x:r>
          <x:t>Operating margin (FY:27 E).
Operating income divided by revenue for the same fiscal year. A declining margin can reflect infrastructure depreciation and operating cost assumptions.
Formula: =O32/O22
Cross-sheet references identify the owning schedule. Same-sheet references identify intermediate calculations.</x:t>
        </x:r>
      </x:text>
    </x:comment>
    <x:comment ref="P33" authorId="0">
      <x:text>
        <x:r>
          <x:t>Operating margin (FY:28 E).
Operating income divided by revenue for the same fiscal year. A declining margin can reflect infrastructure depreciation and operating cost assumptions.
Formula: =P32/P22
Cross-sheet references identify the owning schedule. Same-sheet references identify intermediate calculations.</x:t>
        </x:r>
      </x:text>
    </x:comment>
    <x:comment ref="Q33" authorId="0">
      <x:text>
        <x:r>
          <x:t>Operating margin (FY:29 E).
Operating income divided by revenue for the same fiscal year. A declining margin can reflect infrastructure depreciation and operating cost assumptions.
Formula: =Q32/Q22
Cross-sheet references identify the owning schedule. Same-sheet references identify intermediate calculations.</x:t>
        </x:r>
      </x:text>
    </x:comment>
    <x:comment ref="R33" authorId="0">
      <x:text>
        <x:r>
          <x:t>Operating margin (FY:30 E).
Operating income divided by revenue for the same fiscal year. A declining margin can reflect infrastructure depreciation and operating cost assumptions.
Formula: =R32/R22
Cross-sheet references identify the owning schedule. Same-sheet references identify intermediate calculations.</x:t>
        </x:r>
      </x:text>
    </x:comment>
    <x:comment ref="S33" authorId="0">
      <x:text>
        <x:r>
          <x:t>Operating margin (FY:31 E).
Operating income divided by revenue for the same fiscal year. A declining margin can reflect infrastructure depreciation and operating cost assumptions.
Formula: =S32/S22
Cross-sheet references identify the owning schedule. Same-sheet references identify intermediate calculations.</x:t>
        </x:r>
      </x:text>
    </x:comment>
    <x:comment ref="C36" authorId="0">
      <x:text>
        <x:r>
          <x:t>Recognized sales from products and services. Consolidated forecast revenue is the sum of the three segment forecasts. Revenue is different from cash collected.</x:t>
        </x:r>
      </x:text>
    </x:comment>
    <x:comment ref="E36" authorId="0">
      <x:text>
        <x:r>
          <x:t>Revenue (FY:17 A).
Recognized sales from products and services. Consolidated forecast revenue is the sum of the three segment forecasts. Revenue is different from cash collected.
Stored input or primary source observation. It is not calculated in this cell.</x:t>
        </x:r>
      </x:text>
    </x:comment>
    <x:comment ref="F36" authorId="0">
      <x:text>
        <x:r>
          <x:t>Revenue (FY:18 A).
Recognized sales from products and services. Consolidated forecast revenue is the sum of the three segment forecasts. Revenue is different from cash collected.
Stored input or primary source observation. It is not calculated in this cell.</x:t>
        </x:r>
      </x:text>
    </x:comment>
    <x:comment ref="G36" authorId="0">
      <x:text>
        <x:r>
          <x:t>Revenue (FY:19 A).
Recognized sales from products and services. Consolidated forecast revenue is the sum of the three segment forecasts. Revenue is different from cash collected.
Stored input or primary source observation. It is not calculated in this cell.</x:t>
        </x:r>
      </x:text>
    </x:comment>
    <x:comment ref="H36" authorId="0">
      <x:text>
        <x:r>
          <x:t>Revenue (FY:20 A).
Recognized sales from products and services. Consolidated forecast revenue is the sum of the three segment forecasts. Revenue is different from cash collected.
Stored input or primary source observation. It is not calculated in this cell.</x:t>
        </x:r>
      </x:text>
    </x:comment>
    <x:comment ref="I36" authorId="0">
      <x:text>
        <x:r>
          <x:t>Revenue (FY:21 A).
Recognized sales from products and services. Consolidated forecast revenue is the sum of the three segment forecasts. Revenue is different from cash collected.
Stored input or primary source observation. It is not calculated in this cell.</x:t>
        </x:r>
      </x:text>
    </x:comment>
    <x:comment ref="J36" authorId="0">
      <x:text>
        <x:r>
          <x:t>Revenue (FY:22 A).
Recognized sales from products and services. Consolidated forecast revenue is the sum of the three segment forecasts. Revenue is different from cash collected.
Stored input or primary source observation. It is not calculated in this cell.</x:t>
        </x:r>
      </x:text>
    </x:comment>
    <x:comment ref="K36" authorId="0">
      <x:text>
        <x:r>
          <x:t>Revenue (FY:23 A).
Recognized sales from products and services. Consolidated forecast revenue is the sum of the three segment forecasts. Revenue is different from cash collected.
Stored input or primary source observation. It is not calculated in this cell.</x:t>
        </x:r>
      </x:text>
    </x:comment>
    <x:comment ref="L36" authorId="0">
      <x:text>
        <x:r>
          <x:t>Revenue (FY:24 A).
Recognized sales from products and services. Consolidated forecast revenue is the sum of the three segment forecasts. Revenue is different from cash collected.
Stored input or primary source observation. It is not calculated in this cell.</x:t>
        </x:r>
      </x:text>
    </x:comment>
    <x:comment ref="M36" authorId="0">
      <x:text>
        <x:r>
          <x:t>Revenue (FY:25 A).
Recognized sales from products and services. Consolidated forecast revenue is the sum of the three segment forecasts. Revenue is different from cash collected.
Stored input or primary source observation. It is not calculated in this cell.</x:t>
        </x:r>
      </x:text>
    </x:comment>
    <x:comment ref="N36" authorId="0">
      <x:text>
        <x:r>
          <x:t>Revenue (FY:26 A).
Recognized sales from products and services. Consolidated forecast revenue is the sum of the three segment forecasts. Revenue is different from cash collected.
Stored input or primary source observation. It is not calculated in this cell.</x:t>
        </x:r>
      </x:text>
    </x:comment>
    <x:comment ref="O36" authorId="0">
      <x:text>
        <x:r>
          <x:t>Revenue (FY:27 E).
Recognized sales from products and services. Consolidated forecast revenue is the sum of the three segment forecasts. Revenue is different from cash collected.
Formula: =N36*(1+'Assumptions'!O17)
Cross-sheet references identify the owning schedule. Same-sheet references identify intermediate calculations.</x:t>
        </x:r>
      </x:text>
    </x:comment>
    <x:comment ref="P36" authorId="0">
      <x:text>
        <x:r>
          <x:t>Revenue (FY:28 E).
Recognized sales from products and services. Consolidated forecast revenue is the sum of the three segment forecasts. Revenue is different from cash collected.
Formula: =O36*(1+'Assumptions'!P17)
Cross-sheet references identify the owning schedule. Same-sheet references identify intermediate calculations.</x:t>
        </x:r>
      </x:text>
    </x:comment>
    <x:comment ref="Q36" authorId="0">
      <x:text>
        <x:r>
          <x:t>Revenue (FY:29 E).
Recognized sales from products and services. Consolidated forecast revenue is the sum of the three segment forecasts. Revenue is different from cash collected.
Formula: =P36*(1+'Assumptions'!Q17)
Cross-sheet references identify the owning schedule. Same-sheet references identify intermediate calculations.</x:t>
        </x:r>
      </x:text>
    </x:comment>
    <x:comment ref="R36" authorId="0">
      <x:text>
        <x:r>
          <x:t>Revenue (FY:30 E).
Recognized sales from products and services. Consolidated forecast revenue is the sum of the three segment forecasts. Revenue is different from cash collected.
Formula: =Q36*(1+'Assumptions'!R17)
Cross-sheet references identify the owning schedule. Same-sheet references identify intermediate calculations.</x:t>
        </x:r>
      </x:text>
    </x:comment>
    <x:comment ref="S36" authorId="0">
      <x:text>
        <x:r>
          <x:t>Revenue (FY:31 E).
Recognized sales from products and services. Consolidated forecast revenue is the sum of the three segment forecasts. Revenue is different from cash collected.
Formula: =R36*(1+'Assumptions'!S17)
Cross-sheet references identify the owning schedule. Same-sheet references identify intermediate calculations.</x:t>
        </x:r>
      </x:text>
    </x:comment>
    <x:comment ref="C37" authorId="0">
      <x:text>
        <x:r>
          <x:t>Current-year revenue divided by prior-year revenue less one. Growth across a segment definition change is unavailable.</x:t>
        </x:r>
      </x:text>
    </x:comment>
    <x:comment ref="E37" authorId="0">
      <x:text>
        <x:r>
          <x:t>Revenue growth (FY:17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F37" authorId="0">
      <x:text>
        <x:r>
          <x:t>Revenue growth (FY:18 A).
Current-year revenue divided by prior-year revenue less one. Growth across a segment definition change is unavailable.
Formula: =F36/E36-1
Cross-sheet references identify the owning schedule. Same-sheet references identify intermediate calculations.</x:t>
        </x:r>
      </x:text>
    </x:comment>
    <x:comment ref="G37" authorId="0">
      <x:text>
        <x:r>
          <x:t>Revenue growth (FY:19 A).
Current-year revenue divided by prior-year revenue less one. Growth across a segment definition change is unavailable.
Formula: =G36/F36-1
Cross-sheet references identify the owning schedule. Same-sheet references identify intermediate calculations.</x:t>
        </x:r>
      </x:text>
    </x:comment>
    <x:comment ref="H37" authorId="0">
      <x:text>
        <x:r>
          <x:t>Revenue growth (FY:20 A).
Current-year revenue divided by prior-year revenue less one. Growth across a segment definition change is unavailable.
Formula: =H36/G36-1
Cross-sheet references identify the owning schedule. Same-sheet references identify intermediate calculations.</x:t>
        </x:r>
      </x:text>
    </x:comment>
    <x:comment ref="I37" authorId="0">
      <x:text>
        <x:r>
          <x:t>Revenue growth (FY:21 A).
Current-year revenue divided by prior-year revenue less one. Growth across a segment definition change is unavailable.
Formula: =I36/H36-1
Cross-sheet references identify the owning schedule. Same-sheet references identify intermediate calculations.</x:t>
        </x:r>
      </x:text>
    </x:comment>
    <x:comment ref="J37" authorId="0">
      <x:text>
        <x:r>
          <x:t>Revenue growth (FY:22 A).
Current-year revenue divided by prior-year revenue less one. Growth across a segment definition change is unavailable.
Formula: =J36/I36-1
Cross-sheet references identify the owning schedule. Same-sheet references identify intermediate calculations.</x:t>
        </x:r>
      </x:text>
    </x:comment>
    <x:comment ref="K37" authorId="0">
      <x:text>
        <x:r>
          <x:t>Revenue growth (FY:23 A).
Current-year revenue divided by prior-year revenue less one. Growth across a segment definition change is unavailable. This period is unavailable or not applicable. Do not interpret it as zero.
Formula: ="n.a."
Cross-sheet references identify the owning schedule. Same-sheet references identify intermediate calculations.</x:t>
        </x:r>
      </x:text>
    </x:comment>
    <x:comment ref="L37" authorId="0">
      <x:text>
        <x:r>
          <x:t>Revenue growth (FY:24 A).
Current-year revenue divided by prior-year revenue less one. Growth across a segment definition change is unavailable.
Formula: =L36/K36-1
Cross-sheet references identify the owning schedule. Same-sheet references identify intermediate calculations.</x:t>
        </x:r>
      </x:text>
    </x:comment>
    <x:comment ref="M37" authorId="0">
      <x:text>
        <x:r>
          <x:t>Revenue growth (FY:25 A).
Current-year revenue divided by prior-year revenue less one. Growth across a segment definition change is unavailable.
Formula: =M36/L36-1
Cross-sheet references identify the owning schedule. Same-sheet references identify intermediate calculations.</x:t>
        </x:r>
      </x:text>
    </x:comment>
    <x:comment ref="N37" authorId="0">
      <x:text>
        <x:r>
          <x:t>Revenue growth (FY:26 A).
Current-year revenue divided by prior-year revenue less one. Growth across a segment definition change is unavailable.
Formula: =N36/M36-1
Cross-sheet references identify the owning schedule. Same-sheet references identify intermediate calculations.</x:t>
        </x:r>
      </x:text>
    </x:comment>
    <x:comment ref="O37" authorId="0">
      <x:text>
        <x:r>
          <x:t>Revenue growth (FY:27 E).
Current-year revenue divided by prior-year revenue less one. Growth across a segment definition change is unavailable.
Formula: =O36/N36-1
Cross-sheet references identify the owning schedule. Same-sheet references identify intermediate calculations.</x:t>
        </x:r>
      </x:text>
    </x:comment>
    <x:comment ref="P37" authorId="0">
      <x:text>
        <x:r>
          <x:t>Revenue growth (FY:28 E).
Current-year revenue divided by prior-year revenue less one. Growth across a segment definition change is unavailable.
Formula: =P36/O36-1
Cross-sheet references identify the owning schedule. Same-sheet references identify intermediate calculations.</x:t>
        </x:r>
      </x:text>
    </x:comment>
    <x:comment ref="Q37" authorId="0">
      <x:text>
        <x:r>
          <x:t>Revenue growth (FY:29 E).
Current-year revenue divided by prior-year revenue less one. Growth across a segment definition change is unavailable.
Formula: =Q36/P36-1
Cross-sheet references identify the owning schedule. Same-sheet references identify intermediate calculations.</x:t>
        </x:r>
      </x:text>
    </x:comment>
    <x:comment ref="R37" authorId="0">
      <x:text>
        <x:r>
          <x:t>Revenue growth (FY:30 E).
Current-year revenue divided by prior-year revenue less one. Growth across a segment definition change is unavailable.
Formula: =R36/Q36-1
Cross-sheet references identify the owning schedule. Same-sheet references identify intermediate calculations.</x:t>
        </x:r>
      </x:text>
    </x:comment>
    <x:comment ref="S37" authorId="0">
      <x:text>
        <x:r>
          <x:t>Revenue growth (FY:31 E).
Current-year revenue divided by prior-year revenue less one. Growth across a segment definition change is unavailable.
Formula: =S36/R36-1
Cross-sheet references identify the owning schedule. Same-sheet references identify intermediate calculations.</x:t>
        </x:r>
      </x:text>
    </x:comment>
    <x:comment ref="C38"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38" authorId="0">
      <x:text>
        <x:r>
          <x:t>Cost before allocated D&amp;A and operating leases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38" authorId="0">
      <x:text>
        <x:r>
          <x:t>Cost before allocated D&amp;A and operating leases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38" authorId="0">
      <x:text>
        <x:r>
          <x:t>Cost before allocated D&amp;A and operating leases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38" authorId="0">
      <x:text>
        <x:r>
          <x:t>Cost before allocated D&amp;A and operating leases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38" authorId="0">
      <x:text>
        <x:r>
          <x:t>Cost before allocated D&amp;A and operating leases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38" authorId="0">
      <x:text>
        <x:r>
          <x:t>Cost before allocated D&amp;A and operating leases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38" authorId="0">
      <x:text>
        <x:r>
          <x:t>Cost before allocated D&amp;A and operating leases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38" authorId="0">
      <x:text>
        <x:r>
          <x:t>Cost before allocated D&amp;A and operating leases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38" authorId="0">
      <x:text>
        <x:r>
          <x:t>Cost before allocated D&amp;A and operating leases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38" authorId="0">
      <x:text>
        <x:r>
          <x:t>Cost before allocated D&amp;A and operating leases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38" authorId="0">
      <x:text>
        <x:r>
          <x:t>Cost before allocated D&amp;A and operating leases (FY:27 E).
Expense distributed using the explicit allocation inputs on Assumptions. These allocations are modeling assumptions rather than a Microsoft disclosure of these costs by segment. The formula identifies the owning expense schedule and percentage.
Formula: =O36*'Assumptions'!O29
Cross-sheet references identify the owning schedule. Same-sheet references identify intermediate calculations.</x:t>
        </x:r>
      </x:text>
    </x:comment>
    <x:comment ref="P38" authorId="0">
      <x:text>
        <x:r>
          <x:t>Cost before allocated D&amp;A and operating leases (FY:28 E).
Expense distributed using the explicit allocation inputs on Assumptions. These allocations are modeling assumptions rather than a Microsoft disclosure of these costs by segment. The formula identifies the owning expense schedule and percentage.
Formula: =P36*'Assumptions'!P29
Cross-sheet references identify the owning schedule. Same-sheet references identify intermediate calculations.</x:t>
        </x:r>
      </x:text>
    </x:comment>
    <x:comment ref="Q38" authorId="0">
      <x:text>
        <x:r>
          <x:t>Cost before allocated D&amp;A and operating leases (FY:29 E).
Expense distributed using the explicit allocation inputs on Assumptions. These allocations are modeling assumptions rather than a Microsoft disclosure of these costs by segment. The formula identifies the owning expense schedule and percentage.
Formula: =Q36*'Assumptions'!Q29
Cross-sheet references identify the owning schedule. Same-sheet references identify intermediate calculations.</x:t>
        </x:r>
      </x:text>
    </x:comment>
    <x:comment ref="R38" authorId="0">
      <x:text>
        <x:r>
          <x:t>Cost before allocated D&amp;A and operating leases (FY:30 E).
Expense distributed using the explicit allocation inputs on Assumptions. These allocations are modeling assumptions rather than a Microsoft disclosure of these costs by segment. The formula identifies the owning expense schedule and percentage.
Formula: =R36*'Assumptions'!R29
Cross-sheet references identify the owning schedule. Same-sheet references identify intermediate calculations.</x:t>
        </x:r>
      </x:text>
    </x:comment>
    <x:comment ref="S38" authorId="0">
      <x:text>
        <x:r>
          <x:t>Cost before allocated D&amp;A and operating leases (FY:31 E).
Expense distributed using the explicit allocation inputs on Assumptions. These allocations are modeling assumptions rather than a Microsoft disclosure of these costs by segment. The formula identifies the owning expense schedule and percentage.
Formula: =S36*'Assumptions'!S29
Cross-sheet references identify the owning schedule. Same-sheet references identify intermediate calculations.</x:t>
        </x:r>
      </x:text>
    </x:comment>
    <x:comment ref="C39"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39" authorId="0">
      <x:text>
        <x:r>
          <x:t>Allocated PPE depreciation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39" authorId="0">
      <x:text>
        <x:r>
          <x:t>Allocated PPE depreciation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39" authorId="0">
      <x:text>
        <x:r>
          <x:t>Allocated PPE depreciation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39" authorId="0">
      <x:text>
        <x:r>
          <x:t>Allocated PPE depreciation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39" authorId="0">
      <x:text>
        <x:r>
          <x:t>Allocated PPE depreciation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39" authorId="0">
      <x:text>
        <x:r>
          <x:t>Allocated PPE depreciation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39" authorId="0">
      <x:text>
        <x:r>
          <x:t>Allocated PPE depreciation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39" authorId="0">
      <x:text>
        <x:r>
          <x:t>Allocated PPE depreciation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39" authorId="0">
      <x:text>
        <x:r>
          <x:t>Allocated PPE depreciation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39" authorId="0">
      <x:text>
        <x:r>
          <x:t>Allocated PPE depreciation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39" authorId="0">
      <x:text>
        <x:r>
          <x:t>Allocated PPE depreciation (FY:27 E).
Expense distributed using the explicit allocation inputs on Assumptions. These allocations are modeling assumptions rather than a Microsoft disclosure of these costs by segment. The formula identifies the owning expense schedule and percentage.
Formula: ='PPE and Intangibles'!O21*'Assumptions'!G205
Cross-sheet references identify the owning schedule. Same-sheet references identify intermediate calculations.</x:t>
        </x:r>
      </x:text>
    </x:comment>
    <x:comment ref="P39" authorId="0">
      <x:text>
        <x:r>
          <x:t>Allocated PPE depreciation (FY:28 E).
Expense distributed using the explicit allocation inputs on Assumptions. These allocations are modeling assumptions rather than a Microsoft disclosure of these costs by segment. The formula identifies the owning expense schedule and percentage.
Formula: ='PPE and Intangibles'!P21*'Assumptions'!G205
Cross-sheet references identify the owning schedule. Same-sheet references identify intermediate calculations.</x:t>
        </x:r>
      </x:text>
    </x:comment>
    <x:comment ref="Q39" authorId="0">
      <x:text>
        <x:r>
          <x:t>Allocated PPE depreciation (FY:29 E).
Expense distributed using the explicit allocation inputs on Assumptions. These allocations are modeling assumptions rather than a Microsoft disclosure of these costs by segment. The formula identifies the owning expense schedule and percentage.
Formula: ='PPE and Intangibles'!Q21*'Assumptions'!G205
Cross-sheet references identify the owning schedule. Same-sheet references identify intermediate calculations.</x:t>
        </x:r>
      </x:text>
    </x:comment>
    <x:comment ref="R39" authorId="0">
      <x:text>
        <x:r>
          <x:t>Allocated PPE depreciation (FY:30 E).
Expense distributed using the explicit allocation inputs on Assumptions. These allocations are modeling assumptions rather than a Microsoft disclosure of these costs by segment. The formula identifies the owning expense schedule and percentage.
Formula: ='PPE and Intangibles'!R21*'Assumptions'!G205
Cross-sheet references identify the owning schedule. Same-sheet references identify intermediate calculations.</x:t>
        </x:r>
      </x:text>
    </x:comment>
    <x:comment ref="S39" authorId="0">
      <x:text>
        <x:r>
          <x:t>Allocated PPE depreciation (FY:31 E).
Expense distributed using the explicit allocation inputs on Assumptions. These allocations are modeling assumptions rather than a Microsoft disclosure of these costs by segment. The formula identifies the owning expense schedule and percentage.
Formula: ='PPE and Intangibles'!S21*'Assumptions'!G205
Cross-sheet references identify the owning schedule. Same-sheet references identify intermediate calculations.</x:t>
        </x:r>
      </x:text>
    </x:comment>
    <x:comment ref="C40"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40" authorId="0">
      <x:text>
        <x:r>
          <x:t>Allocated intangible amortization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40" authorId="0">
      <x:text>
        <x:r>
          <x:t>Allocated intangible amortization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40" authorId="0">
      <x:text>
        <x:r>
          <x:t>Allocated intangible amortization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40" authorId="0">
      <x:text>
        <x:r>
          <x:t>Allocated intangible amortization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40" authorId="0">
      <x:text>
        <x:r>
          <x:t>Allocated intangible amortization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40" authorId="0">
      <x:text>
        <x:r>
          <x:t>Allocated intangible amortization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40" authorId="0">
      <x:text>
        <x:r>
          <x:t>Allocated intangible amortization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40" authorId="0">
      <x:text>
        <x:r>
          <x:t>Allocated intangible amortization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40" authorId="0">
      <x:text>
        <x:r>
          <x:t>Allocated intangible amortization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40" authorId="0">
      <x:text>
        <x:r>
          <x:t>Allocated intangible amortization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40" authorId="0">
      <x:text>
        <x:r>
          <x:t>Allocated intangible amortization (FY:27 E).
Expense distributed using the explicit allocation inputs on Assumptions. These allocations are modeling assumptions rather than a Microsoft disclosure of these costs by segment. The formula identifies the owning expense schedule and percentage.
Formula: ='PPE and Intangibles'!O42*'Assumptions'!G206
Cross-sheet references identify the owning schedule. Same-sheet references identify intermediate calculations.</x:t>
        </x:r>
      </x:text>
    </x:comment>
    <x:comment ref="P40" authorId="0">
      <x:text>
        <x:r>
          <x:t>Allocated intangible amortization (FY:28 E).
Expense distributed using the explicit allocation inputs on Assumptions. These allocations are modeling assumptions rather than a Microsoft disclosure of these costs by segment. The formula identifies the owning expense schedule and percentage.
Formula: ='PPE and Intangibles'!P42*'Assumptions'!G206
Cross-sheet references identify the owning schedule. Same-sheet references identify intermediate calculations.</x:t>
        </x:r>
      </x:text>
    </x:comment>
    <x:comment ref="Q40" authorId="0">
      <x:text>
        <x:r>
          <x:t>Allocated intangible amortization (FY:29 E).
Expense distributed using the explicit allocation inputs on Assumptions. These allocations are modeling assumptions rather than a Microsoft disclosure of these costs by segment. The formula identifies the owning expense schedule and percentage.
Formula: ='PPE and Intangibles'!Q42*'Assumptions'!G206
Cross-sheet references identify the owning schedule. Same-sheet references identify intermediate calculations.</x:t>
        </x:r>
      </x:text>
    </x:comment>
    <x:comment ref="R40" authorId="0">
      <x:text>
        <x:r>
          <x:t>Allocated intangible amortization (FY:30 E).
Expense distributed using the explicit allocation inputs on Assumptions. These allocations are modeling assumptions rather than a Microsoft disclosure of these costs by segment. The formula identifies the owning expense schedule and percentage.
Formula: ='PPE and Intangibles'!R42*'Assumptions'!G206
Cross-sheet references identify the owning schedule. Same-sheet references identify intermediate calculations.</x:t>
        </x:r>
      </x:text>
    </x:comment>
    <x:comment ref="S40" authorId="0">
      <x:text>
        <x:r>
          <x:t>Allocated intangible amortization (FY:31 E).
Expense distributed using the explicit allocation inputs on Assumptions. These allocations are modeling assumptions rather than a Microsoft disclosure of these costs by segment. The formula identifies the owning expense schedule and percentage.
Formula: ='PPE and Intangibles'!S42*'Assumptions'!G206
Cross-sheet references identify the owning schedule. Same-sheet references identify intermediate calculations.</x:t>
        </x:r>
      </x:text>
    </x:comment>
    <x:comment ref="C41"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41" authorId="0">
      <x:text>
        <x:r>
          <x:t>Allocated operating lease expense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41" authorId="0">
      <x:text>
        <x:r>
          <x:t>Allocated operating lease expense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41" authorId="0">
      <x:text>
        <x:r>
          <x:t>Allocated operating lease expense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41" authorId="0">
      <x:text>
        <x:r>
          <x:t>Allocated operating lease expense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41" authorId="0">
      <x:text>
        <x:r>
          <x:t>Allocated operating lease expense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41" authorId="0">
      <x:text>
        <x:r>
          <x:t>Allocated operating lease expense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41" authorId="0">
      <x:text>
        <x:r>
          <x:t>Allocated operating lease expense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41" authorId="0">
      <x:text>
        <x:r>
          <x:t>Allocated operating lease expense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41" authorId="0">
      <x:text>
        <x:r>
          <x:t>Allocated operating lease expense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41" authorId="0">
      <x:text>
        <x:r>
          <x:t>Allocated operating lease expense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41" authorId="0">
      <x:text>
        <x:r>
          <x:t>Allocated operating lease expense (FY:27 E).
Expense distributed using the explicit allocation inputs on Assumptions. These allocations are modeling assumptions rather than a Microsoft disclosure of these costs by segment. The formula identifies the owning expense schedule and percentage.
Formula: ='Debt and Leases'!O61*'Assumptions'!G207
Cross-sheet references identify the owning schedule. Same-sheet references identify intermediate calculations.</x:t>
        </x:r>
      </x:text>
    </x:comment>
    <x:comment ref="P41" authorId="0">
      <x:text>
        <x:r>
          <x:t>Allocated operating lease expense (FY:28 E).
Expense distributed using the explicit allocation inputs on Assumptions. These allocations are modeling assumptions rather than a Microsoft disclosure of these costs by segment. The formula identifies the owning expense schedule and percentage.
Formula: ='Debt and Leases'!P61*'Assumptions'!G207
Cross-sheet references identify the owning schedule. Same-sheet references identify intermediate calculations.</x:t>
        </x:r>
      </x:text>
    </x:comment>
    <x:comment ref="Q41" authorId="0">
      <x:text>
        <x:r>
          <x:t>Allocated operating lease expense (FY:29 E).
Expense distributed using the explicit allocation inputs on Assumptions. These allocations are modeling assumptions rather than a Microsoft disclosure of these costs by segment. The formula identifies the owning expense schedule and percentage.
Formula: ='Debt and Leases'!Q61*'Assumptions'!G207
Cross-sheet references identify the owning schedule. Same-sheet references identify intermediate calculations.</x:t>
        </x:r>
      </x:text>
    </x:comment>
    <x:comment ref="R41" authorId="0">
      <x:text>
        <x:r>
          <x:t>Allocated operating lease expense (FY:30 E).
Expense distributed using the explicit allocation inputs on Assumptions. These allocations are modeling assumptions rather than a Microsoft disclosure of these costs by segment. The formula identifies the owning expense schedule and percentage.
Formula: ='Debt and Leases'!R61*'Assumptions'!G207
Cross-sheet references identify the owning schedule. Same-sheet references identify intermediate calculations.</x:t>
        </x:r>
      </x:text>
    </x:comment>
    <x:comment ref="S41" authorId="0">
      <x:text>
        <x:r>
          <x:t>Allocated operating lease expense (FY:31 E).
Expense distributed using the explicit allocation inputs on Assumptions. These allocations are modeling assumptions rather than a Microsoft disclosure of these costs by segment. The formula identifies the owning expense schedule and percentage.
Formula: ='Debt and Leases'!S61*'Assumptions'!G207
Cross-sheet references identify the owning schedule. Same-sheet references identify intermediate calculations.</x:t>
        </x:r>
      </x:text>
    </x:comment>
    <x:comment ref="C42" authorId="0">
      <x:text>
        <x:r>
          <x:t>Total cost of revenue. This line belongs to the Segments calculation. Read its formula to trace the referenced inputs and intermediate totals.</x:t>
        </x:r>
      </x:text>
    </x:comment>
    <x:comment ref="E42" authorId="0">
      <x:text>
        <x:r>
          <x:t>Total cost of revenue (FY:17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F42" authorId="0">
      <x:text>
        <x:r>
          <x:t>Total cost of revenue (FY:18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G42" authorId="0">
      <x:text>
        <x:r>
          <x:t>Total cost of revenue (FY:19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H42" authorId="0">
      <x:text>
        <x:r>
          <x:t>Total cost of revenue (FY:20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I42" authorId="0">
      <x:text>
        <x:r>
          <x:t>Total cost of revenue (FY:21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J42" authorId="0">
      <x:text>
        <x:r>
          <x:t>Total cost of revenue (FY:22 A).
Total cost of revenue. This line belongs to the Segments calculation. Read its formula to trace the referenced inputs and intermediate totals. This period is unavailable or not applicable. Do not interpret it as zero.
Stored input or primary source observation. It is not calculated in this cell.</x:t>
        </x:r>
      </x:text>
    </x:comment>
    <x:comment ref="K42" authorId="0">
      <x:text>
        <x:r>
          <x:t>Total cost of revenue (FY:23 A).
Total cost of revenue. This line belongs to the Segments calculation. Read its formula to trace the referenced inputs and intermediate totals.
Stored input or primary source observation. It is not calculated in this cell.</x:t>
        </x:r>
      </x:text>
    </x:comment>
    <x:comment ref="L42" authorId="0">
      <x:text>
        <x:r>
          <x:t>Total cost of revenue (FY:24 A).
Total cost of revenue. This line belongs to the Segments calculation. Read its formula to trace the referenced inputs and intermediate totals.
Stored input or primary source observation. It is not calculated in this cell.</x:t>
        </x:r>
      </x:text>
    </x:comment>
    <x:comment ref="M42" authorId="0">
      <x:text>
        <x:r>
          <x:t>Total cost of revenue (FY:25 A).
Total cost of revenue. This line belongs to the Segments calculation. Read its formula to trace the referenced inputs and intermediate totals.
Stored input or primary source observation. It is not calculated in this cell.</x:t>
        </x:r>
      </x:text>
    </x:comment>
    <x:comment ref="N42" authorId="0">
      <x:text>
        <x:r>
          <x:t>Total cost of revenue (FY:26 A).
Total cost of revenue. This line belongs to the Segments calculation. Read its formula to trace the referenced inputs and intermediate totals.
Stored input or primary source observation. It is not calculated in this cell.</x:t>
        </x:r>
      </x:text>
    </x:comment>
    <x:comment ref="O42" authorId="0">
      <x:text>
        <x:r>
          <x:t>Total cost of revenue (FY:27 E).
Total cost of revenue. This line belongs to the Segments calculation. Read its formula to trace the referenced inputs and intermediate totals.
Formula: =SUM(O38:O41)
Cross-sheet references identify the owning schedule. Same-sheet references identify intermediate calculations.</x:t>
        </x:r>
      </x:text>
    </x:comment>
    <x:comment ref="P42" authorId="0">
      <x:text>
        <x:r>
          <x:t>Total cost of revenue (FY:28 E).
Total cost of revenue. This line belongs to the Segments calculation. Read its formula to trace the referenced inputs and intermediate totals.
Formula: =SUM(P38:P41)
Cross-sheet references identify the owning schedule. Same-sheet references identify intermediate calculations.</x:t>
        </x:r>
      </x:text>
    </x:comment>
    <x:comment ref="Q42" authorId="0">
      <x:text>
        <x:r>
          <x:t>Total cost of revenue (FY:29 E).
Total cost of revenue. This line belongs to the Segments calculation. Read its formula to trace the referenced inputs and intermediate totals.
Formula: =SUM(Q38:Q41)
Cross-sheet references identify the owning schedule. Same-sheet references identify intermediate calculations.</x:t>
        </x:r>
      </x:text>
    </x:comment>
    <x:comment ref="R42" authorId="0">
      <x:text>
        <x:r>
          <x:t>Total cost of revenue (FY:30 E).
Total cost of revenue. This line belongs to the Segments calculation. Read its formula to trace the referenced inputs and intermediate totals.
Formula: =SUM(R38:R41)
Cross-sheet references identify the owning schedule. Same-sheet references identify intermediate calculations.</x:t>
        </x:r>
      </x:text>
    </x:comment>
    <x:comment ref="S42" authorId="0">
      <x:text>
        <x:r>
          <x:t>Total cost of revenue (FY:31 E).
Total cost of revenue. This line belongs to the Segments calculation. Read its formula to trace the referenced inputs and intermediate totals.
Formula: =SUM(S38:S41)
Cross-sheet references identify the owning schedule. Same-sheet references identify intermediate calculations.</x:t>
        </x:r>
      </x:text>
    </x:comment>
    <x:comment ref="C43" authorId="0">
      <x:text>
        <x:r>
          <x:t>Revenue less cost of revenue. It measures profit before operating expenses.</x:t>
        </x:r>
      </x:text>
    </x:comment>
    <x:comment ref="E43" authorId="0">
      <x:text>
        <x:r>
          <x:t>Gross profit (FY:17 A).
Revenue less cost of revenue. It measures profit before operating expenses. This period is unavailable or not applicable. Do not interpret it as zero.
Stored input or primary source observation. It is not calculated in this cell.</x:t>
        </x:r>
      </x:text>
    </x:comment>
    <x:comment ref="F43" authorId="0">
      <x:text>
        <x:r>
          <x:t>Gross profit (FY:18 A).
Revenue less cost of revenue. It measures profit before operating expenses. This period is unavailable or not applicable. Do not interpret it as zero.
Stored input or primary source observation. It is not calculated in this cell.</x:t>
        </x:r>
      </x:text>
    </x:comment>
    <x:comment ref="G43" authorId="0">
      <x:text>
        <x:r>
          <x:t>Gross profit (FY:19 A).
Revenue less cost of revenue. It measures profit before operating expenses. This period is unavailable or not applicable. Do not interpret it as zero.
Stored input or primary source observation. It is not calculated in this cell.</x:t>
        </x:r>
      </x:text>
    </x:comment>
    <x:comment ref="H43" authorId="0">
      <x:text>
        <x:r>
          <x:t>Gross profit (FY:20 A).
Revenue less cost of revenue. It measures profit before operating expenses. This period is unavailable or not applicable. Do not interpret it as zero.
Stored input or primary source observation. It is not calculated in this cell.</x:t>
        </x:r>
      </x:text>
    </x:comment>
    <x:comment ref="I43" authorId="0">
      <x:text>
        <x:r>
          <x:t>Gross profit (FY:21 A).
Revenue less cost of revenue. It measures profit before operating expenses. This period is unavailable or not applicable. Do not interpret it as zero.
Stored input or primary source observation. It is not calculated in this cell.</x:t>
        </x:r>
      </x:text>
    </x:comment>
    <x:comment ref="J43" authorId="0">
      <x:text>
        <x:r>
          <x:t>Gross profit (FY:22 A).
Revenue less cost of revenue. It measures profit before operating expenses. This period is unavailable or not applicable. Do not interpret it as zero.
Stored input or primary source observation. It is not calculated in this cell.</x:t>
        </x:r>
      </x:text>
    </x:comment>
    <x:comment ref="K43" authorId="0">
      <x:text>
        <x:r>
          <x:t>Gross profit (FY:23 A).
Revenue less cost of revenue. It measures profit before operating expenses.
Formula: =K36-K42
Cross-sheet references identify the owning schedule. Same-sheet references identify intermediate calculations.</x:t>
        </x:r>
      </x:text>
    </x:comment>
    <x:comment ref="L43" authorId="0">
      <x:text>
        <x:r>
          <x:t>Gross profit (FY:24 A).
Revenue less cost of revenue. It measures profit before operating expenses.
Formula: =L36-L42
Cross-sheet references identify the owning schedule. Same-sheet references identify intermediate calculations.</x:t>
        </x:r>
      </x:text>
    </x:comment>
    <x:comment ref="M43" authorId="0">
      <x:text>
        <x:r>
          <x:t>Gross profit (FY:25 A).
Revenue less cost of revenue. It measures profit before operating expenses.
Formula: =M36-M42
Cross-sheet references identify the owning schedule. Same-sheet references identify intermediate calculations.</x:t>
        </x:r>
      </x:text>
    </x:comment>
    <x:comment ref="N43" authorId="0">
      <x:text>
        <x:r>
          <x:t>Gross profit (FY:26 A).
Revenue less cost of revenue. It measures profit before operating expenses.
Formula: =N36-N42
Cross-sheet references identify the owning schedule. Same-sheet references identify intermediate calculations.</x:t>
        </x:r>
      </x:text>
    </x:comment>
    <x:comment ref="O43" authorId="0">
      <x:text>
        <x:r>
          <x:t>Gross profit (FY:27 E).
Revenue less cost of revenue. It measures profit before operating expenses.
Formula: =O36-O42
Cross-sheet references identify the owning schedule. Same-sheet references identify intermediate calculations.</x:t>
        </x:r>
      </x:text>
    </x:comment>
    <x:comment ref="P43" authorId="0">
      <x:text>
        <x:r>
          <x:t>Gross profit (FY:28 E).
Revenue less cost of revenue. It measures profit before operating expenses.
Formula: =P36-P42
Cross-sheet references identify the owning schedule. Same-sheet references identify intermediate calculations.</x:t>
        </x:r>
      </x:text>
    </x:comment>
    <x:comment ref="Q43" authorId="0">
      <x:text>
        <x:r>
          <x:t>Gross profit (FY:29 E).
Revenue less cost of revenue. It measures profit before operating expenses.
Formula: =Q36-Q42
Cross-sheet references identify the owning schedule. Same-sheet references identify intermediate calculations.</x:t>
        </x:r>
      </x:text>
    </x:comment>
    <x:comment ref="R43" authorId="0">
      <x:text>
        <x:r>
          <x:t>Gross profit (FY:30 E).
Revenue less cost of revenue. It measures profit before operating expenses.
Formula: =R36-R42
Cross-sheet references identify the owning schedule. Same-sheet references identify intermediate calculations.</x:t>
        </x:r>
      </x:text>
    </x:comment>
    <x:comment ref="S43" authorId="0">
      <x:text>
        <x:r>
          <x:t>Gross profit (FY:31 E).
Revenue less cost of revenue. It measures profit before operating expenses.
Formula: =S36-S42
Cross-sheet references identify the owning schedule. Same-sheet references identify intermediate calculations.</x:t>
        </x:r>
      </x:text>
    </x:comment>
    <x:comment ref="C44" authorId="0">
      <x:text>
        <x:r>
          <x:t>Gross profit divided by revenue for the same fiscal year.</x:t>
        </x:r>
      </x:text>
    </x:comment>
    <x:comment ref="E44" authorId="0">
      <x:text>
        <x:r>
          <x:t>Gross margin (FY:17 A).
Gross profit divided by revenue for the same fiscal year. This period is unavailable or not applicable. Do not interpret it as zero.
Stored input or primary source observation. It is not calculated in this cell.</x:t>
        </x:r>
      </x:text>
    </x:comment>
    <x:comment ref="F44" authorId="0">
      <x:text>
        <x:r>
          <x:t>Gross margin (FY:18 A).
Gross profit divided by revenue for the same fiscal year. This period is unavailable or not applicable. Do not interpret it as zero.
Stored input or primary source observation. It is not calculated in this cell.</x:t>
        </x:r>
      </x:text>
    </x:comment>
    <x:comment ref="G44" authorId="0">
      <x:text>
        <x:r>
          <x:t>Gross margin (FY:19 A).
Gross profit divided by revenue for the same fiscal year. This period is unavailable or not applicable. Do not interpret it as zero.
Stored input or primary source observation. It is not calculated in this cell.</x:t>
        </x:r>
      </x:text>
    </x:comment>
    <x:comment ref="H44" authorId="0">
      <x:text>
        <x:r>
          <x:t>Gross margin (FY:20 A).
Gross profit divided by revenue for the same fiscal year. This period is unavailable or not applicable. Do not interpret it as zero.
Stored input or primary source observation. It is not calculated in this cell.</x:t>
        </x:r>
      </x:text>
    </x:comment>
    <x:comment ref="I44" authorId="0">
      <x:text>
        <x:r>
          <x:t>Gross margin (FY:21 A).
Gross profit divided by revenue for the same fiscal year. This period is unavailable or not applicable. Do not interpret it as zero.
Stored input or primary source observation. It is not calculated in this cell.</x:t>
        </x:r>
      </x:text>
    </x:comment>
    <x:comment ref="J44" authorId="0">
      <x:text>
        <x:r>
          <x:t>Gross margin (FY:22 A).
Gross profit divided by revenue for the same fiscal year. This period is unavailable or not applicable. Do not interpret it as zero.
Stored input or primary source observation. It is not calculated in this cell.</x:t>
        </x:r>
      </x:text>
    </x:comment>
    <x:comment ref="K44" authorId="0">
      <x:text>
        <x:r>
          <x:t>Gross margin (FY:23 A).
Gross profit divided by revenue for the same fiscal year.
Formula: =K43/K36
Cross-sheet references identify the owning schedule. Same-sheet references identify intermediate calculations.</x:t>
        </x:r>
      </x:text>
    </x:comment>
    <x:comment ref="L44" authorId="0">
      <x:text>
        <x:r>
          <x:t>Gross margin (FY:24 A).
Gross profit divided by revenue for the same fiscal year.
Formula: =L43/L36
Cross-sheet references identify the owning schedule. Same-sheet references identify intermediate calculations.</x:t>
        </x:r>
      </x:text>
    </x:comment>
    <x:comment ref="M44" authorId="0">
      <x:text>
        <x:r>
          <x:t>Gross margin (FY:25 A).
Gross profit divided by revenue for the same fiscal year.
Formula: =M43/M36
Cross-sheet references identify the owning schedule. Same-sheet references identify intermediate calculations.</x:t>
        </x:r>
      </x:text>
    </x:comment>
    <x:comment ref="N44" authorId="0">
      <x:text>
        <x:r>
          <x:t>Gross margin (FY:26 A).
Gross profit divided by revenue for the same fiscal year.
Formula: =N43/N36
Cross-sheet references identify the owning schedule. Same-sheet references identify intermediate calculations.</x:t>
        </x:r>
      </x:text>
    </x:comment>
    <x:comment ref="O44" authorId="0">
      <x:text>
        <x:r>
          <x:t>Gross margin (FY:27 E).
Gross profit divided by revenue for the same fiscal year.
Formula: =O43/O36
Cross-sheet references identify the owning schedule. Same-sheet references identify intermediate calculations.</x:t>
        </x:r>
      </x:text>
    </x:comment>
    <x:comment ref="P44" authorId="0">
      <x:text>
        <x:r>
          <x:t>Gross margin (FY:28 E).
Gross profit divided by revenue for the same fiscal year.
Formula: =P43/P36
Cross-sheet references identify the owning schedule. Same-sheet references identify intermediate calculations.</x:t>
        </x:r>
      </x:text>
    </x:comment>
    <x:comment ref="Q44" authorId="0">
      <x:text>
        <x:r>
          <x:t>Gross margin (FY:29 E).
Gross profit divided by revenue for the same fiscal year.
Formula: =Q43/Q36
Cross-sheet references identify the owning schedule. Same-sheet references identify intermediate calculations.</x:t>
        </x:r>
      </x:text>
    </x:comment>
    <x:comment ref="R44" authorId="0">
      <x:text>
        <x:r>
          <x:t>Gross margin (FY:30 E).
Gross profit divided by revenue for the same fiscal year.
Formula: =R43/R36
Cross-sheet references identify the owning schedule. Same-sheet references identify intermediate calculations.</x:t>
        </x:r>
      </x:text>
    </x:comment>
    <x:comment ref="S44" authorId="0">
      <x:text>
        <x:r>
          <x:t>Gross margin (FY:31 E).
Gross profit divided by revenue for the same fiscal year.
Formula: =S43/S36
Cross-sheet references identify the owning schedule. Same-sheet references identify intermediate calculations.</x:t>
        </x:r>
      </x:text>
    </x:comment>
    <x:comment ref="C45"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45" authorId="0">
      <x:text>
        <x:r>
          <x:t>Allocated operating expenses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45" authorId="0">
      <x:text>
        <x:r>
          <x:t>Allocated operating expenses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45" authorId="0">
      <x:text>
        <x:r>
          <x:t>Allocated operating expenses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45" authorId="0">
      <x:text>
        <x:r>
          <x:t>Allocated operating expenses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45" authorId="0">
      <x:text>
        <x:r>
          <x:t>Allocated operating expenses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45" authorId="0">
      <x:text>
        <x:r>
          <x:t>Allocated operating expenses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45" authorId="0">
      <x:text>
        <x:r>
          <x:t>Allocated operating expenses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45" authorId="0">
      <x:text>
        <x:r>
          <x:t>Allocated operating expenses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45" authorId="0">
      <x:text>
        <x:r>
          <x:t>Allocated operating expenses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45" authorId="0">
      <x:text>
        <x:r>
          <x:t>Allocated operating expenses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45" authorId="0">
      <x:text>
        <x:r>
          <x:t>Allocated operating expenses (FY:27 E).
Expense distributed using the explicit allocation inputs on Assumptions. These allocations are modeling assumptions rather than a Microsoft disclosure of these costs by segment. The formula identifies the owning expense schedule and percentage.
Formula: ='Expense Plan'!O24*'Assumptions'!G208
Cross-sheet references identify the owning schedule. Same-sheet references identify intermediate calculations.</x:t>
        </x:r>
      </x:text>
    </x:comment>
    <x:comment ref="P45" authorId="0">
      <x:text>
        <x:r>
          <x:t>Allocated operating expenses (FY:28 E).
Expense distributed using the explicit allocation inputs on Assumptions. These allocations are modeling assumptions rather than a Microsoft disclosure of these costs by segment. The formula identifies the owning expense schedule and percentage.
Formula: ='Expense Plan'!P24*'Assumptions'!G208
Cross-sheet references identify the owning schedule. Same-sheet references identify intermediate calculations.</x:t>
        </x:r>
      </x:text>
    </x:comment>
    <x:comment ref="Q45" authorId="0">
      <x:text>
        <x:r>
          <x:t>Allocated operating expenses (FY:29 E).
Expense distributed using the explicit allocation inputs on Assumptions. These allocations are modeling assumptions rather than a Microsoft disclosure of these costs by segment. The formula identifies the owning expense schedule and percentage.
Formula: ='Expense Plan'!Q24*'Assumptions'!G208
Cross-sheet references identify the owning schedule. Same-sheet references identify intermediate calculations.</x:t>
        </x:r>
      </x:text>
    </x:comment>
    <x:comment ref="R45" authorId="0">
      <x:text>
        <x:r>
          <x:t>Allocated operating expenses (FY:30 E).
Expense distributed using the explicit allocation inputs on Assumptions. These allocations are modeling assumptions rather than a Microsoft disclosure of these costs by segment. The formula identifies the owning expense schedule and percentage.
Formula: ='Expense Plan'!R24*'Assumptions'!G208
Cross-sheet references identify the owning schedule. Same-sheet references identify intermediate calculations.</x:t>
        </x:r>
      </x:text>
    </x:comment>
    <x:comment ref="S45" authorId="0">
      <x:text>
        <x:r>
          <x:t>Allocated operating expenses (FY:31 E).
Expense distributed using the explicit allocation inputs on Assumptions. These allocations are modeling assumptions rather than a Microsoft disclosure of these costs by segment. The formula identifies the owning expense schedule and percentage.
Formula: ='Expense Plan'!S24*'Assumptions'!G208
Cross-sheet references identify the owning schedule. Same-sheet references identify intermediate calculations.</x:t>
        </x:r>
      </x:text>
    </x:comment>
    <x:comment ref="C46" authorId="0">
      <x:text>
        <x:r>
          <x:t>Gross profit less research and development, sales and marketing, general and administrative costs, and other operating expenses. It excludes nonoperating items and income tax.</x:t>
        </x:r>
      </x:text>
    </x:comment>
    <x:comment ref="E46" authorId="0">
      <x:text>
        <x:r>
          <x:t>Operating income (FY:17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F46" authorId="0">
      <x:text>
        <x:r>
          <x:t>Operating income (FY:18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G46" authorId="0">
      <x:text>
        <x:r>
          <x:t>Operating income (FY:19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H46" authorId="0">
      <x:text>
        <x:r>
          <x:t>Operating income (FY:20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I46" authorId="0">
      <x:text>
        <x:r>
          <x:t>Operating income (FY:21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J46" authorId="0">
      <x:text>
        <x:r>
          <x:t>Operating income (FY:22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K46" authorId="0">
      <x:text>
        <x:r>
          <x:t>Operating income (FY:23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L46" authorId="0">
      <x:text>
        <x:r>
          <x:t>Operating income (FY:24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M46" authorId="0">
      <x:text>
        <x:r>
          <x:t>Operating income (FY:25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N46" authorId="0">
      <x:text>
        <x:r>
          <x:t>Operating income (FY:26 A).
Gross profit less research and development, sales and marketing, general and administrative costs, and other operating expenses. It excludes nonoperating items and income tax.
Stored input or primary source observation. It is not calculated in this cell.</x:t>
        </x:r>
      </x:text>
    </x:comment>
    <x:comment ref="O46" authorId="0">
      <x:text>
        <x:r>
          <x:t>Operating income (FY:27 E).
Gross profit less research and development, sales and marketing, general and administrative costs, and other operating expenses. It excludes nonoperating items and income tax.
Formula: =O43-O45
Cross-sheet references identify the owning schedule. Same-sheet references identify intermediate calculations.</x:t>
        </x:r>
      </x:text>
    </x:comment>
    <x:comment ref="P46" authorId="0">
      <x:text>
        <x:r>
          <x:t>Operating income (FY:28 E).
Gross profit less research and development, sales and marketing, general and administrative costs, and other operating expenses. It excludes nonoperating items and income tax.
Formula: =P43-P45
Cross-sheet references identify the owning schedule. Same-sheet references identify intermediate calculations.</x:t>
        </x:r>
      </x:text>
    </x:comment>
    <x:comment ref="Q46" authorId="0">
      <x:text>
        <x:r>
          <x:t>Operating income (FY:29 E).
Gross profit less research and development, sales and marketing, general and administrative costs, and other operating expenses. It excludes nonoperating items and income tax.
Formula: =Q43-Q45
Cross-sheet references identify the owning schedule. Same-sheet references identify intermediate calculations.</x:t>
        </x:r>
      </x:text>
    </x:comment>
    <x:comment ref="R46" authorId="0">
      <x:text>
        <x:r>
          <x:t>Operating income (FY:30 E).
Gross profit less research and development, sales and marketing, general and administrative costs, and other operating expenses. It excludes nonoperating items and income tax.
Formula: =R43-R45
Cross-sheet references identify the owning schedule. Same-sheet references identify intermediate calculations.</x:t>
        </x:r>
      </x:text>
    </x:comment>
    <x:comment ref="S46" authorId="0">
      <x:text>
        <x:r>
          <x:t>Operating income (FY:31 E).
Gross profit less research and development, sales and marketing, general and administrative costs, and other operating expenses. It excludes nonoperating items and income tax.
Formula: =S43-S45
Cross-sheet references identify the owning schedule. Same-sheet references identify intermediate calculations.</x:t>
        </x:r>
      </x:text>
    </x:comment>
    <x:comment ref="C47" authorId="0">
      <x:text>
        <x:r>
          <x:t>Operating income divided by revenue for the same fiscal year. A declining margin can reflect infrastructure depreciation and operating cost assumptions.</x:t>
        </x:r>
      </x:text>
    </x:comment>
    <x:comment ref="E47" authorId="0">
      <x:text>
        <x:r>
          <x:t>Operating margin (FY:17 A).
Operating income divided by revenue for the same fiscal year. A declining margin can reflect infrastructure depreciation and operating cost assumptions.
Formula: =E46/E36
Cross-sheet references identify the owning schedule. Same-sheet references identify intermediate calculations.</x:t>
        </x:r>
      </x:text>
    </x:comment>
    <x:comment ref="F47" authorId="0">
      <x:text>
        <x:r>
          <x:t>Operating margin (FY:18 A).
Operating income divided by revenue for the same fiscal year. A declining margin can reflect infrastructure depreciation and operating cost assumptions.
Formula: =F46/F36
Cross-sheet references identify the owning schedule. Same-sheet references identify intermediate calculations.</x:t>
        </x:r>
      </x:text>
    </x:comment>
    <x:comment ref="G47" authorId="0">
      <x:text>
        <x:r>
          <x:t>Operating margin (FY:19 A).
Operating income divided by revenue for the same fiscal year. A declining margin can reflect infrastructure depreciation and operating cost assumptions.
Formula: =G46/G36
Cross-sheet references identify the owning schedule. Same-sheet references identify intermediate calculations.</x:t>
        </x:r>
      </x:text>
    </x:comment>
    <x:comment ref="H47" authorId="0">
      <x:text>
        <x:r>
          <x:t>Operating margin (FY:20 A).
Operating income divided by revenue for the same fiscal year. A declining margin can reflect infrastructure depreciation and operating cost assumptions.
Formula: =H46/H36
Cross-sheet references identify the owning schedule. Same-sheet references identify intermediate calculations.</x:t>
        </x:r>
      </x:text>
    </x:comment>
    <x:comment ref="I47" authorId="0">
      <x:text>
        <x:r>
          <x:t>Operating margin (FY:21 A).
Operating income divided by revenue for the same fiscal year. A declining margin can reflect infrastructure depreciation and operating cost assumptions.
Formula: =I46/I36
Cross-sheet references identify the owning schedule. Same-sheet references identify intermediate calculations.</x:t>
        </x:r>
      </x:text>
    </x:comment>
    <x:comment ref="J47" authorId="0">
      <x:text>
        <x:r>
          <x:t>Operating margin (FY:22 A).
Operating income divided by revenue for the same fiscal year. A declining margin can reflect infrastructure depreciation and operating cost assumptions.
Formula: =J46/J36
Cross-sheet references identify the owning schedule. Same-sheet references identify intermediate calculations.</x:t>
        </x:r>
      </x:text>
    </x:comment>
    <x:comment ref="K47" authorId="0">
      <x:text>
        <x:r>
          <x:t>Operating margin (FY:23 A).
Operating income divided by revenue for the same fiscal year. A declining margin can reflect infrastructure depreciation and operating cost assumptions.
Formula: =K46/K36
Cross-sheet references identify the owning schedule. Same-sheet references identify intermediate calculations.</x:t>
        </x:r>
      </x:text>
    </x:comment>
    <x:comment ref="L47" authorId="0">
      <x:text>
        <x:r>
          <x:t>Operating margin (FY:24 A).
Operating income divided by revenue for the same fiscal year. A declining margin can reflect infrastructure depreciation and operating cost assumptions.
Formula: =L46/L36
Cross-sheet references identify the owning schedule. Same-sheet references identify intermediate calculations.</x:t>
        </x:r>
      </x:text>
    </x:comment>
    <x:comment ref="M47" authorId="0">
      <x:text>
        <x:r>
          <x:t>Operating margin (FY:25 A).
Operating income divided by revenue for the same fiscal year. A declining margin can reflect infrastructure depreciation and operating cost assumptions.
Formula: =M46/M36
Cross-sheet references identify the owning schedule. Same-sheet references identify intermediate calculations.</x:t>
        </x:r>
      </x:text>
    </x:comment>
    <x:comment ref="N47" authorId="0">
      <x:text>
        <x:r>
          <x:t>Operating margin (FY:26 A).
Operating income divided by revenue for the same fiscal year. A declining margin can reflect infrastructure depreciation and operating cost assumptions.
Formula: =N46/N36
Cross-sheet references identify the owning schedule. Same-sheet references identify intermediate calculations.</x:t>
        </x:r>
      </x:text>
    </x:comment>
    <x:comment ref="O47" authorId="0">
      <x:text>
        <x:r>
          <x:t>Operating margin (FY:27 E).
Operating income divided by revenue for the same fiscal year. A declining margin can reflect infrastructure depreciation and operating cost assumptions.
Formula: =O46/O36
Cross-sheet references identify the owning schedule. Same-sheet references identify intermediate calculations.</x:t>
        </x:r>
      </x:text>
    </x:comment>
    <x:comment ref="P47" authorId="0">
      <x:text>
        <x:r>
          <x:t>Operating margin (FY:28 E).
Operating income divided by revenue for the same fiscal year. A declining margin can reflect infrastructure depreciation and operating cost assumptions.
Formula: =P46/P36
Cross-sheet references identify the owning schedule. Same-sheet references identify intermediate calculations.</x:t>
        </x:r>
      </x:text>
    </x:comment>
    <x:comment ref="Q47" authorId="0">
      <x:text>
        <x:r>
          <x:t>Operating margin (FY:29 E).
Operating income divided by revenue for the same fiscal year. A declining margin can reflect infrastructure depreciation and operating cost assumptions.
Formula: =Q46/Q36
Cross-sheet references identify the owning schedule. Same-sheet references identify intermediate calculations.</x:t>
        </x:r>
      </x:text>
    </x:comment>
    <x:comment ref="R47" authorId="0">
      <x:text>
        <x:r>
          <x:t>Operating margin (FY:30 E).
Operating income divided by revenue for the same fiscal year. A declining margin can reflect infrastructure depreciation and operating cost assumptions.
Formula: =R46/R36
Cross-sheet references identify the owning schedule. Same-sheet references identify intermediate calculations.</x:t>
        </x:r>
      </x:text>
    </x:comment>
    <x:comment ref="S47" authorId="0">
      <x:text>
        <x:r>
          <x:t>Operating margin (FY:31 E).
Operating income divided by revenue for the same fiscal year. A declining margin can reflect infrastructure depreciation and operating cost assumptions.
Formula: =S46/S36
Cross-sheet references identify the owning schedule. Same-sheet references identify intermediate calculations.</x:t>
        </x:r>
      </x:text>
    </x:comment>
    <x:comment ref="C51" authorId="0">
      <x:text>
        <x:r>
          <x:t>Total segment revenue. This line belongs to the Segments calculation. Read its formula to trace the referenced inputs and intermediate totals.</x:t>
        </x:r>
      </x:text>
    </x:comment>
    <x:comment ref="E51" authorId="0">
      <x:text>
        <x:r>
          <x:t>Total segment revenue (FY:17 A).
Total segment revenue. This line belongs to the Segments calculation. Read its formula to trace the referenced inputs and intermediate totals.
Formula: =SUM(E8,E22,E36)
Cross-sheet references identify the owning schedule. Same-sheet references identify intermediate calculations.</x:t>
        </x:r>
      </x:text>
    </x:comment>
    <x:comment ref="F51" authorId="0">
      <x:text>
        <x:r>
          <x:t>Total segment revenue (FY:18 A).
Total segment revenue. This line belongs to the Segments calculation. Read its formula to trace the referenced inputs and intermediate totals.
Formula: =SUM(F8,F22,F36)
Cross-sheet references identify the owning schedule. Same-sheet references identify intermediate calculations.</x:t>
        </x:r>
      </x:text>
    </x:comment>
    <x:comment ref="G51" authorId="0">
      <x:text>
        <x:r>
          <x:t>Total segment revenue (FY:19 A).
Total segment revenue. This line belongs to the Segments calculation. Read its formula to trace the referenced inputs and intermediate totals.
Formula: =SUM(G8,G22,G36)
Cross-sheet references identify the owning schedule. Same-sheet references identify intermediate calculations.</x:t>
        </x:r>
      </x:text>
    </x:comment>
    <x:comment ref="H51" authorId="0">
      <x:text>
        <x:r>
          <x:t>Total segment revenue (FY:20 A).
Total segment revenue. This line belongs to the Segments calculation. Read its formula to trace the referenced inputs and intermediate totals.
Formula: =SUM(H8,H22,H36)
Cross-sheet references identify the owning schedule. Same-sheet references identify intermediate calculations.</x:t>
        </x:r>
      </x:text>
    </x:comment>
    <x:comment ref="I51" authorId="0">
      <x:text>
        <x:r>
          <x:t>Total segment revenue (FY:21 A).
Total segment revenue. This line belongs to the Segments calculation. Read its formula to trace the referenced inputs and intermediate totals.
Formula: =SUM(I8,I22,I36)
Cross-sheet references identify the owning schedule. Same-sheet references identify intermediate calculations.</x:t>
        </x:r>
      </x:text>
    </x:comment>
    <x:comment ref="J51" authorId="0">
      <x:text>
        <x:r>
          <x:t>Total segment revenue (FY:22 A).
Total segment revenue. This line belongs to the Segments calculation. Read its formula to trace the referenced inputs and intermediate totals.
Formula: =SUM(J8,J22,J36)
Cross-sheet references identify the owning schedule. Same-sheet references identify intermediate calculations.</x:t>
        </x:r>
      </x:text>
    </x:comment>
    <x:comment ref="K51" authorId="0">
      <x:text>
        <x:r>
          <x:t>Total segment revenue (FY:23 A).
Total segment revenue. This line belongs to the Segments calculation. Read its formula to trace the referenced inputs and intermediate totals.
Formula: =SUM(K8,K22,K36)
Cross-sheet references identify the owning schedule. Same-sheet references identify intermediate calculations.</x:t>
        </x:r>
      </x:text>
    </x:comment>
    <x:comment ref="L51" authorId="0">
      <x:text>
        <x:r>
          <x:t>Total segment revenue (FY:24 A).
Total segment revenue. This line belongs to the Segments calculation. Read its formula to trace the referenced inputs and intermediate totals.
Formula: =SUM(L8,L22,L36)
Cross-sheet references identify the owning schedule. Same-sheet references identify intermediate calculations.</x:t>
        </x:r>
      </x:text>
    </x:comment>
    <x:comment ref="M51" authorId="0">
      <x:text>
        <x:r>
          <x:t>Total segment revenue (FY:25 A).
Total segment revenue. This line belongs to the Segments calculation. Read its formula to trace the referenced inputs and intermediate totals.
Formula: =SUM(M8,M22,M36)
Cross-sheet references identify the owning schedule. Same-sheet references identify intermediate calculations.</x:t>
        </x:r>
      </x:text>
    </x:comment>
    <x:comment ref="N51" authorId="0">
      <x:text>
        <x:r>
          <x:t>Total segment revenue (FY:26 A).
Total segment revenue. This line belongs to the Segments calculation. Read its formula to trace the referenced inputs and intermediate totals.
Formula: =SUM(N8,N22,N36)
Cross-sheet references identify the owning schedule. Same-sheet references identify intermediate calculations.</x:t>
        </x:r>
      </x:text>
    </x:comment>
    <x:comment ref="O51" authorId="0">
      <x:text>
        <x:r>
          <x:t>Total segment revenue (FY:27 E).
Total segment revenue. This line belongs to the Segments calculation. Read its formula to trace the referenced inputs and intermediate totals.
Formula: =SUM(O8,O22,O36)
Cross-sheet references identify the owning schedule. Same-sheet references identify intermediate calculations.</x:t>
        </x:r>
      </x:text>
    </x:comment>
    <x:comment ref="P51" authorId="0">
      <x:text>
        <x:r>
          <x:t>Total segment revenue (FY:28 E).
Total segment revenue. This line belongs to the Segments calculation. Read its formula to trace the referenced inputs and intermediate totals.
Formula: =SUM(P8,P22,P36)
Cross-sheet references identify the owning schedule. Same-sheet references identify intermediate calculations.</x:t>
        </x:r>
      </x:text>
    </x:comment>
    <x:comment ref="Q51" authorId="0">
      <x:text>
        <x:r>
          <x:t>Total segment revenue (FY:29 E).
Total segment revenue. This line belongs to the Segments calculation. Read its formula to trace the referenced inputs and intermediate totals.
Formula: =SUM(Q8,Q22,Q36)
Cross-sheet references identify the owning schedule. Same-sheet references identify intermediate calculations.</x:t>
        </x:r>
      </x:text>
    </x:comment>
    <x:comment ref="R51" authorId="0">
      <x:text>
        <x:r>
          <x:t>Total segment revenue (FY:30 E).
Total segment revenue. This line belongs to the Segments calculation. Read its formula to trace the referenced inputs and intermediate totals.
Formula: =SUM(R8,R22,R36)
Cross-sheet references identify the owning schedule. Same-sheet references identify intermediate calculations.</x:t>
        </x:r>
      </x:text>
    </x:comment>
    <x:comment ref="S51" authorId="0">
      <x:text>
        <x:r>
          <x:t>Total segment revenue (FY:31 E).
Total segment revenue. This line belongs to the Segments calculation. Read its formula to trace the referenced inputs and intermediate totals.
Formula: =SUM(S8,S22,S36)
Cross-sheet references identify the owning schedule. Same-sheet references identify intermediate calculations.</x:t>
        </x:r>
      </x:text>
    </x:comment>
    <x:comment ref="C52" authorId="0">
      <x:text>
        <x:r>
          <x:t>Total segment cost of revenue. This line belongs to the Segments calculation. Read its formula to trace the referenced inputs and intermediate totals.</x:t>
        </x:r>
      </x:text>
    </x:comment>
    <x:comment ref="E52" authorId="0">
      <x:text>
        <x:r>
          <x:t>Total segment cost of revenue (FY:17 A).
Total segment cost of revenue. This line belongs to the Segments calculation. Read its formula to trace the referenced inputs and intermediate totals. This period is unavailable or not applicable. Do not interpret it as zero.
Formula: ="n.a."
Cross-sheet references identify the owning schedule. Same-sheet references identify intermediate calculations.</x:t>
        </x:r>
      </x:text>
    </x:comment>
    <x:comment ref="F52" authorId="0">
      <x:text>
        <x:r>
          <x:t>Total segment cost of revenue (FY:18 A).
Total segment cost of revenue. This line belongs to the Segments calculation. Read its formula to trace the referenced inputs and intermediate totals. This period is unavailable or not applicable. Do not interpret it as zero.
Formula: ="n.a."
Cross-sheet references identify the owning schedule. Same-sheet references identify intermediate calculations.</x:t>
        </x:r>
      </x:text>
    </x:comment>
    <x:comment ref="G52" authorId="0">
      <x:text>
        <x:r>
          <x:t>Total segment cost of revenue (FY:19 A).
Total segment cost of revenue. This line belongs to the Segments calculation. Read its formula to trace the referenced inputs and intermediate totals. This period is unavailable or not applicable. Do not interpret it as zero.
Formula: ="n.a."
Cross-sheet references identify the owning schedule. Same-sheet references identify intermediate calculations.</x:t>
        </x:r>
      </x:text>
    </x:comment>
    <x:comment ref="H52" authorId="0">
      <x:text>
        <x:r>
          <x:t>Total segment cost of revenue (FY:20 A).
Total segment cost of revenue. This line belongs to the Segments calculation. Read its formula to trace the referenced inputs and intermediate totals. This period is unavailable or not applicable. Do not interpret it as zero.
Formula: ="n.a."
Cross-sheet references identify the owning schedule. Same-sheet references identify intermediate calculations.</x:t>
        </x:r>
      </x:text>
    </x:comment>
    <x:comment ref="I52" authorId="0">
      <x:text>
        <x:r>
          <x:t>Total segment cost of revenue (FY:21 A).
Total segment cost of revenue. This line belongs to the Segments calculation. Read its formula to trace the referenced inputs and intermediate totals. This period is unavailable or not applicable. Do not interpret it as zero.
Formula: ="n.a."
Cross-sheet references identify the owning schedule. Same-sheet references identify intermediate calculations.</x:t>
        </x:r>
      </x:text>
    </x:comment>
    <x:comment ref="J52" authorId="0">
      <x:text>
        <x:r>
          <x:t>Total segment cost of revenue (FY:22 A).
Total segment cost of revenue. This line belongs to the Segments calculation. Read its formula to trace the referenced inputs and intermediate totals. This period is unavailable or not applicable. Do not interpret it as zero.
Formula: ="n.a."
Cross-sheet references identify the owning schedule. Same-sheet references identify intermediate calculations.</x:t>
        </x:r>
      </x:text>
    </x:comment>
    <x:comment ref="K52" authorId="0">
      <x:text>
        <x:r>
          <x:t>Total segment cost of revenue (FY:23 A).
Total segment cost of revenue. This line belongs to the Segments calculation. Read its formula to trace the referenced inputs and intermediate totals.
Formula: =SUM(K14,K28,K42)
Cross-sheet references identify the owning schedule. Same-sheet references identify intermediate calculations.</x:t>
        </x:r>
      </x:text>
    </x:comment>
    <x:comment ref="L52" authorId="0">
      <x:text>
        <x:r>
          <x:t>Total segment cost of revenue (FY:24 A).
Total segment cost of revenue. This line belongs to the Segments calculation. Read its formula to trace the referenced inputs and intermediate totals.
Formula: =SUM(L14,L28,L42)
Cross-sheet references identify the owning schedule. Same-sheet references identify intermediate calculations.</x:t>
        </x:r>
      </x:text>
    </x:comment>
    <x:comment ref="M52" authorId="0">
      <x:text>
        <x:r>
          <x:t>Total segment cost of revenue (FY:25 A).
Total segment cost of revenue. This line belongs to the Segments calculation. Read its formula to trace the referenced inputs and intermediate totals.
Formula: =SUM(M14,M28,M42)
Cross-sheet references identify the owning schedule. Same-sheet references identify intermediate calculations.</x:t>
        </x:r>
      </x:text>
    </x:comment>
    <x:comment ref="N52" authorId="0">
      <x:text>
        <x:r>
          <x:t>Total segment cost of revenue (FY:26 A).
Total segment cost of revenue. This line belongs to the Segments calculation. Read its formula to trace the referenced inputs and intermediate totals.
Formula: =SUM(N14,N28,N42)
Cross-sheet references identify the owning schedule. Same-sheet references identify intermediate calculations.</x:t>
        </x:r>
      </x:text>
    </x:comment>
    <x:comment ref="O52" authorId="0">
      <x:text>
        <x:r>
          <x:t>Total segment cost of revenue (FY:27 E).
Total segment cost of revenue. This line belongs to the Segments calculation. Read its formula to trace the referenced inputs and intermediate totals.
Formula: =SUM(O14,O28,O42)
Cross-sheet references identify the owning schedule. Same-sheet references identify intermediate calculations.</x:t>
        </x:r>
      </x:text>
    </x:comment>
    <x:comment ref="P52" authorId="0">
      <x:text>
        <x:r>
          <x:t>Total segment cost of revenue (FY:28 E).
Total segment cost of revenue. This line belongs to the Segments calculation. Read its formula to trace the referenced inputs and intermediate totals.
Formula: =SUM(P14,P28,P42)
Cross-sheet references identify the owning schedule. Same-sheet references identify intermediate calculations.</x:t>
        </x:r>
      </x:text>
    </x:comment>
    <x:comment ref="Q52" authorId="0">
      <x:text>
        <x:r>
          <x:t>Total segment cost of revenue (FY:29 E).
Total segment cost of revenue. This line belongs to the Segments calculation. Read its formula to trace the referenced inputs and intermediate totals.
Formula: =SUM(Q14,Q28,Q42)
Cross-sheet references identify the owning schedule. Same-sheet references identify intermediate calculations.</x:t>
        </x:r>
      </x:text>
    </x:comment>
    <x:comment ref="R52" authorId="0">
      <x:text>
        <x:r>
          <x:t>Total segment cost of revenue (FY:30 E).
Total segment cost of revenue. This line belongs to the Segments calculation. Read its formula to trace the referenced inputs and intermediate totals.
Formula: =SUM(R14,R28,R42)
Cross-sheet references identify the owning schedule. Same-sheet references identify intermediate calculations.</x:t>
        </x:r>
      </x:text>
    </x:comment>
    <x:comment ref="S52" authorId="0">
      <x:text>
        <x:r>
          <x:t>Total segment cost of revenue (FY:31 E).
Total segment cost of revenue. This line belongs to the Segments calculation. Read its formula to trace the referenced inputs and intermediate totals.
Formula: =SUM(S14,S28,S42)
Cross-sheet references identify the owning schedule. Same-sheet references identify intermediate calculations.</x:t>
        </x:r>
      </x:text>
    </x:comment>
    <x:comment ref="C53" authorId="0">
      <x:text>
        <x:r>
          <x:t>Total segment operating income. This line belongs to the Segments calculation. Read its formula to trace the referenced inputs and intermediate totals.</x:t>
        </x:r>
      </x:text>
    </x:comment>
    <x:comment ref="E53" authorId="0">
      <x:text>
        <x:r>
          <x:t>Total segment operating income (FY:17 A).
Total segment operating income. This line belongs to the Segments calculation. Read its formula to trace the referenced inputs and intermediate totals.
Formula: =SUM(E18,E32,E46)
Cross-sheet references identify the owning schedule. Same-sheet references identify intermediate calculations.</x:t>
        </x:r>
      </x:text>
    </x:comment>
    <x:comment ref="F53" authorId="0">
      <x:text>
        <x:r>
          <x:t>Total segment operating income (FY:18 A).
Total segment operating income. This line belongs to the Segments calculation. Read its formula to trace the referenced inputs and intermediate totals.
Formula: =SUM(F18,F32,F46)
Cross-sheet references identify the owning schedule. Same-sheet references identify intermediate calculations.</x:t>
        </x:r>
      </x:text>
    </x:comment>
    <x:comment ref="G53" authorId="0">
      <x:text>
        <x:r>
          <x:t>Total segment operating income (FY:19 A).
Total segment operating income. This line belongs to the Segments calculation. Read its formula to trace the referenced inputs and intermediate totals.
Formula: =SUM(G18,G32,G46)
Cross-sheet references identify the owning schedule. Same-sheet references identify intermediate calculations.</x:t>
        </x:r>
      </x:text>
    </x:comment>
    <x:comment ref="H53" authorId="0">
      <x:text>
        <x:r>
          <x:t>Total segment operating income (FY:20 A).
Total segment operating income. This line belongs to the Segments calculation. Read its formula to trace the referenced inputs and intermediate totals.
Formula: =SUM(H18,H32,H46)
Cross-sheet references identify the owning schedule. Same-sheet references identify intermediate calculations.</x:t>
        </x:r>
      </x:text>
    </x:comment>
    <x:comment ref="I53" authorId="0">
      <x:text>
        <x:r>
          <x:t>Total segment operating income (FY:21 A).
Total segment operating income. This line belongs to the Segments calculation. Read its formula to trace the referenced inputs and intermediate totals.
Formula: =SUM(I18,I32,I46)
Cross-sheet references identify the owning schedule. Same-sheet references identify intermediate calculations.</x:t>
        </x:r>
      </x:text>
    </x:comment>
    <x:comment ref="J53" authorId="0">
      <x:text>
        <x:r>
          <x:t>Total segment operating income (FY:22 A).
Total segment operating income. This line belongs to the Segments calculation. Read its formula to trace the referenced inputs and intermediate totals.
Formula: =SUM(J18,J32,J46)
Cross-sheet references identify the owning schedule. Same-sheet references identify intermediate calculations.</x:t>
        </x:r>
      </x:text>
    </x:comment>
    <x:comment ref="K53" authorId="0">
      <x:text>
        <x:r>
          <x:t>Total segment operating income (FY:23 A).
Total segment operating income. This line belongs to the Segments calculation. Read its formula to trace the referenced inputs and intermediate totals.
Formula: =SUM(K18,K32,K46)
Cross-sheet references identify the owning schedule. Same-sheet references identify intermediate calculations.</x:t>
        </x:r>
      </x:text>
    </x:comment>
    <x:comment ref="L53" authorId="0">
      <x:text>
        <x:r>
          <x:t>Total segment operating income (FY:24 A).
Total segment operating income. This line belongs to the Segments calculation. Read its formula to trace the referenced inputs and intermediate totals.
Formula: =SUM(L18,L32,L46)
Cross-sheet references identify the owning schedule. Same-sheet references identify intermediate calculations.</x:t>
        </x:r>
      </x:text>
    </x:comment>
    <x:comment ref="M53" authorId="0">
      <x:text>
        <x:r>
          <x:t>Total segment operating income (FY:25 A).
Total segment operating income. This line belongs to the Segments calculation. Read its formula to trace the referenced inputs and intermediate totals.
Formula: =SUM(M18,M32,M46)
Cross-sheet references identify the owning schedule. Same-sheet references identify intermediate calculations.</x:t>
        </x:r>
      </x:text>
    </x:comment>
    <x:comment ref="N53" authorId="0">
      <x:text>
        <x:r>
          <x:t>Total segment operating income (FY:26 A).
Total segment operating income. This line belongs to the Segments calculation. Read its formula to trace the referenced inputs and intermediate totals.
Formula: =SUM(N18,N32,N46)
Cross-sheet references identify the owning schedule. Same-sheet references identify intermediate calculations.</x:t>
        </x:r>
      </x:text>
    </x:comment>
    <x:comment ref="O53" authorId="0">
      <x:text>
        <x:r>
          <x:t>Total segment operating income (FY:27 E).
Total segment operating income. This line belongs to the Segments calculation. Read its formula to trace the referenced inputs and intermediate totals.
Formula: =SUM(O18,O32,O46)
Cross-sheet references identify the owning schedule. Same-sheet references identify intermediate calculations.</x:t>
        </x:r>
      </x:text>
    </x:comment>
    <x:comment ref="P53" authorId="0">
      <x:text>
        <x:r>
          <x:t>Total segment operating income (FY:28 E).
Total segment operating income. This line belongs to the Segments calculation. Read its formula to trace the referenced inputs and intermediate totals.
Formula: =SUM(P18,P32,P46)
Cross-sheet references identify the owning schedule. Same-sheet references identify intermediate calculations.</x:t>
        </x:r>
      </x:text>
    </x:comment>
    <x:comment ref="Q53" authorId="0">
      <x:text>
        <x:r>
          <x:t>Total segment operating income (FY:29 E).
Total segment operating income. This line belongs to the Segments calculation. Read its formula to trace the referenced inputs and intermediate totals.
Formula: =SUM(Q18,Q32,Q46)
Cross-sheet references identify the owning schedule. Same-sheet references identify intermediate calculations.</x:t>
        </x:r>
      </x:text>
    </x:comment>
    <x:comment ref="R53" authorId="0">
      <x:text>
        <x:r>
          <x:t>Total segment operating income (FY:30 E).
Total segment operating income. This line belongs to the Segments calculation. Read its formula to trace the referenced inputs and intermediate totals.
Formula: =SUM(R18,R32,R46)
Cross-sheet references identify the owning schedule. Same-sheet references identify intermediate calculations.</x:t>
        </x:r>
      </x:text>
    </x:comment>
    <x:comment ref="S53" authorId="0">
      <x:text>
        <x:r>
          <x:t>Total segment operating income (FY:31 E).
Total segment operating income. This line belongs to the Segments calculation. Read its formula to trace the referenced inputs and intermediate totals.
Formula: =SUM(S18,S32,S46)
Cross-sheet references identify the owning schedule. Same-sheet references identify intermediate calculations.</x:t>
        </x:r>
      </x:text>
    </x:comment>
    <x:comment ref="C54"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54" authorId="0">
      <x:text>
        <x:r>
          <x:t>Unallocated corporate operating expenses (FY:17 A).
Expense distributed using the explicit allocation inputs on Assumptions. These allocations are modeling assumptions rather than a Microsoft disclosure of these costs by segment. The formula identifies the owning expense schedule and percentage.
Formula: ='Income Statement'!E17
Cross-sheet references identify the owning schedule. Same-sheet references identify intermediate calculations.</x:t>
        </x:r>
      </x:text>
    </x:comment>
    <x:comment ref="F54" authorId="0">
      <x:text>
        <x:r>
          <x:t>Unallocated corporate operating expenses (FY:18 A).
Expense distributed using the explicit allocation inputs on Assumptions. These allocations are modeling assumptions rather than a Microsoft disclosure of these costs by segment. The formula identifies the owning expense schedule and percentage.
Formula: ='Income Statement'!F17
Cross-sheet references identify the owning schedule. Same-sheet references identify intermediate calculations.</x:t>
        </x:r>
      </x:text>
    </x:comment>
    <x:comment ref="G54" authorId="0">
      <x:text>
        <x:r>
          <x:t>Unallocated corporate operating expenses (FY:19 A).
Expense distributed using the explicit allocation inputs on Assumptions. These allocations are modeling assumptions rather than a Microsoft disclosure of these costs by segment. The formula identifies the owning expense schedule and percentage.
Formula: ='Income Statement'!G17
Cross-sheet references identify the owning schedule. Same-sheet references identify intermediate calculations.</x:t>
        </x:r>
      </x:text>
    </x:comment>
    <x:comment ref="H54" authorId="0">
      <x:text>
        <x:r>
          <x:t>Unallocated corporate operating expenses (FY:20 A).
Expense distributed using the explicit allocation inputs on Assumptions. These allocations are modeling assumptions rather than a Microsoft disclosure of these costs by segment. The formula identifies the owning expense schedule and percentage.
Formula: ='Income Statement'!H17
Cross-sheet references identify the owning schedule. Same-sheet references identify intermediate calculations.</x:t>
        </x:r>
      </x:text>
    </x:comment>
    <x:comment ref="I54" authorId="0">
      <x:text>
        <x:r>
          <x:t>Unallocated corporate operating expenses (FY:21 A).
Expense distributed using the explicit allocation inputs on Assumptions. These allocations are modeling assumptions rather than a Microsoft disclosure of these costs by segment. The formula identifies the owning expense schedule and percentage.
Formula: ='Income Statement'!I17
Cross-sheet references identify the owning schedule. Same-sheet references identify intermediate calculations.</x:t>
        </x:r>
      </x:text>
    </x:comment>
    <x:comment ref="J54" authorId="0">
      <x:text>
        <x:r>
          <x:t>Unallocated corporate operating expenses (FY:22 A).
Expense distributed using the explicit allocation inputs on Assumptions. These allocations are modeling assumptions rather than a Microsoft disclosure of these costs by segment. The formula identifies the owning expense schedule and percentage.
Formula: ='Income Statement'!J17
Cross-sheet references identify the owning schedule. Same-sheet references identify intermediate calculations.</x:t>
        </x:r>
      </x:text>
    </x:comment>
    <x:comment ref="K54" authorId="0">
      <x:text>
        <x:r>
          <x:t>Unallocated corporate operating expenses (FY:23 A).
Expense distributed using the explicit allocation inputs on Assumptions. These allocations are modeling assumptions rather than a Microsoft disclosure of these costs by segment. The formula identifies the owning expense schedule and percentage.
Formula: ='Income Statement'!K17
Cross-sheet references identify the owning schedule. Same-sheet references identify intermediate calculations.</x:t>
        </x:r>
      </x:text>
    </x:comment>
    <x:comment ref="L54" authorId="0">
      <x:text>
        <x:r>
          <x:t>Unallocated corporate operating expenses (FY:24 A).
Expense distributed using the explicit allocation inputs on Assumptions. These allocations are modeling assumptions rather than a Microsoft disclosure of these costs by segment. The formula identifies the owning expense schedule and percentage.
Formula: ='Income Statement'!L17
Cross-sheet references identify the owning schedule. Same-sheet references identify intermediate calculations.</x:t>
        </x:r>
      </x:text>
    </x:comment>
    <x:comment ref="M54" authorId="0">
      <x:text>
        <x:r>
          <x:t>Unallocated corporate operating expenses (FY:25 A).
Expense distributed using the explicit allocation inputs on Assumptions. These allocations are modeling assumptions rather than a Microsoft disclosure of these costs by segment. The formula identifies the owning expense schedule and percentage.
Formula: ='Income Statement'!M17
Cross-sheet references identify the owning schedule. Same-sheet references identify intermediate calculations.</x:t>
        </x:r>
      </x:text>
    </x:comment>
    <x:comment ref="N54" authorId="0">
      <x:text>
        <x:r>
          <x:t>Unallocated corporate operating expenses (FY:26 A).
Expense distributed using the explicit allocation inputs on Assumptions. These allocations are modeling assumptions rather than a Microsoft disclosure of these costs by segment. The formula identifies the owning expense schedule and percentage.
Formula: ='Income Statement'!N17
Cross-sheet references identify the owning schedule. Same-sheet references identify intermediate calculations.</x:t>
        </x:r>
      </x:text>
    </x:comment>
    <x:comment ref="O54" authorId="0">
      <x:text>
        <x:r>
          <x:t>Unallocated corporate operating expenses (FY:27 E).
Expense distributed using the explicit allocation inputs on Assumptions. These allocations are modeling assumptions rather than a Microsoft disclosure of these costs by segment. The formula identifies the owning expense schedule and percentage.
Formula: ='Income Statement'!O17
Cross-sheet references identify the owning schedule. Same-sheet references identify intermediate calculations.</x:t>
        </x:r>
      </x:text>
    </x:comment>
    <x:comment ref="P54" authorId="0">
      <x:text>
        <x:r>
          <x:t>Unallocated corporate operating expenses (FY:28 E).
Expense distributed using the explicit allocation inputs on Assumptions. These allocations are modeling assumptions rather than a Microsoft disclosure of these costs by segment. The formula identifies the owning expense schedule and percentage.
Formula: ='Income Statement'!P17
Cross-sheet references identify the owning schedule. Same-sheet references identify intermediate calculations.</x:t>
        </x:r>
      </x:text>
    </x:comment>
    <x:comment ref="Q54" authorId="0">
      <x:text>
        <x:r>
          <x:t>Unallocated corporate operating expenses (FY:29 E).
Expense distributed using the explicit allocation inputs on Assumptions. These allocations are modeling assumptions rather than a Microsoft disclosure of these costs by segment. The formula identifies the owning expense schedule and percentage.
Formula: ='Income Statement'!Q17
Cross-sheet references identify the owning schedule. Same-sheet references identify intermediate calculations.</x:t>
        </x:r>
      </x:text>
    </x:comment>
    <x:comment ref="R54" authorId="0">
      <x:text>
        <x:r>
          <x:t>Unallocated corporate operating expenses (FY:30 E).
Expense distributed using the explicit allocation inputs on Assumptions. These allocations are modeling assumptions rather than a Microsoft disclosure of these costs by segment. The formula identifies the owning expense schedule and percentage.
Formula: ='Income Statement'!R17
Cross-sheet references identify the owning schedule. Same-sheet references identify intermediate calculations.</x:t>
        </x:r>
      </x:text>
    </x:comment>
    <x:comment ref="S54" authorId="0">
      <x:text>
        <x:r>
          <x:t>Unallocated corporate operating expenses (FY:31 E).
Expense distributed using the explicit allocation inputs on Assumptions. These allocations are modeling assumptions rather than a Microsoft disclosure of these costs by segment. The formula identifies the owning expense schedule and percentage.
Formula: ='Income Statement'!S17
Cross-sheet references identify the owning schedule. Same-sheet references identify intermediate calculations.</x:t>
        </x:r>
      </x:text>
    </x:comment>
    <x:comment ref="C55" authorId="0">
      <x:text>
        <x:r>
          <x:t>Consolidated operating income. This line belongs to the Segments calculation. Read its formula to trace the referenced inputs and intermediate totals.</x:t>
        </x:r>
      </x:text>
    </x:comment>
    <x:comment ref="E55" authorId="0">
      <x:text>
        <x:r>
          <x:t>Consolidated operating income (FY:17 A).
Consolidated operating income. This line belongs to the Segments calculation. Read its formula to trace the referenced inputs and intermediate totals.
Formula: =E53-E54
Cross-sheet references identify the owning schedule. Same-sheet references identify intermediate calculations.</x:t>
        </x:r>
      </x:text>
    </x:comment>
    <x:comment ref="F55" authorId="0">
      <x:text>
        <x:r>
          <x:t>Consolidated operating income (FY:18 A).
Consolidated operating income. This line belongs to the Segments calculation. Read its formula to trace the referenced inputs and intermediate totals.
Formula: =F53-F54
Cross-sheet references identify the owning schedule. Same-sheet references identify intermediate calculations.</x:t>
        </x:r>
      </x:text>
    </x:comment>
    <x:comment ref="G55" authorId="0">
      <x:text>
        <x:r>
          <x:t>Consolidated operating income (FY:19 A).
Consolidated operating income. This line belongs to the Segments calculation. Read its formula to trace the referenced inputs and intermediate totals.
Formula: =G53-G54
Cross-sheet references identify the owning schedule. Same-sheet references identify intermediate calculations.</x:t>
        </x:r>
      </x:text>
    </x:comment>
    <x:comment ref="H55" authorId="0">
      <x:text>
        <x:r>
          <x:t>Consolidated operating income (FY:20 A).
Consolidated operating income. This line belongs to the Segments calculation. Read its formula to trace the referenced inputs and intermediate totals.
Formula: =H53-H54
Cross-sheet references identify the owning schedule. Same-sheet references identify intermediate calculations.</x:t>
        </x:r>
      </x:text>
    </x:comment>
    <x:comment ref="I55" authorId="0">
      <x:text>
        <x:r>
          <x:t>Consolidated operating income (FY:21 A).
Consolidated operating income. This line belongs to the Segments calculation. Read its formula to trace the referenced inputs and intermediate totals.
Formula: =I53-I54
Cross-sheet references identify the owning schedule. Same-sheet references identify intermediate calculations.</x:t>
        </x:r>
      </x:text>
    </x:comment>
    <x:comment ref="J55" authorId="0">
      <x:text>
        <x:r>
          <x:t>Consolidated operating income (FY:22 A).
Consolidated operating income. This line belongs to the Segments calculation. Read its formula to trace the referenced inputs and intermediate totals.
Formula: =J53-J54
Cross-sheet references identify the owning schedule. Same-sheet references identify intermediate calculations.</x:t>
        </x:r>
      </x:text>
    </x:comment>
    <x:comment ref="K55" authorId="0">
      <x:text>
        <x:r>
          <x:t>Consolidated operating income (FY:23 A).
Consolidated operating income. This line belongs to the Segments calculation. Read its formula to trace the referenced inputs and intermediate totals.
Formula: =K53-K54
Cross-sheet references identify the owning schedule. Same-sheet references identify intermediate calculations.</x:t>
        </x:r>
      </x:text>
    </x:comment>
    <x:comment ref="L55" authorId="0">
      <x:text>
        <x:r>
          <x:t>Consolidated operating income (FY:24 A).
Consolidated operating income. This line belongs to the Segments calculation. Read its formula to trace the referenced inputs and intermediate totals.
Formula: =L53-L54
Cross-sheet references identify the owning schedule. Same-sheet references identify intermediate calculations.</x:t>
        </x:r>
      </x:text>
    </x:comment>
    <x:comment ref="M55" authorId="0">
      <x:text>
        <x:r>
          <x:t>Consolidated operating income (FY:25 A).
Consolidated operating income. This line belongs to the Segments calculation. Read its formula to trace the referenced inputs and intermediate totals.
Formula: =M53-M54
Cross-sheet references identify the owning schedule. Same-sheet references identify intermediate calculations.</x:t>
        </x:r>
      </x:text>
    </x:comment>
    <x:comment ref="N55" authorId="0">
      <x:text>
        <x:r>
          <x:t>Consolidated operating income (FY:26 A).
Consolidated operating income. This line belongs to the Segments calculation. Read its formula to trace the referenced inputs and intermediate totals.
Formula: =N53-N54
Cross-sheet references identify the owning schedule. Same-sheet references identify intermediate calculations.</x:t>
        </x:r>
      </x:text>
    </x:comment>
    <x:comment ref="O55" authorId="0">
      <x:text>
        <x:r>
          <x:t>Consolidated operating income (FY:27 E).
Consolidated operating income. This line belongs to the Segments calculation. Read its formula to trace the referenced inputs and intermediate totals.
Formula: =O53-O54
Cross-sheet references identify the owning schedule. Same-sheet references identify intermediate calculations.</x:t>
        </x:r>
      </x:text>
    </x:comment>
    <x:comment ref="P55" authorId="0">
      <x:text>
        <x:r>
          <x:t>Consolidated operating income (FY:28 E).
Consolidated operating income. This line belongs to the Segments calculation. Read its formula to trace the referenced inputs and intermediate totals.
Formula: =P53-P54
Cross-sheet references identify the owning schedule. Same-sheet references identify intermediate calculations.</x:t>
        </x:r>
      </x:text>
    </x:comment>
    <x:comment ref="Q55" authorId="0">
      <x:text>
        <x:r>
          <x:t>Consolidated operating income (FY:29 E).
Consolidated operating income. This line belongs to the Segments calculation. Read its formula to trace the referenced inputs and intermediate totals.
Formula: =Q53-Q54
Cross-sheet references identify the owning schedule. Same-sheet references identify intermediate calculations.</x:t>
        </x:r>
      </x:text>
    </x:comment>
    <x:comment ref="R55" authorId="0">
      <x:text>
        <x:r>
          <x:t>Consolidated operating income (FY:30 E).
Consolidated operating income. This line belongs to the Segments calculation. Read its formula to trace the referenced inputs and intermediate totals.
Formula: =R53-R54
Cross-sheet references identify the owning schedule. Same-sheet references identify intermediate calculations.</x:t>
        </x:r>
      </x:text>
    </x:comment>
    <x:comment ref="S55" authorId="0">
      <x:text>
        <x:r>
          <x:t>Consolidated operating income (FY:31 E).
Consolidated operating income. This line belongs to the Segments calculation. Read its formula to trace the referenced inputs and intermediate totals.
Formula: =S53-S54
Cross-sheet references identify the owning schedule. Same-sheet references identify intermediate calculations.</x:t>
        </x:r>
      </x:text>
    </x:comment>
    <x:comment ref="C72" authorId="0">
      <x:text>
        <x:r>
          <x:t>Live analytical observation. This formula reads the existing statement or schedule and updates with the selected case. ="FY2031 revenue shares: PBP "&amp;(FIXED((S8/S51)*100,1,TRUE)&amp;"%")&amp;", IC "&amp;(FIXED((S22/S51)*100,1,TRUE)&amp;"%")&amp;", MPC "&amp;(FIXED((S36/S51)*100,1,TRUE)&amp;"%")&amp;"."</x:t>
        </x:r>
      </x:text>
    </x:comment>
    <x:comment ref="C73" authorId="0">
      <x:text>
        <x:r>
          <x:t>Live analytical observation. This formula reads the existing statement or schedule and updates with the selected case. ="FY2031 modeled operating margins: PBP "&amp;(FIXED((S19)*100,1,TRUE)&amp;"%")&amp;", IC "&amp;(FIXED((S33)*100,1,TRUE)&amp;"%")&amp;", MPC "&amp;(FIXED((S47)*100,1,TRUE)&amp;"%")&amp;"."</x:t>
        </x:r>
      </x:text>
    </x:comment>
    <x:comment ref="C74" authorId="0">
      <x:text>
        <x:r>
          <x:t>Live analytical observation. This formula reads the existing statement or schedule and updates with the selected case. ="FY2031 unallocated corporate operating expense: "&amp;FIXED(S54/1000,1,TRUE)&amp;"bn. It is deducted after the segment total."</x:t>
        </x:r>
      </x:text>
    </x:comment>
    <x:comment ref="C98" authorId="0">
      <x:text>
        <x:r>
          <x:t>Revenue on the current segment definition (USD billions). Formula-linked chart data. A means actual and E means the active-case estimate. Unavailable historical observations remain blank.</x:t>
        </x:r>
      </x:text>
    </x:comment>
    <x:comment ref="C117" authorId="0">
      <x:text>
        <x:r>
          <x:t>Modeled segment operating margins. Formula-linked chart data. A means actual and E means the active-case estimate. Unavailable historical observations remain blank.</x:t>
        </x:r>
      </x:text>
    </x:comment>
  </x:commentList>
</x:comments>
</file>

<file path=xl/comments11.xml><?xml version="1.0" encoding="utf-8"?>
<x:comments xmlns:x="http://schemas.openxmlformats.org/spreadsheetml/2006/main">
  <x:authors>
    <x:author>Goran Brkich</x:author>
  </x:authors>
  <x:commentList>
    <x:comment ref="C2" authorId="0">
      <x:text>
        <x:r>
          <x:t>Expense Plan.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Recognized sales from products and services. Consolidated forecast revenue is the sum of the three segment forecasts. Revenue is different from cash collected.</x:t>
        </x:r>
      </x:text>
    </x:comment>
    <x:comment ref="E8" authorId="0">
      <x:text>
        <x:r>
          <x:t>Revenue (FY:17 A).
Recognized sales from products and services. Consolidated forecast revenue is the sum of the three segment forecasts. Revenue is different from cash collected.
Formula: ='Income Statement'!E8
Cross-sheet references identify the owning schedule. Same-sheet references identify intermediate calculations.</x:t>
        </x:r>
      </x:text>
    </x:comment>
    <x:comment ref="F8" authorId="0">
      <x:text>
        <x:r>
          <x:t>Revenue (FY:18 A).
Recognized sales from products and services. Consolidated forecast revenue is the sum of the three segment forecasts. Revenue is different from cash collected.
Formula: ='Income Statement'!F8
Cross-sheet references identify the owning schedule. Same-sheet references identify intermediate calculations.</x:t>
        </x:r>
      </x:text>
    </x:comment>
    <x:comment ref="G8" authorId="0">
      <x:text>
        <x:r>
          <x:t>Revenue (FY:19 A).
Recognized sales from products and services. Consolidated forecast revenue is the sum of the three segment forecasts. Revenue is different from cash collected.
Formula: ='Income Statement'!G8
Cross-sheet references identify the owning schedule. Same-sheet references identify intermediate calculations.</x:t>
        </x:r>
      </x:text>
    </x:comment>
    <x:comment ref="H8" authorId="0">
      <x:text>
        <x:r>
          <x:t>Revenue (FY:20 A).
Recognized sales from products and services. Consolidated forecast revenue is the sum of the three segment forecasts. Revenue is different from cash collected.
Formula: ='Income Statement'!H8
Cross-sheet references identify the owning schedule. Same-sheet references identify intermediate calculations.</x:t>
        </x:r>
      </x:text>
    </x:comment>
    <x:comment ref="I8" authorId="0">
      <x:text>
        <x:r>
          <x:t>Revenue (FY:21 A).
Recognized sales from products and services. Consolidated forecast revenue is the sum of the three segment forecasts. Revenue is different from cash collected.
Formula: ='Income Statement'!I8
Cross-sheet references identify the owning schedule. Same-sheet references identify intermediate calculations.</x:t>
        </x:r>
      </x:text>
    </x:comment>
    <x:comment ref="J8" authorId="0">
      <x:text>
        <x:r>
          <x:t>Revenue (FY:22 A).
Recognized sales from products and services. Consolidated forecast revenue is the sum of the three segment forecasts. Revenue is different from cash collected.
Formula: ='Income Statement'!J8
Cross-sheet references identify the owning schedule. Same-sheet references identify intermediate calculations.</x:t>
        </x:r>
      </x:text>
    </x:comment>
    <x:comment ref="K8" authorId="0">
      <x:text>
        <x:r>
          <x:t>Revenue (FY:23 A).
Recognized sales from products and services. Consolidated forecast revenue is the sum of the three segment forecasts. Revenue is different from cash collected.
Formula: ='Income Statement'!K8
Cross-sheet references identify the owning schedule. Same-sheet references identify intermediate calculations.</x:t>
        </x:r>
      </x:text>
    </x:comment>
    <x:comment ref="L8" authorId="0">
      <x:text>
        <x:r>
          <x:t>Revenue (FY:24 A).
Recognized sales from products and services. Consolidated forecast revenue is the sum of the three segment forecasts. Revenue is different from cash collected.
Formula: ='Income Statement'!L8
Cross-sheet references identify the owning schedule. Same-sheet references identify intermediate calculations.</x:t>
        </x:r>
      </x:text>
    </x:comment>
    <x:comment ref="M8" authorId="0">
      <x:text>
        <x:r>
          <x:t>Revenue (FY:25 A).
Recognized sales from products and services. Consolidated forecast revenue is the sum of the three segment forecasts. Revenue is different from cash collected.
Formula: ='Income Statement'!M8
Cross-sheet references identify the owning schedule. Same-sheet references identify intermediate calculations.</x:t>
        </x:r>
      </x:text>
    </x:comment>
    <x:comment ref="N8" authorId="0">
      <x:text>
        <x:r>
          <x:t>Revenue (FY:26 A).
Recognized sales from products and services. Consolidated forecast revenue is the sum of the three segment forecasts. Revenue is different from cash collected.
Formula: ='Income Statement'!N8
Cross-sheet references identify the owning schedule. Same-sheet references identify intermediate calculations.</x:t>
        </x:r>
      </x:text>
    </x:comment>
    <x:comment ref="O8" authorId="0">
      <x:text>
        <x:r>
          <x:t>Revenue (FY:27 E).
Recognized sales from products and services. Consolidated forecast revenue is the sum of the three segment forecasts. Revenue is different from cash collected.
Formula: ='Income Statement'!O8
Cross-sheet references identify the owning schedule. Same-sheet references identify intermediate calculations.</x:t>
        </x:r>
      </x:text>
    </x:comment>
    <x:comment ref="P8" authorId="0">
      <x:text>
        <x:r>
          <x:t>Revenue (FY:28 E).
Recognized sales from products and services. Consolidated forecast revenue is the sum of the three segment forecasts. Revenue is different from cash collected.
Formula: ='Income Statement'!P8
Cross-sheet references identify the owning schedule. Same-sheet references identify intermediate calculations.</x:t>
        </x:r>
      </x:text>
    </x:comment>
    <x:comment ref="Q8" authorId="0">
      <x:text>
        <x:r>
          <x:t>Revenue (FY:29 E).
Recognized sales from products and services. Consolidated forecast revenue is the sum of the three segment forecasts. Revenue is different from cash collected.
Formula: ='Income Statement'!Q8
Cross-sheet references identify the owning schedule. Same-sheet references identify intermediate calculations.</x:t>
        </x:r>
      </x:text>
    </x:comment>
    <x:comment ref="R8" authorId="0">
      <x:text>
        <x:r>
          <x:t>Revenue (FY:30 E).
Recognized sales from products and services. Consolidated forecast revenue is the sum of the three segment forecasts. Revenue is different from cash collected.
Formula: ='Income Statement'!R8
Cross-sheet references identify the owning schedule. Same-sheet references identify intermediate calculations.</x:t>
        </x:r>
      </x:text>
    </x:comment>
    <x:comment ref="S8" authorId="0">
      <x:text>
        <x:r>
          <x:t>Revenue (FY:31 E).
Recognized sales from products and services. Consolidated forecast revenue is the sum of the three segment forecasts. Revenue is different from cash collected.
Formula: ='Income Statement'!S8
Cross-sheet references identify the owning schedule. Same-sheet references identify intermediate calculations.</x:t>
        </x:r>
      </x:text>
    </x:comment>
    <x:comment ref="C10" authorId="0">
      <x:text>
        <x:r>
          <x:t>Noncash expense for PPE. Forecast legacy assets and new annual cohorts use the useful-life inputs and half-year convention. Expense reduces asset carrying value and is added back once in operating cash flow.</x:t>
        </x:r>
      </x:text>
    </x:comment>
    <x:comment ref="E10" authorId="0">
      <x:text>
        <x:r>
          <x:t>PPE depreciation (FY:17 A).
Noncash expense for PPE. Forecast legacy assets and new annual cohorts use the useful-life inputs and half-year convention. Expense reduces asset carrying value and is added back once in operating cash flow.
Formula: ='Filing Notes'!E8
Cross-sheet references identify the owning schedule. Same-sheet references identify intermediate calculations.</x:t>
        </x:r>
      </x:text>
    </x:comment>
    <x:comment ref="F10" authorId="0">
      <x:text>
        <x:r>
          <x:t>PPE depreciation (FY:18 A).
Noncash expense for PPE. Forecast legacy assets and new annual cohorts use the useful-life inputs and half-year convention. Expense reduces asset carrying value and is added back once in operating cash flow.
Formula: ='Filing Notes'!F8
Cross-sheet references identify the owning schedule. Same-sheet references identify intermediate calculations.</x:t>
        </x:r>
      </x:text>
    </x:comment>
    <x:comment ref="G10" authorId="0">
      <x:text>
        <x:r>
          <x:t>PPE depreciation (FY:19 A).
Noncash expense for PPE. Forecast legacy assets and new annual cohorts use the useful-life inputs and half-year convention. Expense reduces asset carrying value and is added back once in operating cash flow.
Formula: ='Filing Notes'!G8
Cross-sheet references identify the owning schedule. Same-sheet references identify intermediate calculations.</x:t>
        </x:r>
      </x:text>
    </x:comment>
    <x:comment ref="H10" authorId="0">
      <x:text>
        <x:r>
          <x:t>PPE depreciation (FY:20 A).
Noncash expense for PPE. Forecast legacy assets and new annual cohorts use the useful-life inputs and half-year convention. Expense reduces asset carrying value and is added back once in operating cash flow.
Formula: ='Filing Notes'!H8
Cross-sheet references identify the owning schedule. Same-sheet references identify intermediate calculations.</x:t>
        </x:r>
      </x:text>
    </x:comment>
    <x:comment ref="I10" authorId="0">
      <x:text>
        <x:r>
          <x:t>PPE depreciation (FY:21 A).
Noncash expense for PPE. Forecast legacy assets and new annual cohorts use the useful-life inputs and half-year convention. Expense reduces asset carrying value and is added back once in operating cash flow.
Formula: ='Filing Notes'!I8
Cross-sheet references identify the owning schedule. Same-sheet references identify intermediate calculations.</x:t>
        </x:r>
      </x:text>
    </x:comment>
    <x:comment ref="J10" authorId="0">
      <x:text>
        <x:r>
          <x:t>PPE depreciation (FY:22 A).
Noncash expense for PPE. Forecast legacy assets and new annual cohorts use the useful-life inputs and half-year convention. Expense reduces asset carrying value and is added back once in operating cash flow.
Formula: ='Filing Notes'!J8
Cross-sheet references identify the owning schedule. Same-sheet references identify intermediate calculations.</x:t>
        </x:r>
      </x:text>
    </x:comment>
    <x:comment ref="K10" authorId="0">
      <x:text>
        <x:r>
          <x:t>PPE depreciation (FY:23 A).
Noncash expense for PPE. Forecast legacy assets and new annual cohorts use the useful-life inputs and half-year convention. Expense reduces asset carrying value and is added back once in operating cash flow.
Formula: ='Filing Notes'!K8
Cross-sheet references identify the owning schedule. Same-sheet references identify intermediate calculations.</x:t>
        </x:r>
      </x:text>
    </x:comment>
    <x:comment ref="L10" authorId="0">
      <x:text>
        <x:r>
          <x:t>PPE depreciation (FY:24 A).
Noncash expense for PPE. Forecast legacy assets and new annual cohorts use the useful-life inputs and half-year convention. Expense reduces asset carrying value and is added back once in operating cash flow.
Formula: ='Filing Notes'!L8
Cross-sheet references identify the owning schedule. Same-sheet references identify intermediate calculations.</x:t>
        </x:r>
      </x:text>
    </x:comment>
    <x:comment ref="M10" authorId="0">
      <x:text>
        <x:r>
          <x:t>PPE depreciation (FY:25 A).
Noncash expense for PPE. Forecast legacy assets and new annual cohorts use the useful-life inputs and half-year convention. Expense reduces asset carrying value and is added back once in operating cash flow.
Formula: ='Filing Notes'!M8
Cross-sheet references identify the owning schedule. Same-sheet references identify intermediate calculations.</x:t>
        </x:r>
      </x:text>
    </x:comment>
    <x:comment ref="N10" authorId="0">
      <x:text>
        <x:r>
          <x:t>PPE depreciation (FY:26 A).
Noncash expense for PPE. Forecast legacy assets and new annual cohorts use the useful-life inputs and half-year convention. Expense reduces asset carrying value and is added back once in operating cash flow.
Formula: ='Filing Notes'!N8
Cross-sheet references identify the owning schedule. Same-sheet references identify intermediate calculations.</x:t>
        </x:r>
      </x:text>
    </x:comment>
    <x:comment ref="O10" authorId="0">
      <x:text>
        <x:r>
          <x:t>PPE depreciation (FY:27 E).
Noncash expense for PPE. Forecast legacy assets and new annual cohorts use the useful-life inputs and half-year convention. Expense reduces asset carrying value and is added back once in operating cash flow.
Formula: ='PPE and Intangibles'!O21
Cross-sheet references identify the owning schedule. Same-sheet references identify intermediate calculations.</x:t>
        </x:r>
      </x:text>
    </x:comment>
    <x:comment ref="P10" authorId="0">
      <x:text>
        <x:r>
          <x:t>PPE depreciation (FY:28 E).
Noncash expense for PPE. Forecast legacy assets and new annual cohorts use the useful-life inputs and half-year convention. Expense reduces asset carrying value and is added back once in operating cash flow.
Formula: ='PPE and Intangibles'!P21
Cross-sheet references identify the owning schedule. Same-sheet references identify intermediate calculations.</x:t>
        </x:r>
      </x:text>
    </x:comment>
    <x:comment ref="Q10" authorId="0">
      <x:text>
        <x:r>
          <x:t>PPE depreciation (FY:29 E).
Noncash expense for PPE. Forecast legacy assets and new annual cohorts use the useful-life inputs and half-year convention. Expense reduces asset carrying value and is added back once in operating cash flow.
Formula: ='PPE and Intangibles'!Q21
Cross-sheet references identify the owning schedule. Same-sheet references identify intermediate calculations.</x:t>
        </x:r>
      </x:text>
    </x:comment>
    <x:comment ref="R10" authorId="0">
      <x:text>
        <x:r>
          <x:t>PPE depreciation (FY:30 E).
Noncash expense for PPE. Forecast legacy assets and new annual cohorts use the useful-life inputs and half-year convention. Expense reduces asset carrying value and is added back once in operating cash flow.
Formula: ='PPE and Intangibles'!R21
Cross-sheet references identify the owning schedule. Same-sheet references identify intermediate calculations.</x:t>
        </x:r>
      </x:text>
    </x:comment>
    <x:comment ref="S10" authorId="0">
      <x:text>
        <x:r>
          <x:t>PPE depreciation (FY:31 E).
Noncash expense for PPE. Forecast legacy assets and new annual cohorts use the useful-life inputs and half-year convention. Expense reduces asset carrying value and is added back once in operating cash flow.
Formula: ='PPE and Intangibles'!S21
Cross-sheet references identify the owning schedule. Same-sheet references identify intermediate calculations.</x:t>
        </x:r>
      </x:text>
    </x:comment>
    <x:comment ref="C11" authorId="0">
      <x:text>
        <x:r>
          <x:t>Noncash intangible expense. Forecast amortization follows the expected schedule disclosed in the FY2026 filing, subject to the remaining asset balance.</x:t>
        </x:r>
      </x:text>
    </x:comment>
    <x:comment ref="E11" authorId="0">
      <x:text>
        <x:r>
          <x:t>Intangible amortization (FY:17 A).
Noncash intangible expense. Forecast amortization follows the expected schedule disclosed in the FY2026 filing, subject to the remaining asset balance.
Formula: ='Filing Notes'!E9
Cross-sheet references identify the owning schedule. Same-sheet references identify intermediate calculations.</x:t>
        </x:r>
      </x:text>
    </x:comment>
    <x:comment ref="F11" authorId="0">
      <x:text>
        <x:r>
          <x:t>Intangible amortization (FY:18 A).
Noncash intangible expense. Forecast amortization follows the expected schedule disclosed in the FY2026 filing, subject to the remaining asset balance.
Formula: ='Filing Notes'!F9
Cross-sheet references identify the owning schedule. Same-sheet references identify intermediate calculations.</x:t>
        </x:r>
      </x:text>
    </x:comment>
    <x:comment ref="G11" authorId="0">
      <x:text>
        <x:r>
          <x:t>Intangible amortization (FY:19 A).
Noncash intangible expense. Forecast amortization follows the expected schedule disclosed in the FY2026 filing, subject to the remaining asset balance.
Formula: ='Filing Notes'!G9
Cross-sheet references identify the owning schedule. Same-sheet references identify intermediate calculations.</x:t>
        </x:r>
      </x:text>
    </x:comment>
    <x:comment ref="H11" authorId="0">
      <x:text>
        <x:r>
          <x:t>Intangible amortization (FY:20 A).
Noncash intangible expense. Forecast amortization follows the expected schedule disclosed in the FY2026 filing, subject to the remaining asset balance.
Formula: ='Filing Notes'!H9
Cross-sheet references identify the owning schedule. Same-sheet references identify intermediate calculations.</x:t>
        </x:r>
      </x:text>
    </x:comment>
    <x:comment ref="I11" authorId="0">
      <x:text>
        <x:r>
          <x:t>Intangible amortization (FY:21 A).
Noncash intangible expense. Forecast amortization follows the expected schedule disclosed in the FY2026 filing, subject to the remaining asset balance.
Formula: ='Filing Notes'!I9
Cross-sheet references identify the owning schedule. Same-sheet references identify intermediate calculations.</x:t>
        </x:r>
      </x:text>
    </x:comment>
    <x:comment ref="J11" authorId="0">
      <x:text>
        <x:r>
          <x:t>Intangible amortization (FY:22 A).
Noncash intangible expense. Forecast amortization follows the expected schedule disclosed in the FY2026 filing, subject to the remaining asset balance.
Formula: ='Filing Notes'!J9
Cross-sheet references identify the owning schedule. Same-sheet references identify intermediate calculations.</x:t>
        </x:r>
      </x:text>
    </x:comment>
    <x:comment ref="K11" authorId="0">
      <x:text>
        <x:r>
          <x:t>Intangible amortization (FY:23 A).
Noncash intangible expense. Forecast amortization follows the expected schedule disclosed in the FY2026 filing, subject to the remaining asset balance.
Formula: ='Filing Notes'!K9
Cross-sheet references identify the owning schedule. Same-sheet references identify intermediate calculations.</x:t>
        </x:r>
      </x:text>
    </x:comment>
    <x:comment ref="L11" authorId="0">
      <x:text>
        <x:r>
          <x:t>Intangible amortization (FY:24 A).
Noncash intangible expense. Forecast amortization follows the expected schedule disclosed in the FY2026 filing, subject to the remaining asset balance.
Formula: ='Filing Notes'!L9
Cross-sheet references identify the owning schedule. Same-sheet references identify intermediate calculations.</x:t>
        </x:r>
      </x:text>
    </x:comment>
    <x:comment ref="M11" authorId="0">
      <x:text>
        <x:r>
          <x:t>Intangible amortization (FY:25 A).
Noncash intangible expense. Forecast amortization follows the expected schedule disclosed in the FY2026 filing, subject to the remaining asset balance.
Formula: ='Filing Notes'!M9
Cross-sheet references identify the owning schedule. Same-sheet references identify intermediate calculations.</x:t>
        </x:r>
      </x:text>
    </x:comment>
    <x:comment ref="N11" authorId="0">
      <x:text>
        <x:r>
          <x:t>Intangible amortization (FY:26 A).
Noncash intangible expense. Forecast amortization follows the expected schedule disclosed in the FY2026 filing, subject to the remaining asset balance.
Formula: ='Filing Notes'!N9
Cross-sheet references identify the owning schedule. Same-sheet references identify intermediate calculations.</x:t>
        </x:r>
      </x:text>
    </x:comment>
    <x:comment ref="O11" authorId="0">
      <x:text>
        <x:r>
          <x:t>Intangible amortization (FY:27 E).
Noncash intangible expense. Forecast amortization follows the expected schedule disclosed in the FY2026 filing, subject to the remaining asset balance.
Formula: ='PPE and Intangibles'!O42
Cross-sheet references identify the owning schedule. Same-sheet references identify intermediate calculations.</x:t>
        </x:r>
      </x:text>
    </x:comment>
    <x:comment ref="P11" authorId="0">
      <x:text>
        <x:r>
          <x:t>Intangible amortization (FY:28 E).
Noncash intangible expense. Forecast amortization follows the expected schedule disclosed in the FY2026 filing, subject to the remaining asset balance.
Formula: ='PPE and Intangibles'!P42
Cross-sheet references identify the owning schedule. Same-sheet references identify intermediate calculations.</x:t>
        </x:r>
      </x:text>
    </x:comment>
    <x:comment ref="Q11" authorId="0">
      <x:text>
        <x:r>
          <x:t>Intangible amortization (FY:29 E).
Noncash intangible expense. Forecast amortization follows the expected schedule disclosed in the FY2026 filing, subject to the remaining asset balance.
Formula: ='PPE and Intangibles'!Q42
Cross-sheet references identify the owning schedule. Same-sheet references identify intermediate calculations.</x:t>
        </x:r>
      </x:text>
    </x:comment>
    <x:comment ref="R11" authorId="0">
      <x:text>
        <x:r>
          <x:t>Intangible amortization (FY:30 E).
Noncash intangible expense. Forecast amortization follows the expected schedule disclosed in the FY2026 filing, subject to the remaining asset balance.
Formula: ='PPE and Intangibles'!R42
Cross-sheet references identify the owning schedule. Same-sheet references identify intermediate calculations.</x:t>
        </x:r>
      </x:text>
    </x:comment>
    <x:comment ref="S11" authorId="0">
      <x:text>
        <x:r>
          <x:t>Intangible amortization (FY:31 E).
Noncash intangible expense. Forecast amortization follows the expected schedule disclosed in the FY2026 filing, subject to the remaining asset balance.
Formula: ='PPE and Intangibles'!S42
Cross-sheet references identify the owning schedule. Same-sheet references identify intermediate calculations.</x:t>
        </x:r>
      </x:text>
    </x:comment>
    <x:comment ref="C12" authorId="0">
      <x:text>
        <x:r>
          <x:t>Operating lease expense. This line belongs to the Expense Plan calculation. Read its formula to trace the referenced inputs and intermediate totals.</x:t>
        </x:r>
      </x:text>
    </x:comment>
    <x:comment ref="E12" authorId="0">
      <x:text>
        <x:r>
          <x:t>Operating lease expense (FY:17 A).
Operating lease expense. This line belongs to the Expense Plan calculation. Read its formula to trace the referenced inputs and intermediate totals.
Formula: ='Filing Notes'!E17
Cross-sheet references identify the owning schedule. Same-sheet references identify intermediate calculations.</x:t>
        </x:r>
      </x:text>
    </x:comment>
    <x:comment ref="F12" authorId="0">
      <x:text>
        <x:r>
          <x:t>Operating lease expense (FY:18 A).
Operating lease expense. This line belongs to the Expense Plan calculation. Read its formula to trace the referenced inputs and intermediate totals.
Formula: ='Filing Notes'!F17
Cross-sheet references identify the owning schedule. Same-sheet references identify intermediate calculations.</x:t>
        </x:r>
      </x:text>
    </x:comment>
    <x:comment ref="G12" authorId="0">
      <x:text>
        <x:r>
          <x:t>Operating lease expense (FY:19 A).
Operating lease expense. This line belongs to the Expense Plan calculation. Read its formula to trace the referenced inputs and intermediate totals.
Formula: ='Filing Notes'!G17
Cross-sheet references identify the owning schedule. Same-sheet references identify intermediate calculations.</x:t>
        </x:r>
      </x:text>
    </x:comment>
    <x:comment ref="H12" authorId="0">
      <x:text>
        <x:r>
          <x:t>Operating lease expense (FY:20 A).
Operating lease expense. This line belongs to the Expense Plan calculation. Read its formula to trace the referenced inputs and intermediate totals.
Formula: ='Filing Notes'!H17
Cross-sheet references identify the owning schedule. Same-sheet references identify intermediate calculations.</x:t>
        </x:r>
      </x:text>
    </x:comment>
    <x:comment ref="I12" authorId="0">
      <x:text>
        <x:r>
          <x:t>Operating lease expense (FY:21 A).
Operating lease expense. This line belongs to the Expense Plan calculation. Read its formula to trace the referenced inputs and intermediate totals.
Formula: ='Filing Notes'!I17
Cross-sheet references identify the owning schedule. Same-sheet references identify intermediate calculations.</x:t>
        </x:r>
      </x:text>
    </x:comment>
    <x:comment ref="J12" authorId="0">
      <x:text>
        <x:r>
          <x:t>Operating lease expense (FY:22 A).
Operating lease expense. This line belongs to the Expense Plan calculation. Read its formula to trace the referenced inputs and intermediate totals.
Formula: ='Filing Notes'!J17
Cross-sheet references identify the owning schedule. Same-sheet references identify intermediate calculations.</x:t>
        </x:r>
      </x:text>
    </x:comment>
    <x:comment ref="K12" authorId="0">
      <x:text>
        <x:r>
          <x:t>Operating lease expense (FY:23 A).
Operating lease expense. This line belongs to the Expense Plan calculation. Read its formula to trace the referenced inputs and intermediate totals.
Formula: ='Filing Notes'!K17
Cross-sheet references identify the owning schedule. Same-sheet references identify intermediate calculations.</x:t>
        </x:r>
      </x:text>
    </x:comment>
    <x:comment ref="L12" authorId="0">
      <x:text>
        <x:r>
          <x:t>Operating lease expense (FY:24 A).
Operating lease expense. This line belongs to the Expense Plan calculation. Read its formula to trace the referenced inputs and intermediate totals.
Formula: ='Filing Notes'!L17
Cross-sheet references identify the owning schedule. Same-sheet references identify intermediate calculations.</x:t>
        </x:r>
      </x:text>
    </x:comment>
    <x:comment ref="M12" authorId="0">
      <x:text>
        <x:r>
          <x:t>Operating lease expense (FY:25 A).
Operating lease expense. This line belongs to the Expense Plan calculation. Read its formula to trace the referenced inputs and intermediate totals.
Formula: ='Filing Notes'!M17
Cross-sheet references identify the owning schedule. Same-sheet references identify intermediate calculations.</x:t>
        </x:r>
      </x:text>
    </x:comment>
    <x:comment ref="N12" authorId="0">
      <x:text>
        <x:r>
          <x:t>Operating lease expense (FY:26 A).
Operating lease expense. This line belongs to the Expense Plan calculation. Read its formula to trace the referenced inputs and intermediate totals.
Formula: ='Filing Notes'!N17
Cross-sheet references identify the owning schedule. Same-sheet references identify intermediate calculations.</x:t>
        </x:r>
      </x:text>
    </x:comment>
    <x:comment ref="O12" authorId="0">
      <x:text>
        <x:r>
          <x:t>Operating lease expense (FY:27 E).
Operating lease expense. This line belongs to the Expense Plan calculation. Read its formula to trace the referenced inputs and intermediate totals.
Formula: ='Debt and Leases'!O61
Cross-sheet references identify the owning schedule. Same-sheet references identify intermediate calculations.</x:t>
        </x:r>
      </x:text>
    </x:comment>
    <x:comment ref="P12" authorId="0">
      <x:text>
        <x:r>
          <x:t>Operating lease expense (FY:28 E).
Operating lease expense. This line belongs to the Expense Plan calculation. Read its formula to trace the referenced inputs and intermediate totals.
Formula: ='Debt and Leases'!P61
Cross-sheet references identify the owning schedule. Same-sheet references identify intermediate calculations.</x:t>
        </x:r>
      </x:text>
    </x:comment>
    <x:comment ref="Q12" authorId="0">
      <x:text>
        <x:r>
          <x:t>Operating lease expense (FY:29 E).
Operating lease expense. This line belongs to the Expense Plan calculation. Read its formula to trace the referenced inputs and intermediate totals.
Formula: ='Debt and Leases'!Q61
Cross-sheet references identify the owning schedule. Same-sheet references identify intermediate calculations.</x:t>
        </x:r>
      </x:text>
    </x:comment>
    <x:comment ref="R12" authorId="0">
      <x:text>
        <x:r>
          <x:t>Operating lease expense (FY:30 E).
Operating lease expense. This line belongs to the Expense Plan calculation. Read its formula to trace the referenced inputs and intermediate totals.
Formula: ='Debt and Leases'!R61
Cross-sheet references identify the owning schedule. Same-sheet references identify intermediate calculations.</x:t>
        </x:r>
      </x:text>
    </x:comment>
    <x:comment ref="S12" authorId="0">
      <x:text>
        <x:r>
          <x:t>Operating lease expense (FY:31 E).
Operating lease expense. This line belongs to the Expense Plan calculation. Read its formula to trace the referenced inputs and intermediate totals.
Formula: ='Debt and Leases'!S61
Cross-sheet references identify the owning schedule. Same-sheet references identify intermediate calculations.</x:t>
        </x:r>
      </x:text>
    </x:comment>
    <x:comment ref="C14"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4" authorId="0">
      <x:text>
        <x:r>
          <x:t>R&amp;D before allocated D&amp;A and leases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4" authorId="0">
      <x:text>
        <x:r>
          <x:t>R&amp;D before allocated D&amp;A and leases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4" authorId="0">
      <x:text>
        <x:r>
          <x:t>R&amp;D before allocated D&amp;A and leases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4" authorId="0">
      <x:text>
        <x:r>
          <x:t>R&amp;D before allocated D&amp;A and leases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4" authorId="0">
      <x:text>
        <x:r>
          <x:t>R&amp;D before allocated D&amp;A and leases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4" authorId="0">
      <x:text>
        <x:r>
          <x:t>R&amp;D before allocated D&amp;A and leases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4" authorId="0">
      <x:text>
        <x:r>
          <x:t>R&amp;D before allocated D&amp;A and leases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4" authorId="0">
      <x:text>
        <x:r>
          <x:t>R&amp;D before allocated D&amp;A and leases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4" authorId="0">
      <x:text>
        <x:r>
          <x:t>R&amp;D before allocated D&amp;A and leases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4" authorId="0">
      <x:text>
        <x:r>
          <x:t>R&amp;D before allocated D&amp;A and leases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4" authorId="0">
      <x:text>
        <x:r>
          <x:t>R&amp;D before allocated D&amp;A and leases (FY:27 E).
Expense distributed using the explicit allocation inputs on Assumptions. These allocations are modeling assumptions rather than a Microsoft disclosure of these costs by segment. The formula identifies the owning expense schedule and percentage.
Formula: =O8*'Assumptions'!O33
Cross-sheet references identify the owning schedule. Same-sheet references identify intermediate calculations.</x:t>
        </x:r>
      </x:text>
    </x:comment>
    <x:comment ref="P14" authorId="0">
      <x:text>
        <x:r>
          <x:t>R&amp;D before allocated D&amp;A and leases (FY:28 E).
Expense distributed using the explicit allocation inputs on Assumptions. These allocations are modeling assumptions rather than a Microsoft disclosure of these costs by segment. The formula identifies the owning expense schedule and percentage.
Formula: =P8*'Assumptions'!P33
Cross-sheet references identify the owning schedule. Same-sheet references identify intermediate calculations.</x:t>
        </x:r>
      </x:text>
    </x:comment>
    <x:comment ref="Q14" authorId="0">
      <x:text>
        <x:r>
          <x:t>R&amp;D before allocated D&amp;A and leases (FY:29 E).
Expense distributed using the explicit allocation inputs on Assumptions. These allocations are modeling assumptions rather than a Microsoft disclosure of these costs by segment. The formula identifies the owning expense schedule and percentage.
Formula: =Q8*'Assumptions'!Q33
Cross-sheet references identify the owning schedule. Same-sheet references identify intermediate calculations.</x:t>
        </x:r>
      </x:text>
    </x:comment>
    <x:comment ref="R14" authorId="0">
      <x:text>
        <x:r>
          <x:t>R&amp;D before allocated D&amp;A and leases (FY:30 E).
Expense distributed using the explicit allocation inputs on Assumptions. These allocations are modeling assumptions rather than a Microsoft disclosure of these costs by segment. The formula identifies the owning expense schedule and percentage.
Formula: =R8*'Assumptions'!R33
Cross-sheet references identify the owning schedule. Same-sheet references identify intermediate calculations.</x:t>
        </x:r>
      </x:text>
    </x:comment>
    <x:comment ref="S14" authorId="0">
      <x:text>
        <x:r>
          <x:t>R&amp;D before allocated D&amp;A and leases (FY:31 E).
Expense distributed using the explicit allocation inputs on Assumptions. These allocations are modeling assumptions rather than a Microsoft disclosure of these costs by segment. The formula identifies the owning expense schedule and percentage.
Formula: =S8*'Assumptions'!S33
Cross-sheet references identify the owning schedule. Same-sheet references identify intermediate calculations.</x:t>
        </x:r>
      </x:text>
    </x:comment>
    <x:comment ref="C15"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5" authorId="0">
      <x:text>
        <x:r>
          <x:t>PPE depreciation allocated to R&amp;D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5" authorId="0">
      <x:text>
        <x:r>
          <x:t>PPE depreciation allocated to R&amp;D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5" authorId="0">
      <x:text>
        <x:r>
          <x:t>PPE depreciation allocated to R&amp;D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5" authorId="0">
      <x:text>
        <x:r>
          <x:t>PPE depreciation allocated to R&amp;D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5" authorId="0">
      <x:text>
        <x:r>
          <x:t>PPE depreciation allocated to R&amp;D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5" authorId="0">
      <x:text>
        <x:r>
          <x:t>PPE depreciation allocated to R&amp;D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5" authorId="0">
      <x:text>
        <x:r>
          <x:t>PPE depreciation allocated to R&amp;D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5" authorId="0">
      <x:text>
        <x:r>
          <x:t>PPE depreciation allocated to R&amp;D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5" authorId="0">
      <x:text>
        <x:r>
          <x:t>PPE depreciation allocated to R&amp;D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5" authorId="0">
      <x:text>
        <x:r>
          <x:t>PPE depreciation allocated to R&amp;D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5" authorId="0">
      <x:text>
        <x:r>
          <x:t>PPE depreciation allocated to R&amp;D (FY:27 E).
Expense distributed using the explicit allocation inputs on Assumptions. These allocations are modeling assumptions rather than a Microsoft disclosure of these costs by segment. The formula identifies the owning expense schedule and percentage.
Formula: =O10*'Assumptions'!H205
Cross-sheet references identify the owning schedule. Same-sheet references identify intermediate calculations.</x:t>
        </x:r>
      </x:text>
    </x:comment>
    <x:comment ref="P15" authorId="0">
      <x:text>
        <x:r>
          <x:t>PPE depreciation allocated to R&amp;D (FY:28 E).
Expense distributed using the explicit allocation inputs on Assumptions. These allocations are modeling assumptions rather than a Microsoft disclosure of these costs by segment. The formula identifies the owning expense schedule and percentage.
Formula: =P10*'Assumptions'!H205
Cross-sheet references identify the owning schedule. Same-sheet references identify intermediate calculations.</x:t>
        </x:r>
      </x:text>
    </x:comment>
    <x:comment ref="Q15" authorId="0">
      <x:text>
        <x:r>
          <x:t>PPE depreciation allocated to R&amp;D (FY:29 E).
Expense distributed using the explicit allocation inputs on Assumptions. These allocations are modeling assumptions rather than a Microsoft disclosure of these costs by segment. The formula identifies the owning expense schedule and percentage.
Formula: =Q10*'Assumptions'!H205
Cross-sheet references identify the owning schedule. Same-sheet references identify intermediate calculations.</x:t>
        </x:r>
      </x:text>
    </x:comment>
    <x:comment ref="R15" authorId="0">
      <x:text>
        <x:r>
          <x:t>PPE depreciation allocated to R&amp;D (FY:30 E).
Expense distributed using the explicit allocation inputs on Assumptions. These allocations are modeling assumptions rather than a Microsoft disclosure of these costs by segment. The formula identifies the owning expense schedule and percentage.
Formula: =R10*'Assumptions'!H205
Cross-sheet references identify the owning schedule. Same-sheet references identify intermediate calculations.</x:t>
        </x:r>
      </x:text>
    </x:comment>
    <x:comment ref="S15" authorId="0">
      <x:text>
        <x:r>
          <x:t>PPE depreciation allocated to R&amp;D (FY:31 E).
Expense distributed using the explicit allocation inputs on Assumptions. These allocations are modeling assumptions rather than a Microsoft disclosure of these costs by segment. The formula identifies the owning expense schedule and percentage.
Formula: =S10*'Assumptions'!H205
Cross-sheet references identify the owning schedule. Same-sheet references identify intermediate calculations.</x:t>
        </x:r>
      </x:text>
    </x:comment>
    <x:comment ref="C16"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6" authorId="0">
      <x:text>
        <x:r>
          <x:t>Intangible amortization allocated to R&amp;D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6" authorId="0">
      <x:text>
        <x:r>
          <x:t>Intangible amortization allocated to R&amp;D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6" authorId="0">
      <x:text>
        <x:r>
          <x:t>Intangible amortization allocated to R&amp;D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6" authorId="0">
      <x:text>
        <x:r>
          <x:t>Intangible amortization allocated to R&amp;D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6" authorId="0">
      <x:text>
        <x:r>
          <x:t>Intangible amortization allocated to R&amp;D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6" authorId="0">
      <x:text>
        <x:r>
          <x:t>Intangible amortization allocated to R&amp;D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6" authorId="0">
      <x:text>
        <x:r>
          <x:t>Intangible amortization allocated to R&amp;D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6" authorId="0">
      <x:text>
        <x:r>
          <x:t>Intangible amortization allocated to R&amp;D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6" authorId="0">
      <x:text>
        <x:r>
          <x:t>Intangible amortization allocated to R&amp;D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6" authorId="0">
      <x:text>
        <x:r>
          <x:t>Intangible amortization allocated to R&amp;D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6" authorId="0">
      <x:text>
        <x:r>
          <x:t>Intangible amortization allocated to R&amp;D (FY:27 E).
Expense distributed using the explicit allocation inputs on Assumptions. These allocations are modeling assumptions rather than a Microsoft disclosure of these costs by segment. The formula identifies the owning expense schedule and percentage.
Formula: =O11*'Assumptions'!H206
Cross-sheet references identify the owning schedule. Same-sheet references identify intermediate calculations.</x:t>
        </x:r>
      </x:text>
    </x:comment>
    <x:comment ref="P16" authorId="0">
      <x:text>
        <x:r>
          <x:t>Intangible amortization allocated to R&amp;D (FY:28 E).
Expense distributed using the explicit allocation inputs on Assumptions. These allocations are modeling assumptions rather than a Microsoft disclosure of these costs by segment. The formula identifies the owning expense schedule and percentage.
Formula: =P11*'Assumptions'!H206
Cross-sheet references identify the owning schedule. Same-sheet references identify intermediate calculations.</x:t>
        </x:r>
      </x:text>
    </x:comment>
    <x:comment ref="Q16" authorId="0">
      <x:text>
        <x:r>
          <x:t>Intangible amortization allocated to R&amp;D (FY:29 E).
Expense distributed using the explicit allocation inputs on Assumptions. These allocations are modeling assumptions rather than a Microsoft disclosure of these costs by segment. The formula identifies the owning expense schedule and percentage.
Formula: =Q11*'Assumptions'!H206
Cross-sheet references identify the owning schedule. Same-sheet references identify intermediate calculations.</x:t>
        </x:r>
      </x:text>
    </x:comment>
    <x:comment ref="R16" authorId="0">
      <x:text>
        <x:r>
          <x:t>Intangible amortization allocated to R&amp;D (FY:30 E).
Expense distributed using the explicit allocation inputs on Assumptions. These allocations are modeling assumptions rather than a Microsoft disclosure of these costs by segment. The formula identifies the owning expense schedule and percentage.
Formula: =R11*'Assumptions'!H206
Cross-sheet references identify the owning schedule. Same-sheet references identify intermediate calculations.</x:t>
        </x:r>
      </x:text>
    </x:comment>
    <x:comment ref="S16" authorId="0">
      <x:text>
        <x:r>
          <x:t>Intangible amortization allocated to R&amp;D (FY:31 E).
Expense distributed using the explicit allocation inputs on Assumptions. These allocations are modeling assumptions rather than a Microsoft disclosure of these costs by segment. The formula identifies the owning expense schedule and percentage.
Formula: =S11*'Assumptions'!H206
Cross-sheet references identify the owning schedule. Same-sheet references identify intermediate calculations.</x:t>
        </x:r>
      </x:text>
    </x:comment>
    <x:comment ref="C17" authorId="0">
      <x:text>
        <x:r>
          <x:t>Expense distributed using the explicit allocation inputs on Assumptions. These allocations are modeling assumptions rather than a Microsoft disclosure of these costs by segment. The formula identifies the owning expense schedule and percentage.</x:t>
        </x:r>
      </x:text>
    </x:comment>
    <x:comment ref="E17" authorId="0">
      <x:text>
        <x:r>
          <x:t>Operating leases allocated to R&amp;D (FY:17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F17" authorId="0">
      <x:text>
        <x:r>
          <x:t>Operating leases allocated to R&amp;D (FY:18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G17" authorId="0">
      <x:text>
        <x:r>
          <x:t>Operating leases allocated to R&amp;D (FY:19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H17" authorId="0">
      <x:text>
        <x:r>
          <x:t>Operating leases allocated to R&amp;D (FY:20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I17" authorId="0">
      <x:text>
        <x:r>
          <x:t>Operating leases allocated to R&amp;D (FY:21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J17" authorId="0">
      <x:text>
        <x:r>
          <x:t>Operating leases allocated to R&amp;D (FY:22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K17" authorId="0">
      <x:text>
        <x:r>
          <x:t>Operating leases allocated to R&amp;D (FY:23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L17" authorId="0">
      <x:text>
        <x:r>
          <x:t>Operating leases allocated to R&amp;D (FY:24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M17" authorId="0">
      <x:text>
        <x:r>
          <x:t>Operating leases allocated to R&amp;D (FY:25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N17" authorId="0">
      <x:text>
        <x:r>
          <x:t>Operating leases allocated to R&amp;D (FY:26 A).
Expense distributed using the explicit allocation inputs on Assumptions. These allocations are modeling assumptions rather than a Microsoft disclosure of these costs by segment. The formula identifies the owning expense schedule and percentage. This period is unavailable or not applicable. Do not interpret it as zero.
Stored input or primary source observation. It is not calculated in this cell.</x:t>
        </x:r>
      </x:text>
    </x:comment>
    <x:comment ref="O17" authorId="0">
      <x:text>
        <x:r>
          <x:t>Operating leases allocated to R&amp;D (FY:27 E).
Expense distributed using the explicit allocation inputs on Assumptions. These allocations are modeling assumptions rather than a Microsoft disclosure of these costs by segment. The formula identifies the owning expense schedule and percentage.
Formula: =O12*'Assumptions'!H207
Cross-sheet references identify the owning schedule. Same-sheet references identify intermediate calculations.</x:t>
        </x:r>
      </x:text>
    </x:comment>
    <x:comment ref="P17" authorId="0">
      <x:text>
        <x:r>
          <x:t>Operating leases allocated to R&amp;D (FY:28 E).
Expense distributed using the explicit allocation inputs on Assumptions. These allocations are modeling assumptions rather than a Microsoft disclosure of these costs by segment. The formula identifies the owning expense schedule and percentage.
Formula: =P12*'Assumptions'!H207
Cross-sheet references identify the owning schedule. Same-sheet references identify intermediate calculations.</x:t>
        </x:r>
      </x:text>
    </x:comment>
    <x:comment ref="Q17" authorId="0">
      <x:text>
        <x:r>
          <x:t>Operating leases allocated to R&amp;D (FY:29 E).
Expense distributed using the explicit allocation inputs on Assumptions. These allocations are modeling assumptions rather than a Microsoft disclosure of these costs by segment. The formula identifies the owning expense schedule and percentage.
Formula: =Q12*'Assumptions'!H207
Cross-sheet references identify the owning schedule. Same-sheet references identify intermediate calculations.</x:t>
        </x:r>
      </x:text>
    </x:comment>
    <x:comment ref="R17" authorId="0">
      <x:text>
        <x:r>
          <x:t>Operating leases allocated to R&amp;D (FY:30 E).
Expense distributed using the explicit allocation inputs on Assumptions. These allocations are modeling assumptions rather than a Microsoft disclosure of these costs by segment. The formula identifies the owning expense schedule and percentage.
Formula: =R12*'Assumptions'!H207
Cross-sheet references identify the owning schedule. Same-sheet references identify intermediate calculations.</x:t>
        </x:r>
      </x:text>
    </x:comment>
    <x:comment ref="S17" authorId="0">
      <x:text>
        <x:r>
          <x:t>Operating leases allocated to R&amp;D (FY:31 E).
Expense distributed using the explicit allocation inputs on Assumptions. These allocations are modeling assumptions rather than a Microsoft disclosure of these costs by segment. The formula identifies the owning expense schedule and percentage.
Formula: =S12*'Assumptions'!H207
Cross-sheet references identify the owning schedule. Same-sheet references identify intermediate calculations.</x:t>
        </x:r>
      </x:text>
    </x:comment>
    <x:comment ref="C18" authorId="0">
      <x:text>
        <x:r>
          <x:t>Total research and development. This line belongs to the Expense Plan calculation. Read its formula to trace the referenced inputs and intermediate totals.</x:t>
        </x:r>
      </x:text>
    </x:comment>
    <x:comment ref="E18" authorId="0">
      <x:text>
        <x:r>
          <x:t>Total research and development (FY:17 A).
Total research and development. This line belongs to the Expense Plan calculation. Read its formula to trace the referenced inputs and intermediate totals.
Formula: ='Historical Inputs'!E12
Cross-sheet references identify the owning schedule. Same-sheet references identify intermediate calculations.</x:t>
        </x:r>
      </x:text>
    </x:comment>
    <x:comment ref="F18" authorId="0">
      <x:text>
        <x:r>
          <x:t>Total research and development (FY:18 A).
Total research and development. This line belongs to the Expense Plan calculation. Read its formula to trace the referenced inputs and intermediate totals.
Formula: ='Historical Inputs'!F12
Cross-sheet references identify the owning schedule. Same-sheet references identify intermediate calculations.</x:t>
        </x:r>
      </x:text>
    </x:comment>
    <x:comment ref="G18" authorId="0">
      <x:text>
        <x:r>
          <x:t>Total research and development (FY:19 A).
Total research and development. This line belongs to the Expense Plan calculation. Read its formula to trace the referenced inputs and intermediate totals.
Formula: ='Historical Inputs'!G12
Cross-sheet references identify the owning schedule. Same-sheet references identify intermediate calculations.</x:t>
        </x:r>
      </x:text>
    </x:comment>
    <x:comment ref="H18" authorId="0">
      <x:text>
        <x:r>
          <x:t>Total research and development (FY:20 A).
Total research and development. This line belongs to the Expense Plan calculation. Read its formula to trace the referenced inputs and intermediate totals.
Formula: ='Historical Inputs'!H12
Cross-sheet references identify the owning schedule. Same-sheet references identify intermediate calculations.</x:t>
        </x:r>
      </x:text>
    </x:comment>
    <x:comment ref="I18" authorId="0">
      <x:text>
        <x:r>
          <x:t>Total research and development (FY:21 A).
Total research and development. This line belongs to the Expense Plan calculation. Read its formula to trace the referenced inputs and intermediate totals.
Formula: ='Historical Inputs'!I12
Cross-sheet references identify the owning schedule. Same-sheet references identify intermediate calculations.</x:t>
        </x:r>
      </x:text>
    </x:comment>
    <x:comment ref="J18" authorId="0">
      <x:text>
        <x:r>
          <x:t>Total research and development (FY:22 A).
Total research and development. This line belongs to the Expense Plan calculation. Read its formula to trace the referenced inputs and intermediate totals.
Formula: ='Historical Inputs'!J12
Cross-sheet references identify the owning schedule. Same-sheet references identify intermediate calculations.</x:t>
        </x:r>
      </x:text>
    </x:comment>
    <x:comment ref="K18" authorId="0">
      <x:text>
        <x:r>
          <x:t>Total research and development (FY:23 A).
Total research and development. This line belongs to the Expense Plan calculation. Read its formula to trace the referenced inputs and intermediate totals.
Formula: ='Historical Inputs'!K12
Cross-sheet references identify the owning schedule. Same-sheet references identify intermediate calculations.</x:t>
        </x:r>
      </x:text>
    </x:comment>
    <x:comment ref="L18" authorId="0">
      <x:text>
        <x:r>
          <x:t>Total research and development (FY:24 A).
Total research and development. This line belongs to the Expense Plan calculation. Read its formula to trace the referenced inputs and intermediate totals.
Formula: ='Historical Inputs'!L12
Cross-sheet references identify the owning schedule. Same-sheet references identify intermediate calculations.</x:t>
        </x:r>
      </x:text>
    </x:comment>
    <x:comment ref="M18" authorId="0">
      <x:text>
        <x:r>
          <x:t>Total research and development (FY:25 A).
Total research and development. This line belongs to the Expense Plan calculation. Read its formula to trace the referenced inputs and intermediate totals.
Formula: ='Historical Inputs'!M12
Cross-sheet references identify the owning schedule. Same-sheet references identify intermediate calculations.</x:t>
        </x:r>
      </x:text>
    </x:comment>
    <x:comment ref="N18" authorId="0">
      <x:text>
        <x:r>
          <x:t>Total research and development (FY:26 A).
Total research and development. This line belongs to the Expense Plan calculation. Read its formula to trace the referenced inputs and intermediate totals.
Formula: ='Historical Inputs'!N12
Cross-sheet references identify the owning schedule. Same-sheet references identify intermediate calculations.</x:t>
        </x:r>
      </x:text>
    </x:comment>
    <x:comment ref="O18" authorId="0">
      <x:text>
        <x:r>
          <x:t>Total research and development (FY:27 E).
Total research and development. This line belongs to the Expense Plan calculation. Read its formula to trace the referenced inputs and intermediate totals.
Formula: =SUM(O14:O17)
Cross-sheet references identify the owning schedule. Same-sheet references identify intermediate calculations.</x:t>
        </x:r>
      </x:text>
    </x:comment>
    <x:comment ref="P18" authorId="0">
      <x:text>
        <x:r>
          <x:t>Total research and development (FY:28 E).
Total research and development. This line belongs to the Expense Plan calculation. Read its formula to trace the referenced inputs and intermediate totals.
Formula: =SUM(P14:P17)
Cross-sheet references identify the owning schedule. Same-sheet references identify intermediate calculations.</x:t>
        </x:r>
      </x:text>
    </x:comment>
    <x:comment ref="Q18" authorId="0">
      <x:text>
        <x:r>
          <x:t>Total research and development (FY:29 E).
Total research and development. This line belongs to the Expense Plan calculation. Read its formula to trace the referenced inputs and intermediate totals.
Formula: =SUM(Q14:Q17)
Cross-sheet references identify the owning schedule. Same-sheet references identify intermediate calculations.</x:t>
        </x:r>
      </x:text>
    </x:comment>
    <x:comment ref="R18" authorId="0">
      <x:text>
        <x:r>
          <x:t>Total research and development (FY:30 E).
Total research and development. This line belongs to the Expense Plan calculation. Read its formula to trace the referenced inputs and intermediate totals.
Formula: =SUM(R14:R17)
Cross-sheet references identify the owning schedule. Same-sheet references identify intermediate calculations.</x:t>
        </x:r>
      </x:text>
    </x:comment>
    <x:comment ref="S18" authorId="0">
      <x:text>
        <x:r>
          <x:t>Total research and development (FY:31 E).
Total research and development. This line belongs to the Expense Plan calculation. Read its formula to trace the referenced inputs and intermediate totals.
Formula: =SUM(S14:S17)
Cross-sheet references identify the owning schedule. Same-sheet references identify intermediate calculations.</x:t>
        </x:r>
      </x:text>
    </x:comment>
    <x:comment ref="C20" authorId="0">
      <x:text>
        <x:r>
          <x:t>Selling and marketing expense driven by its revenue-based forecast assumption.</x:t>
        </x:r>
      </x:text>
    </x:comment>
    <x:comment ref="E20" authorId="0">
      <x:text>
        <x:r>
          <x:t>Sales and marketing (FY:17 A).
Selling and marketing expense driven by its revenue-based forecast assumption.
Formula: ='Historical Inputs'!E13
Cross-sheet references identify the owning schedule. Same-sheet references identify intermediate calculations.</x:t>
        </x:r>
      </x:text>
    </x:comment>
    <x:comment ref="F20" authorId="0">
      <x:text>
        <x:r>
          <x:t>Sales and marketing (FY:18 A).
Selling and marketing expense driven by its revenue-based forecast assumption.
Formula: ='Historical Inputs'!F13
Cross-sheet references identify the owning schedule. Same-sheet references identify intermediate calculations.</x:t>
        </x:r>
      </x:text>
    </x:comment>
    <x:comment ref="G20" authorId="0">
      <x:text>
        <x:r>
          <x:t>Sales and marketing (FY:19 A).
Selling and marketing expense driven by its revenue-based forecast assumption.
Formula: ='Historical Inputs'!G13
Cross-sheet references identify the owning schedule. Same-sheet references identify intermediate calculations.</x:t>
        </x:r>
      </x:text>
    </x:comment>
    <x:comment ref="H20" authorId="0">
      <x:text>
        <x:r>
          <x:t>Sales and marketing (FY:20 A).
Selling and marketing expense driven by its revenue-based forecast assumption.
Formula: ='Historical Inputs'!H13
Cross-sheet references identify the owning schedule. Same-sheet references identify intermediate calculations.</x:t>
        </x:r>
      </x:text>
    </x:comment>
    <x:comment ref="I20" authorId="0">
      <x:text>
        <x:r>
          <x:t>Sales and marketing (FY:21 A).
Selling and marketing expense driven by its revenue-based forecast assumption.
Formula: ='Historical Inputs'!I13
Cross-sheet references identify the owning schedule. Same-sheet references identify intermediate calculations.</x:t>
        </x:r>
      </x:text>
    </x:comment>
    <x:comment ref="J20" authorId="0">
      <x:text>
        <x:r>
          <x:t>Sales and marketing (FY:22 A).
Selling and marketing expense driven by its revenue-based forecast assumption.
Formula: ='Historical Inputs'!J13
Cross-sheet references identify the owning schedule. Same-sheet references identify intermediate calculations.</x:t>
        </x:r>
      </x:text>
    </x:comment>
    <x:comment ref="K20" authorId="0">
      <x:text>
        <x:r>
          <x:t>Sales and marketing (FY:23 A).
Selling and marketing expense driven by its revenue-based forecast assumption.
Formula: ='Historical Inputs'!K13
Cross-sheet references identify the owning schedule. Same-sheet references identify intermediate calculations.</x:t>
        </x:r>
      </x:text>
    </x:comment>
    <x:comment ref="L20" authorId="0">
      <x:text>
        <x:r>
          <x:t>Sales and marketing (FY:24 A).
Selling and marketing expense driven by its revenue-based forecast assumption.
Formula: ='Historical Inputs'!L13
Cross-sheet references identify the owning schedule. Same-sheet references identify intermediate calculations.</x:t>
        </x:r>
      </x:text>
    </x:comment>
    <x:comment ref="M20" authorId="0">
      <x:text>
        <x:r>
          <x:t>Sales and marketing (FY:25 A).
Selling and marketing expense driven by its revenue-based forecast assumption.
Formula: ='Historical Inputs'!M13
Cross-sheet references identify the owning schedule. Same-sheet references identify intermediate calculations.</x:t>
        </x:r>
      </x:text>
    </x:comment>
    <x:comment ref="N20" authorId="0">
      <x:text>
        <x:r>
          <x:t>Sales and marketing (FY:26 A).
Selling and marketing expense driven by its revenue-based forecast assumption.
Formula: ='Historical Inputs'!N13
Cross-sheet references identify the owning schedule. Same-sheet references identify intermediate calculations.</x:t>
        </x:r>
      </x:text>
    </x:comment>
    <x:comment ref="O20" authorId="0">
      <x:text>
        <x:r>
          <x:t>Sales and marketing (FY:27 E).
Selling and marketing expense driven by its revenue-based forecast assumption.
Formula: =O8*'Assumptions'!O37
Cross-sheet references identify the owning schedule. Same-sheet references identify intermediate calculations.</x:t>
        </x:r>
      </x:text>
    </x:comment>
    <x:comment ref="P20" authorId="0">
      <x:text>
        <x:r>
          <x:t>Sales and marketing (FY:28 E).
Selling and marketing expense driven by its revenue-based forecast assumption.
Formula: =P8*'Assumptions'!P37
Cross-sheet references identify the owning schedule. Same-sheet references identify intermediate calculations.</x:t>
        </x:r>
      </x:text>
    </x:comment>
    <x:comment ref="Q20" authorId="0">
      <x:text>
        <x:r>
          <x:t>Sales and marketing (FY:29 E).
Selling and marketing expense driven by its revenue-based forecast assumption.
Formula: =Q8*'Assumptions'!Q37
Cross-sheet references identify the owning schedule. Same-sheet references identify intermediate calculations.</x:t>
        </x:r>
      </x:text>
    </x:comment>
    <x:comment ref="R20" authorId="0">
      <x:text>
        <x:r>
          <x:t>Sales and marketing (FY:30 E).
Selling and marketing expense driven by its revenue-based forecast assumption.
Formula: =R8*'Assumptions'!R37
Cross-sheet references identify the owning schedule. Same-sheet references identify intermediate calculations.</x:t>
        </x:r>
      </x:text>
    </x:comment>
    <x:comment ref="S20" authorId="0">
      <x:text>
        <x:r>
          <x:t>Sales and marketing (FY:31 E).
Selling and marketing expense driven by its revenue-based forecast assumption.
Formula: =S8*'Assumptions'!S37
Cross-sheet references identify the owning schedule. Same-sheet references identify intermediate calculations.</x:t>
        </x:r>
      </x:text>
    </x:comment>
    <x:comment ref="C21" authorId="0">
      <x:text>
        <x:r>
          <x:t>Corporate administration expense driven by its revenue-based forecast assumption.</x:t>
        </x:r>
      </x:text>
    </x:comment>
    <x:comment ref="E21" authorId="0">
      <x:text>
        <x:r>
          <x:t>General and administrative (FY:17 A).
Corporate administration expense driven by its revenue-based forecast assumption.
Formula: ='Historical Inputs'!E14
Cross-sheet references identify the owning schedule. Same-sheet references identify intermediate calculations.</x:t>
        </x:r>
      </x:text>
    </x:comment>
    <x:comment ref="F21" authorId="0">
      <x:text>
        <x:r>
          <x:t>General and administrative (FY:18 A).
Corporate administration expense driven by its revenue-based forecast assumption.
Formula: ='Historical Inputs'!F14
Cross-sheet references identify the owning schedule. Same-sheet references identify intermediate calculations.</x:t>
        </x:r>
      </x:text>
    </x:comment>
    <x:comment ref="G21" authorId="0">
      <x:text>
        <x:r>
          <x:t>General and administrative (FY:19 A).
Corporate administration expense driven by its revenue-based forecast assumption.
Formula: ='Historical Inputs'!G14
Cross-sheet references identify the owning schedule. Same-sheet references identify intermediate calculations.</x:t>
        </x:r>
      </x:text>
    </x:comment>
    <x:comment ref="H21" authorId="0">
      <x:text>
        <x:r>
          <x:t>General and administrative (FY:20 A).
Corporate administration expense driven by its revenue-based forecast assumption.
Formula: ='Historical Inputs'!H14
Cross-sheet references identify the owning schedule. Same-sheet references identify intermediate calculations.</x:t>
        </x:r>
      </x:text>
    </x:comment>
    <x:comment ref="I21" authorId="0">
      <x:text>
        <x:r>
          <x:t>General and administrative (FY:21 A).
Corporate administration expense driven by its revenue-based forecast assumption.
Formula: ='Historical Inputs'!I14
Cross-sheet references identify the owning schedule. Same-sheet references identify intermediate calculations.</x:t>
        </x:r>
      </x:text>
    </x:comment>
    <x:comment ref="J21" authorId="0">
      <x:text>
        <x:r>
          <x:t>General and administrative (FY:22 A).
Corporate administration expense driven by its revenue-based forecast assumption.
Formula: ='Historical Inputs'!J14
Cross-sheet references identify the owning schedule. Same-sheet references identify intermediate calculations.</x:t>
        </x:r>
      </x:text>
    </x:comment>
    <x:comment ref="K21" authorId="0">
      <x:text>
        <x:r>
          <x:t>General and administrative (FY:23 A).
Corporate administration expense driven by its revenue-based forecast assumption.
Formula: ='Historical Inputs'!K14
Cross-sheet references identify the owning schedule. Same-sheet references identify intermediate calculations.</x:t>
        </x:r>
      </x:text>
    </x:comment>
    <x:comment ref="L21" authorId="0">
      <x:text>
        <x:r>
          <x:t>General and administrative (FY:24 A).
Corporate administration expense driven by its revenue-based forecast assumption.
Formula: ='Historical Inputs'!L14
Cross-sheet references identify the owning schedule. Same-sheet references identify intermediate calculations.</x:t>
        </x:r>
      </x:text>
    </x:comment>
    <x:comment ref="M21" authorId="0">
      <x:text>
        <x:r>
          <x:t>General and administrative (FY:25 A).
Corporate administration expense driven by its revenue-based forecast assumption.
Formula: ='Historical Inputs'!M14
Cross-sheet references identify the owning schedule. Same-sheet references identify intermediate calculations.</x:t>
        </x:r>
      </x:text>
    </x:comment>
    <x:comment ref="N21" authorId="0">
      <x:text>
        <x:r>
          <x:t>General and administrative (FY:26 A).
Corporate administration expense driven by its revenue-based forecast assumption.
Formula: ='Historical Inputs'!N14
Cross-sheet references identify the owning schedule. Same-sheet references identify intermediate calculations.</x:t>
        </x:r>
      </x:text>
    </x:comment>
    <x:comment ref="O21" authorId="0">
      <x:text>
        <x:r>
          <x:t>General and administrative (FY:27 E).
Corporate administration expense driven by its revenue-based forecast assumption.
Formula: =O8*'Assumptions'!O41
Cross-sheet references identify the owning schedule. Same-sheet references identify intermediate calculations.</x:t>
        </x:r>
      </x:text>
    </x:comment>
    <x:comment ref="P21" authorId="0">
      <x:text>
        <x:r>
          <x:t>General and administrative (FY:28 E).
Corporate administration expense driven by its revenue-based forecast assumption.
Formula: =P8*'Assumptions'!P41
Cross-sheet references identify the owning schedule. Same-sheet references identify intermediate calculations.</x:t>
        </x:r>
      </x:text>
    </x:comment>
    <x:comment ref="Q21" authorId="0">
      <x:text>
        <x:r>
          <x:t>General and administrative (FY:29 E).
Corporate administration expense driven by its revenue-based forecast assumption.
Formula: =Q8*'Assumptions'!Q41
Cross-sheet references identify the owning schedule. Same-sheet references identify intermediate calculations.</x:t>
        </x:r>
      </x:text>
    </x:comment>
    <x:comment ref="R21" authorId="0">
      <x:text>
        <x:r>
          <x:t>General and administrative (FY:30 E).
Corporate administration expense driven by its revenue-based forecast assumption.
Formula: =R8*'Assumptions'!R41
Cross-sheet references identify the owning schedule. Same-sheet references identify intermediate calculations.</x:t>
        </x:r>
      </x:text>
    </x:comment>
    <x:comment ref="S21" authorId="0">
      <x:text>
        <x:r>
          <x:t>General and administrative (FY:31 E).
Corporate administration expense driven by its revenue-based forecast assumption.
Formula: =S8*'Assumptions'!S41
Cross-sheet references identify the owning schedule. Same-sheet references identify intermediate calculations.</x:t>
        </x:r>
      </x:text>
    </x:comment>
    <x:comment ref="C22" authorId="0">
      <x:text>
        <x:r>
          <x:t>Other operating expenses. This line belongs to the Expense Plan calculation. Read its formula to trace the referenced inputs and intermediate totals.</x:t>
        </x:r>
      </x:text>
    </x:comment>
    <x:comment ref="E22" authorId="0">
      <x:text>
        <x:r>
          <x:t>Other operating expenses (FY:17 A).
Other operating expenses. This line belongs to the Expense Plan calculation. Read its formula to trace the referenced inputs and intermediate totals.
Formula: ='Historical Inputs'!E24
Cross-sheet references identify the owning schedule. Same-sheet references identify intermediate calculations.</x:t>
        </x:r>
      </x:text>
    </x:comment>
    <x:comment ref="F22" authorId="0">
      <x:text>
        <x:r>
          <x:t>Other operating expenses (FY:18 A).
Other operating expenses. This line belongs to the Expense Plan calculation. Read its formula to trace the referenced inputs and intermediate totals.
Formula: ='Historical Inputs'!F24
Cross-sheet references identify the owning schedule. Same-sheet references identify intermediate calculations.</x:t>
        </x:r>
      </x:text>
    </x:comment>
    <x:comment ref="G22" authorId="0">
      <x:text>
        <x:r>
          <x:t>Other operating expenses (FY:19 A).
Other operating expenses. This line belongs to the Expense Plan calculation. Read its formula to trace the referenced inputs and intermediate totals.
Formula: ='Historical Inputs'!G24
Cross-sheet references identify the owning schedule. Same-sheet references identify intermediate calculations.</x:t>
        </x:r>
      </x:text>
    </x:comment>
    <x:comment ref="H22" authorId="0">
      <x:text>
        <x:r>
          <x:t>Other operating expenses (FY:20 A).
Other operating expenses. This line belongs to the Expense Plan calculation. Read its formula to trace the referenced inputs and intermediate totals.
Formula: ='Historical Inputs'!H24
Cross-sheet references identify the owning schedule. Same-sheet references identify intermediate calculations.</x:t>
        </x:r>
      </x:text>
    </x:comment>
    <x:comment ref="I22" authorId="0">
      <x:text>
        <x:r>
          <x:t>Other operating expenses (FY:21 A).
Other operating expenses. This line belongs to the Expense Plan calculation. Read its formula to trace the referenced inputs and intermediate totals.
Formula: ='Historical Inputs'!I24
Cross-sheet references identify the owning schedule. Same-sheet references identify intermediate calculations.</x:t>
        </x:r>
      </x:text>
    </x:comment>
    <x:comment ref="J22" authorId="0">
      <x:text>
        <x:r>
          <x:t>Other operating expenses (FY:22 A).
Other operating expenses. This line belongs to the Expense Plan calculation. Read its formula to trace the referenced inputs and intermediate totals.
Formula: ='Historical Inputs'!J24
Cross-sheet references identify the owning schedule. Same-sheet references identify intermediate calculations.</x:t>
        </x:r>
      </x:text>
    </x:comment>
    <x:comment ref="K22" authorId="0">
      <x:text>
        <x:r>
          <x:t>Other operating expenses (FY:23 A).
Other operating expenses. This line belongs to the Expense Plan calculation. Read its formula to trace the referenced inputs and intermediate totals.
Formula: ='Historical Inputs'!K24
Cross-sheet references identify the owning schedule. Same-sheet references identify intermediate calculations.</x:t>
        </x:r>
      </x:text>
    </x:comment>
    <x:comment ref="L22" authorId="0">
      <x:text>
        <x:r>
          <x:t>Other operating expenses (FY:24 A).
Other operating expenses. This line belongs to the Expense Plan calculation. Read its formula to trace the referenced inputs and intermediate totals.
Formula: ='Historical Inputs'!L24
Cross-sheet references identify the owning schedule. Same-sheet references identify intermediate calculations.</x:t>
        </x:r>
      </x:text>
    </x:comment>
    <x:comment ref="M22" authorId="0">
      <x:text>
        <x:r>
          <x:t>Other operating expenses (FY:25 A).
Other operating expenses. This line belongs to the Expense Plan calculation. Read its formula to trace the referenced inputs and intermediate totals.
Formula: ='Historical Inputs'!M24
Cross-sheet references identify the owning schedule. Same-sheet references identify intermediate calculations.</x:t>
        </x:r>
      </x:text>
    </x:comment>
    <x:comment ref="N22" authorId="0">
      <x:text>
        <x:r>
          <x:t>Other operating expenses (FY:26 A).
Other operating expenses. This line belongs to the Expense Plan calculation. Read its formula to trace the referenced inputs and intermediate totals.
Formula: ='Historical Inputs'!N24
Cross-sheet references identify the owning schedule. Same-sheet references identify intermediate calculations.</x:t>
        </x:r>
      </x:text>
    </x:comment>
    <x:comment ref="O22" authorId="0">
      <x:text>
        <x:r>
          <x:t>Other operating expenses (FY:27 E).
Other operating expenses. This line belongs to the Expense Plan calculation. Read its formula to trace the referenced inputs and intermediate totals.
Formula: =0
Cross-sheet references identify the owning schedule. Same-sheet references identify intermediate calculations.</x:t>
        </x:r>
      </x:text>
    </x:comment>
    <x:comment ref="P22" authorId="0">
      <x:text>
        <x:r>
          <x:t>Other operating expenses (FY:28 E).
Other operating expenses. This line belongs to the Expense Plan calculation. Read its formula to trace the referenced inputs and intermediate totals.
Formula: =0
Cross-sheet references identify the owning schedule. Same-sheet references identify intermediate calculations.</x:t>
        </x:r>
      </x:text>
    </x:comment>
    <x:comment ref="Q22" authorId="0">
      <x:text>
        <x:r>
          <x:t>Other operating expenses (FY:29 E).
Other operating expenses. This line belongs to the Expense Plan calculation. Read its formula to trace the referenced inputs and intermediate totals.
Formula: =0
Cross-sheet references identify the owning schedule. Same-sheet references identify intermediate calculations.</x:t>
        </x:r>
      </x:text>
    </x:comment>
    <x:comment ref="R22" authorId="0">
      <x:text>
        <x:r>
          <x:t>Other operating expenses (FY:30 E).
Other operating expenses. This line belongs to the Expense Plan calculation. Read its formula to trace the referenced inputs and intermediate totals.
Formula: =0
Cross-sheet references identify the owning schedule. Same-sheet references identify intermediate calculations.</x:t>
        </x:r>
      </x:text>
    </x:comment>
    <x:comment ref="S22" authorId="0">
      <x:text>
        <x:r>
          <x:t>Other operating expenses (FY:31 E).
Other operating expenses. This line belongs to the Expense Plan calculation. Read its formula to trace the referenced inputs and intermediate totals.
Formula: =0
Cross-sheet references identify the owning schedule. Same-sheet references identify intermediate calculations.</x:t>
        </x:r>
      </x:text>
    </x:comment>
    <x:comment ref="C24" authorId="0">
      <x:text>
        <x:r>
          <x:t>Total operating expenses. This line belongs to the Expense Plan calculation. Read its formula to trace the referenced inputs and intermediate totals.</x:t>
        </x:r>
      </x:text>
    </x:comment>
    <x:comment ref="E24" authorId="0">
      <x:text>
        <x:r>
          <x:t>Total operating expenses (FY:17 A).
Total operating expenses. This line belongs to the Expense Plan calculation. Read its formula to trace the referenced inputs and intermediate totals.
Formula: =SUM(E18,E20:E22)
Cross-sheet references identify the owning schedule. Same-sheet references identify intermediate calculations.</x:t>
        </x:r>
      </x:text>
    </x:comment>
    <x:comment ref="F24" authorId="0">
      <x:text>
        <x:r>
          <x:t>Total operating expenses (FY:18 A).
Total operating expenses. This line belongs to the Expense Plan calculation. Read its formula to trace the referenced inputs and intermediate totals.
Formula: =SUM(F18,F20:F22)
Cross-sheet references identify the owning schedule. Same-sheet references identify intermediate calculations.</x:t>
        </x:r>
      </x:text>
    </x:comment>
    <x:comment ref="G24" authorId="0">
      <x:text>
        <x:r>
          <x:t>Total operating expenses (FY:19 A).
Total operating expenses. This line belongs to the Expense Plan calculation. Read its formula to trace the referenced inputs and intermediate totals.
Formula: =SUM(G18,G20:G22)
Cross-sheet references identify the owning schedule. Same-sheet references identify intermediate calculations.</x:t>
        </x:r>
      </x:text>
    </x:comment>
    <x:comment ref="H24" authorId="0">
      <x:text>
        <x:r>
          <x:t>Total operating expenses (FY:20 A).
Total operating expenses. This line belongs to the Expense Plan calculation. Read its formula to trace the referenced inputs and intermediate totals.
Formula: =SUM(H18,H20:H22)
Cross-sheet references identify the owning schedule. Same-sheet references identify intermediate calculations.</x:t>
        </x:r>
      </x:text>
    </x:comment>
    <x:comment ref="I24" authorId="0">
      <x:text>
        <x:r>
          <x:t>Total operating expenses (FY:21 A).
Total operating expenses. This line belongs to the Expense Plan calculation. Read its formula to trace the referenced inputs and intermediate totals.
Formula: =SUM(I18,I20:I22)
Cross-sheet references identify the owning schedule. Same-sheet references identify intermediate calculations.</x:t>
        </x:r>
      </x:text>
    </x:comment>
    <x:comment ref="J24" authorId="0">
      <x:text>
        <x:r>
          <x:t>Total operating expenses (FY:22 A).
Total operating expenses. This line belongs to the Expense Plan calculation. Read its formula to trace the referenced inputs and intermediate totals.
Formula: =SUM(J18,J20:J22)
Cross-sheet references identify the owning schedule. Same-sheet references identify intermediate calculations.</x:t>
        </x:r>
      </x:text>
    </x:comment>
    <x:comment ref="K24" authorId="0">
      <x:text>
        <x:r>
          <x:t>Total operating expenses (FY:23 A).
Total operating expenses. This line belongs to the Expense Plan calculation. Read its formula to trace the referenced inputs and intermediate totals.
Formula: =SUM(K18,K20:K22)
Cross-sheet references identify the owning schedule. Same-sheet references identify intermediate calculations.</x:t>
        </x:r>
      </x:text>
    </x:comment>
    <x:comment ref="L24" authorId="0">
      <x:text>
        <x:r>
          <x:t>Total operating expenses (FY:24 A).
Total operating expenses. This line belongs to the Expense Plan calculation. Read its formula to trace the referenced inputs and intermediate totals.
Formula: =SUM(L18,L20:L22)
Cross-sheet references identify the owning schedule. Same-sheet references identify intermediate calculations.</x:t>
        </x:r>
      </x:text>
    </x:comment>
    <x:comment ref="M24" authorId="0">
      <x:text>
        <x:r>
          <x:t>Total operating expenses (FY:25 A).
Total operating expenses. This line belongs to the Expense Plan calculation. Read its formula to trace the referenced inputs and intermediate totals.
Formula: =SUM(M18,M20:M22)
Cross-sheet references identify the owning schedule. Same-sheet references identify intermediate calculations.</x:t>
        </x:r>
      </x:text>
    </x:comment>
    <x:comment ref="N24" authorId="0">
      <x:text>
        <x:r>
          <x:t>Total operating expenses (FY:26 A).
Total operating expenses. This line belongs to the Expense Plan calculation. Read its formula to trace the referenced inputs and intermediate totals.
Formula: =SUM(N18,N20:N22)
Cross-sheet references identify the owning schedule. Same-sheet references identify intermediate calculations.</x:t>
        </x:r>
      </x:text>
    </x:comment>
    <x:comment ref="O24" authorId="0">
      <x:text>
        <x:r>
          <x:t>Total operating expenses (FY:27 E).
Total operating expenses. This line belongs to the Expense Plan calculation. Read its formula to trace the referenced inputs and intermediate totals.
Formula: =SUM(O18,O20:O22)
Cross-sheet references identify the owning schedule. Same-sheet references identify intermediate calculations.</x:t>
        </x:r>
      </x:text>
    </x:comment>
    <x:comment ref="P24" authorId="0">
      <x:text>
        <x:r>
          <x:t>Total operating expenses (FY:28 E).
Total operating expenses. This line belongs to the Expense Plan calculation. Read its formula to trace the referenced inputs and intermediate totals.
Formula: =SUM(P18,P20:P22)
Cross-sheet references identify the owning schedule. Same-sheet references identify intermediate calculations.</x:t>
        </x:r>
      </x:text>
    </x:comment>
    <x:comment ref="Q24" authorId="0">
      <x:text>
        <x:r>
          <x:t>Total operating expenses (FY:29 E).
Total operating expenses. This line belongs to the Expense Plan calculation. Read its formula to trace the referenced inputs and intermediate totals.
Formula: =SUM(Q18,Q20:Q22)
Cross-sheet references identify the owning schedule. Same-sheet references identify intermediate calculations.</x:t>
        </x:r>
      </x:text>
    </x:comment>
    <x:comment ref="R24" authorId="0">
      <x:text>
        <x:r>
          <x:t>Total operating expenses (FY:30 E).
Total operating expenses. This line belongs to the Expense Plan calculation. Read its formula to trace the referenced inputs and intermediate totals.
Formula: =SUM(R18,R20:R22)
Cross-sheet references identify the owning schedule. Same-sheet references identify intermediate calculations.</x:t>
        </x:r>
      </x:text>
    </x:comment>
    <x:comment ref="S24" authorId="0">
      <x:text>
        <x:r>
          <x:t>Total operating expenses (FY:31 E).
Total operating expenses. This line belongs to the Expense Plan calculation. Read its formula to trace the referenced inputs and intermediate totals.
Formula: =SUM(S18,S20:S22)
Cross-sheet references identify the owning schedule. Same-sheet references identify intermediate calculations.</x:t>
        </x:r>
      </x:text>
    </x:comment>
    <x:comment ref="C43" authorId="0">
      <x:text>
        <x:r>
          <x:t>Live analytical observation. This formula reads the existing statement or schedule and updates with the selected case. ="FY2031 operating expenses: "&amp;FIXED(S24/1000,1,TRUE)&amp;"bn, or "&amp;(FIXED((S24/S8)*100,1,TRUE)&amp;"%")&amp;" of revenue."</x:t>
        </x:r>
      </x:text>
    </x:comment>
    <x:comment ref="C44" authorId="0">
      <x:text>
        <x:r>
          <x:t>Live analytical observation. This formula reads the existing statement or schedule and updates with the selected case. ="FY2031 PPE depreciation: "&amp;FIXED(S10/1000,1,TRUE)&amp;"bn; operating lease expense: "&amp;FIXED(S12/1000,1,TRUE)&amp;"bn."</x:t>
        </x:r>
      </x:text>
    </x:comment>
    <x:comment ref="C45" authorId="0">
      <x:text>
        <x:r>
          <x:t>Live analytical observation. This formula reads the existing statement or schedule and updates with the selected case. ="FY2031 total R&amp;D includes "&amp;FIXED(SUM(S15:S17)/1000,1,TRUE)&amp;"bn of allocated D&amp;A and operating lease expense."</x:t>
        </x:r>
      </x:text>
    </x:comment>
    <x:comment ref="C69" authorId="0">
      <x:text>
        <x:r>
          <x:t>Operating expense categories (USD billions). Formula-linked chart data. A means actual and E means the active-case estimate. Unavailable historical observations remain blank.</x:t>
        </x:r>
      </x:text>
    </x:comment>
    <x:comment ref="C88" authorId="0">
      <x:text>
        <x:r>
          <x:t>Infrastructure expense (USD billions). Formula-linked chart data. A means actual and E means the active-case estimate. Unavailable historical observations remain blank.</x:t>
        </x:r>
      </x:text>
    </x:comment>
  </x:commentList>
</x:comments>
</file>

<file path=xl/comments12.xml><?xml version="1.0" encoding="utf-8"?>
<x:comments xmlns:x="http://schemas.openxmlformats.org/spreadsheetml/2006/main">
  <x:authors>
    <x:author>Goran Brkich</x:author>
  </x:authors>
  <x:commentList>
    <x:comment ref="C2" authorId="0">
      <x:text>
        <x:r>
          <x:t>Working Capital.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Amounts owed by customers after allowances. Forecast receivables equal annual revenue times receivable days divided by 365. Higher balances consume operating cash.</x:t>
        </x:r>
      </x:text>
    </x:comment>
    <x:comment ref="E8" authorId="0">
      <x:text>
        <x:r>
          <x:t>Receivables (FY:17 A).
Amounts owed by customers after allowances. Forecast receivables equal annual revenue times receivable days divided by 365. Higher balances consume operating cash.
Formula: ='Historical Inputs'!E31
Cross-sheet references identify the owning schedule. Same-sheet references identify intermediate calculations.</x:t>
        </x:r>
      </x:text>
    </x:comment>
    <x:comment ref="F8" authorId="0">
      <x:text>
        <x:r>
          <x:t>Receivables (FY:18 A).
Amounts owed by customers after allowances. Forecast receivables equal annual revenue times receivable days divided by 365. Higher balances consume operating cash.
Formula: ='Historical Inputs'!F31
Cross-sheet references identify the owning schedule. Same-sheet references identify intermediate calculations.</x:t>
        </x:r>
      </x:text>
    </x:comment>
    <x:comment ref="G8" authorId="0">
      <x:text>
        <x:r>
          <x:t>Receivables (FY:19 A).
Amounts owed by customers after allowances. Forecast receivables equal annual revenue times receivable days divided by 365. Higher balances consume operating cash.
Formula: ='Historical Inputs'!G31
Cross-sheet references identify the owning schedule. Same-sheet references identify intermediate calculations.</x:t>
        </x:r>
      </x:text>
    </x:comment>
    <x:comment ref="H8" authorId="0">
      <x:text>
        <x:r>
          <x:t>Receivables (FY:20 A).
Amounts owed by customers after allowances. Forecast receivables equal annual revenue times receivable days divided by 365. Higher balances consume operating cash.
Formula: ='Historical Inputs'!H31
Cross-sheet references identify the owning schedule. Same-sheet references identify intermediate calculations.</x:t>
        </x:r>
      </x:text>
    </x:comment>
    <x:comment ref="I8" authorId="0">
      <x:text>
        <x:r>
          <x:t>Receivables (FY:21 A).
Amounts owed by customers after allowances. Forecast receivables equal annual revenue times receivable days divided by 365. Higher balances consume operating cash.
Formula: ='Historical Inputs'!I31
Cross-sheet references identify the owning schedule. Same-sheet references identify intermediate calculations.</x:t>
        </x:r>
      </x:text>
    </x:comment>
    <x:comment ref="J8" authorId="0">
      <x:text>
        <x:r>
          <x:t>Receivables (FY:22 A).
Amounts owed by customers after allowances. Forecast receivables equal annual revenue times receivable days divided by 365. Higher balances consume operating cash.
Formula: ='Historical Inputs'!J31
Cross-sheet references identify the owning schedule. Same-sheet references identify intermediate calculations.</x:t>
        </x:r>
      </x:text>
    </x:comment>
    <x:comment ref="K8" authorId="0">
      <x:text>
        <x:r>
          <x:t>Receivables (FY:23 A).
Amounts owed by customers after allowances. Forecast receivables equal annual revenue times receivable days divided by 365. Higher balances consume operating cash.
Formula: ='Historical Inputs'!K31
Cross-sheet references identify the owning schedule. Same-sheet references identify intermediate calculations.</x:t>
        </x:r>
      </x:text>
    </x:comment>
    <x:comment ref="L8" authorId="0">
      <x:text>
        <x:r>
          <x:t>Receivables (FY:24 A).
Amounts owed by customers after allowances. Forecast receivables equal annual revenue times receivable days divided by 365. Higher balances consume operating cash.
Formula: ='Historical Inputs'!L31
Cross-sheet references identify the owning schedule. Same-sheet references identify intermediate calculations.</x:t>
        </x:r>
      </x:text>
    </x:comment>
    <x:comment ref="M8" authorId="0">
      <x:text>
        <x:r>
          <x:t>Receivables (FY:25 A).
Amounts owed by customers after allowances. Forecast receivables equal annual revenue times receivable days divided by 365. Higher balances consume operating cash.
Formula: ='Historical Inputs'!M31
Cross-sheet references identify the owning schedule. Same-sheet references identify intermediate calculations.</x:t>
        </x:r>
      </x:text>
    </x:comment>
    <x:comment ref="N8" authorId="0">
      <x:text>
        <x:r>
          <x:t>Receivables (FY:26 A).
Amounts owed by customers after allowances. Forecast receivables equal annual revenue times receivable days divided by 365. Higher balances consume operating cash.
Formula: ='Historical Inputs'!N31
Cross-sheet references identify the owning schedule. Same-sheet references identify intermediate calculations.</x:t>
        </x:r>
      </x:text>
    </x:comment>
    <x:comment ref="O8" authorId="0">
      <x:text>
        <x:r>
          <x:t>Receivables (FY:27 E).
Amounts owed by customers after allowances. Forecast receivables equal annual revenue times receivable days divided by 365. Higher balances consume operating cash.
Formula: ='Income Statement'!O8*'Assumptions'!O69/365
Cross-sheet references identify the owning schedule. Same-sheet references identify intermediate calculations.</x:t>
        </x:r>
      </x:text>
    </x:comment>
    <x:comment ref="P8" authorId="0">
      <x:text>
        <x:r>
          <x:t>Receivables (FY:28 E).
Amounts owed by customers after allowances. Forecast receivables equal annual revenue times receivable days divided by 365. Higher balances consume operating cash.
Formula: ='Income Statement'!P8*'Assumptions'!P69/365
Cross-sheet references identify the owning schedule. Same-sheet references identify intermediate calculations.</x:t>
        </x:r>
      </x:text>
    </x:comment>
    <x:comment ref="Q8" authorId="0">
      <x:text>
        <x:r>
          <x:t>Receivables (FY:29 E).
Amounts owed by customers after allowances. Forecast receivables equal annual revenue times receivable days divided by 365. Higher balances consume operating cash.
Formula: ='Income Statement'!Q8*'Assumptions'!Q69/365
Cross-sheet references identify the owning schedule. Same-sheet references identify intermediate calculations.</x:t>
        </x:r>
      </x:text>
    </x:comment>
    <x:comment ref="R8" authorId="0">
      <x:text>
        <x:r>
          <x:t>Receivables (FY:30 E).
Amounts owed by customers after allowances. Forecast receivables equal annual revenue times receivable days divided by 365. Higher balances consume operating cash.
Formula: ='Income Statement'!R8*'Assumptions'!R69/365
Cross-sheet references identify the owning schedule. Same-sheet references identify intermediate calculations.</x:t>
        </x:r>
      </x:text>
    </x:comment>
    <x:comment ref="S8" authorId="0">
      <x:text>
        <x:r>
          <x:t>Receivables (FY:31 E).
Amounts owed by customers after allowances. Forecast receivables equal annual revenue times receivable days divided by 365. Higher balances consume operating cash.
Formula: ='Income Statement'!S8*'Assumptions'!S69/365
Cross-sheet references identify the owning schedule. Same-sheet references identify intermediate calculations.</x:t>
        </x:r>
      </x:text>
    </x:comment>
    <x:comment ref="C9" authorId="0">
      <x:text>
        <x:r>
          <x:t>Ending receivables divided by annual revenue multiplied by 365. Forecast receivables equal revenue times days divided by 365.</x:t>
        </x:r>
      </x:text>
    </x:comment>
    <x:comment ref="E9" authorId="0">
      <x:text>
        <x:r>
          <x:t>Receivable days (FY:17 A).
Ending receivables divided by annual revenue multiplied by 365. Forecast receivables equal revenue times days divided by 365.
Formula: =E8/'Income Statement'!E8*365
Cross-sheet references identify the owning schedule. Same-sheet references identify intermediate calculations.</x:t>
        </x:r>
      </x:text>
    </x:comment>
    <x:comment ref="F9" authorId="0">
      <x:text>
        <x:r>
          <x:t>Receivable days (FY:18 A).
Ending receivables divided by annual revenue multiplied by 365. Forecast receivables equal revenue times days divided by 365.
Formula: =F8/'Income Statement'!F8*365
Cross-sheet references identify the owning schedule. Same-sheet references identify intermediate calculations.</x:t>
        </x:r>
      </x:text>
    </x:comment>
    <x:comment ref="G9" authorId="0">
      <x:text>
        <x:r>
          <x:t>Receivable days (FY:19 A).
Ending receivables divided by annual revenue multiplied by 365. Forecast receivables equal revenue times days divided by 365.
Formula: =G8/'Income Statement'!G8*365
Cross-sheet references identify the owning schedule. Same-sheet references identify intermediate calculations.</x:t>
        </x:r>
      </x:text>
    </x:comment>
    <x:comment ref="H9" authorId="0">
      <x:text>
        <x:r>
          <x:t>Receivable days (FY:20 A).
Ending receivables divided by annual revenue multiplied by 365. Forecast receivables equal revenue times days divided by 365.
Formula: =H8/'Income Statement'!H8*365
Cross-sheet references identify the owning schedule. Same-sheet references identify intermediate calculations.</x:t>
        </x:r>
      </x:text>
    </x:comment>
    <x:comment ref="I9" authorId="0">
      <x:text>
        <x:r>
          <x:t>Receivable days (FY:21 A).
Ending receivables divided by annual revenue multiplied by 365. Forecast receivables equal revenue times days divided by 365.
Formula: =I8/'Income Statement'!I8*365
Cross-sheet references identify the owning schedule. Same-sheet references identify intermediate calculations.</x:t>
        </x:r>
      </x:text>
    </x:comment>
    <x:comment ref="J9" authorId="0">
      <x:text>
        <x:r>
          <x:t>Receivable days (FY:22 A).
Ending receivables divided by annual revenue multiplied by 365. Forecast receivables equal revenue times days divided by 365.
Formula: =J8/'Income Statement'!J8*365
Cross-sheet references identify the owning schedule. Same-sheet references identify intermediate calculations.</x:t>
        </x:r>
      </x:text>
    </x:comment>
    <x:comment ref="K9" authorId="0">
      <x:text>
        <x:r>
          <x:t>Receivable days (FY:23 A).
Ending receivables divided by annual revenue multiplied by 365. Forecast receivables equal revenue times days divided by 365.
Formula: =K8/'Income Statement'!K8*365
Cross-sheet references identify the owning schedule. Same-sheet references identify intermediate calculations.</x:t>
        </x:r>
      </x:text>
    </x:comment>
    <x:comment ref="L9" authorId="0">
      <x:text>
        <x:r>
          <x:t>Receivable days (FY:24 A).
Ending receivables divided by annual revenue multiplied by 365. Forecast receivables equal revenue times days divided by 365.
Formula: =L8/'Income Statement'!L8*365
Cross-sheet references identify the owning schedule. Same-sheet references identify intermediate calculations.</x:t>
        </x:r>
      </x:text>
    </x:comment>
    <x:comment ref="M9" authorId="0">
      <x:text>
        <x:r>
          <x:t>Receivable days (FY:25 A).
Ending receivables divided by annual revenue multiplied by 365. Forecast receivables equal revenue times days divided by 365.
Formula: =M8/'Income Statement'!M8*365
Cross-sheet references identify the owning schedule. Same-sheet references identify intermediate calculations.</x:t>
        </x:r>
      </x:text>
    </x:comment>
    <x:comment ref="N9" authorId="0">
      <x:text>
        <x:r>
          <x:t>Receivable days (FY:26 A).
Ending receivables divided by annual revenue multiplied by 365. Forecast receivables equal revenue times days divided by 365.
Formula: =N8/'Income Statement'!N8*365
Cross-sheet references identify the owning schedule. Same-sheet references identify intermediate calculations.</x:t>
        </x:r>
      </x:text>
    </x:comment>
    <x:comment ref="O9" authorId="0">
      <x:text>
        <x:r>
          <x:t>Receivable days (FY:27 E).
Ending receivables divided by annual revenue multiplied by 365. Forecast receivables equal revenue times days divided by 365.
Formula: =O8/'Income Statement'!O8*365
Cross-sheet references identify the owning schedule. Same-sheet references identify intermediate calculations.</x:t>
        </x:r>
      </x:text>
    </x:comment>
    <x:comment ref="P9" authorId="0">
      <x:text>
        <x:r>
          <x:t>Receivable days (FY:28 E).
Ending receivables divided by annual revenue multiplied by 365. Forecast receivables equal revenue times days divided by 365.
Formula: =P8/'Income Statement'!P8*365
Cross-sheet references identify the owning schedule. Same-sheet references identify intermediate calculations.</x:t>
        </x:r>
      </x:text>
    </x:comment>
    <x:comment ref="Q9" authorId="0">
      <x:text>
        <x:r>
          <x:t>Receivable days (FY:29 E).
Ending receivables divided by annual revenue multiplied by 365. Forecast receivables equal revenue times days divided by 365.
Formula: =Q8/'Income Statement'!Q8*365
Cross-sheet references identify the owning schedule. Same-sheet references identify intermediate calculations.</x:t>
        </x:r>
      </x:text>
    </x:comment>
    <x:comment ref="R9" authorId="0">
      <x:text>
        <x:r>
          <x:t>Receivable days (FY:30 E).
Ending receivables divided by annual revenue multiplied by 365. Forecast receivables equal revenue times days divided by 365.
Formula: =R8/'Income Statement'!R8*365
Cross-sheet references identify the owning schedule. Same-sheet references identify intermediate calculations.</x:t>
        </x:r>
      </x:text>
    </x:comment>
    <x:comment ref="S9" authorId="0">
      <x:text>
        <x:r>
          <x:t>Receivable days (FY:31 E).
Ending receivables divided by annual revenue multiplied by 365. Forecast receivables equal revenue times days divided by 365.
Formula: =S8/'Income Statement'!S8*365
Cross-sheet references identify the owning schedule. Same-sheet references identify intermediate calculations.</x:t>
        </x:r>
      </x:text>
    </x:comment>
    <x:comment ref="C10" authorId="0">
      <x:text>
        <x:r>
          <x:t>Products and materials held for sale or use. Forecast inventory equals cost of revenue times inventory days divided by 365.</x:t>
        </x:r>
      </x:text>
    </x:comment>
    <x:comment ref="E10" authorId="0">
      <x:text>
        <x:r>
          <x:t>Inventories (FY:17 A).
Products and materials held for sale or use. Forecast inventory equals cost of revenue times inventory days divided by 365.
Formula: ='Historical Inputs'!E32
Cross-sheet references identify the owning schedule. Same-sheet references identify intermediate calculations.</x:t>
        </x:r>
      </x:text>
    </x:comment>
    <x:comment ref="F10" authorId="0">
      <x:text>
        <x:r>
          <x:t>Inventories (FY:18 A).
Products and materials held for sale or use. Forecast inventory equals cost of revenue times inventory days divided by 365.
Formula: ='Historical Inputs'!F32
Cross-sheet references identify the owning schedule. Same-sheet references identify intermediate calculations.</x:t>
        </x:r>
      </x:text>
    </x:comment>
    <x:comment ref="G10" authorId="0">
      <x:text>
        <x:r>
          <x:t>Inventories (FY:19 A).
Products and materials held for sale or use. Forecast inventory equals cost of revenue times inventory days divided by 365.
Formula: ='Historical Inputs'!G32
Cross-sheet references identify the owning schedule. Same-sheet references identify intermediate calculations.</x:t>
        </x:r>
      </x:text>
    </x:comment>
    <x:comment ref="H10" authorId="0">
      <x:text>
        <x:r>
          <x:t>Inventories (FY:20 A).
Products and materials held for sale or use. Forecast inventory equals cost of revenue times inventory days divided by 365.
Formula: ='Historical Inputs'!H32
Cross-sheet references identify the owning schedule. Same-sheet references identify intermediate calculations.</x:t>
        </x:r>
      </x:text>
    </x:comment>
    <x:comment ref="I10" authorId="0">
      <x:text>
        <x:r>
          <x:t>Inventories (FY:21 A).
Products and materials held for sale or use. Forecast inventory equals cost of revenue times inventory days divided by 365.
Formula: ='Historical Inputs'!I32
Cross-sheet references identify the owning schedule. Same-sheet references identify intermediate calculations.</x:t>
        </x:r>
      </x:text>
    </x:comment>
    <x:comment ref="J10" authorId="0">
      <x:text>
        <x:r>
          <x:t>Inventories (FY:22 A).
Products and materials held for sale or use. Forecast inventory equals cost of revenue times inventory days divided by 365.
Formula: ='Historical Inputs'!J32
Cross-sheet references identify the owning schedule. Same-sheet references identify intermediate calculations.</x:t>
        </x:r>
      </x:text>
    </x:comment>
    <x:comment ref="K10" authorId="0">
      <x:text>
        <x:r>
          <x:t>Inventories (FY:23 A).
Products and materials held for sale or use. Forecast inventory equals cost of revenue times inventory days divided by 365.
Formula: ='Historical Inputs'!K32
Cross-sheet references identify the owning schedule. Same-sheet references identify intermediate calculations.</x:t>
        </x:r>
      </x:text>
    </x:comment>
    <x:comment ref="L10" authorId="0">
      <x:text>
        <x:r>
          <x:t>Inventories (FY:24 A).
Products and materials held for sale or use. Forecast inventory equals cost of revenue times inventory days divided by 365.
Formula: ='Historical Inputs'!L32
Cross-sheet references identify the owning schedule. Same-sheet references identify intermediate calculations.</x:t>
        </x:r>
      </x:text>
    </x:comment>
    <x:comment ref="M10" authorId="0">
      <x:text>
        <x:r>
          <x:t>Inventories (FY:25 A).
Products and materials held for sale or use. Forecast inventory equals cost of revenue times inventory days divided by 365.
Formula: ='Historical Inputs'!M32
Cross-sheet references identify the owning schedule. Same-sheet references identify intermediate calculations.</x:t>
        </x:r>
      </x:text>
    </x:comment>
    <x:comment ref="N10" authorId="0">
      <x:text>
        <x:r>
          <x:t>Inventories (FY:26 A).
Products and materials held for sale or use. Forecast inventory equals cost of revenue times inventory days divided by 365.
Formula: ='Historical Inputs'!N32
Cross-sheet references identify the owning schedule. Same-sheet references identify intermediate calculations.</x:t>
        </x:r>
      </x:text>
    </x:comment>
    <x:comment ref="O10" authorId="0">
      <x:text>
        <x:r>
          <x:t>Inventories (FY:27 E).
Products and materials held for sale or use. Forecast inventory equals cost of revenue times inventory days divided by 365.
Formula: ='Income Statement'!O10*'Assumptions'!O73/365
Cross-sheet references identify the owning schedule. Same-sheet references identify intermediate calculations.</x:t>
        </x:r>
      </x:text>
    </x:comment>
    <x:comment ref="P10" authorId="0">
      <x:text>
        <x:r>
          <x:t>Inventories (FY:28 E).
Products and materials held for sale or use. Forecast inventory equals cost of revenue times inventory days divided by 365.
Formula: ='Income Statement'!P10*'Assumptions'!P73/365
Cross-sheet references identify the owning schedule. Same-sheet references identify intermediate calculations.</x:t>
        </x:r>
      </x:text>
    </x:comment>
    <x:comment ref="Q10" authorId="0">
      <x:text>
        <x:r>
          <x:t>Inventories (FY:29 E).
Products and materials held for sale or use. Forecast inventory equals cost of revenue times inventory days divided by 365.
Formula: ='Income Statement'!Q10*'Assumptions'!Q73/365
Cross-sheet references identify the owning schedule. Same-sheet references identify intermediate calculations.</x:t>
        </x:r>
      </x:text>
    </x:comment>
    <x:comment ref="R10" authorId="0">
      <x:text>
        <x:r>
          <x:t>Inventories (FY:30 E).
Products and materials held for sale or use. Forecast inventory equals cost of revenue times inventory days divided by 365.
Formula: ='Income Statement'!R10*'Assumptions'!R73/365
Cross-sheet references identify the owning schedule. Same-sheet references identify intermediate calculations.</x:t>
        </x:r>
      </x:text>
    </x:comment>
    <x:comment ref="S10" authorId="0">
      <x:text>
        <x:r>
          <x:t>Inventories (FY:31 E).
Products and materials held for sale or use. Forecast inventory equals cost of revenue times inventory days divided by 365.
Formula: ='Income Statement'!S10*'Assumptions'!S73/365
Cross-sheet references identify the owning schedule. Same-sheet references identify intermediate calculations.</x:t>
        </x:r>
      </x:text>
    </x:comment>
    <x:comment ref="C11" authorId="0">
      <x:text>
        <x:r>
          <x:t>Ending inventory divided by annual cost of revenue multiplied by 365. Forecast inventory equals cost of revenue times days divided by 365.</x:t>
        </x:r>
      </x:text>
    </x:comment>
    <x:comment ref="E11" authorId="0">
      <x:text>
        <x:r>
          <x:t>Inventory days (FY:17 A).
Ending inventory divided by annual cost of revenue multiplied by 365. Forecast inventory equals cost of revenue times days divided by 365.
Formula: =E10/E12*365
Cross-sheet references identify the owning schedule. Same-sheet references identify intermediate calculations.</x:t>
        </x:r>
      </x:text>
    </x:comment>
    <x:comment ref="F11" authorId="0">
      <x:text>
        <x:r>
          <x:t>Inventory days (FY:18 A).
Ending inventory divided by annual cost of revenue multiplied by 365. Forecast inventory equals cost of revenue times days divided by 365.
Formula: =F10/F12*365
Cross-sheet references identify the owning schedule. Same-sheet references identify intermediate calculations.</x:t>
        </x:r>
      </x:text>
    </x:comment>
    <x:comment ref="G11" authorId="0">
      <x:text>
        <x:r>
          <x:t>Inventory days (FY:19 A).
Ending inventory divided by annual cost of revenue multiplied by 365. Forecast inventory equals cost of revenue times days divided by 365.
Formula: =G10/G12*365
Cross-sheet references identify the owning schedule. Same-sheet references identify intermediate calculations.</x:t>
        </x:r>
      </x:text>
    </x:comment>
    <x:comment ref="H11" authorId="0">
      <x:text>
        <x:r>
          <x:t>Inventory days (FY:20 A).
Ending inventory divided by annual cost of revenue multiplied by 365. Forecast inventory equals cost of revenue times days divided by 365.
Formula: =H10/H12*365
Cross-sheet references identify the owning schedule. Same-sheet references identify intermediate calculations.</x:t>
        </x:r>
      </x:text>
    </x:comment>
    <x:comment ref="I11" authorId="0">
      <x:text>
        <x:r>
          <x:t>Inventory days (FY:21 A).
Ending inventory divided by annual cost of revenue multiplied by 365. Forecast inventory equals cost of revenue times days divided by 365.
Formula: =I10/I12*365
Cross-sheet references identify the owning schedule. Same-sheet references identify intermediate calculations.</x:t>
        </x:r>
      </x:text>
    </x:comment>
    <x:comment ref="J11" authorId="0">
      <x:text>
        <x:r>
          <x:t>Inventory days (FY:22 A).
Ending inventory divided by annual cost of revenue multiplied by 365. Forecast inventory equals cost of revenue times days divided by 365.
Formula: =J10/J12*365
Cross-sheet references identify the owning schedule. Same-sheet references identify intermediate calculations.</x:t>
        </x:r>
      </x:text>
    </x:comment>
    <x:comment ref="K11" authorId="0">
      <x:text>
        <x:r>
          <x:t>Inventory days (FY:23 A).
Ending inventory divided by annual cost of revenue multiplied by 365. Forecast inventory equals cost of revenue times days divided by 365.
Formula: =K10/K12*365
Cross-sheet references identify the owning schedule. Same-sheet references identify intermediate calculations.</x:t>
        </x:r>
      </x:text>
    </x:comment>
    <x:comment ref="L11" authorId="0">
      <x:text>
        <x:r>
          <x:t>Inventory days (FY:24 A).
Ending inventory divided by annual cost of revenue multiplied by 365. Forecast inventory equals cost of revenue times days divided by 365.
Formula: =L10/L12*365
Cross-sheet references identify the owning schedule. Same-sheet references identify intermediate calculations.</x:t>
        </x:r>
      </x:text>
    </x:comment>
    <x:comment ref="M11" authorId="0">
      <x:text>
        <x:r>
          <x:t>Inventory days (FY:25 A).
Ending inventory divided by annual cost of revenue multiplied by 365. Forecast inventory equals cost of revenue times days divided by 365.
Formula: =M10/M12*365
Cross-sheet references identify the owning schedule. Same-sheet references identify intermediate calculations.</x:t>
        </x:r>
      </x:text>
    </x:comment>
    <x:comment ref="N11" authorId="0">
      <x:text>
        <x:r>
          <x:t>Inventory days (FY:26 A).
Ending inventory divided by annual cost of revenue multiplied by 365. Forecast inventory equals cost of revenue times days divided by 365.
Formula: =N10/N12*365
Cross-sheet references identify the owning schedule. Same-sheet references identify intermediate calculations.</x:t>
        </x:r>
      </x:text>
    </x:comment>
    <x:comment ref="O11" authorId="0">
      <x:text>
        <x:r>
          <x:t>Inventory days (FY:27 E).
Ending inventory divided by annual cost of revenue multiplied by 365. Forecast inventory equals cost of revenue times days divided by 365.
Formula: =O10/O12*365
Cross-sheet references identify the owning schedule. Same-sheet references identify intermediate calculations.</x:t>
        </x:r>
      </x:text>
    </x:comment>
    <x:comment ref="P11" authorId="0">
      <x:text>
        <x:r>
          <x:t>Inventory days (FY:28 E).
Ending inventory divided by annual cost of revenue multiplied by 365. Forecast inventory equals cost of revenue times days divided by 365.
Formula: =P10/P12*365
Cross-sheet references identify the owning schedule. Same-sheet references identify intermediate calculations.</x:t>
        </x:r>
      </x:text>
    </x:comment>
    <x:comment ref="Q11" authorId="0">
      <x:text>
        <x:r>
          <x:t>Inventory days (FY:29 E).
Ending inventory divided by annual cost of revenue multiplied by 365. Forecast inventory equals cost of revenue times days divided by 365.
Formula: =Q10/Q12*365
Cross-sheet references identify the owning schedule. Same-sheet references identify intermediate calculations.</x:t>
        </x:r>
      </x:text>
    </x:comment>
    <x:comment ref="R11" authorId="0">
      <x:text>
        <x:r>
          <x:t>Inventory days (FY:30 E).
Ending inventory divided by annual cost of revenue multiplied by 365. Forecast inventory equals cost of revenue times days divided by 365.
Formula: =R10/R12*365
Cross-sheet references identify the owning schedule. Same-sheet references identify intermediate calculations.</x:t>
        </x:r>
      </x:text>
    </x:comment>
    <x:comment ref="S11" authorId="0">
      <x:text>
        <x:r>
          <x:t>Inventory days (FY:31 E).
Ending inventory divided by annual cost of revenue multiplied by 365. Forecast inventory equals cost of revenue times days divided by 365.
Formula: =S10/S12*365
Cross-sheet references identify the owning schedule. Same-sheet references identify intermediate calculations.</x:t>
        </x:r>
      </x:text>
    </x:comment>
    <x:comment ref="C12" authorId="0">
      <x:text>
        <x:r>
          <x:t>Expenses assigned to delivering products and services. Forecast amounts include allocated depreciation, amortization and operating lease expense.</x:t>
        </x:r>
      </x:text>
    </x:comment>
    <x:comment ref="E12" authorId="0">
      <x:text>
        <x:r>
          <x:t>Cost of revenue (FY:17 A).
Expenses assigned to delivering products and services. Forecast amounts include allocated depreciation, amortization and operating lease expense.
Formula: ='Income Statement'!E10
Cross-sheet references identify the owning schedule. Same-sheet references identify intermediate calculations.</x:t>
        </x:r>
      </x:text>
    </x:comment>
    <x:comment ref="F12" authorId="0">
      <x:text>
        <x:r>
          <x:t>Cost of revenue (FY:18 A).
Expenses assigned to delivering products and services. Forecast amounts include allocated depreciation, amortization and operating lease expense.
Formula: ='Income Statement'!F10
Cross-sheet references identify the owning schedule. Same-sheet references identify intermediate calculations.</x:t>
        </x:r>
      </x:text>
    </x:comment>
    <x:comment ref="G12" authorId="0">
      <x:text>
        <x:r>
          <x:t>Cost of revenue (FY:19 A).
Expenses assigned to delivering products and services. Forecast amounts include allocated depreciation, amortization and operating lease expense.
Formula: ='Income Statement'!G10
Cross-sheet references identify the owning schedule. Same-sheet references identify intermediate calculations.</x:t>
        </x:r>
      </x:text>
    </x:comment>
    <x:comment ref="H12" authorId="0">
      <x:text>
        <x:r>
          <x:t>Cost of revenue (FY:20 A).
Expenses assigned to delivering products and services. Forecast amounts include allocated depreciation, amortization and operating lease expense.
Formula: ='Income Statement'!H10
Cross-sheet references identify the owning schedule. Same-sheet references identify intermediate calculations.</x:t>
        </x:r>
      </x:text>
    </x:comment>
    <x:comment ref="I12" authorId="0">
      <x:text>
        <x:r>
          <x:t>Cost of revenue (FY:21 A).
Expenses assigned to delivering products and services. Forecast amounts include allocated depreciation, amortization and operating lease expense.
Formula: ='Income Statement'!I10
Cross-sheet references identify the owning schedule. Same-sheet references identify intermediate calculations.</x:t>
        </x:r>
      </x:text>
    </x:comment>
    <x:comment ref="J12" authorId="0">
      <x:text>
        <x:r>
          <x:t>Cost of revenue (FY:22 A).
Expenses assigned to delivering products and services. Forecast amounts include allocated depreciation, amortization and operating lease expense.
Formula: ='Income Statement'!J10
Cross-sheet references identify the owning schedule. Same-sheet references identify intermediate calculations.</x:t>
        </x:r>
      </x:text>
    </x:comment>
    <x:comment ref="K12" authorId="0">
      <x:text>
        <x:r>
          <x:t>Cost of revenue (FY:23 A).
Expenses assigned to delivering products and services. Forecast amounts include allocated depreciation, amortization and operating lease expense.
Formula: ='Income Statement'!K10
Cross-sheet references identify the owning schedule. Same-sheet references identify intermediate calculations.</x:t>
        </x:r>
      </x:text>
    </x:comment>
    <x:comment ref="L12" authorId="0">
      <x:text>
        <x:r>
          <x:t>Cost of revenue (FY:24 A).
Expenses assigned to delivering products and services. Forecast amounts include allocated depreciation, amortization and operating lease expense.
Formula: ='Income Statement'!L10
Cross-sheet references identify the owning schedule. Same-sheet references identify intermediate calculations.</x:t>
        </x:r>
      </x:text>
    </x:comment>
    <x:comment ref="M12" authorId="0">
      <x:text>
        <x:r>
          <x:t>Cost of revenue (FY:25 A).
Expenses assigned to delivering products and services. Forecast amounts include allocated depreciation, amortization and operating lease expense.
Formula: ='Income Statement'!M10
Cross-sheet references identify the owning schedule. Same-sheet references identify intermediate calculations.</x:t>
        </x:r>
      </x:text>
    </x:comment>
    <x:comment ref="N12" authorId="0">
      <x:text>
        <x:r>
          <x:t>Cost of revenue (FY:26 A).
Expenses assigned to delivering products and services. Forecast amounts include allocated depreciation, amortization and operating lease expense.
Formula: ='Income Statement'!N10
Cross-sheet references identify the owning schedule. Same-sheet references identify intermediate calculations.</x:t>
        </x:r>
      </x:text>
    </x:comment>
    <x:comment ref="O12" authorId="0">
      <x:text>
        <x:r>
          <x:t>Cost of revenue (FY:27 E).
Expenses assigned to delivering products and services. Forecast amounts include allocated depreciation, amortization and operating lease expense.
Formula: ='Income Statement'!O10
Cross-sheet references identify the owning schedule. Same-sheet references identify intermediate calculations.</x:t>
        </x:r>
      </x:text>
    </x:comment>
    <x:comment ref="P12" authorId="0">
      <x:text>
        <x:r>
          <x:t>Cost of revenue (FY:28 E).
Expenses assigned to delivering products and services. Forecast amounts include allocated depreciation, amortization and operating lease expense.
Formula: ='Income Statement'!P10
Cross-sheet references identify the owning schedule. Same-sheet references identify intermediate calculations.</x:t>
        </x:r>
      </x:text>
    </x:comment>
    <x:comment ref="Q12" authorId="0">
      <x:text>
        <x:r>
          <x:t>Cost of revenue (FY:29 E).
Expenses assigned to delivering products and services. Forecast amounts include allocated depreciation, amortization and operating lease expense.
Formula: ='Income Statement'!Q10
Cross-sheet references identify the owning schedule. Same-sheet references identify intermediate calculations.</x:t>
        </x:r>
      </x:text>
    </x:comment>
    <x:comment ref="R12" authorId="0">
      <x:text>
        <x:r>
          <x:t>Cost of revenue (FY:30 E).
Expenses assigned to delivering products and services. Forecast amounts include allocated depreciation, amortization and operating lease expense.
Formula: ='Income Statement'!R10
Cross-sheet references identify the owning schedule. Same-sheet references identify intermediate calculations.</x:t>
        </x:r>
      </x:text>
    </x:comment>
    <x:comment ref="S12" authorId="0">
      <x:text>
        <x:r>
          <x:t>Cost of revenue (FY:31 E).
Expenses assigned to delivering products and services. Forecast amounts include allocated depreciation, amortization and operating lease expense.
Formula: ='Income Statement'!S10
Cross-sheet references identify the owning schedule. Same-sheet references identify intermediate calculations.</x:t>
        </x:r>
      </x:text>
    </x:comment>
    <x:comment ref="C13" authorId="0">
      <x:text>
        <x:r>
          <x:t>Trade payables related to operations. Capital expenditure payables are excluded before calculating the operating cash-flow effect.</x:t>
        </x:r>
      </x:text>
    </x:comment>
    <x:comment ref="E13" authorId="0">
      <x:text>
        <x:r>
          <x:t>Operating accounts payable (FY:17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F13" authorId="0">
      <x:text>
        <x:r>
          <x:t>Operating accounts payable (FY:18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G13" authorId="0">
      <x:text>
        <x:r>
          <x:t>Operating accounts payable (FY:19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H13" authorId="0">
      <x:text>
        <x:r>
          <x:t>Operating accounts payable (FY:20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I13" authorId="0">
      <x:text>
        <x:r>
          <x:t>Operating accounts payable (FY:21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J13" authorId="0">
      <x:text>
        <x:r>
          <x:t>Operating accounts payable (FY:22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K13" authorId="0">
      <x:text>
        <x:r>
          <x:t>Operating accounts payable (FY:23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L13" authorId="0">
      <x:text>
        <x:r>
          <x:t>Operating accounts payable (FY:24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M13" authorId="0">
      <x:text>
        <x:r>
          <x:t>Operating accounts payable (FY:25 A).
Trade payables related to operations. Capital expenditure payables are excluded before calculating the operating cash-flow effect. This period is unavailable or not applicable. Do not interpret it as zero.
Stored input or primary source observation. It is not calculated in this cell.</x:t>
        </x:r>
      </x:text>
    </x:comment>
    <x:comment ref="N13" authorId="0">
      <x:text>
        <x:r>
          <x:t>Operating accounts payable (FY:26 A).
Trade payables related to operations. Capital expenditure payables are excluded before calculating the operating cash-flow effect.
Formula: =N15-N14
Cross-sheet references identify the owning schedule. Same-sheet references identify intermediate calculations.</x:t>
        </x:r>
      </x:text>
    </x:comment>
    <x:comment ref="O13" authorId="0">
      <x:text>
        <x:r>
          <x:t>Operating accounts payable (FY:27 E).
Trade payables related to operations. Capital expenditure payables are excluded before calculating the operating cash-flow effect.
Formula: =O12*'Assumptions'!O77/365
Cross-sheet references identify the owning schedule. Same-sheet references identify intermediate calculations.</x:t>
        </x:r>
      </x:text>
    </x:comment>
    <x:comment ref="P13" authorId="0">
      <x:text>
        <x:r>
          <x:t>Operating accounts payable (FY:28 E).
Trade payables related to operations. Capital expenditure payables are excluded before calculating the operating cash-flow effect.
Formula: =P12*'Assumptions'!P77/365
Cross-sheet references identify the owning schedule. Same-sheet references identify intermediate calculations.</x:t>
        </x:r>
      </x:text>
    </x:comment>
    <x:comment ref="Q13" authorId="0">
      <x:text>
        <x:r>
          <x:t>Operating accounts payable (FY:29 E).
Trade payables related to operations. Capital expenditure payables are excluded before calculating the operating cash-flow effect.
Formula: =Q12*'Assumptions'!Q77/365
Cross-sheet references identify the owning schedule. Same-sheet references identify intermediate calculations.</x:t>
        </x:r>
      </x:text>
    </x:comment>
    <x:comment ref="R13" authorId="0">
      <x:text>
        <x:r>
          <x:t>Operating accounts payable (FY:30 E).
Trade payables related to operations. Capital expenditure payables are excluded before calculating the operating cash-flow effect.
Formula: =R12*'Assumptions'!R77/365
Cross-sheet references identify the owning schedule. Same-sheet references identify intermediate calculations.</x:t>
        </x:r>
      </x:text>
    </x:comment>
    <x:comment ref="S13" authorId="0">
      <x:text>
        <x:r>
          <x:t>Operating accounts payable (FY:31 E).
Trade payables related to operations. Capital expenditure payables are excluded before calculating the operating cash-flow effect.
Formula: =S12*'Assumptions'!S77/365
Cross-sheet references identify the owning schedule. Same-sheet references identify intermediate calculations.</x:t>
        </x:r>
      </x:text>
    </x:comment>
    <x:comment ref="C14" authorId="0">
      <x:text>
        <x:r>
          <x:t>Unpaid capital asset purchases at year-end. Their increase raises capital additions but is excluded from the operating payable cash adjustment.</x:t>
        </x:r>
      </x:text>
    </x:comment>
    <x:comment ref="E14" authorId="0">
      <x:text>
        <x:r>
          <x:t>Capital expenditure payables (FY:17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F14" authorId="0">
      <x:text>
        <x:r>
          <x:t>Capital expenditure payables (FY:18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G14" authorId="0">
      <x:text>
        <x:r>
          <x:t>Capital expenditure payables (FY:19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H14" authorId="0">
      <x:text>
        <x:r>
          <x:t>Capital expenditure payables (FY:20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I14" authorId="0">
      <x:text>
        <x:r>
          <x:t>Capital expenditure payables (FY:21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J14" authorId="0">
      <x:text>
        <x:r>
          <x:t>Capital expenditure payables (FY:22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K14" authorId="0">
      <x:text>
        <x:r>
          <x:t>Capital expenditure payables (FY:23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L14" authorId="0">
      <x:text>
        <x:r>
          <x:t>Capital expenditure payables (FY:24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M14" authorId="0">
      <x:text>
        <x:r>
          <x:t>Capital expenditure payables (FY:25 A).
Unpaid capital asset purchases at year-end. Their increase raises capital additions but is excluded from the operating payable cash adjustment. This period is unavailable or not applicable. Do not interpret it as zero.
Stored input or primary source observation. It is not calculated in this cell.</x:t>
        </x:r>
      </x:text>
    </x:comment>
    <x:comment ref="N14" authorId="0">
      <x:text>
        <x:r>
          <x:t>Capital expenditure payables (FY:26 A).
Unpaid capital asset purchases at year-end. Their increase raises capital additions but is excluded from the operating payable cash adjustment.
Formula: ='Filing Notes'!N23
Cross-sheet references identify the owning schedule. Same-sheet references identify intermediate calculations.</x:t>
        </x:r>
      </x:text>
    </x:comment>
    <x:comment ref="O14" authorId="0">
      <x:text>
        <x:r>
          <x:t>Capital expenditure payables (FY:27 E).
Unpaid capital asset purchases at year-end. Their increase raises capital additions but is excluded from the operating payable cash adjustment.
Formula: ='PPE and Intangibles'!O8*'Assumptions'!O49
Cross-sheet references identify the owning schedule. Same-sheet references identify intermediate calculations.</x:t>
        </x:r>
      </x:text>
    </x:comment>
    <x:comment ref="P14" authorId="0">
      <x:text>
        <x:r>
          <x:t>Capital expenditure payables (FY:28 E).
Unpaid capital asset purchases at year-end. Their increase raises capital additions but is excluded from the operating payable cash adjustment.
Formula: ='PPE and Intangibles'!P8*'Assumptions'!P49
Cross-sheet references identify the owning schedule. Same-sheet references identify intermediate calculations.</x:t>
        </x:r>
      </x:text>
    </x:comment>
    <x:comment ref="Q14" authorId="0">
      <x:text>
        <x:r>
          <x:t>Capital expenditure payables (FY:29 E).
Unpaid capital asset purchases at year-end. Their increase raises capital additions but is excluded from the operating payable cash adjustment.
Formula: ='PPE and Intangibles'!Q8*'Assumptions'!Q49
Cross-sheet references identify the owning schedule. Same-sheet references identify intermediate calculations.</x:t>
        </x:r>
      </x:text>
    </x:comment>
    <x:comment ref="R14" authorId="0">
      <x:text>
        <x:r>
          <x:t>Capital expenditure payables (FY:30 E).
Unpaid capital asset purchases at year-end. Their increase raises capital additions but is excluded from the operating payable cash adjustment.
Formula: ='PPE and Intangibles'!R8*'Assumptions'!R49
Cross-sheet references identify the owning schedule. Same-sheet references identify intermediate calculations.</x:t>
        </x:r>
      </x:text>
    </x:comment>
    <x:comment ref="S14" authorId="0">
      <x:text>
        <x:r>
          <x:t>Capital expenditure payables (FY:31 E).
Unpaid capital asset purchases at year-end. Their increase raises capital additions but is excluded from the operating payable cash adjustment.
Formula: ='PPE and Intangibles'!S8*'Assumptions'!S49
Cross-sheet references identify the owning schedule. Same-sheet references identify intermediate calculations.</x:t>
        </x:r>
      </x:text>
    </x:comment>
    <x:comment ref="C15" authorId="0">
      <x:text>
        <x:r>
          <x:t>Total accounts payable. This line belongs to the Working Capital calculation. Read its formula to trace the referenced inputs and intermediate totals.</x:t>
        </x:r>
      </x:text>
    </x:comment>
    <x:comment ref="E15" authorId="0">
      <x:text>
        <x:r>
          <x:t>Total accounts payable (FY:17 A).
Total accounts payable. This line belongs to the Working Capital calculation. Read its formula to trace the referenced inputs and intermediate totals.
Formula: ='Historical Inputs'!E42
Cross-sheet references identify the owning schedule. Same-sheet references identify intermediate calculations.</x:t>
        </x:r>
      </x:text>
    </x:comment>
    <x:comment ref="F15" authorId="0">
      <x:text>
        <x:r>
          <x:t>Total accounts payable (FY:18 A).
Total accounts payable. This line belongs to the Working Capital calculation. Read its formula to trace the referenced inputs and intermediate totals.
Formula: ='Historical Inputs'!F42
Cross-sheet references identify the owning schedule. Same-sheet references identify intermediate calculations.</x:t>
        </x:r>
      </x:text>
    </x:comment>
    <x:comment ref="G15" authorId="0">
      <x:text>
        <x:r>
          <x:t>Total accounts payable (FY:19 A).
Total accounts payable. This line belongs to the Working Capital calculation. Read its formula to trace the referenced inputs and intermediate totals.
Formula: ='Historical Inputs'!G42
Cross-sheet references identify the owning schedule. Same-sheet references identify intermediate calculations.</x:t>
        </x:r>
      </x:text>
    </x:comment>
    <x:comment ref="H15" authorId="0">
      <x:text>
        <x:r>
          <x:t>Total accounts payable (FY:20 A).
Total accounts payable. This line belongs to the Working Capital calculation. Read its formula to trace the referenced inputs and intermediate totals.
Formula: ='Historical Inputs'!H42
Cross-sheet references identify the owning schedule. Same-sheet references identify intermediate calculations.</x:t>
        </x:r>
      </x:text>
    </x:comment>
    <x:comment ref="I15" authorId="0">
      <x:text>
        <x:r>
          <x:t>Total accounts payable (FY:21 A).
Total accounts payable. This line belongs to the Working Capital calculation. Read its formula to trace the referenced inputs and intermediate totals.
Formula: ='Historical Inputs'!I42
Cross-sheet references identify the owning schedule. Same-sheet references identify intermediate calculations.</x:t>
        </x:r>
      </x:text>
    </x:comment>
    <x:comment ref="J15" authorId="0">
      <x:text>
        <x:r>
          <x:t>Total accounts payable (FY:22 A).
Total accounts payable. This line belongs to the Working Capital calculation. Read its formula to trace the referenced inputs and intermediate totals.
Formula: ='Historical Inputs'!J42
Cross-sheet references identify the owning schedule. Same-sheet references identify intermediate calculations.</x:t>
        </x:r>
      </x:text>
    </x:comment>
    <x:comment ref="K15" authorId="0">
      <x:text>
        <x:r>
          <x:t>Total accounts payable (FY:23 A).
Total accounts payable. This line belongs to the Working Capital calculation. Read its formula to trace the referenced inputs and intermediate totals.
Formula: ='Historical Inputs'!K42
Cross-sheet references identify the owning schedule. Same-sheet references identify intermediate calculations.</x:t>
        </x:r>
      </x:text>
    </x:comment>
    <x:comment ref="L15" authorId="0">
      <x:text>
        <x:r>
          <x:t>Total accounts payable (FY:24 A).
Total accounts payable. This line belongs to the Working Capital calculation. Read its formula to trace the referenced inputs and intermediate totals.
Formula: ='Historical Inputs'!L42
Cross-sheet references identify the owning schedule. Same-sheet references identify intermediate calculations.</x:t>
        </x:r>
      </x:text>
    </x:comment>
    <x:comment ref="M15" authorId="0">
      <x:text>
        <x:r>
          <x:t>Total accounts payable (FY:25 A).
Total accounts payable. This line belongs to the Working Capital calculation. Read its formula to trace the referenced inputs and intermediate totals.
Formula: ='Historical Inputs'!M42
Cross-sheet references identify the owning schedule. Same-sheet references identify intermediate calculations.</x:t>
        </x:r>
      </x:text>
    </x:comment>
    <x:comment ref="N15" authorId="0">
      <x:text>
        <x:r>
          <x:t>Total accounts payable (FY:26 A).
Total accounts payable. This line belongs to the Working Capital calculation. Read its formula to trace the referenced inputs and intermediate totals.
Formula: ='Historical Inputs'!N42
Cross-sheet references identify the owning schedule. Same-sheet references identify intermediate calculations.</x:t>
        </x:r>
      </x:text>
    </x:comment>
    <x:comment ref="O15" authorId="0">
      <x:text>
        <x:r>
          <x:t>Total accounts payable (FY:27 E).
Total accounts payable. This line belongs to the Working Capital calculation. Read its formula to trace the referenced inputs and intermediate totals.
Formula: =SUM(O13:O14)
Cross-sheet references identify the owning schedule. Same-sheet references identify intermediate calculations.</x:t>
        </x:r>
      </x:text>
    </x:comment>
    <x:comment ref="P15" authorId="0">
      <x:text>
        <x:r>
          <x:t>Total accounts payable (FY:28 E).
Total accounts payable. This line belongs to the Working Capital calculation. Read its formula to trace the referenced inputs and intermediate totals.
Formula: =SUM(P13:P14)
Cross-sheet references identify the owning schedule. Same-sheet references identify intermediate calculations.</x:t>
        </x:r>
      </x:text>
    </x:comment>
    <x:comment ref="Q15" authorId="0">
      <x:text>
        <x:r>
          <x:t>Total accounts payable (FY:29 E).
Total accounts payable. This line belongs to the Working Capital calculation. Read its formula to trace the referenced inputs and intermediate totals.
Formula: =SUM(Q13:Q14)
Cross-sheet references identify the owning schedule. Same-sheet references identify intermediate calculations.</x:t>
        </x:r>
      </x:text>
    </x:comment>
    <x:comment ref="R15" authorId="0">
      <x:text>
        <x:r>
          <x:t>Total accounts payable (FY:30 E).
Total accounts payable. This line belongs to the Working Capital calculation. Read its formula to trace the referenced inputs and intermediate totals.
Formula: =SUM(R13:R14)
Cross-sheet references identify the owning schedule. Same-sheet references identify intermediate calculations.</x:t>
        </x:r>
      </x:text>
    </x:comment>
    <x:comment ref="S15" authorId="0">
      <x:text>
        <x:r>
          <x:t>Total accounts payable (FY:31 E).
Total accounts payable. This line belongs to the Working Capital calculation. Read its formula to trace the referenced inputs and intermediate totals.
Formula: =SUM(S13:S14)
Cross-sheet references identify the owning schedule. Same-sheet references identify intermediate calculations.</x:t>
        </x:r>
      </x:text>
    </x:comment>
    <x:comment ref="C16" authorId="0">
      <x:text>
        <x:r>
          <x:t>Operating payables, excluding capital expenditure payables, divided by annual cost of revenue multiplied by 365.</x:t>
        </x:r>
      </x:text>
    </x:comment>
    <x:comment ref="E16" authorId="0">
      <x:text>
        <x:r>
          <x:t>Operating payable days (FY:17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F16" authorId="0">
      <x:text>
        <x:r>
          <x:t>Operating payable days (FY:18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G16" authorId="0">
      <x:text>
        <x:r>
          <x:t>Operating payable days (FY:19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H16" authorId="0">
      <x:text>
        <x:r>
          <x:t>Operating payable days (FY:20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I16" authorId="0">
      <x:text>
        <x:r>
          <x:t>Operating payable days (FY:21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J16" authorId="0">
      <x:text>
        <x:r>
          <x:t>Operating payable days (FY:22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K16" authorId="0">
      <x:text>
        <x:r>
          <x:t>Operating payable days (FY:23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L16" authorId="0">
      <x:text>
        <x:r>
          <x:t>Operating payable days (FY:24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M16" authorId="0">
      <x:text>
        <x:r>
          <x:t>Operating payable days (FY:25 A).
Operating payables, excluding capital expenditure payables, divided by annual cost of revenue multiplied by 365. This period is unavailable or not applicable. Do not interpret it as zero.
Formula: ="n.a."
Cross-sheet references identify the owning schedule. Same-sheet references identify intermediate calculations.</x:t>
        </x:r>
      </x:text>
    </x:comment>
    <x:comment ref="N16" authorId="0">
      <x:text>
        <x:r>
          <x:t>Operating payable days (FY:26 A).
Operating payables, excluding capital expenditure payables, divided by annual cost of revenue multiplied by 365.
Formula: =N13/N12*365
Cross-sheet references identify the owning schedule. Same-sheet references identify intermediate calculations.</x:t>
        </x:r>
      </x:text>
    </x:comment>
    <x:comment ref="O16" authorId="0">
      <x:text>
        <x:r>
          <x:t>Operating payable days (FY:27 E).
Operating payables, excluding capital expenditure payables, divided by annual cost of revenue multiplied by 365.
Formula: =O13/O12*365
Cross-sheet references identify the owning schedule. Same-sheet references identify intermediate calculations.</x:t>
        </x:r>
      </x:text>
    </x:comment>
    <x:comment ref="P16" authorId="0">
      <x:text>
        <x:r>
          <x:t>Operating payable days (FY:28 E).
Operating payables, excluding capital expenditure payables, divided by annual cost of revenue multiplied by 365.
Formula: =P13/P12*365
Cross-sheet references identify the owning schedule. Same-sheet references identify intermediate calculations.</x:t>
        </x:r>
      </x:text>
    </x:comment>
    <x:comment ref="Q16" authorId="0">
      <x:text>
        <x:r>
          <x:t>Operating payable days (FY:29 E).
Operating payables, excluding capital expenditure payables, divided by annual cost of revenue multiplied by 365.
Formula: =Q13/Q12*365
Cross-sheet references identify the owning schedule. Same-sheet references identify intermediate calculations.</x:t>
        </x:r>
      </x:text>
    </x:comment>
    <x:comment ref="R16" authorId="0">
      <x:text>
        <x:r>
          <x:t>Operating payable days (FY:30 E).
Operating payables, excluding capital expenditure payables, divided by annual cost of revenue multiplied by 365.
Formula: =R13/R12*365
Cross-sheet references identify the owning schedule. Same-sheet references identify intermediate calculations.</x:t>
        </x:r>
      </x:text>
    </x:comment>
    <x:comment ref="S16" authorId="0">
      <x:text>
        <x:r>
          <x:t>Operating payable days (FY:31 E).
Operating payables, excluding capital expenditure payables, divided by annual cost of revenue multiplied by 365.
Formula: =S13/S12*365
Cross-sheet references identify the owning schedule. Same-sheet references identify intermediate calculations.</x:t>
        </x:r>
      </x:text>
    </x:comment>
    <x:comment ref="C18" authorId="0">
      <x:text>
        <x:r>
          <x:t>Other short-term operating assets as reported. Forecast balances use a revenue-based planning ratio and their increases consume operating cash.</x:t>
        </x:r>
      </x:text>
    </x:comment>
    <x:comment ref="E18" authorId="0">
      <x:text>
        <x:r>
          <x:t>Other current assets (FY:17 A).
Other short-term operating assets as reported. Forecast balances use a revenue-based planning ratio and their increases consume operating cash.
Formula: ='Historical Inputs'!E33
Cross-sheet references identify the owning schedule. Same-sheet references identify intermediate calculations.</x:t>
        </x:r>
      </x:text>
    </x:comment>
    <x:comment ref="F18" authorId="0">
      <x:text>
        <x:r>
          <x:t>Other current assets (FY:18 A).
Other short-term operating assets as reported. Forecast balances use a revenue-based planning ratio and their increases consume operating cash.
Formula: ='Historical Inputs'!F33
Cross-sheet references identify the owning schedule. Same-sheet references identify intermediate calculations.</x:t>
        </x:r>
      </x:text>
    </x:comment>
    <x:comment ref="G18" authorId="0">
      <x:text>
        <x:r>
          <x:t>Other current assets (FY:19 A).
Other short-term operating assets as reported. Forecast balances use a revenue-based planning ratio and their increases consume operating cash.
Formula: ='Historical Inputs'!G33
Cross-sheet references identify the owning schedule. Same-sheet references identify intermediate calculations.</x:t>
        </x:r>
      </x:text>
    </x:comment>
    <x:comment ref="H18" authorId="0">
      <x:text>
        <x:r>
          <x:t>Other current assets (FY:20 A).
Other short-term operating assets as reported. Forecast balances use a revenue-based planning ratio and their increases consume operating cash.
Formula: ='Historical Inputs'!H33
Cross-sheet references identify the owning schedule. Same-sheet references identify intermediate calculations.</x:t>
        </x:r>
      </x:text>
    </x:comment>
    <x:comment ref="I18" authorId="0">
      <x:text>
        <x:r>
          <x:t>Other current assets (FY:21 A).
Other short-term operating assets as reported. Forecast balances use a revenue-based planning ratio and their increases consume operating cash.
Formula: ='Historical Inputs'!I33
Cross-sheet references identify the owning schedule. Same-sheet references identify intermediate calculations.</x:t>
        </x:r>
      </x:text>
    </x:comment>
    <x:comment ref="J18" authorId="0">
      <x:text>
        <x:r>
          <x:t>Other current assets (FY:22 A).
Other short-term operating assets as reported. Forecast balances use a revenue-based planning ratio and their increases consume operating cash.
Formula: ='Historical Inputs'!J33
Cross-sheet references identify the owning schedule. Same-sheet references identify intermediate calculations.</x:t>
        </x:r>
      </x:text>
    </x:comment>
    <x:comment ref="K18" authorId="0">
      <x:text>
        <x:r>
          <x:t>Other current assets (FY:23 A).
Other short-term operating assets as reported. Forecast balances use a revenue-based planning ratio and their increases consume operating cash.
Formula: ='Historical Inputs'!K33
Cross-sheet references identify the owning schedule. Same-sheet references identify intermediate calculations.</x:t>
        </x:r>
      </x:text>
    </x:comment>
    <x:comment ref="L18" authorId="0">
      <x:text>
        <x:r>
          <x:t>Other current assets (FY:24 A).
Other short-term operating assets as reported. Forecast balances use a revenue-based planning ratio and their increases consume operating cash.
Formula: ='Historical Inputs'!L33
Cross-sheet references identify the owning schedule. Same-sheet references identify intermediate calculations.</x:t>
        </x:r>
      </x:text>
    </x:comment>
    <x:comment ref="M18" authorId="0">
      <x:text>
        <x:r>
          <x:t>Other current assets (FY:25 A).
Other short-term operating assets as reported. Forecast balances use a revenue-based planning ratio and their increases consume operating cash.
Formula: ='Historical Inputs'!M33
Cross-sheet references identify the owning schedule. Same-sheet references identify intermediate calculations.</x:t>
        </x:r>
      </x:text>
    </x:comment>
    <x:comment ref="N18" authorId="0">
      <x:text>
        <x:r>
          <x:t>Other current assets (FY:26 A).
Other short-term operating assets as reported. Forecast balances use a revenue-based planning ratio and their increases consume operating cash.
Formula: ='Historical Inputs'!N33
Cross-sheet references identify the owning schedule. Same-sheet references identify intermediate calculations.</x:t>
        </x:r>
      </x:text>
    </x:comment>
    <x:comment ref="O18" authorId="0">
      <x:text>
        <x:r>
          <x:t>Other current assets (FY:27 E).
Other short-term operating assets as reported. Forecast balances use a revenue-based planning ratio and their increases consume operating cash.
Formula: ='Income Statement'!O8*'Assumptions'!O81
Cross-sheet references identify the owning schedule. Same-sheet references identify intermediate calculations.</x:t>
        </x:r>
      </x:text>
    </x:comment>
    <x:comment ref="P18" authorId="0">
      <x:text>
        <x:r>
          <x:t>Other current assets (FY:28 E).
Other short-term operating assets as reported. Forecast balances use a revenue-based planning ratio and their increases consume operating cash.
Formula: ='Income Statement'!P8*'Assumptions'!P81
Cross-sheet references identify the owning schedule. Same-sheet references identify intermediate calculations.</x:t>
        </x:r>
      </x:text>
    </x:comment>
    <x:comment ref="Q18" authorId="0">
      <x:text>
        <x:r>
          <x:t>Other current assets (FY:29 E).
Other short-term operating assets as reported. Forecast balances use a revenue-based planning ratio and their increases consume operating cash.
Formula: ='Income Statement'!Q8*'Assumptions'!Q81
Cross-sheet references identify the owning schedule. Same-sheet references identify intermediate calculations.</x:t>
        </x:r>
      </x:text>
    </x:comment>
    <x:comment ref="R18" authorId="0">
      <x:text>
        <x:r>
          <x:t>Other current assets (FY:30 E).
Other short-term operating assets as reported. Forecast balances use a revenue-based planning ratio and their increases consume operating cash.
Formula: ='Income Statement'!R8*'Assumptions'!R81
Cross-sheet references identify the owning schedule. Same-sheet references identify intermediate calculations.</x:t>
        </x:r>
      </x:text>
    </x:comment>
    <x:comment ref="S18" authorId="0">
      <x:text>
        <x:r>
          <x:t>Other current assets (FY:31 E).
Other short-term operating assets as reported. Forecast balances use a revenue-based planning ratio and their increases consume operating cash.
Formula: ='Income Statement'!S8*'Assumptions'!S81
Cross-sheet references identify the owning schedule. Same-sheet references identify intermediate calculations.</x:t>
        </x:r>
      </x:text>
    </x:comment>
    <x:comment ref="C19" authorId="0">
      <x:text>
        <x:r>
          <x:t>Employee compensation owed but not yet paid. The forecast uses a revenue-based planning ratio; increases can provide an operating cash timing benefit.</x:t>
        </x:r>
      </x:text>
    </x:comment>
    <x:comment ref="E19" authorId="0">
      <x:text>
        <x:r>
          <x:t>Accrued compensation (FY:17 A).
Employee compensation owed but not yet paid. The forecast uses a revenue-based planning ratio; increases can provide an operating cash timing benefit.
Formula: ='Historical Inputs'!E44
Cross-sheet references identify the owning schedule. Same-sheet references identify intermediate calculations.</x:t>
        </x:r>
      </x:text>
    </x:comment>
    <x:comment ref="F19" authorId="0">
      <x:text>
        <x:r>
          <x:t>Accrued compensation (FY:18 A).
Employee compensation owed but not yet paid. The forecast uses a revenue-based planning ratio; increases can provide an operating cash timing benefit.
Formula: ='Historical Inputs'!F44
Cross-sheet references identify the owning schedule. Same-sheet references identify intermediate calculations.</x:t>
        </x:r>
      </x:text>
    </x:comment>
    <x:comment ref="G19" authorId="0">
      <x:text>
        <x:r>
          <x:t>Accrued compensation (FY:19 A).
Employee compensation owed but not yet paid. The forecast uses a revenue-based planning ratio; increases can provide an operating cash timing benefit.
Formula: ='Historical Inputs'!G44
Cross-sheet references identify the owning schedule. Same-sheet references identify intermediate calculations.</x:t>
        </x:r>
      </x:text>
    </x:comment>
    <x:comment ref="H19" authorId="0">
      <x:text>
        <x:r>
          <x:t>Accrued compensation (FY:20 A).
Employee compensation owed but not yet paid. The forecast uses a revenue-based planning ratio; increases can provide an operating cash timing benefit.
Formula: ='Historical Inputs'!H44
Cross-sheet references identify the owning schedule. Same-sheet references identify intermediate calculations.</x:t>
        </x:r>
      </x:text>
    </x:comment>
    <x:comment ref="I19" authorId="0">
      <x:text>
        <x:r>
          <x:t>Accrued compensation (FY:21 A).
Employee compensation owed but not yet paid. The forecast uses a revenue-based planning ratio; increases can provide an operating cash timing benefit.
Formula: ='Historical Inputs'!I44
Cross-sheet references identify the owning schedule. Same-sheet references identify intermediate calculations.</x:t>
        </x:r>
      </x:text>
    </x:comment>
    <x:comment ref="J19" authorId="0">
      <x:text>
        <x:r>
          <x:t>Accrued compensation (FY:22 A).
Employee compensation owed but not yet paid. The forecast uses a revenue-based planning ratio; increases can provide an operating cash timing benefit.
Formula: ='Historical Inputs'!J44
Cross-sheet references identify the owning schedule. Same-sheet references identify intermediate calculations.</x:t>
        </x:r>
      </x:text>
    </x:comment>
    <x:comment ref="K19" authorId="0">
      <x:text>
        <x:r>
          <x:t>Accrued compensation (FY:23 A).
Employee compensation owed but not yet paid. The forecast uses a revenue-based planning ratio; increases can provide an operating cash timing benefit.
Formula: ='Historical Inputs'!K44
Cross-sheet references identify the owning schedule. Same-sheet references identify intermediate calculations.</x:t>
        </x:r>
      </x:text>
    </x:comment>
    <x:comment ref="L19" authorId="0">
      <x:text>
        <x:r>
          <x:t>Accrued compensation (FY:24 A).
Employee compensation owed but not yet paid. The forecast uses a revenue-based planning ratio; increases can provide an operating cash timing benefit.
Formula: ='Historical Inputs'!L44
Cross-sheet references identify the owning schedule. Same-sheet references identify intermediate calculations.</x:t>
        </x:r>
      </x:text>
    </x:comment>
    <x:comment ref="M19" authorId="0">
      <x:text>
        <x:r>
          <x:t>Accrued compensation (FY:25 A).
Employee compensation owed but not yet paid. The forecast uses a revenue-based planning ratio; increases can provide an operating cash timing benefit.
Formula: ='Historical Inputs'!M44
Cross-sheet references identify the owning schedule. Same-sheet references identify intermediate calculations.</x:t>
        </x:r>
      </x:text>
    </x:comment>
    <x:comment ref="N19" authorId="0">
      <x:text>
        <x:r>
          <x:t>Accrued compensation (FY:26 A).
Employee compensation owed but not yet paid. The forecast uses a revenue-based planning ratio; increases can provide an operating cash timing benefit.
Formula: ='Historical Inputs'!N44
Cross-sheet references identify the owning schedule. Same-sheet references identify intermediate calculations.</x:t>
        </x:r>
      </x:text>
    </x:comment>
    <x:comment ref="O19" authorId="0">
      <x:text>
        <x:r>
          <x:t>Accrued compensation (FY:27 E).
Employee compensation owed but not yet paid. The forecast uses a revenue-based planning ratio; increases can provide an operating cash timing benefit.
Formula: ='Income Statement'!O8*'Assumptions'!O85
Cross-sheet references identify the owning schedule. Same-sheet references identify intermediate calculations.</x:t>
        </x:r>
      </x:text>
    </x:comment>
    <x:comment ref="P19" authorId="0">
      <x:text>
        <x:r>
          <x:t>Accrued compensation (FY:28 E).
Employee compensation owed but not yet paid. The forecast uses a revenue-based planning ratio; increases can provide an operating cash timing benefit.
Formula: ='Income Statement'!P8*'Assumptions'!P85
Cross-sheet references identify the owning schedule. Same-sheet references identify intermediate calculations.</x:t>
        </x:r>
      </x:text>
    </x:comment>
    <x:comment ref="Q19" authorId="0">
      <x:text>
        <x:r>
          <x:t>Accrued compensation (FY:29 E).
Employee compensation owed but not yet paid. The forecast uses a revenue-based planning ratio; increases can provide an operating cash timing benefit.
Formula: ='Income Statement'!Q8*'Assumptions'!Q85
Cross-sheet references identify the owning schedule. Same-sheet references identify intermediate calculations.</x:t>
        </x:r>
      </x:text>
    </x:comment>
    <x:comment ref="R19" authorId="0">
      <x:text>
        <x:r>
          <x:t>Accrued compensation (FY:30 E).
Employee compensation owed but not yet paid. The forecast uses a revenue-based planning ratio; increases can provide an operating cash timing benefit.
Formula: ='Income Statement'!R8*'Assumptions'!R85
Cross-sheet references identify the owning schedule. Same-sheet references identify intermediate calculations.</x:t>
        </x:r>
      </x:text>
    </x:comment>
    <x:comment ref="S19" authorId="0">
      <x:text>
        <x:r>
          <x:t>Accrued compensation (FY:31 E).
Employee compensation owed but not yet paid. The forecast uses a revenue-based planning ratio; increases can provide an operating cash timing benefit.
Formula: ='Income Statement'!S8*'Assumptions'!S85
Cross-sheet references identify the owning schedule. Same-sheet references identify intermediate calculations.</x:t>
        </x:r>
      </x:text>
    </x:comment>
    <x:comment ref="C20" authorId="0">
      <x:text>
        <x:r>
          <x:t>Customer payments billed or received before revenue recognition. Forecast balances use revenue-based planning ratios. Increases in the operating liability can provide operating cash.</x:t>
        </x:r>
      </x:text>
    </x:comment>
    <x:comment ref="E20" authorId="0">
      <x:text>
        <x:r>
          <x:t>Current unearned revenue (FY:17 A).
Customer payments billed or received before revenue recognition. Forecast balances use revenue-based planning ratios. Increases in the operating liability can provide operating cash.
Formula: ='Historical Inputs'!E46
Cross-sheet references identify the owning schedule. Same-sheet references identify intermediate calculations.</x:t>
        </x:r>
      </x:text>
    </x:comment>
    <x:comment ref="F20" authorId="0">
      <x:text>
        <x:r>
          <x:t>Current unearned revenue (FY:18 A).
Customer payments billed or received before revenue recognition. Forecast balances use revenue-based planning ratios. Increases in the operating liability can provide operating cash.
Formula: ='Historical Inputs'!F46
Cross-sheet references identify the owning schedule. Same-sheet references identify intermediate calculations.</x:t>
        </x:r>
      </x:text>
    </x:comment>
    <x:comment ref="G20" authorId="0">
      <x:text>
        <x:r>
          <x:t>Current unearned revenue (FY:19 A).
Customer payments billed or received before revenue recognition. Forecast balances use revenue-based planning ratios. Increases in the operating liability can provide operating cash.
Formula: ='Historical Inputs'!G46
Cross-sheet references identify the owning schedule. Same-sheet references identify intermediate calculations.</x:t>
        </x:r>
      </x:text>
    </x:comment>
    <x:comment ref="H20" authorId="0">
      <x:text>
        <x:r>
          <x:t>Current unearned revenue (FY:20 A).
Customer payments billed or received before revenue recognition. Forecast balances use revenue-based planning ratios. Increases in the operating liability can provide operating cash.
Formula: ='Historical Inputs'!H46
Cross-sheet references identify the owning schedule. Same-sheet references identify intermediate calculations.</x:t>
        </x:r>
      </x:text>
    </x:comment>
    <x:comment ref="I20" authorId="0">
      <x:text>
        <x:r>
          <x:t>Current unearned revenue (FY:21 A).
Customer payments billed or received before revenue recognition. Forecast balances use revenue-based planning ratios. Increases in the operating liability can provide operating cash.
Formula: ='Historical Inputs'!I46
Cross-sheet references identify the owning schedule. Same-sheet references identify intermediate calculations.</x:t>
        </x:r>
      </x:text>
    </x:comment>
    <x:comment ref="J20" authorId="0">
      <x:text>
        <x:r>
          <x:t>Current unearned revenue (FY:22 A).
Customer payments billed or received before revenue recognition. Forecast balances use revenue-based planning ratios. Increases in the operating liability can provide operating cash.
Formula: ='Historical Inputs'!J46
Cross-sheet references identify the owning schedule. Same-sheet references identify intermediate calculations.</x:t>
        </x:r>
      </x:text>
    </x:comment>
    <x:comment ref="K20" authorId="0">
      <x:text>
        <x:r>
          <x:t>Current unearned revenue (FY:23 A).
Customer payments billed or received before revenue recognition. Forecast balances use revenue-based planning ratios. Increases in the operating liability can provide operating cash.
Formula: ='Historical Inputs'!K46
Cross-sheet references identify the owning schedule. Same-sheet references identify intermediate calculations.</x:t>
        </x:r>
      </x:text>
    </x:comment>
    <x:comment ref="L20" authorId="0">
      <x:text>
        <x:r>
          <x:t>Current unearned revenue (FY:24 A).
Customer payments billed or received before revenue recognition. Forecast balances use revenue-based planning ratios. Increases in the operating liability can provide operating cash.
Formula: ='Historical Inputs'!L46
Cross-sheet references identify the owning schedule. Same-sheet references identify intermediate calculations.</x:t>
        </x:r>
      </x:text>
    </x:comment>
    <x:comment ref="M20" authorId="0">
      <x:text>
        <x:r>
          <x:t>Current unearned revenue (FY:25 A).
Customer payments billed or received before revenue recognition. Forecast balances use revenue-based planning ratios. Increases in the operating liability can provide operating cash.
Formula: ='Historical Inputs'!M46
Cross-sheet references identify the owning schedule. Same-sheet references identify intermediate calculations.</x:t>
        </x:r>
      </x:text>
    </x:comment>
    <x:comment ref="N20" authorId="0">
      <x:text>
        <x:r>
          <x:t>Current unearned revenue (FY:26 A).
Customer payments billed or received before revenue recognition. Forecast balances use revenue-based planning ratios. Increases in the operating liability can provide operating cash.
Formula: ='Historical Inputs'!N46
Cross-sheet references identify the owning schedule. Same-sheet references identify intermediate calculations.</x:t>
        </x:r>
      </x:text>
    </x:comment>
    <x:comment ref="O20" authorId="0">
      <x:text>
        <x:r>
          <x:t>Current unearned revenue (FY:27 E).
Customer payments billed or received before revenue recognition. Forecast balances use revenue-based planning ratios. Increases in the operating liability can provide operating cash.
Formula: ='Income Statement'!O8*'Assumptions'!O89
Cross-sheet references identify the owning schedule. Same-sheet references identify intermediate calculations.</x:t>
        </x:r>
      </x:text>
    </x:comment>
    <x:comment ref="P20" authorId="0">
      <x:text>
        <x:r>
          <x:t>Current unearned revenue (FY:28 E).
Customer payments billed or received before revenue recognition. Forecast balances use revenue-based planning ratios. Increases in the operating liability can provide operating cash.
Formula: ='Income Statement'!P8*'Assumptions'!P89
Cross-sheet references identify the owning schedule. Same-sheet references identify intermediate calculations.</x:t>
        </x:r>
      </x:text>
    </x:comment>
    <x:comment ref="Q20" authorId="0">
      <x:text>
        <x:r>
          <x:t>Current unearned revenue (FY:29 E).
Customer payments billed or received before revenue recognition. Forecast balances use revenue-based planning ratios. Increases in the operating liability can provide operating cash.
Formula: ='Income Statement'!Q8*'Assumptions'!Q89
Cross-sheet references identify the owning schedule. Same-sheet references identify intermediate calculations.</x:t>
        </x:r>
      </x:text>
    </x:comment>
    <x:comment ref="R20" authorId="0">
      <x:text>
        <x:r>
          <x:t>Current unearned revenue (FY:30 E).
Customer payments billed or received before revenue recognition. Forecast balances use revenue-based planning ratios. Increases in the operating liability can provide operating cash.
Formula: ='Income Statement'!R8*'Assumptions'!R89
Cross-sheet references identify the owning schedule. Same-sheet references identify intermediate calculations.</x:t>
        </x:r>
      </x:text>
    </x:comment>
    <x:comment ref="S20" authorId="0">
      <x:text>
        <x:r>
          <x:t>Current unearned revenue (FY:31 E).
Customer payments billed or received before revenue recognition. Forecast balances use revenue-based planning ratios. Increases in the operating liability can provide operating cash.
Formula: ='Income Statement'!S8*'Assumptions'!S89
Cross-sheet references identify the owning schedule. Same-sheet references identify intermediate calculations.</x:t>
        </x:r>
      </x:text>
    </x:comment>
    <x:comment ref="C21" authorId="0">
      <x:text>
        <x:r>
          <x:t>Other current liabilities excluding leases. This line belongs to the Working Capital calculation. Read its formula to trace the referenced inputs and intermediate totals.</x:t>
        </x:r>
      </x:text>
    </x:comment>
    <x:comment ref="E21" authorId="0">
      <x:text>
        <x:r>
          <x:t>Other current liabilities excluding leases (FY:17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F21" authorId="0">
      <x:text>
        <x:r>
          <x:t>Other current liabilities excluding leases (FY:18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G21" authorId="0">
      <x:text>
        <x:r>
          <x:t>Other current liabilities excluding leases (FY:19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H21" authorId="0">
      <x:text>
        <x:r>
          <x:t>Other current liabilities excluding leases (FY:20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I21" authorId="0">
      <x:text>
        <x:r>
          <x:t>Other current liabilities excluding leases (FY:21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J21" authorId="0">
      <x:text>
        <x:r>
          <x:t>Other current liabilities excluding leases (FY:22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K21" authorId="0">
      <x:text>
        <x:r>
          <x:t>Other current liabilities excluding leases (FY:23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L21" authorId="0">
      <x:text>
        <x:r>
          <x:t>Other current liabilities excluding leases (FY:24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M21" authorId="0">
      <x:text>
        <x:r>
          <x:t>Other current liabilities excluding leases (FY:25 A).
Other current liabilities excluding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N21" authorId="0">
      <x:text>
        <x:r>
          <x:t>Other current liabilities excluding leases (FY:26 A).
Other current liabilities excluding leases. This line belongs to the Working Capital calculation. Read its formula to trace the referenced inputs and intermediate totals.
Formula: ='Historical Inputs'!N47-'Filing Notes'!N28-'Filing Notes'!N29
Cross-sheet references identify the owning schedule. Same-sheet references identify intermediate calculations.</x:t>
        </x:r>
      </x:text>
    </x:comment>
    <x:comment ref="O21" authorId="0">
      <x:text>
        <x:r>
          <x:t>Other current liabilities excluding leases (FY:27 E).
Other current liabilities excluding leases. This line belongs to the Working Capital calculation. Read its formula to trace the referenced inputs and intermediate totals.
Formula: ='Income Statement'!O8*'Assumptions'!O93
Cross-sheet references identify the owning schedule. Same-sheet references identify intermediate calculations.</x:t>
        </x:r>
      </x:text>
    </x:comment>
    <x:comment ref="P21" authorId="0">
      <x:text>
        <x:r>
          <x:t>Other current liabilities excluding leases (FY:28 E).
Other current liabilities excluding leases. This line belongs to the Working Capital calculation. Read its formula to trace the referenced inputs and intermediate totals.
Formula: ='Income Statement'!P8*'Assumptions'!P93
Cross-sheet references identify the owning schedule. Same-sheet references identify intermediate calculations.</x:t>
        </x:r>
      </x:text>
    </x:comment>
    <x:comment ref="Q21" authorId="0">
      <x:text>
        <x:r>
          <x:t>Other current liabilities excluding leases (FY:29 E).
Other current liabilities excluding leases. This line belongs to the Working Capital calculation. Read its formula to trace the referenced inputs and intermediate totals.
Formula: ='Income Statement'!Q8*'Assumptions'!Q93
Cross-sheet references identify the owning schedule. Same-sheet references identify intermediate calculations.</x:t>
        </x:r>
      </x:text>
    </x:comment>
    <x:comment ref="R21" authorId="0">
      <x:text>
        <x:r>
          <x:t>Other current liabilities excluding leases (FY:30 E).
Other current liabilities excluding leases. This line belongs to the Working Capital calculation. Read its formula to trace the referenced inputs and intermediate totals.
Formula: ='Income Statement'!R8*'Assumptions'!R93
Cross-sheet references identify the owning schedule. Same-sheet references identify intermediate calculations.</x:t>
        </x:r>
      </x:text>
    </x:comment>
    <x:comment ref="S21" authorId="0">
      <x:text>
        <x:r>
          <x:t>Other current liabilities excluding leases (FY:31 E).
Other current liabilities excluding leases. This line belongs to the Working Capital calculation. Read its formula to trace the referenced inputs and intermediate totals.
Formula: ='Income Statement'!S8*'Assumptions'!S93
Cross-sheet references identify the owning schedule. Same-sheet references identify intermediate calculations.</x:t>
        </x:r>
      </x:text>
    </x:comment>
    <x:comment ref="C22" authorId="0">
      <x:text>
        <x:r>
          <x:t>Current income tax liabilities. This line belongs to the Working Capital calculation. Read its formula to trace the referenced inputs and intermediate totals.</x:t>
        </x:r>
      </x:text>
    </x:comment>
    <x:comment ref="E22" authorId="0">
      <x:text>
        <x:r>
          <x:t>Current income tax liabilities (FY:17 A).
Current income tax liabilities. This line belongs to the Working Capital calculation. Read its formula to trace the referenced inputs and intermediate totals.
Formula: ='Historical Inputs'!E45
Cross-sheet references identify the owning schedule. Same-sheet references identify intermediate calculations.</x:t>
        </x:r>
      </x:text>
    </x:comment>
    <x:comment ref="F22" authorId="0">
      <x:text>
        <x:r>
          <x:t>Current income tax liabilities (FY:18 A).
Current income tax liabilities. This line belongs to the Working Capital calculation. Read its formula to trace the referenced inputs and intermediate totals.
Formula: ='Historical Inputs'!F45
Cross-sheet references identify the owning schedule. Same-sheet references identify intermediate calculations.</x:t>
        </x:r>
      </x:text>
    </x:comment>
    <x:comment ref="G22" authorId="0">
      <x:text>
        <x:r>
          <x:t>Current income tax liabilities (FY:19 A).
Current income tax liabilities. This line belongs to the Working Capital calculation. Read its formula to trace the referenced inputs and intermediate totals.
Formula: ='Historical Inputs'!G45
Cross-sheet references identify the owning schedule. Same-sheet references identify intermediate calculations.</x:t>
        </x:r>
      </x:text>
    </x:comment>
    <x:comment ref="H22" authorId="0">
      <x:text>
        <x:r>
          <x:t>Current income tax liabilities (FY:20 A).
Current income tax liabilities. This line belongs to the Working Capital calculation. Read its formula to trace the referenced inputs and intermediate totals.
Formula: ='Historical Inputs'!H45
Cross-sheet references identify the owning schedule. Same-sheet references identify intermediate calculations.</x:t>
        </x:r>
      </x:text>
    </x:comment>
    <x:comment ref="I22" authorId="0">
      <x:text>
        <x:r>
          <x:t>Current income tax liabilities (FY:21 A).
Current income tax liabilities. This line belongs to the Working Capital calculation. Read its formula to trace the referenced inputs and intermediate totals.
Formula: ='Historical Inputs'!I45
Cross-sheet references identify the owning schedule. Same-sheet references identify intermediate calculations.</x:t>
        </x:r>
      </x:text>
    </x:comment>
    <x:comment ref="J22" authorId="0">
      <x:text>
        <x:r>
          <x:t>Current income tax liabilities (FY:22 A).
Current income tax liabilities. This line belongs to the Working Capital calculation. Read its formula to trace the referenced inputs and intermediate totals.
Formula: ='Historical Inputs'!J45
Cross-sheet references identify the owning schedule. Same-sheet references identify intermediate calculations.</x:t>
        </x:r>
      </x:text>
    </x:comment>
    <x:comment ref="K22" authorId="0">
      <x:text>
        <x:r>
          <x:t>Current income tax liabilities (FY:23 A).
Current income tax liabilities. This line belongs to the Working Capital calculation. Read its formula to trace the referenced inputs and intermediate totals.
Formula: ='Historical Inputs'!K45
Cross-sheet references identify the owning schedule. Same-sheet references identify intermediate calculations.</x:t>
        </x:r>
      </x:text>
    </x:comment>
    <x:comment ref="L22" authorId="0">
      <x:text>
        <x:r>
          <x:t>Current income tax liabilities (FY:24 A).
Current income tax liabilities. This line belongs to the Working Capital calculation. Read its formula to trace the referenced inputs and intermediate totals.
Formula: ='Historical Inputs'!L45
Cross-sheet references identify the owning schedule. Same-sheet references identify intermediate calculations.</x:t>
        </x:r>
      </x:text>
    </x:comment>
    <x:comment ref="M22" authorId="0">
      <x:text>
        <x:r>
          <x:t>Current income tax liabilities (FY:25 A).
Current income tax liabilities. This line belongs to the Working Capital calculation. Read its formula to trace the referenced inputs and intermediate totals.
Formula: ='Historical Inputs'!M45
Cross-sheet references identify the owning schedule. Same-sheet references identify intermediate calculations.</x:t>
        </x:r>
      </x:text>
    </x:comment>
    <x:comment ref="N22" authorId="0">
      <x:text>
        <x:r>
          <x:t>Current income tax liabilities (FY:26 A).
Current income tax liabilities. This line belongs to the Working Capital calculation. Read its formula to trace the referenced inputs and intermediate totals.
Formula: ='Historical Inputs'!N45
Cross-sheet references identify the owning schedule. Same-sheet references identify intermediate calculations.</x:t>
        </x:r>
      </x:text>
    </x:comment>
    <x:comment ref="O22" authorId="0">
      <x:text>
        <x:r>
          <x:t>Current income tax liabilities (FY:27 E).
Current income tax liabilities. This line belongs to the Working Capital calculation. Read its formula to trace the referenced inputs and intermediate totals.
Formula: ='Balance Sheet'!N28
Cross-sheet references identify the owning schedule. Same-sheet references identify intermediate calculations.</x:t>
        </x:r>
      </x:text>
    </x:comment>
    <x:comment ref="P22" authorId="0">
      <x:text>
        <x:r>
          <x:t>Current income tax liabilities (FY:28 E).
Current income tax liabilities. This line belongs to the Working Capital calculation. Read its formula to trace the referenced inputs and intermediate totals.
Formula: ='Balance Sheet'!O28
Cross-sheet references identify the owning schedule. Same-sheet references identify intermediate calculations.</x:t>
        </x:r>
      </x:text>
    </x:comment>
    <x:comment ref="Q22" authorId="0">
      <x:text>
        <x:r>
          <x:t>Current income tax liabilities (FY:29 E).
Current income tax liabilities. This line belongs to the Working Capital calculation. Read its formula to trace the referenced inputs and intermediate totals.
Formula: ='Balance Sheet'!P28
Cross-sheet references identify the owning schedule. Same-sheet references identify intermediate calculations.</x:t>
        </x:r>
      </x:text>
    </x:comment>
    <x:comment ref="R22" authorId="0">
      <x:text>
        <x:r>
          <x:t>Current income tax liabilities (FY:30 E).
Current income tax liabilities. This line belongs to the Working Capital calculation. Read its formula to trace the referenced inputs and intermediate totals.
Formula: ='Balance Sheet'!Q28
Cross-sheet references identify the owning schedule. Same-sheet references identify intermediate calculations.</x:t>
        </x:r>
      </x:text>
    </x:comment>
    <x:comment ref="S22" authorId="0">
      <x:text>
        <x:r>
          <x:t>Current income tax liabilities (FY:31 E).
Current income tax liabilities. This line belongs to the Working Capital calculation. Read its formula to trace the referenced inputs and intermediate totals.
Formula: ='Balance Sheet'!R28
Cross-sheet references identify the owning schedule. Same-sheet references identify intermediate calculations.</x:t>
        </x:r>
      </x:text>
    </x:comment>
    <x:comment ref="C24" authorId="0">
      <x:text>
        <x:r>
          <x:t>Other noncurrent assets as reported. Forecast balances use a revenue-based planning ratio and their changes affect the operating cash reconciliation.</x:t>
        </x:r>
      </x:text>
    </x:comment>
    <x:comment ref="E24" authorId="0">
      <x:text>
        <x:r>
          <x:t>Other long-term assets (FY:17 A).
Other noncurrent assets as reported. Forecast balances use a revenue-based planning ratio and their changes affect the operating cash reconciliation.
Formula: ='Historical Inputs'!E40
Cross-sheet references identify the owning schedule. Same-sheet references identify intermediate calculations.</x:t>
        </x:r>
      </x:text>
    </x:comment>
    <x:comment ref="F24" authorId="0">
      <x:text>
        <x:r>
          <x:t>Other long-term assets (FY:18 A).
Other noncurrent assets as reported. Forecast balances use a revenue-based planning ratio and their changes affect the operating cash reconciliation.
Formula: ='Historical Inputs'!F40
Cross-sheet references identify the owning schedule. Same-sheet references identify intermediate calculations.</x:t>
        </x:r>
      </x:text>
    </x:comment>
    <x:comment ref="G24" authorId="0">
      <x:text>
        <x:r>
          <x:t>Other long-term assets (FY:19 A).
Other noncurrent assets as reported. Forecast balances use a revenue-based planning ratio and their changes affect the operating cash reconciliation.
Formula: ='Historical Inputs'!G40
Cross-sheet references identify the owning schedule. Same-sheet references identify intermediate calculations.</x:t>
        </x:r>
      </x:text>
    </x:comment>
    <x:comment ref="H24" authorId="0">
      <x:text>
        <x:r>
          <x:t>Other long-term assets (FY:20 A).
Other noncurrent assets as reported. Forecast balances use a revenue-based planning ratio and their changes affect the operating cash reconciliation.
Formula: ='Historical Inputs'!H40
Cross-sheet references identify the owning schedule. Same-sheet references identify intermediate calculations.</x:t>
        </x:r>
      </x:text>
    </x:comment>
    <x:comment ref="I24" authorId="0">
      <x:text>
        <x:r>
          <x:t>Other long-term assets (FY:21 A).
Other noncurrent assets as reported. Forecast balances use a revenue-based planning ratio and their changes affect the operating cash reconciliation.
Formula: ='Historical Inputs'!I40
Cross-sheet references identify the owning schedule. Same-sheet references identify intermediate calculations.</x:t>
        </x:r>
      </x:text>
    </x:comment>
    <x:comment ref="J24" authorId="0">
      <x:text>
        <x:r>
          <x:t>Other long-term assets (FY:22 A).
Other noncurrent assets as reported. Forecast balances use a revenue-based planning ratio and their changes affect the operating cash reconciliation.
Formula: ='Historical Inputs'!J40
Cross-sheet references identify the owning schedule. Same-sheet references identify intermediate calculations.</x:t>
        </x:r>
      </x:text>
    </x:comment>
    <x:comment ref="K24" authorId="0">
      <x:text>
        <x:r>
          <x:t>Other long-term assets (FY:23 A).
Other noncurrent assets as reported. Forecast balances use a revenue-based planning ratio and their changes affect the operating cash reconciliation.
Formula: ='Historical Inputs'!K40
Cross-sheet references identify the owning schedule. Same-sheet references identify intermediate calculations.</x:t>
        </x:r>
      </x:text>
    </x:comment>
    <x:comment ref="L24" authorId="0">
      <x:text>
        <x:r>
          <x:t>Other long-term assets (FY:24 A).
Other noncurrent assets as reported. Forecast balances use a revenue-based planning ratio and their changes affect the operating cash reconciliation.
Formula: ='Historical Inputs'!L40
Cross-sheet references identify the owning schedule. Same-sheet references identify intermediate calculations.</x:t>
        </x:r>
      </x:text>
    </x:comment>
    <x:comment ref="M24" authorId="0">
      <x:text>
        <x:r>
          <x:t>Other long-term assets (FY:25 A).
Other noncurrent assets as reported. Forecast balances use a revenue-based planning ratio and their changes affect the operating cash reconciliation.
Formula: ='Historical Inputs'!M40
Cross-sheet references identify the owning schedule. Same-sheet references identify intermediate calculations.</x:t>
        </x:r>
      </x:text>
    </x:comment>
    <x:comment ref="N24" authorId="0">
      <x:text>
        <x:r>
          <x:t>Other long-term assets (FY:26 A).
Other noncurrent assets as reported. Forecast balances use a revenue-based planning ratio and their changes affect the operating cash reconciliation.
Formula: ='Historical Inputs'!N40
Cross-sheet references identify the owning schedule. Same-sheet references identify intermediate calculations.</x:t>
        </x:r>
      </x:text>
    </x:comment>
    <x:comment ref="O24" authorId="0">
      <x:text>
        <x:r>
          <x:t>Other long-term assets (FY:27 E).
Other noncurrent assets as reported. Forecast balances use a revenue-based planning ratio and their changes affect the operating cash reconciliation.
Formula: ='Income Statement'!O8*'Assumptions'!O97
Cross-sheet references identify the owning schedule. Same-sheet references identify intermediate calculations.</x:t>
        </x:r>
      </x:text>
    </x:comment>
    <x:comment ref="P24" authorId="0">
      <x:text>
        <x:r>
          <x:t>Other long-term assets (FY:28 E).
Other noncurrent assets as reported. Forecast balances use a revenue-based planning ratio and their changes affect the operating cash reconciliation.
Formula: ='Income Statement'!P8*'Assumptions'!P97
Cross-sheet references identify the owning schedule. Same-sheet references identify intermediate calculations.</x:t>
        </x:r>
      </x:text>
    </x:comment>
    <x:comment ref="Q24" authorId="0">
      <x:text>
        <x:r>
          <x:t>Other long-term assets (FY:29 E).
Other noncurrent assets as reported. Forecast balances use a revenue-based planning ratio and their changes affect the operating cash reconciliation.
Formula: ='Income Statement'!Q8*'Assumptions'!Q97
Cross-sheet references identify the owning schedule. Same-sheet references identify intermediate calculations.</x:t>
        </x:r>
      </x:text>
    </x:comment>
    <x:comment ref="R24" authorId="0">
      <x:text>
        <x:r>
          <x:t>Other long-term assets (FY:30 E).
Other noncurrent assets as reported. Forecast balances use a revenue-based planning ratio and their changes affect the operating cash reconciliation.
Formula: ='Income Statement'!R8*'Assumptions'!R97
Cross-sheet references identify the owning schedule. Same-sheet references identify intermediate calculations.</x:t>
        </x:r>
      </x:text>
    </x:comment>
    <x:comment ref="S24" authorId="0">
      <x:text>
        <x:r>
          <x:t>Other long-term assets (FY:31 E).
Other noncurrent assets as reported. Forecast balances use a revenue-based planning ratio and their changes affect the operating cash reconciliation.
Formula: ='Income Statement'!S8*'Assumptions'!S97
Cross-sheet references identify the owning schedule. Same-sheet references identify intermediate calculations.</x:t>
        </x:r>
      </x:text>
    </x:comment>
    <x:comment ref="C25" authorId="0">
      <x:text>
        <x:r>
          <x:t>Long-term income taxes. This line belongs to the Working Capital calculation. Read its formula to trace the referenced inputs and intermediate totals.</x:t>
        </x:r>
      </x:text>
    </x:comment>
    <x:comment ref="E25" authorId="0">
      <x:text>
        <x:r>
          <x:t>Long-term income taxes (FY:17 A).
Long-term income taxes. This line belongs to the Working Capital calculation. Read its formula to trace the referenced inputs and intermediate totals.
Formula: ='Historical Inputs'!E50
Cross-sheet references identify the owning schedule. Same-sheet references identify intermediate calculations.</x:t>
        </x:r>
      </x:text>
    </x:comment>
    <x:comment ref="F25" authorId="0">
      <x:text>
        <x:r>
          <x:t>Long-term income taxes (FY:18 A).
Long-term income taxes. This line belongs to the Working Capital calculation. Read its formula to trace the referenced inputs and intermediate totals.
Formula: ='Historical Inputs'!F50
Cross-sheet references identify the owning schedule. Same-sheet references identify intermediate calculations.</x:t>
        </x:r>
      </x:text>
    </x:comment>
    <x:comment ref="G25" authorId="0">
      <x:text>
        <x:r>
          <x:t>Long-term income taxes (FY:19 A).
Long-term income taxes. This line belongs to the Working Capital calculation. Read its formula to trace the referenced inputs and intermediate totals.
Formula: ='Historical Inputs'!G50
Cross-sheet references identify the owning schedule. Same-sheet references identify intermediate calculations.</x:t>
        </x:r>
      </x:text>
    </x:comment>
    <x:comment ref="H25" authorId="0">
      <x:text>
        <x:r>
          <x:t>Long-term income taxes (FY:20 A).
Long-term income taxes. This line belongs to the Working Capital calculation. Read its formula to trace the referenced inputs and intermediate totals.
Formula: ='Historical Inputs'!H50
Cross-sheet references identify the owning schedule. Same-sheet references identify intermediate calculations.</x:t>
        </x:r>
      </x:text>
    </x:comment>
    <x:comment ref="I25" authorId="0">
      <x:text>
        <x:r>
          <x:t>Long-term income taxes (FY:21 A).
Long-term income taxes. This line belongs to the Working Capital calculation. Read its formula to trace the referenced inputs and intermediate totals.
Formula: ='Historical Inputs'!I50
Cross-sheet references identify the owning schedule. Same-sheet references identify intermediate calculations.</x:t>
        </x:r>
      </x:text>
    </x:comment>
    <x:comment ref="J25" authorId="0">
      <x:text>
        <x:r>
          <x:t>Long-term income taxes (FY:22 A).
Long-term income taxes. This line belongs to the Working Capital calculation. Read its formula to trace the referenced inputs and intermediate totals.
Formula: ='Historical Inputs'!J50
Cross-sheet references identify the owning schedule. Same-sheet references identify intermediate calculations.</x:t>
        </x:r>
      </x:text>
    </x:comment>
    <x:comment ref="K25" authorId="0">
      <x:text>
        <x:r>
          <x:t>Long-term income taxes (FY:23 A).
Long-term income taxes. This line belongs to the Working Capital calculation. Read its formula to trace the referenced inputs and intermediate totals.
Formula: ='Historical Inputs'!K50
Cross-sheet references identify the owning schedule. Same-sheet references identify intermediate calculations.</x:t>
        </x:r>
      </x:text>
    </x:comment>
    <x:comment ref="L25" authorId="0">
      <x:text>
        <x:r>
          <x:t>Long-term income taxes (FY:24 A).
Long-term income taxes. This line belongs to the Working Capital calculation. Read its formula to trace the referenced inputs and intermediate totals.
Formula: ='Historical Inputs'!L50
Cross-sheet references identify the owning schedule. Same-sheet references identify intermediate calculations.</x:t>
        </x:r>
      </x:text>
    </x:comment>
    <x:comment ref="M25" authorId="0">
      <x:text>
        <x:r>
          <x:t>Long-term income taxes (FY:25 A).
Long-term income taxes. This line belongs to the Working Capital calculation. Read its formula to trace the referenced inputs and intermediate totals.
Formula: ='Historical Inputs'!M50
Cross-sheet references identify the owning schedule. Same-sheet references identify intermediate calculations.</x:t>
        </x:r>
      </x:text>
    </x:comment>
    <x:comment ref="N25" authorId="0">
      <x:text>
        <x:r>
          <x:t>Long-term income taxes (FY:26 A).
Long-term income taxes. This line belongs to the Working Capital calculation. Read its formula to trace the referenced inputs and intermediate totals.
Formula: ='Historical Inputs'!N50
Cross-sheet references identify the owning schedule. Same-sheet references identify intermediate calculations.</x:t>
        </x:r>
      </x:text>
    </x:comment>
    <x:comment ref="O25" authorId="0">
      <x:text>
        <x:r>
          <x:t>Long-term income taxes (FY:27 E).
Long-term income taxes. This line belongs to the Working Capital calculation. Read its formula to trace the referenced inputs and intermediate totals.
Formula: ='Income Statement'!O8*'Assumptions'!O101
Cross-sheet references identify the owning schedule. Same-sheet references identify intermediate calculations.</x:t>
        </x:r>
      </x:text>
    </x:comment>
    <x:comment ref="P25" authorId="0">
      <x:text>
        <x:r>
          <x:t>Long-term income taxes (FY:28 E).
Long-term income taxes. This line belongs to the Working Capital calculation. Read its formula to trace the referenced inputs and intermediate totals.
Formula: ='Income Statement'!P8*'Assumptions'!P101
Cross-sheet references identify the owning schedule. Same-sheet references identify intermediate calculations.</x:t>
        </x:r>
      </x:text>
    </x:comment>
    <x:comment ref="Q25" authorId="0">
      <x:text>
        <x:r>
          <x:t>Long-term income taxes (FY:29 E).
Long-term income taxes. This line belongs to the Working Capital calculation. Read its formula to trace the referenced inputs and intermediate totals.
Formula: ='Income Statement'!Q8*'Assumptions'!Q101
Cross-sheet references identify the owning schedule. Same-sheet references identify intermediate calculations.</x:t>
        </x:r>
      </x:text>
    </x:comment>
    <x:comment ref="R25" authorId="0">
      <x:text>
        <x:r>
          <x:t>Long-term income taxes (FY:30 E).
Long-term income taxes. This line belongs to the Working Capital calculation. Read its formula to trace the referenced inputs and intermediate totals.
Formula: ='Income Statement'!R8*'Assumptions'!R101
Cross-sheet references identify the owning schedule. Same-sheet references identify intermediate calculations.</x:t>
        </x:r>
      </x:text>
    </x:comment>
    <x:comment ref="S25" authorId="0">
      <x:text>
        <x:r>
          <x:t>Long-term income taxes (FY:31 E).
Long-term income taxes. This line belongs to the Working Capital calculation. Read its formula to trace the referenced inputs and intermediate totals.
Formula: ='Income Statement'!S8*'Assumptions'!S101
Cross-sheet references identify the owning schedule. Same-sheet references identify intermediate calculations.</x:t>
        </x:r>
      </x:text>
    </x:comment>
    <x:comment ref="C26" authorId="0">
      <x:text>
        <x:r>
          <x:t>Customer payments billed or received before revenue recognition. Forecast balances use revenue-based planning ratios. Increases in the operating liability can provide operating cash.</x:t>
        </x:r>
      </x:text>
    </x:comment>
    <x:comment ref="E26" authorId="0">
      <x:text>
        <x:r>
          <x:t>Long-term unearned revenue (FY:17 A).
Customer payments billed or received before revenue recognition. Forecast balances use revenue-based planning ratios. Increases in the operating liability can provide operating cash.
Formula: ='Historical Inputs'!E51
Cross-sheet references identify the owning schedule. Same-sheet references identify intermediate calculations.</x:t>
        </x:r>
      </x:text>
    </x:comment>
    <x:comment ref="F26" authorId="0">
      <x:text>
        <x:r>
          <x:t>Long-term unearned revenue (FY:18 A).
Customer payments billed or received before revenue recognition. Forecast balances use revenue-based planning ratios. Increases in the operating liability can provide operating cash.
Formula: ='Historical Inputs'!F51
Cross-sheet references identify the owning schedule. Same-sheet references identify intermediate calculations.</x:t>
        </x:r>
      </x:text>
    </x:comment>
    <x:comment ref="G26" authorId="0">
      <x:text>
        <x:r>
          <x:t>Long-term unearned revenue (FY:19 A).
Customer payments billed or received before revenue recognition. Forecast balances use revenue-based planning ratios. Increases in the operating liability can provide operating cash.
Formula: ='Historical Inputs'!G51
Cross-sheet references identify the owning schedule. Same-sheet references identify intermediate calculations.</x:t>
        </x:r>
      </x:text>
    </x:comment>
    <x:comment ref="H26" authorId="0">
      <x:text>
        <x:r>
          <x:t>Long-term unearned revenue (FY:20 A).
Customer payments billed or received before revenue recognition. Forecast balances use revenue-based planning ratios. Increases in the operating liability can provide operating cash.
Formula: ='Historical Inputs'!H51
Cross-sheet references identify the owning schedule. Same-sheet references identify intermediate calculations.</x:t>
        </x:r>
      </x:text>
    </x:comment>
    <x:comment ref="I26" authorId="0">
      <x:text>
        <x:r>
          <x:t>Long-term unearned revenue (FY:21 A).
Customer payments billed or received before revenue recognition. Forecast balances use revenue-based planning ratios. Increases in the operating liability can provide operating cash.
Formula: ='Historical Inputs'!I51
Cross-sheet references identify the owning schedule. Same-sheet references identify intermediate calculations.</x:t>
        </x:r>
      </x:text>
    </x:comment>
    <x:comment ref="J26" authorId="0">
      <x:text>
        <x:r>
          <x:t>Long-term unearned revenue (FY:22 A).
Customer payments billed or received before revenue recognition. Forecast balances use revenue-based planning ratios. Increases in the operating liability can provide operating cash.
Formula: ='Historical Inputs'!J51
Cross-sheet references identify the owning schedule. Same-sheet references identify intermediate calculations.</x:t>
        </x:r>
      </x:text>
    </x:comment>
    <x:comment ref="K26" authorId="0">
      <x:text>
        <x:r>
          <x:t>Long-term unearned revenue (FY:23 A).
Customer payments billed or received before revenue recognition. Forecast balances use revenue-based planning ratios. Increases in the operating liability can provide operating cash.
Formula: ='Historical Inputs'!K51
Cross-sheet references identify the owning schedule. Same-sheet references identify intermediate calculations.</x:t>
        </x:r>
      </x:text>
    </x:comment>
    <x:comment ref="L26" authorId="0">
      <x:text>
        <x:r>
          <x:t>Long-term unearned revenue (FY:24 A).
Customer payments billed or received before revenue recognition. Forecast balances use revenue-based planning ratios. Increases in the operating liability can provide operating cash.
Formula: ='Historical Inputs'!L51
Cross-sheet references identify the owning schedule. Same-sheet references identify intermediate calculations.</x:t>
        </x:r>
      </x:text>
    </x:comment>
    <x:comment ref="M26" authorId="0">
      <x:text>
        <x:r>
          <x:t>Long-term unearned revenue (FY:25 A).
Customer payments billed or received before revenue recognition. Forecast balances use revenue-based planning ratios. Increases in the operating liability can provide operating cash.
Formula: ='Historical Inputs'!M51
Cross-sheet references identify the owning schedule. Same-sheet references identify intermediate calculations.</x:t>
        </x:r>
      </x:text>
    </x:comment>
    <x:comment ref="N26" authorId="0">
      <x:text>
        <x:r>
          <x:t>Long-term unearned revenue (FY:26 A).
Customer payments billed or received before revenue recognition. Forecast balances use revenue-based planning ratios. Increases in the operating liability can provide operating cash.
Formula: ='Historical Inputs'!N51
Cross-sheet references identify the owning schedule. Same-sheet references identify intermediate calculations.</x:t>
        </x:r>
      </x:text>
    </x:comment>
    <x:comment ref="O26" authorId="0">
      <x:text>
        <x:r>
          <x:t>Long-term unearned revenue (FY:27 E).
Customer payments billed or received before revenue recognition. Forecast balances use revenue-based planning ratios. Increases in the operating liability can provide operating cash.
Formula: ='Income Statement'!O8*'Assumptions'!O105
Cross-sheet references identify the owning schedule. Same-sheet references identify intermediate calculations.</x:t>
        </x:r>
      </x:text>
    </x:comment>
    <x:comment ref="P26" authorId="0">
      <x:text>
        <x:r>
          <x:t>Long-term unearned revenue (FY:28 E).
Customer payments billed or received before revenue recognition. Forecast balances use revenue-based planning ratios. Increases in the operating liability can provide operating cash.
Formula: ='Income Statement'!P8*'Assumptions'!P105
Cross-sheet references identify the owning schedule. Same-sheet references identify intermediate calculations.</x:t>
        </x:r>
      </x:text>
    </x:comment>
    <x:comment ref="Q26" authorId="0">
      <x:text>
        <x:r>
          <x:t>Long-term unearned revenue (FY:29 E).
Customer payments billed or received before revenue recognition. Forecast balances use revenue-based planning ratios. Increases in the operating liability can provide operating cash.
Formula: ='Income Statement'!Q8*'Assumptions'!Q105
Cross-sheet references identify the owning schedule. Same-sheet references identify intermediate calculations.</x:t>
        </x:r>
      </x:text>
    </x:comment>
    <x:comment ref="R26" authorId="0">
      <x:text>
        <x:r>
          <x:t>Long-term unearned revenue (FY:30 E).
Customer payments billed or received before revenue recognition. Forecast balances use revenue-based planning ratios. Increases in the operating liability can provide operating cash.
Formula: ='Income Statement'!R8*'Assumptions'!R105
Cross-sheet references identify the owning schedule. Same-sheet references identify intermediate calculations.</x:t>
        </x:r>
      </x:text>
    </x:comment>
    <x:comment ref="S26" authorId="0">
      <x:text>
        <x:r>
          <x:t>Long-term unearned revenue (FY:31 E).
Customer payments billed or received before revenue recognition. Forecast balances use revenue-based planning ratios. Increases in the operating liability can provide operating cash.
Formula: ='Income Statement'!S8*'Assumptions'!S105
Cross-sheet references identify the owning schedule. Same-sheet references identify intermediate calculations.</x:t>
        </x:r>
      </x:text>
    </x:comment>
    <x:comment ref="C27" authorId="0">
      <x:text>
        <x:r>
          <x:t>Deferred tax liabilities. This line belongs to the Working Capital calculation. Read its formula to trace the referenced inputs and intermediate totals.</x:t>
        </x:r>
      </x:text>
    </x:comment>
    <x:comment ref="E27" authorId="0">
      <x:text>
        <x:r>
          <x:t>Deferred tax liabilities (FY:17 A).
Deferred tax liabilities. This line belongs to the Working Capital calculation. Read its formula to trace the referenced inputs and intermediate totals.
Formula: ='Historical Inputs'!E52
Cross-sheet references identify the owning schedule. Same-sheet references identify intermediate calculations.</x:t>
        </x:r>
      </x:text>
    </x:comment>
    <x:comment ref="F27" authorId="0">
      <x:text>
        <x:r>
          <x:t>Deferred tax liabilities (FY:18 A).
Deferred tax liabilities. This line belongs to the Working Capital calculation. Read its formula to trace the referenced inputs and intermediate totals.
Formula: ='Historical Inputs'!F52
Cross-sheet references identify the owning schedule. Same-sheet references identify intermediate calculations.</x:t>
        </x:r>
      </x:text>
    </x:comment>
    <x:comment ref="G27" authorId="0">
      <x:text>
        <x:r>
          <x:t>Deferred tax liabilities (FY:19 A).
Deferred tax liabilities. This line belongs to the Working Capital calculation. Read its formula to trace the referenced inputs and intermediate totals.
Formula: ='Historical Inputs'!G52
Cross-sheet references identify the owning schedule. Same-sheet references identify intermediate calculations.</x:t>
        </x:r>
      </x:text>
    </x:comment>
    <x:comment ref="H27" authorId="0">
      <x:text>
        <x:r>
          <x:t>Deferred tax liabilities (FY:20 A).
Deferred tax liabilities. This line belongs to the Working Capital calculation. Read its formula to trace the referenced inputs and intermediate totals.
Formula: ='Historical Inputs'!H52
Cross-sheet references identify the owning schedule. Same-sheet references identify intermediate calculations.</x:t>
        </x:r>
      </x:text>
    </x:comment>
    <x:comment ref="I27" authorId="0">
      <x:text>
        <x:r>
          <x:t>Deferred tax liabilities (FY:21 A).
Deferred tax liabilities. This line belongs to the Working Capital calculation. Read its formula to trace the referenced inputs and intermediate totals.
Formula: ='Historical Inputs'!I52
Cross-sheet references identify the owning schedule. Same-sheet references identify intermediate calculations.</x:t>
        </x:r>
      </x:text>
    </x:comment>
    <x:comment ref="J27" authorId="0">
      <x:text>
        <x:r>
          <x:t>Deferred tax liabilities (FY:22 A).
Deferred tax liabilities. This line belongs to the Working Capital calculation. Read its formula to trace the referenced inputs and intermediate totals.
Formula: ='Historical Inputs'!J52
Cross-sheet references identify the owning schedule. Same-sheet references identify intermediate calculations.</x:t>
        </x:r>
      </x:text>
    </x:comment>
    <x:comment ref="K27" authorId="0">
      <x:text>
        <x:r>
          <x:t>Deferred tax liabilities (FY:23 A).
Deferred tax liabilities. This line belongs to the Working Capital calculation. Read its formula to trace the referenced inputs and intermediate totals.
Formula: ='Historical Inputs'!K52
Cross-sheet references identify the owning schedule. Same-sheet references identify intermediate calculations.</x:t>
        </x:r>
      </x:text>
    </x:comment>
    <x:comment ref="L27" authorId="0">
      <x:text>
        <x:r>
          <x:t>Deferred tax liabilities (FY:24 A).
Deferred tax liabilities. This line belongs to the Working Capital calculation. Read its formula to trace the referenced inputs and intermediate totals.
Formula: ='Historical Inputs'!L52
Cross-sheet references identify the owning schedule. Same-sheet references identify intermediate calculations.</x:t>
        </x:r>
      </x:text>
    </x:comment>
    <x:comment ref="M27" authorId="0">
      <x:text>
        <x:r>
          <x:t>Deferred tax liabilities (FY:25 A).
Deferred tax liabilities. This line belongs to the Working Capital calculation. Read its formula to trace the referenced inputs and intermediate totals.
Formula: ='Historical Inputs'!M52
Cross-sheet references identify the owning schedule. Same-sheet references identify intermediate calculations.</x:t>
        </x:r>
      </x:text>
    </x:comment>
    <x:comment ref="N27" authorId="0">
      <x:text>
        <x:r>
          <x:t>Deferred tax liabilities (FY:26 A).
Deferred tax liabilities. This line belongs to the Working Capital calculation. Read its formula to trace the referenced inputs and intermediate totals.
Formula: ='Historical Inputs'!N52
Cross-sheet references identify the owning schedule. Same-sheet references identify intermediate calculations.</x:t>
        </x:r>
      </x:text>
    </x:comment>
    <x:comment ref="O27" authorId="0">
      <x:text>
        <x:r>
          <x:t>Deferred tax liabilities (FY:27 E).
Deferred tax liabilities. This line belongs to the Working Capital calculation. Read its formula to trace the referenced inputs and intermediate totals.
Formula: ='Income Statement'!O8*'Assumptions'!O113
Cross-sheet references identify the owning schedule. Same-sheet references identify intermediate calculations.</x:t>
        </x:r>
      </x:text>
    </x:comment>
    <x:comment ref="P27" authorId="0">
      <x:text>
        <x:r>
          <x:t>Deferred tax liabilities (FY:28 E).
Deferred tax liabilities. This line belongs to the Working Capital calculation. Read its formula to trace the referenced inputs and intermediate totals.
Formula: ='Income Statement'!P8*'Assumptions'!P113
Cross-sheet references identify the owning schedule. Same-sheet references identify intermediate calculations.</x:t>
        </x:r>
      </x:text>
    </x:comment>
    <x:comment ref="Q27" authorId="0">
      <x:text>
        <x:r>
          <x:t>Deferred tax liabilities (FY:29 E).
Deferred tax liabilities. This line belongs to the Working Capital calculation. Read its formula to trace the referenced inputs and intermediate totals.
Formula: ='Income Statement'!Q8*'Assumptions'!Q113
Cross-sheet references identify the owning schedule. Same-sheet references identify intermediate calculations.</x:t>
        </x:r>
      </x:text>
    </x:comment>
    <x:comment ref="R27" authorId="0">
      <x:text>
        <x:r>
          <x:t>Deferred tax liabilities (FY:30 E).
Deferred tax liabilities. This line belongs to the Working Capital calculation. Read its formula to trace the referenced inputs and intermediate totals.
Formula: ='Income Statement'!R8*'Assumptions'!R113
Cross-sheet references identify the owning schedule. Same-sheet references identify intermediate calculations.</x:t>
        </x:r>
      </x:text>
    </x:comment>
    <x:comment ref="S27" authorId="0">
      <x:text>
        <x:r>
          <x:t>Deferred tax liabilities (FY:31 E).
Deferred tax liabilities. This line belongs to the Working Capital calculation. Read its formula to trace the referenced inputs and intermediate totals.
Formula: ='Income Statement'!S8*'Assumptions'!S113
Cross-sheet references identify the owning schedule. Same-sheet references identify intermediate calculations.</x:t>
        </x:r>
      </x:text>
    </x:comment>
    <x:comment ref="C28" authorId="0">
      <x:text>
        <x:r>
          <x:t>Other long-term liabilities excluding finance leases. This line belongs to the Working Capital calculation. Read its formula to trace the referenced inputs and intermediate totals.</x:t>
        </x:r>
      </x:text>
    </x:comment>
    <x:comment ref="E28" authorId="0">
      <x:text>
        <x:r>
          <x:t>Other long-term liabilities excluding finance leases (FY:17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F28" authorId="0">
      <x:text>
        <x:r>
          <x:t>Other long-term liabilities excluding finance leases (FY:18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G28" authorId="0">
      <x:text>
        <x:r>
          <x:t>Other long-term liabilities excluding finance leases (FY:19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H28" authorId="0">
      <x:text>
        <x:r>
          <x:t>Other long-term liabilities excluding finance leases (FY:20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I28" authorId="0">
      <x:text>
        <x:r>
          <x:t>Other long-term liabilities excluding finance leases (FY:21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J28" authorId="0">
      <x:text>
        <x:r>
          <x:t>Other long-term liabilities excluding finance leases (FY:22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K28" authorId="0">
      <x:text>
        <x:r>
          <x:t>Other long-term liabilities excluding finance leases (FY:23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L28" authorId="0">
      <x:text>
        <x:r>
          <x:t>Other long-term liabilities excluding finance leases (FY:24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M28" authorId="0">
      <x:text>
        <x:r>
          <x:t>Other long-term liabilities excluding finance leases (FY:25 A).
Other long-term liabilities excluding finance leases. This line belongs to the Working Capital calculation. Read its formula to trace the referenced inputs and intermediate totals. This period is unavailable or not applicable. Do not interpret it as zero.
Stored input or primary source observation. It is not calculated in this cell.</x:t>
        </x:r>
      </x:text>
    </x:comment>
    <x:comment ref="N28" authorId="0">
      <x:text>
        <x:r>
          <x:t>Other long-term liabilities excluding finance leases (FY:26 A).
Other long-term liabilities excluding finance leases. This line belongs to the Working Capital calculation. Read its formula to trace the referenced inputs and intermediate totals.
Formula: ='Historical Inputs'!N54-'Filing Notes'!N30
Cross-sheet references identify the owning schedule. Same-sheet references identify intermediate calculations.</x:t>
        </x:r>
      </x:text>
    </x:comment>
    <x:comment ref="O28" authorId="0">
      <x:text>
        <x:r>
          <x:t>Other long-term liabilities excluding finance leases (FY:27 E).
Other long-term liabilities excluding finance leases. This line belongs to the Working Capital calculation. Read its formula to trace the referenced inputs and intermediate totals.
Formula: ='Income Statement'!O8*'Assumptions'!O109
Cross-sheet references identify the owning schedule. Same-sheet references identify intermediate calculations.</x:t>
        </x:r>
      </x:text>
    </x:comment>
    <x:comment ref="P28" authorId="0">
      <x:text>
        <x:r>
          <x:t>Other long-term liabilities excluding finance leases (FY:28 E).
Other long-term liabilities excluding finance leases. This line belongs to the Working Capital calculation. Read its formula to trace the referenced inputs and intermediate totals.
Formula: ='Income Statement'!P8*'Assumptions'!P109
Cross-sheet references identify the owning schedule. Same-sheet references identify intermediate calculations.</x:t>
        </x:r>
      </x:text>
    </x:comment>
    <x:comment ref="Q28" authorId="0">
      <x:text>
        <x:r>
          <x:t>Other long-term liabilities excluding finance leases (FY:29 E).
Other long-term liabilities excluding finance leases. This line belongs to the Working Capital calculation. Read its formula to trace the referenced inputs and intermediate totals.
Formula: ='Income Statement'!Q8*'Assumptions'!Q109
Cross-sheet references identify the owning schedule. Same-sheet references identify intermediate calculations.</x:t>
        </x:r>
      </x:text>
    </x:comment>
    <x:comment ref="R28" authorId="0">
      <x:text>
        <x:r>
          <x:t>Other long-term liabilities excluding finance leases (FY:30 E).
Other long-term liabilities excluding finance leases. This line belongs to the Working Capital calculation. Read its formula to trace the referenced inputs and intermediate totals.
Formula: ='Income Statement'!R8*'Assumptions'!R109
Cross-sheet references identify the owning schedule. Same-sheet references identify intermediate calculations.</x:t>
        </x:r>
      </x:text>
    </x:comment>
    <x:comment ref="S28" authorId="0">
      <x:text>
        <x:r>
          <x:t>Other long-term liabilities excluding finance leases (FY:31 E).
Other long-term liabilities excluding finance leases. This line belongs to the Working Capital calculation. Read its formula to trace the referenced inputs and intermediate totals.
Formula: ='Income Statement'!S8*'Assumptions'!S109
Cross-sheet references identify the owning schedule. Same-sheet references identify intermediate calculations.</x:t>
        </x:r>
      </x:text>
    </x:comment>
    <x:comment ref="C31"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1" authorId="0">
      <x:text>
        <x:r>
          <x:t>Receivables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Inputs'!E71
Cross-sheet references identify the owning schedule. Same-sheet references identify intermediate calculations.</x:t>
        </x:r>
      </x:text>
    </x:comment>
    <x:comment ref="F31" authorId="0">
      <x:text>
        <x:r>
          <x:t>Receivables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Inputs'!F71
Cross-sheet references identify the owning schedule. Same-sheet references identify intermediate calculations.</x:t>
        </x:r>
      </x:text>
    </x:comment>
    <x:comment ref="G31" authorId="0">
      <x:text>
        <x:r>
          <x:t>Receivables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Inputs'!G71
Cross-sheet references identify the owning schedule. Same-sheet references identify intermediate calculations.</x:t>
        </x:r>
      </x:text>
    </x:comment>
    <x:comment ref="H31" authorId="0">
      <x:text>
        <x:r>
          <x:t>Receivables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Inputs'!H71
Cross-sheet references identify the owning schedule. Same-sheet references identify intermediate calculations.</x:t>
        </x:r>
      </x:text>
    </x:comment>
    <x:comment ref="I31" authorId="0">
      <x:text>
        <x:r>
          <x:t>Receivables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Inputs'!I71
Cross-sheet references identify the owning schedule. Same-sheet references identify intermediate calculations.</x:t>
        </x:r>
      </x:text>
    </x:comment>
    <x:comment ref="J31" authorId="0">
      <x:text>
        <x:r>
          <x:t>Receivables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Inputs'!J71
Cross-sheet references identify the owning schedule. Same-sheet references identify intermediate calculations.</x:t>
        </x:r>
      </x:text>
    </x:comment>
    <x:comment ref="K31" authorId="0">
      <x:text>
        <x:r>
          <x:t>Receivables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Inputs'!K71
Cross-sheet references identify the owning schedule. Same-sheet references identify intermediate calculations.</x:t>
        </x:r>
      </x:text>
    </x:comment>
    <x:comment ref="L31" authorId="0">
      <x:text>
        <x:r>
          <x:t>Receivables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Inputs'!L71
Cross-sheet references identify the owning schedule. Same-sheet references identify intermediate calculations.</x:t>
        </x:r>
      </x:text>
    </x:comment>
    <x:comment ref="M31" authorId="0">
      <x:text>
        <x:r>
          <x:t>Receivables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Inputs'!M71
Cross-sheet references identify the owning schedule. Same-sheet references identify intermediate calculations.</x:t>
        </x:r>
      </x:text>
    </x:comment>
    <x:comment ref="N31" authorId="0">
      <x:text>
        <x:r>
          <x:t>Receivables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Inputs'!N71
Cross-sheet references identify the owning schedule. Same-sheet references identify intermediate calculations.</x:t>
        </x:r>
      </x:text>
    </x:comment>
    <x:comment ref="O31" authorId="0">
      <x:text>
        <x:r>
          <x:t>Receivables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Sheet'!N11-O8
Cross-sheet references identify the owning schedule. Same-sheet references identify intermediate calculations.</x:t>
        </x:r>
      </x:text>
    </x:comment>
    <x:comment ref="P31" authorId="0">
      <x:text>
        <x:r>
          <x:t>Receivables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Sheet'!O11-P8
Cross-sheet references identify the owning schedule. Same-sheet references identify intermediate calculations.</x:t>
        </x:r>
      </x:text>
    </x:comment>
    <x:comment ref="Q31" authorId="0">
      <x:text>
        <x:r>
          <x:t>Receivables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Sheet'!P11-Q8
Cross-sheet references identify the owning schedule. Same-sheet references identify intermediate calculations.</x:t>
        </x:r>
      </x:text>
    </x:comment>
    <x:comment ref="R31" authorId="0">
      <x:text>
        <x:r>
          <x:t>Receivables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Sheet'!Q11-R8
Cross-sheet references identify the owning schedule. Same-sheet references identify intermediate calculations.</x:t>
        </x:r>
      </x:text>
    </x:comment>
    <x:comment ref="S31" authorId="0">
      <x:text>
        <x:r>
          <x:t>Receivables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Sheet'!R11-S8
Cross-sheet references identify the owning schedule. Same-sheet references identify intermediate calculations.</x:t>
        </x:r>
      </x:text>
    </x:comment>
    <x:comment ref="C32"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2" authorId="0">
      <x:text>
        <x:r>
          <x:t>Inventories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Inputs'!E72
Cross-sheet references identify the owning schedule. Same-sheet references identify intermediate calculations.</x:t>
        </x:r>
      </x:text>
    </x:comment>
    <x:comment ref="F32" authorId="0">
      <x:text>
        <x:r>
          <x:t>Inventories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Inputs'!F72
Cross-sheet references identify the owning schedule. Same-sheet references identify intermediate calculations.</x:t>
        </x:r>
      </x:text>
    </x:comment>
    <x:comment ref="G32" authorId="0">
      <x:text>
        <x:r>
          <x:t>Inventories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Inputs'!G72
Cross-sheet references identify the owning schedule. Same-sheet references identify intermediate calculations.</x:t>
        </x:r>
      </x:text>
    </x:comment>
    <x:comment ref="H32" authorId="0">
      <x:text>
        <x:r>
          <x:t>Inventories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Inputs'!H72
Cross-sheet references identify the owning schedule. Same-sheet references identify intermediate calculations.</x:t>
        </x:r>
      </x:text>
    </x:comment>
    <x:comment ref="I32" authorId="0">
      <x:text>
        <x:r>
          <x:t>Inventories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Inputs'!I72
Cross-sheet references identify the owning schedule. Same-sheet references identify intermediate calculations.</x:t>
        </x:r>
      </x:text>
    </x:comment>
    <x:comment ref="J32" authorId="0">
      <x:text>
        <x:r>
          <x:t>Inventories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Inputs'!J72
Cross-sheet references identify the owning schedule. Same-sheet references identify intermediate calculations.</x:t>
        </x:r>
      </x:text>
    </x:comment>
    <x:comment ref="K32" authorId="0">
      <x:text>
        <x:r>
          <x:t>Inventories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Inputs'!K72
Cross-sheet references identify the owning schedule. Same-sheet references identify intermediate calculations.</x:t>
        </x:r>
      </x:text>
    </x:comment>
    <x:comment ref="L32" authorId="0">
      <x:text>
        <x:r>
          <x:t>Inventories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Inputs'!L72
Cross-sheet references identify the owning schedule. Same-sheet references identify intermediate calculations.</x:t>
        </x:r>
      </x:text>
    </x:comment>
    <x:comment ref="M32" authorId="0">
      <x:text>
        <x:r>
          <x:t>Inventories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Inputs'!M72
Cross-sheet references identify the owning schedule. Same-sheet references identify intermediate calculations.</x:t>
        </x:r>
      </x:text>
    </x:comment>
    <x:comment ref="N32" authorId="0">
      <x:text>
        <x:r>
          <x:t>Inventories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Inputs'!N72
Cross-sheet references identify the owning schedule. Same-sheet references identify intermediate calculations.</x:t>
        </x:r>
      </x:text>
    </x:comment>
    <x:comment ref="O32" authorId="0">
      <x:text>
        <x:r>
          <x:t>Inventories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Sheet'!N12-O10
Cross-sheet references identify the owning schedule. Same-sheet references identify intermediate calculations.</x:t>
        </x:r>
      </x:text>
    </x:comment>
    <x:comment ref="P32" authorId="0">
      <x:text>
        <x:r>
          <x:t>Inventories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Sheet'!O12-P10
Cross-sheet references identify the owning schedule. Same-sheet references identify intermediate calculations.</x:t>
        </x:r>
      </x:text>
    </x:comment>
    <x:comment ref="Q32" authorId="0">
      <x:text>
        <x:r>
          <x:t>Inventories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Sheet'!P12-Q10
Cross-sheet references identify the owning schedule. Same-sheet references identify intermediate calculations.</x:t>
        </x:r>
      </x:text>
    </x:comment>
    <x:comment ref="R32" authorId="0">
      <x:text>
        <x:r>
          <x:t>Inventories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Sheet'!Q12-R10
Cross-sheet references identify the owning schedule. Same-sheet references identify intermediate calculations.</x:t>
        </x:r>
      </x:text>
    </x:comment>
    <x:comment ref="S32" authorId="0">
      <x:text>
        <x:r>
          <x:t>Inventories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Sheet'!R12-S10
Cross-sheet references identify the owning schedule. Same-sheet references identify intermediate calculations.</x:t>
        </x:r>
      </x:text>
    </x:comment>
    <x:comment ref="C33"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3" authorId="0">
      <x:text>
        <x:r>
          <x:t>Other current assets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Inputs'!E73
Cross-sheet references identify the owning schedule. Same-sheet references identify intermediate calculations.</x:t>
        </x:r>
      </x:text>
    </x:comment>
    <x:comment ref="F33" authorId="0">
      <x:text>
        <x:r>
          <x:t>Other current assets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Inputs'!F73
Cross-sheet references identify the owning schedule. Same-sheet references identify intermediate calculations.</x:t>
        </x:r>
      </x:text>
    </x:comment>
    <x:comment ref="G33" authorId="0">
      <x:text>
        <x:r>
          <x:t>Other current assets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Inputs'!G73
Cross-sheet references identify the owning schedule. Same-sheet references identify intermediate calculations.</x:t>
        </x:r>
      </x:text>
    </x:comment>
    <x:comment ref="H33" authorId="0">
      <x:text>
        <x:r>
          <x:t>Other current assets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Inputs'!H73
Cross-sheet references identify the owning schedule. Same-sheet references identify intermediate calculations.</x:t>
        </x:r>
      </x:text>
    </x:comment>
    <x:comment ref="I33" authorId="0">
      <x:text>
        <x:r>
          <x:t>Other current assets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Inputs'!I73
Cross-sheet references identify the owning schedule. Same-sheet references identify intermediate calculations.</x:t>
        </x:r>
      </x:text>
    </x:comment>
    <x:comment ref="J33" authorId="0">
      <x:text>
        <x:r>
          <x:t>Other current assets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Inputs'!J73
Cross-sheet references identify the owning schedule. Same-sheet references identify intermediate calculations.</x:t>
        </x:r>
      </x:text>
    </x:comment>
    <x:comment ref="K33" authorId="0">
      <x:text>
        <x:r>
          <x:t>Other current assets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Inputs'!K73
Cross-sheet references identify the owning schedule. Same-sheet references identify intermediate calculations.</x:t>
        </x:r>
      </x:text>
    </x:comment>
    <x:comment ref="L33" authorId="0">
      <x:text>
        <x:r>
          <x:t>Other current assets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Inputs'!L73
Cross-sheet references identify the owning schedule. Same-sheet references identify intermediate calculations.</x:t>
        </x:r>
      </x:text>
    </x:comment>
    <x:comment ref="M33" authorId="0">
      <x:text>
        <x:r>
          <x:t>Other current assets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Inputs'!M73
Cross-sheet references identify the owning schedule. Same-sheet references identify intermediate calculations.</x:t>
        </x:r>
      </x:text>
    </x:comment>
    <x:comment ref="N33" authorId="0">
      <x:text>
        <x:r>
          <x:t>Other current assets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Inputs'!N73
Cross-sheet references identify the owning schedule. Same-sheet references identify intermediate calculations.</x:t>
        </x:r>
      </x:text>
    </x:comment>
    <x:comment ref="O33" authorId="0">
      <x:text>
        <x:r>
          <x:t>Other current assets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Sheet'!N13-O18
Cross-sheet references identify the owning schedule. Same-sheet references identify intermediate calculations.</x:t>
        </x:r>
      </x:text>
    </x:comment>
    <x:comment ref="P33" authorId="0">
      <x:text>
        <x:r>
          <x:t>Other current assets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Sheet'!O13-P18
Cross-sheet references identify the owning schedule. Same-sheet references identify intermediate calculations.</x:t>
        </x:r>
      </x:text>
    </x:comment>
    <x:comment ref="Q33" authorId="0">
      <x:text>
        <x:r>
          <x:t>Other current assets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Sheet'!P13-Q18
Cross-sheet references identify the owning schedule. Same-sheet references identify intermediate calculations.</x:t>
        </x:r>
      </x:text>
    </x:comment>
    <x:comment ref="R33" authorId="0">
      <x:text>
        <x:r>
          <x:t>Other current assets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Sheet'!Q13-R18
Cross-sheet references identify the owning schedule. Same-sheet references identify intermediate calculations.</x:t>
        </x:r>
      </x:text>
    </x:comment>
    <x:comment ref="S33" authorId="0">
      <x:text>
        <x:r>
          <x:t>Other current assets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Sheet'!R13-S18
Cross-sheet references identify the owning schedule. Same-sheet references identify intermediate calculations.</x:t>
        </x:r>
      </x:text>
    </x:comment>
    <x:comment ref="C34"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4" authorId="0">
      <x:text>
        <x:r>
          <x:t>Other long-term assets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Inputs'!E74
Cross-sheet references identify the owning schedule. Same-sheet references identify intermediate calculations.</x:t>
        </x:r>
      </x:text>
    </x:comment>
    <x:comment ref="F34" authorId="0">
      <x:text>
        <x:r>
          <x:t>Other long-term assets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Inputs'!F74
Cross-sheet references identify the owning schedule. Same-sheet references identify intermediate calculations.</x:t>
        </x:r>
      </x:text>
    </x:comment>
    <x:comment ref="G34" authorId="0">
      <x:text>
        <x:r>
          <x:t>Other long-term assets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Inputs'!G74
Cross-sheet references identify the owning schedule. Same-sheet references identify intermediate calculations.</x:t>
        </x:r>
      </x:text>
    </x:comment>
    <x:comment ref="H34" authorId="0">
      <x:text>
        <x:r>
          <x:t>Other long-term assets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Inputs'!H74
Cross-sheet references identify the owning schedule. Same-sheet references identify intermediate calculations.</x:t>
        </x:r>
      </x:text>
    </x:comment>
    <x:comment ref="I34" authorId="0">
      <x:text>
        <x:r>
          <x:t>Other long-term assets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Inputs'!I74
Cross-sheet references identify the owning schedule. Same-sheet references identify intermediate calculations.</x:t>
        </x:r>
      </x:text>
    </x:comment>
    <x:comment ref="J34" authorId="0">
      <x:text>
        <x:r>
          <x:t>Other long-term assets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Inputs'!J74
Cross-sheet references identify the owning schedule. Same-sheet references identify intermediate calculations.</x:t>
        </x:r>
      </x:text>
    </x:comment>
    <x:comment ref="K34" authorId="0">
      <x:text>
        <x:r>
          <x:t>Other long-term assets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Inputs'!K74
Cross-sheet references identify the owning schedule. Same-sheet references identify intermediate calculations.</x:t>
        </x:r>
      </x:text>
    </x:comment>
    <x:comment ref="L34" authorId="0">
      <x:text>
        <x:r>
          <x:t>Other long-term assets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Inputs'!L74
Cross-sheet references identify the owning schedule. Same-sheet references identify intermediate calculations.</x:t>
        </x:r>
      </x:text>
    </x:comment>
    <x:comment ref="M34" authorId="0">
      <x:text>
        <x:r>
          <x:t>Other long-term assets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Inputs'!M74
Cross-sheet references identify the owning schedule. Same-sheet references identify intermediate calculations.</x:t>
        </x:r>
      </x:text>
    </x:comment>
    <x:comment ref="N34" authorId="0">
      <x:text>
        <x:r>
          <x:t>Other long-term assets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Inputs'!N74
Cross-sheet references identify the owning schedule. Same-sheet references identify intermediate calculations.</x:t>
        </x:r>
      </x:text>
    </x:comment>
    <x:comment ref="O34" authorId="0">
      <x:text>
        <x:r>
          <x:t>Other long-term assets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Sheet'!N21-O24
Cross-sheet references identify the owning schedule. Same-sheet references identify intermediate calculations.</x:t>
        </x:r>
      </x:text>
    </x:comment>
    <x:comment ref="P34" authorId="0">
      <x:text>
        <x:r>
          <x:t>Other long-term assets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Sheet'!O21-P24
Cross-sheet references identify the owning schedule. Same-sheet references identify intermediate calculations.</x:t>
        </x:r>
      </x:text>
    </x:comment>
    <x:comment ref="Q34" authorId="0">
      <x:text>
        <x:r>
          <x:t>Other long-term assets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Sheet'!P21-Q24
Cross-sheet references identify the owning schedule. Same-sheet references identify intermediate calculations.</x:t>
        </x:r>
      </x:text>
    </x:comment>
    <x:comment ref="R34" authorId="0">
      <x:text>
        <x:r>
          <x:t>Other long-term assets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Sheet'!Q21-R24
Cross-sheet references identify the owning schedule. Same-sheet references identify intermediate calculations.</x:t>
        </x:r>
      </x:text>
    </x:comment>
    <x:comment ref="S34" authorId="0">
      <x:text>
        <x:r>
          <x:t>Other long-term assets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='Balance Sheet'!R21-S24
Cross-sheet references identify the owning schedule. Same-sheet references identify intermediate calculations.</x:t>
        </x:r>
      </x:text>
    </x:comment>
    <x:comment ref="C35"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5" authorId="0">
      <x:text>
        <x:r>
          <x:t>Operating payables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Inputs'!E75
Cross-sheet references identify the owning schedule. Same-sheet references identify intermediate calculations.</x:t>
        </x:r>
      </x:text>
    </x:comment>
    <x:comment ref="F35" authorId="0">
      <x:text>
        <x:r>
          <x:t>Operating payables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Inputs'!F75
Cross-sheet references identify the owning schedule. Same-sheet references identify intermediate calculations.</x:t>
        </x:r>
      </x:text>
    </x:comment>
    <x:comment ref="G35" authorId="0">
      <x:text>
        <x:r>
          <x:t>Operating payables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Inputs'!G75
Cross-sheet references identify the owning schedule. Same-sheet references identify intermediate calculations.</x:t>
        </x:r>
      </x:text>
    </x:comment>
    <x:comment ref="H35" authorId="0">
      <x:text>
        <x:r>
          <x:t>Operating payables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Inputs'!H75
Cross-sheet references identify the owning schedule. Same-sheet references identify intermediate calculations.</x:t>
        </x:r>
      </x:text>
    </x:comment>
    <x:comment ref="I35" authorId="0">
      <x:text>
        <x:r>
          <x:t>Operating payables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Inputs'!I75
Cross-sheet references identify the owning schedule. Same-sheet references identify intermediate calculations.</x:t>
        </x:r>
      </x:text>
    </x:comment>
    <x:comment ref="J35" authorId="0">
      <x:text>
        <x:r>
          <x:t>Operating payables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Inputs'!J75
Cross-sheet references identify the owning schedule. Same-sheet references identify intermediate calculations.</x:t>
        </x:r>
      </x:text>
    </x:comment>
    <x:comment ref="K35" authorId="0">
      <x:text>
        <x:r>
          <x:t>Operating payables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Inputs'!K75
Cross-sheet references identify the owning schedule. Same-sheet references identify intermediate calculations.</x:t>
        </x:r>
      </x:text>
    </x:comment>
    <x:comment ref="L35" authorId="0">
      <x:text>
        <x:r>
          <x:t>Operating payables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Inputs'!L75
Cross-sheet references identify the owning schedule. Same-sheet references identify intermediate calculations.</x:t>
        </x:r>
      </x:text>
    </x:comment>
    <x:comment ref="M35" authorId="0">
      <x:text>
        <x:r>
          <x:t>Operating payables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Inputs'!M75
Cross-sheet references identify the owning schedule. Same-sheet references identify intermediate calculations.</x:t>
        </x:r>
      </x:text>
    </x:comment>
    <x:comment ref="N35" authorId="0">
      <x:text>
        <x:r>
          <x:t>Operating payables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Inputs'!N75
Cross-sheet references identify the owning schedule. Same-sheet references identify intermediate calculations.</x:t>
        </x:r>
      </x:text>
    </x:comment>
    <x:comment ref="O35" authorId="0">
      <x:text>
        <x:r>
          <x:t>Operating payables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=O13-N13
Cross-sheet references identify the owning schedule. Same-sheet references identify intermediate calculations.</x:t>
        </x:r>
      </x:text>
    </x:comment>
    <x:comment ref="P35" authorId="0">
      <x:text>
        <x:r>
          <x:t>Operating payables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=P13-O13
Cross-sheet references identify the owning schedule. Same-sheet references identify intermediate calculations.</x:t>
        </x:r>
      </x:text>
    </x:comment>
    <x:comment ref="Q35" authorId="0">
      <x:text>
        <x:r>
          <x:t>Operating payables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=Q13-P13
Cross-sheet references identify the owning schedule. Same-sheet references identify intermediate calculations.</x:t>
        </x:r>
      </x:text>
    </x:comment>
    <x:comment ref="R35" authorId="0">
      <x:text>
        <x:r>
          <x:t>Operating payables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=R13-Q13
Cross-sheet references identify the owning schedule. Same-sheet references identify intermediate calculations.</x:t>
        </x:r>
      </x:text>
    </x:comment>
    <x:comment ref="S35" authorId="0">
      <x:text>
        <x:r>
          <x:t>Operating payables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=S13-R13
Cross-sheet references identify the owning schedule. Same-sheet references identify intermediate calculations.</x:t>
        </x:r>
      </x:text>
    </x:comment>
    <x:comment ref="C36"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6" authorId="0">
      <x:text>
        <x:r>
          <x:t>Unearned revenue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Inputs'!E76
Cross-sheet references identify the owning schedule. Same-sheet references identify intermediate calculations.</x:t>
        </x:r>
      </x:text>
    </x:comment>
    <x:comment ref="F36" authorId="0">
      <x:text>
        <x:r>
          <x:t>Unearned revenue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Inputs'!F76
Cross-sheet references identify the owning schedule. Same-sheet references identify intermediate calculations.</x:t>
        </x:r>
      </x:text>
    </x:comment>
    <x:comment ref="G36" authorId="0">
      <x:text>
        <x:r>
          <x:t>Unearned revenue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Inputs'!G76
Cross-sheet references identify the owning schedule. Same-sheet references identify intermediate calculations.</x:t>
        </x:r>
      </x:text>
    </x:comment>
    <x:comment ref="H36" authorId="0">
      <x:text>
        <x:r>
          <x:t>Unearned revenue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Inputs'!H76
Cross-sheet references identify the owning schedule. Same-sheet references identify intermediate calculations.</x:t>
        </x:r>
      </x:text>
    </x:comment>
    <x:comment ref="I36" authorId="0">
      <x:text>
        <x:r>
          <x:t>Unearned revenue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Inputs'!I76
Cross-sheet references identify the owning schedule. Same-sheet references identify intermediate calculations.</x:t>
        </x:r>
      </x:text>
    </x:comment>
    <x:comment ref="J36" authorId="0">
      <x:text>
        <x:r>
          <x:t>Unearned revenue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Inputs'!J76
Cross-sheet references identify the owning schedule. Same-sheet references identify intermediate calculations.</x:t>
        </x:r>
      </x:text>
    </x:comment>
    <x:comment ref="K36" authorId="0">
      <x:text>
        <x:r>
          <x:t>Unearned revenue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Inputs'!K76
Cross-sheet references identify the owning schedule. Same-sheet references identify intermediate calculations.</x:t>
        </x:r>
      </x:text>
    </x:comment>
    <x:comment ref="L36" authorId="0">
      <x:text>
        <x:r>
          <x:t>Unearned revenue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Inputs'!L76
Cross-sheet references identify the owning schedule. Same-sheet references identify intermediate calculations.</x:t>
        </x:r>
      </x:text>
    </x:comment>
    <x:comment ref="M36" authorId="0">
      <x:text>
        <x:r>
          <x:t>Unearned revenue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Inputs'!M76
Cross-sheet references identify the owning schedule. Same-sheet references identify intermediate calculations.</x:t>
        </x:r>
      </x:text>
    </x:comment>
    <x:comment ref="N36" authorId="0">
      <x:text>
        <x:r>
          <x:t>Unearned revenue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Inputs'!N76
Cross-sheet references identify the owning schedule. Same-sheet references identify intermediate calculations.</x:t>
        </x:r>
      </x:text>
    </x:comment>
    <x:comment ref="O36" authorId="0">
      <x:text>
        <x:r>
          <x:t>Unearned revenue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=O20+O26-N20-N26
Cross-sheet references identify the owning schedule. Same-sheet references identify intermediate calculations.</x:t>
        </x:r>
      </x:text>
    </x:comment>
    <x:comment ref="P36" authorId="0">
      <x:text>
        <x:r>
          <x:t>Unearned revenue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=P20+P26-O20-O26
Cross-sheet references identify the owning schedule. Same-sheet references identify intermediate calculations.</x:t>
        </x:r>
      </x:text>
    </x:comment>
    <x:comment ref="Q36" authorId="0">
      <x:text>
        <x:r>
          <x:t>Unearned revenue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=Q20+Q26-P20-P26
Cross-sheet references identify the owning schedule. Same-sheet references identify intermediate calculations.</x:t>
        </x:r>
      </x:text>
    </x:comment>
    <x:comment ref="R36" authorId="0">
      <x:text>
        <x:r>
          <x:t>Unearned revenue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=R20+R26-Q20-Q26
Cross-sheet references identify the owning schedule. Same-sheet references identify intermediate calculations.</x:t>
        </x:r>
      </x:text>
    </x:comment>
    <x:comment ref="S36" authorId="0">
      <x:text>
        <x:r>
          <x:t>Unearned revenue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=S20+S26-R20-R26
Cross-sheet references identify the owning schedule. Same-sheet references identify intermediate calculations.</x:t>
        </x:r>
      </x:text>
    </x:comment>
    <x:comment ref="C37"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7" authorId="0">
      <x:text>
        <x:r>
          <x:t>Income tax liabilities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Inputs'!E77
Cross-sheet references identify the owning schedule. Same-sheet references identify intermediate calculations.</x:t>
        </x:r>
      </x:text>
    </x:comment>
    <x:comment ref="F37" authorId="0">
      <x:text>
        <x:r>
          <x:t>Income tax liabilities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Inputs'!F77
Cross-sheet references identify the owning schedule. Same-sheet references identify intermediate calculations.</x:t>
        </x:r>
      </x:text>
    </x:comment>
    <x:comment ref="G37" authorId="0">
      <x:text>
        <x:r>
          <x:t>Income tax liabilities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Inputs'!G77
Cross-sheet references identify the owning schedule. Same-sheet references identify intermediate calculations.</x:t>
        </x:r>
      </x:text>
    </x:comment>
    <x:comment ref="H37" authorId="0">
      <x:text>
        <x:r>
          <x:t>Income tax liabilities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Inputs'!H77
Cross-sheet references identify the owning schedule. Same-sheet references identify intermediate calculations.</x:t>
        </x:r>
      </x:text>
    </x:comment>
    <x:comment ref="I37" authorId="0">
      <x:text>
        <x:r>
          <x:t>Income tax liabilities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Inputs'!I77
Cross-sheet references identify the owning schedule. Same-sheet references identify intermediate calculations.</x:t>
        </x:r>
      </x:text>
    </x:comment>
    <x:comment ref="J37" authorId="0">
      <x:text>
        <x:r>
          <x:t>Income tax liabilities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Inputs'!J77
Cross-sheet references identify the owning schedule. Same-sheet references identify intermediate calculations.</x:t>
        </x:r>
      </x:text>
    </x:comment>
    <x:comment ref="K37" authorId="0">
      <x:text>
        <x:r>
          <x:t>Income tax liabilities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Inputs'!K77
Cross-sheet references identify the owning schedule. Same-sheet references identify intermediate calculations.</x:t>
        </x:r>
      </x:text>
    </x:comment>
    <x:comment ref="L37" authorId="0">
      <x:text>
        <x:r>
          <x:t>Income tax liabilities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Inputs'!L77
Cross-sheet references identify the owning schedule. Same-sheet references identify intermediate calculations.</x:t>
        </x:r>
      </x:text>
    </x:comment>
    <x:comment ref="M37" authorId="0">
      <x:text>
        <x:r>
          <x:t>Income tax liabilities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Inputs'!M77
Cross-sheet references identify the owning schedule. Same-sheet references identify intermediate calculations.</x:t>
        </x:r>
      </x:text>
    </x:comment>
    <x:comment ref="N37" authorId="0">
      <x:text>
        <x:r>
          <x:t>Income tax liabilities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Inputs'!N77
Cross-sheet references identify the owning schedule. Same-sheet references identify intermediate calculations.</x:t>
        </x:r>
      </x:text>
    </x:comment>
    <x:comment ref="O37" authorId="0">
      <x:text>
        <x:r>
          <x:t>Income tax liabilities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=O22+O25-N22-N25
Cross-sheet references identify the owning schedule. Same-sheet references identify intermediate calculations.</x:t>
        </x:r>
      </x:text>
    </x:comment>
    <x:comment ref="P37" authorId="0">
      <x:text>
        <x:r>
          <x:t>Income tax liabilities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=P22+P25-O22-O25
Cross-sheet references identify the owning schedule. Same-sheet references identify intermediate calculations.</x:t>
        </x:r>
      </x:text>
    </x:comment>
    <x:comment ref="Q37" authorId="0">
      <x:text>
        <x:r>
          <x:t>Income tax liabilities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=Q22+Q25-P22-P25
Cross-sheet references identify the owning schedule. Same-sheet references identify intermediate calculations.</x:t>
        </x:r>
      </x:text>
    </x:comment>
    <x:comment ref="R37" authorId="0">
      <x:text>
        <x:r>
          <x:t>Income tax liabilities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=R22+R25-Q22-Q25
Cross-sheet references identify the owning schedule. Same-sheet references identify intermediate calculations.</x:t>
        </x:r>
      </x:text>
    </x:comment>
    <x:comment ref="S37" authorId="0">
      <x:text>
        <x:r>
          <x:t>Income tax liabilities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=S22+S25-R22-R25
Cross-sheet references identify the owning schedule. Same-sheet references identify intermediate calculations.</x:t>
        </x:r>
      </x:text>
    </x:comment>
    <x:comment ref="C38"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8" authorId="0">
      <x:text>
        <x:r>
          <x:t>Compensation and other current liabilities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Inputs'!E78
Cross-sheet references identify the owning schedule. Same-sheet references identify intermediate calculations.</x:t>
        </x:r>
      </x:text>
    </x:comment>
    <x:comment ref="F38" authorId="0">
      <x:text>
        <x:r>
          <x:t>Compensation and other current liabilities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Inputs'!F78
Cross-sheet references identify the owning schedule. Same-sheet references identify intermediate calculations.</x:t>
        </x:r>
      </x:text>
    </x:comment>
    <x:comment ref="G38" authorId="0">
      <x:text>
        <x:r>
          <x:t>Compensation and other current liabilities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Inputs'!G78
Cross-sheet references identify the owning schedule. Same-sheet references identify intermediate calculations.</x:t>
        </x:r>
      </x:text>
    </x:comment>
    <x:comment ref="H38" authorId="0">
      <x:text>
        <x:r>
          <x:t>Compensation and other current liabilities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Inputs'!H78
Cross-sheet references identify the owning schedule. Same-sheet references identify intermediate calculations.</x:t>
        </x:r>
      </x:text>
    </x:comment>
    <x:comment ref="I38" authorId="0">
      <x:text>
        <x:r>
          <x:t>Compensation and other current liabilities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Inputs'!I78
Cross-sheet references identify the owning schedule. Same-sheet references identify intermediate calculations.</x:t>
        </x:r>
      </x:text>
    </x:comment>
    <x:comment ref="J38" authorId="0">
      <x:text>
        <x:r>
          <x:t>Compensation and other current liabilities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Inputs'!J78
Cross-sheet references identify the owning schedule. Same-sheet references identify intermediate calculations.</x:t>
        </x:r>
      </x:text>
    </x:comment>
    <x:comment ref="K38" authorId="0">
      <x:text>
        <x:r>
          <x:t>Compensation and other current liabilities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Inputs'!K78
Cross-sheet references identify the owning schedule. Same-sheet references identify intermediate calculations.</x:t>
        </x:r>
      </x:text>
    </x:comment>
    <x:comment ref="L38" authorId="0">
      <x:text>
        <x:r>
          <x:t>Compensation and other current liabilities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Inputs'!L78
Cross-sheet references identify the owning schedule. Same-sheet references identify intermediate calculations.</x:t>
        </x:r>
      </x:text>
    </x:comment>
    <x:comment ref="M38" authorId="0">
      <x:text>
        <x:r>
          <x:t>Compensation and other current liabilities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Inputs'!M78
Cross-sheet references identify the owning schedule. Same-sheet references identify intermediate calculations.</x:t>
        </x:r>
      </x:text>
    </x:comment>
    <x:comment ref="N38" authorId="0">
      <x:text>
        <x:r>
          <x:t>Compensation and other current liabilities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Inputs'!N78
Cross-sheet references identify the owning schedule. Same-sheet references identify intermediate calculations.</x:t>
        </x:r>
      </x:text>
    </x:comment>
    <x:comment ref="O38" authorId="0">
      <x:text>
        <x:r>
          <x:t>Compensation and other current liabilities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=O19-N19+O21-N21
Cross-sheet references identify the owning schedule. Same-sheet references identify intermediate calculations.</x:t>
        </x:r>
      </x:text>
    </x:comment>
    <x:comment ref="P38" authorId="0">
      <x:text>
        <x:r>
          <x:t>Compensation and other current liabilities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=P19-O19+P21-O21
Cross-sheet references identify the owning schedule. Same-sheet references identify intermediate calculations.</x:t>
        </x:r>
      </x:text>
    </x:comment>
    <x:comment ref="Q38" authorId="0">
      <x:text>
        <x:r>
          <x:t>Compensation and other current liabilities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=Q19-P19+Q21-P21
Cross-sheet references identify the owning schedule. Same-sheet references identify intermediate calculations.</x:t>
        </x:r>
      </x:text>
    </x:comment>
    <x:comment ref="R38" authorId="0">
      <x:text>
        <x:r>
          <x:t>Compensation and other current liabilities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=R19-Q19+R21-Q21
Cross-sheet references identify the owning schedule. Same-sheet references identify intermediate calculations.</x:t>
        </x:r>
      </x:text>
    </x:comment>
    <x:comment ref="S38" authorId="0">
      <x:text>
        <x:r>
          <x:t>Compensation and other current liabilities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=S19-R19+S21-R21
Cross-sheet references identify the owning schedule. Same-sheet references identify intermediate calculations.</x:t>
        </x:r>
      </x:text>
    </x:comment>
    <x:comment ref="C39"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39" authorId="0">
      <x:text>
        <x:r>
          <x:t>Other long-term liabilities cash effect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Inputs'!E79
Cross-sheet references identify the owning schedule. Same-sheet references identify intermediate calculations.</x:t>
        </x:r>
      </x:text>
    </x:comment>
    <x:comment ref="F39" authorId="0">
      <x:text>
        <x:r>
          <x:t>Other long-term liabilities cash effect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Inputs'!F79
Cross-sheet references identify the owning schedule. Same-sheet references identify intermediate calculations.</x:t>
        </x:r>
      </x:text>
    </x:comment>
    <x:comment ref="G39" authorId="0">
      <x:text>
        <x:r>
          <x:t>Other long-term liabilities cash effect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Inputs'!G79
Cross-sheet references identify the owning schedule. Same-sheet references identify intermediate calculations.</x:t>
        </x:r>
      </x:text>
    </x:comment>
    <x:comment ref="H39" authorId="0">
      <x:text>
        <x:r>
          <x:t>Other long-term liabilities cash effect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Inputs'!H79
Cross-sheet references identify the owning schedule. Same-sheet references identify intermediate calculations.</x:t>
        </x:r>
      </x:text>
    </x:comment>
    <x:comment ref="I39" authorId="0">
      <x:text>
        <x:r>
          <x:t>Other long-term liabilities cash effect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Inputs'!I79
Cross-sheet references identify the owning schedule. Same-sheet references identify intermediate calculations.</x:t>
        </x:r>
      </x:text>
    </x:comment>
    <x:comment ref="J39" authorId="0">
      <x:text>
        <x:r>
          <x:t>Other long-term liabilities cash effect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Inputs'!J79
Cross-sheet references identify the owning schedule. Same-sheet references identify intermediate calculations.</x:t>
        </x:r>
      </x:text>
    </x:comment>
    <x:comment ref="K39" authorId="0">
      <x:text>
        <x:r>
          <x:t>Other long-term liabilities cash effect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Inputs'!K79
Cross-sheet references identify the owning schedule. Same-sheet references identify intermediate calculations.</x:t>
        </x:r>
      </x:text>
    </x:comment>
    <x:comment ref="L39" authorId="0">
      <x:text>
        <x:r>
          <x:t>Other long-term liabilities cash effect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Inputs'!L79
Cross-sheet references identify the owning schedule. Same-sheet references identify intermediate calculations.</x:t>
        </x:r>
      </x:text>
    </x:comment>
    <x:comment ref="M39" authorId="0">
      <x:text>
        <x:r>
          <x:t>Other long-term liabilities cash effect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Inputs'!M79
Cross-sheet references identify the owning schedule. Same-sheet references identify intermediate calculations.</x:t>
        </x:r>
      </x:text>
    </x:comment>
    <x:comment ref="N39" authorId="0">
      <x:text>
        <x:r>
          <x:t>Other long-term liabilities cash effect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='Historical Inputs'!N79
Cross-sheet references identify the owning schedule. Same-sheet references identify intermediate calculations.</x:t>
        </x:r>
      </x:text>
    </x:comment>
    <x:comment ref="O39" authorId="0">
      <x:text>
        <x:r>
          <x:t>Other long-term liabilities cash effect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=O28-N28
Cross-sheet references identify the owning schedule. Same-sheet references identify intermediate calculations.</x:t>
        </x:r>
      </x:text>
    </x:comment>
    <x:comment ref="P39" authorId="0">
      <x:text>
        <x:r>
          <x:t>Other long-term liabilities cash effect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=P28-O28
Cross-sheet references identify the owning schedule. Same-sheet references identify intermediate calculations.</x:t>
        </x:r>
      </x:text>
    </x:comment>
    <x:comment ref="Q39" authorId="0">
      <x:text>
        <x:r>
          <x:t>Other long-term liabilities cash effect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=Q28-P28
Cross-sheet references identify the owning schedule. Same-sheet references identify intermediate calculations.</x:t>
        </x:r>
      </x:text>
    </x:comment>
    <x:comment ref="R39" authorId="0">
      <x:text>
        <x:r>
          <x:t>Other long-term liabilities cash effect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=R28-Q28
Cross-sheet references identify the owning schedule. Same-sheet references identify intermediate calculations.</x:t>
        </x:r>
      </x:text>
    </x:comment>
    <x:comment ref="S39" authorId="0">
      <x:text>
        <x:r>
          <x:t>Other long-term liabilities cash effect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=S28-R28
Cross-sheet references identify the owning schedule. Same-sheet references identify intermediate calculations.</x:t>
        </x:r>
      </x:text>
    </x:comment>
    <x:comment ref="C58" authorId="0">
      <x:text>
        <x:r>
          <x:t>Live analytical observation. This formula reads the existing statement or schedule and updates with the selected case. ="FY2031 receivable days: "&amp;FIXED(S9,1,TRUE)&amp;"; inventory days: "&amp;FIXED(S11,1,TRUE)&amp;"; operating payable days: "&amp;FIXED(S16,1,TRUE)&amp;"."</x:t>
        </x:r>
      </x:text>
    </x:comment>
    <x:comment ref="C59" authorId="0">
      <x:text>
        <x:r>
          <x:t>Live analytical observation. This formula reads the existing statement or schedule and updates with the selected case. ="FY2031 accounts payable: "&amp;FIXED(S15/1000,1,TRUE)&amp;"bn, including "&amp;FIXED(S14/1000,1,TRUE)&amp;"bn of capital payables."</x:t>
        </x:r>
      </x:text>
    </x:comment>
    <x:comment ref="C60" authorId="0">
      <x:text>
        <x:r>
          <x:t>Live analytical observation. This formula reads the existing statement or schedule and updates with the selected case. ="FY2031 receivables cash effect: "&amp;FIXED(S31/1000,1,TRUE)&amp;"bn; operating payables cash effect: "&amp;FIXED(S35/1000,1,TRUE)&amp;"bn."</x:t>
        </x:r>
      </x:text>
    </x:comment>
    <x:comment ref="C84" authorId="0">
      <x:text>
        <x:r>
          <x:t>Operating working-capital days. Formula-linked chart data. A means actual and E means the active-case estimate. Unavailable historical observations remain blank.</x:t>
        </x:r>
      </x:text>
    </x:comment>
    <x:comment ref="C103" authorId="0">
      <x:text>
        <x:r>
          <x:t>Operating balance cash effects (USD billions). Formula-linked chart data. A means actual and E means the active-case estimate. Unavailable historical observations remain blank.</x:t>
        </x:r>
      </x:text>
    </x:comment>
  </x:commentList>
</x:comments>
</file>

<file path=xl/comments13.xml><?xml version="1.0" encoding="utf-8"?>
<x:comments xmlns:x="http://schemas.openxmlformats.org/spreadsheetml/2006/main">
  <x:authors>
    <x:author>Goran Brkich</x:author>
  </x:authors>
  <x:commentList>
    <x:comment ref="C2" authorId="0">
      <x:text>
        <x:r>
          <x:t>PPE and Intangibles.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Cash balance or signed cash flow as named in the row. Positive cash-flow amounts are inflows and negative amounts are outflows. Follow the formula or source reference below for the classification.</x:t>
        </x:r>
      </x:text>
    </x:comment>
    <x:comment ref="E8" authorId="0">
      <x:text>
        <x:r>
          <x:t>Cash capex budget (FY:17 A).
Cash balance or signed cash flow as named in the row. Positive cash-flow amounts are inflows and negative amounts are outflows. Follow the formula or source reference below for the classification.
Formula: =-'Historical Inputs'!E89
Cross-sheet references identify the owning schedule. Same-sheet references identify intermediate calculations.</x:t>
        </x:r>
      </x:text>
    </x:comment>
    <x:comment ref="F8" authorId="0">
      <x:text>
        <x:r>
          <x:t>Cash capex budget (FY:18 A).
Cash balance or signed cash flow as named in the row. Positive cash-flow amounts are inflows and negative amounts are outflows. Follow the formula or source reference below for the classification.
Formula: =-'Historical Inputs'!F89
Cross-sheet references identify the owning schedule. Same-sheet references identify intermediate calculations.</x:t>
        </x:r>
      </x:text>
    </x:comment>
    <x:comment ref="G8" authorId="0">
      <x:text>
        <x:r>
          <x:t>Cash capex budget (FY:19 A).
Cash balance or signed cash flow as named in the row. Positive cash-flow amounts are inflows and negative amounts are outflows. Follow the formula or source reference below for the classification.
Formula: =-'Historical Inputs'!G89
Cross-sheet references identify the owning schedule. Same-sheet references identify intermediate calculations.</x:t>
        </x:r>
      </x:text>
    </x:comment>
    <x:comment ref="H8" authorId="0">
      <x:text>
        <x:r>
          <x:t>Cash capex budget (FY:20 A).
Cash balance or signed cash flow as named in the row. Positive cash-flow amounts are inflows and negative amounts are outflows. Follow the formula or source reference below for the classification.
Formula: =-'Historical Inputs'!H89
Cross-sheet references identify the owning schedule. Same-sheet references identify intermediate calculations.</x:t>
        </x:r>
      </x:text>
    </x:comment>
    <x:comment ref="I8" authorId="0">
      <x:text>
        <x:r>
          <x:t>Cash capex budget (FY:21 A).
Cash balance or signed cash flow as named in the row. Positive cash-flow amounts are inflows and negative amounts are outflows. Follow the formula or source reference below for the classification.
Formula: =-'Historical Inputs'!I89
Cross-sheet references identify the owning schedule. Same-sheet references identify intermediate calculations.</x:t>
        </x:r>
      </x:text>
    </x:comment>
    <x:comment ref="J8" authorId="0">
      <x:text>
        <x:r>
          <x:t>Cash capex budget (FY:22 A).
Cash balance or signed cash flow as named in the row. Positive cash-flow amounts are inflows and negative amounts are outflows. Follow the formula or source reference below for the classification.
Formula: =-'Historical Inputs'!J89
Cross-sheet references identify the owning schedule. Same-sheet references identify intermediate calculations.</x:t>
        </x:r>
      </x:text>
    </x:comment>
    <x:comment ref="K8" authorId="0">
      <x:text>
        <x:r>
          <x:t>Cash capex budget (FY:23 A).
Cash balance or signed cash flow as named in the row. Positive cash-flow amounts are inflows and negative amounts are outflows. Follow the formula or source reference below for the classification.
Formula: =-'Historical Inputs'!K89
Cross-sheet references identify the owning schedule. Same-sheet references identify intermediate calculations.</x:t>
        </x:r>
      </x:text>
    </x:comment>
    <x:comment ref="L8" authorId="0">
      <x:text>
        <x:r>
          <x:t>Cash capex budget (FY:24 A).
Cash balance or signed cash flow as named in the row. Positive cash-flow amounts are inflows and negative amounts are outflows. Follow the formula or source reference below for the classification.
Formula: =-'Historical Inputs'!L89
Cross-sheet references identify the owning schedule. Same-sheet references identify intermediate calculations.</x:t>
        </x:r>
      </x:text>
    </x:comment>
    <x:comment ref="M8" authorId="0">
      <x:text>
        <x:r>
          <x:t>Cash capex budget (FY:25 A).
Cash balance or signed cash flow as named in the row. Positive cash-flow amounts are inflows and negative amounts are outflows. Follow the formula or source reference below for the classification.
Formula: =-'Historical Inputs'!M89
Cross-sheet references identify the owning schedule. Same-sheet references identify intermediate calculations.</x:t>
        </x:r>
      </x:text>
    </x:comment>
    <x:comment ref="N8" authorId="0">
      <x:text>
        <x:r>
          <x:t>Cash capex budget (FY:26 A).
Cash balance or signed cash flow as named in the row. Positive cash-flow amounts are inflows and negative amounts are outflows. Follow the formula or source reference below for the classification.
Formula: =-'Historical Inputs'!N89
Cross-sheet references identify the owning schedule. Same-sheet references identify intermediate calculations.</x:t>
        </x:r>
      </x:text>
    </x:comment>
    <x:comment ref="O8" authorId="0">
      <x:text>
        <x:r>
          <x:t>Cash capex budget (FY:27 E).
Cash balance or signed cash flow as named in the row. Positive cash-flow amounts are inflows and negative amounts are outflows. Follow the formula or source reference below for the classification.
Formula: ='Income Statement'!O8*'Assumptions'!O45
Cross-sheet references identify the owning schedule. Same-sheet references identify intermediate calculations.</x:t>
        </x:r>
      </x:text>
    </x:comment>
    <x:comment ref="P8" authorId="0">
      <x:text>
        <x:r>
          <x:t>Cash capex budget (FY:28 E).
Cash balance or signed cash flow as named in the row. Positive cash-flow amounts are inflows and negative amounts are outflows. Follow the formula or source reference below for the classification.
Formula: ='Income Statement'!P8*'Assumptions'!P45
Cross-sheet references identify the owning schedule. Same-sheet references identify intermediate calculations.</x:t>
        </x:r>
      </x:text>
    </x:comment>
    <x:comment ref="Q8" authorId="0">
      <x:text>
        <x:r>
          <x:t>Cash capex budget (FY:29 E).
Cash balance or signed cash flow as named in the row. Positive cash-flow amounts are inflows and negative amounts are outflows. Follow the formula or source reference below for the classification.
Formula: ='Income Statement'!Q8*'Assumptions'!Q45
Cross-sheet references identify the owning schedule. Same-sheet references identify intermediate calculations.</x:t>
        </x:r>
      </x:text>
    </x:comment>
    <x:comment ref="R8" authorId="0">
      <x:text>
        <x:r>
          <x:t>Cash capex budget (FY:30 E).
Cash balance or signed cash flow as named in the row. Positive cash-flow amounts are inflows and negative amounts are outflows. Follow the formula or source reference below for the classification.
Formula: ='Income Statement'!R8*'Assumptions'!R45
Cross-sheet references identify the owning schedule. Same-sheet references identify intermediate calculations.</x:t>
        </x:r>
      </x:text>
    </x:comment>
    <x:comment ref="S8" authorId="0">
      <x:text>
        <x:r>
          <x:t>Cash capex budget (FY:31 E).
Cash balance or signed cash flow as named in the row. Positive cash-flow amounts are inflows and negative amounts are outflows. Follow the formula or source reference below for the classification.
Formula: ='Income Statement'!S8*'Assumptions'!S45
Cross-sheet references identify the owning schedule. Same-sheet references identify intermediate calculations.</x:t>
        </x:r>
      </x:text>
    </x:comment>
    <x:comment ref="C9" authorId="0">
      <x:text>
        <x:r>
          <x:t>Interest or investment income calculated using the named rate and balance. Capitalized interest is part of the capex budget; the remaining recognized interest affects net income.</x:t>
        </x:r>
      </x:text>
    </x:comment>
    <x:comment ref="O9" authorId="0">
      <x:text>
        <x:r>
          <x:t>Capitalized cash interest within capex (FY:27 E).
Interest or investment income calculated using the named rate and balance. Capitalized interest is part of the capex budget; the remaining recognized interest affects net income.
Formula: ='Debt and Leases'!O24
Cross-sheet references identify the owning schedule. Same-sheet references identify intermediate calculations.</x:t>
        </x:r>
      </x:text>
    </x:comment>
    <x:comment ref="P9" authorId="0">
      <x:text>
        <x:r>
          <x:t>Capitalized cash interest within capex (FY:28 E).
Interest or investment income calculated using the named rate and balance. Capitalized interest is part of the capex budget; the remaining recognized interest affects net income.
Formula: ='Debt and Leases'!P24
Cross-sheet references identify the owning schedule. Same-sheet references identify intermediate calculations.</x:t>
        </x:r>
      </x:text>
    </x:comment>
    <x:comment ref="Q9" authorId="0">
      <x:text>
        <x:r>
          <x:t>Capitalized cash interest within capex (FY:29 E).
Interest or investment income calculated using the named rate and balance. Capitalized interest is part of the capex budget; the remaining recognized interest affects net income.
Formula: ='Debt and Leases'!Q24
Cross-sheet references identify the owning schedule. Same-sheet references identify intermediate calculations.</x:t>
        </x:r>
      </x:text>
    </x:comment>
    <x:comment ref="R9" authorId="0">
      <x:text>
        <x:r>
          <x:t>Capitalized cash interest within capex (FY:30 E).
Interest or investment income calculated using the named rate and balance. Capitalized interest is part of the capex budget; the remaining recognized interest affects net income.
Formula: ='Debt and Leases'!R24
Cross-sheet references identify the owning schedule. Same-sheet references identify intermediate calculations.</x:t>
        </x:r>
      </x:text>
    </x:comment>
    <x:comment ref="S9" authorId="0">
      <x:text>
        <x:r>
          <x:t>Capitalized cash interest within capex (FY:31 E).
Interest or investment income calculated using the named rate and balance. Capitalized interest is part of the capex budget; the remaining recognized interest affects net income.
Formula: ='Debt and Leases'!S24
Cross-sheet references identify the owning schedule. Same-sheet references identify intermediate calculations.</x:t>
        </x:r>
      </x:text>
    </x:comment>
    <x:comment ref="C10" authorId="0">
      <x:text>
        <x:r>
          <x:t>Interest or investment income calculated using the named rate and balance. Capitalized interest is part of the capex budget; the remaining recognized interest affects net income.</x:t>
        </x:r>
      </x:text>
    </x:comment>
    <x:comment ref="O10" authorId="0">
      <x:text>
        <x:r>
          <x:t>Cash capex excluding capitalized interest (FY:27 E).
Interest or investment income calculated using the named rate and balance. Capitalized interest is part of the capex budget; the remaining recognized interest affects net income.
Formula: =O8-O9
Cross-sheet references identify the owning schedule. Same-sheet references identify intermediate calculations.</x:t>
        </x:r>
      </x:text>
    </x:comment>
    <x:comment ref="P10" authorId="0">
      <x:text>
        <x:r>
          <x:t>Cash capex excluding capitalized interest (FY:28 E).
Interest or investment income calculated using the named rate and balance. Capitalized interest is part of the capex budget; the remaining recognized interest affects net income.
Formula: =P8-P9
Cross-sheet references identify the owning schedule. Same-sheet references identify intermediate calculations.</x:t>
        </x:r>
      </x:text>
    </x:comment>
    <x:comment ref="Q10" authorId="0">
      <x:text>
        <x:r>
          <x:t>Cash capex excluding capitalized interest (FY:29 E).
Interest or investment income calculated using the named rate and balance. Capitalized interest is part of the capex budget; the remaining recognized interest affects net income.
Formula: =Q8-Q9
Cross-sheet references identify the owning schedule. Same-sheet references identify intermediate calculations.</x:t>
        </x:r>
      </x:text>
    </x:comment>
    <x:comment ref="R10" authorId="0">
      <x:text>
        <x:r>
          <x:t>Cash capex excluding capitalized interest (FY:30 E).
Interest or investment income calculated using the named rate and balance. Capitalized interest is part of the capex budget; the remaining recognized interest affects net income.
Formula: =R8-R9
Cross-sheet references identify the owning schedule. Same-sheet references identify intermediate calculations.</x:t>
        </x:r>
      </x:text>
    </x:comment>
    <x:comment ref="S10" authorId="0">
      <x:text>
        <x:r>
          <x:t>Cash capex excluding capitalized interest (FY:31 E).
Interest or investment income calculated using the named rate and balance. Capitalized interest is part of the capex budget; the remaining recognized interest affects net income.
Formula: =S8-S9
Cross-sheet references identify the owning schedule. Same-sheet references identify intermediate calculations.</x:t>
        </x:r>
      </x:text>
    </x:comment>
    <x:comment ref="C12" authorId="0">
      <x:text>
        <x:r>
          <x:t>Unpaid capital asset purchases at year-end. Their increase raises capital additions but is excluded from the operating payable cash adjustment.</x:t>
        </x:r>
      </x:text>
    </x:comment>
    <x:comment ref="N12" authorId="0">
      <x:text>
        <x:r>
          <x:t>Capital expenditure payables (FY:26 A).
Unpaid capital asset purchases at year-end. Their increase raises capital additions but is excluded from the operating payable cash adjustment.
Formula: ='Filing Notes'!N23
Cross-sheet references identify the owning schedule. Same-sheet references identify intermediate calculations.</x:t>
        </x:r>
      </x:text>
    </x:comment>
    <x:comment ref="O12" authorId="0">
      <x:text>
        <x:r>
          <x:t>Capital expenditure payables (FY:27 E).
Unpaid capital asset purchases at year-end. Their increase raises capital additions but is excluded from the operating payable cash adjustment.
Formula: ='Working Capital'!O14
Cross-sheet references identify the owning schedule. Same-sheet references identify intermediate calculations.</x:t>
        </x:r>
      </x:text>
    </x:comment>
    <x:comment ref="P12" authorId="0">
      <x:text>
        <x:r>
          <x:t>Capital expenditure payables (FY:28 E).
Unpaid capital asset purchases at year-end. Their increase raises capital additions but is excluded from the operating payable cash adjustment.
Formula: ='Working Capital'!P14
Cross-sheet references identify the owning schedule. Same-sheet references identify intermediate calculations.</x:t>
        </x:r>
      </x:text>
    </x:comment>
    <x:comment ref="Q12" authorId="0">
      <x:text>
        <x:r>
          <x:t>Capital expenditure payables (FY:29 E).
Unpaid capital asset purchases at year-end. Their increase raises capital additions but is excluded from the operating payable cash adjustment.
Formula: ='Working Capital'!Q14
Cross-sheet references identify the owning schedule. Same-sheet references identify intermediate calculations.</x:t>
        </x:r>
      </x:text>
    </x:comment>
    <x:comment ref="R12" authorId="0">
      <x:text>
        <x:r>
          <x:t>Capital expenditure payables (FY:30 E).
Unpaid capital asset purchases at year-end. Their increase raises capital additions but is excluded from the operating payable cash adjustment.
Formula: ='Working Capital'!R14
Cross-sheet references identify the owning schedule. Same-sheet references identify intermediate calculations.</x:t>
        </x:r>
      </x:text>
    </x:comment>
    <x:comment ref="S12" authorId="0">
      <x:text>
        <x:r>
          <x:t>Capital expenditure payables (FY:31 E).
Unpaid capital asset purchases at year-end. Their increase raises capital additions but is excluded from the operating payable cash adjustment.
Formula: ='Working Capital'!S14
Cross-sheet references identify the owning schedule. Same-sheet references identify intermediate calculations.</x:t>
        </x:r>
      </x:text>
    </x:comment>
    <x:comment ref="C13"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O13" authorId="0">
      <x:text>
        <x:r>
          <x:t>Change in capital expenditure payables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=O12-N12
Cross-sheet references identify the owning schedule. Same-sheet references identify intermediate calculations.</x:t>
        </x:r>
      </x:text>
    </x:comment>
    <x:comment ref="P13" authorId="0">
      <x:text>
        <x:r>
          <x:t>Change in capital expenditure payables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=P12-O12
Cross-sheet references identify the owning schedule. Same-sheet references identify intermediate calculations.</x:t>
        </x:r>
      </x:text>
    </x:comment>
    <x:comment ref="Q13" authorId="0">
      <x:text>
        <x:r>
          <x:t>Change in capital expenditure payables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=Q12-P12
Cross-sheet references identify the owning schedule. Same-sheet references identify intermediate calculations.</x:t>
        </x:r>
      </x:text>
    </x:comment>
    <x:comment ref="R13" authorId="0">
      <x:text>
        <x:r>
          <x:t>Change in capital expenditure payables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=R12-Q12
Cross-sheet references identify the owning schedule. Same-sheet references identify intermediate calculations.</x:t>
        </x:r>
      </x:text>
    </x:comment>
    <x:comment ref="S13" authorId="0">
      <x:text>
        <x:r>
          <x:t>Change in capital expenditure payables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=S12-R12
Cross-sheet references identify the owning schedule. Same-sheet references identify intermediate calculations.</x:t>
        </x:r>
      </x:text>
    </x:comment>
    <x:comment ref="C14" authorId="0">
      <x:text>
        <x:r>
          <x:t>New finance lease assets. This line belongs to the PPE and Intangibles calculation. Read its formula to trace the referenced inputs and intermediate totals.</x:t>
        </x:r>
      </x:text>
    </x:comment>
    <x:comment ref="E14" authorId="0">
      <x:text>
        <x:r>
          <x:t>New finance lease assets (FY:17 A).
New finance lease assets. This line belongs to the PPE and Intangibles calculation. Read its formula to trace the referenced inputs and intermediate totals.
Formula: ='Filing Notes'!E14
Cross-sheet references identify the owning schedule. Same-sheet references identify intermediate calculations.</x:t>
        </x:r>
      </x:text>
    </x:comment>
    <x:comment ref="F14" authorId="0">
      <x:text>
        <x:r>
          <x:t>New finance lease assets (FY:18 A).
New finance lease assets. This line belongs to the PPE and Intangibles calculation. Read its formula to trace the referenced inputs and intermediate totals.
Formula: ='Filing Notes'!F14
Cross-sheet references identify the owning schedule. Same-sheet references identify intermediate calculations.</x:t>
        </x:r>
      </x:text>
    </x:comment>
    <x:comment ref="G14" authorId="0">
      <x:text>
        <x:r>
          <x:t>New finance lease assets (FY:19 A).
New finance lease assets. This line belongs to the PPE and Intangibles calculation. Read its formula to trace the referenced inputs and intermediate totals.
Formula: ='Filing Notes'!G14
Cross-sheet references identify the owning schedule. Same-sheet references identify intermediate calculations.</x:t>
        </x:r>
      </x:text>
    </x:comment>
    <x:comment ref="H14" authorId="0">
      <x:text>
        <x:r>
          <x:t>New finance lease assets (FY:20 A).
New finance lease assets. This line belongs to the PPE and Intangibles calculation. Read its formula to trace the referenced inputs and intermediate totals.
Formula: ='Filing Notes'!H14
Cross-sheet references identify the owning schedule. Same-sheet references identify intermediate calculations.</x:t>
        </x:r>
      </x:text>
    </x:comment>
    <x:comment ref="I14" authorId="0">
      <x:text>
        <x:r>
          <x:t>New finance lease assets (FY:21 A).
New finance lease assets. This line belongs to the PPE and Intangibles calculation. Read its formula to trace the referenced inputs and intermediate totals.
Formula: ='Filing Notes'!I14
Cross-sheet references identify the owning schedule. Same-sheet references identify intermediate calculations.</x:t>
        </x:r>
      </x:text>
    </x:comment>
    <x:comment ref="J14" authorId="0">
      <x:text>
        <x:r>
          <x:t>New finance lease assets (FY:22 A).
New finance lease assets. This line belongs to the PPE and Intangibles calculation. Read its formula to trace the referenced inputs and intermediate totals.
Formula: ='Filing Notes'!J14
Cross-sheet references identify the owning schedule. Same-sheet references identify intermediate calculations.</x:t>
        </x:r>
      </x:text>
    </x:comment>
    <x:comment ref="K14" authorId="0">
      <x:text>
        <x:r>
          <x:t>New finance lease assets (FY:23 A).
New finance lease assets. This line belongs to the PPE and Intangibles calculation. Read its formula to trace the referenced inputs and intermediate totals.
Formula: ='Filing Notes'!K14
Cross-sheet references identify the owning schedule. Same-sheet references identify intermediate calculations.</x:t>
        </x:r>
      </x:text>
    </x:comment>
    <x:comment ref="L14" authorId="0">
      <x:text>
        <x:r>
          <x:t>New finance lease assets (FY:24 A).
New finance lease assets. This line belongs to the PPE and Intangibles calculation. Read its formula to trace the referenced inputs and intermediate totals.
Formula: ='Filing Notes'!L14
Cross-sheet references identify the owning schedule. Same-sheet references identify intermediate calculations.</x:t>
        </x:r>
      </x:text>
    </x:comment>
    <x:comment ref="M14" authorId="0">
      <x:text>
        <x:r>
          <x:t>New finance lease assets (FY:25 A).
New finance lease assets. This line belongs to the PPE and Intangibles calculation. Read its formula to trace the referenced inputs and intermediate totals.
Formula: ='Filing Notes'!M14
Cross-sheet references identify the owning schedule. Same-sheet references identify intermediate calculations.</x:t>
        </x:r>
      </x:text>
    </x:comment>
    <x:comment ref="N14" authorId="0">
      <x:text>
        <x:r>
          <x:t>New finance lease assets (FY:26 A).
New finance lease assets. This line belongs to the PPE and Intangibles calculation. Read its formula to trace the referenced inputs and intermediate totals.
Formula: ='Filing Notes'!N14
Cross-sheet references identify the owning schedule. Same-sheet references identify intermediate calculations.</x:t>
        </x:r>
      </x:text>
    </x:comment>
    <x:comment ref="O14" authorId="0">
      <x:text>
        <x:r>
          <x:t>New finance lease assets (FY:27 E).
New finance lease assets. This line belongs to the PPE and Intangibles calculation. Read its formula to trace the referenced inputs and intermediate totals.
Formula: ='Debt and Leases'!O37
Cross-sheet references identify the owning schedule. Same-sheet references identify intermediate calculations.</x:t>
        </x:r>
      </x:text>
    </x:comment>
    <x:comment ref="P14" authorId="0">
      <x:text>
        <x:r>
          <x:t>New finance lease assets (FY:28 E).
New finance lease assets. This line belongs to the PPE and Intangibles calculation. Read its formula to trace the referenced inputs and intermediate totals.
Formula: ='Debt and Leases'!P37
Cross-sheet references identify the owning schedule. Same-sheet references identify intermediate calculations.</x:t>
        </x:r>
      </x:text>
    </x:comment>
    <x:comment ref="Q14" authorId="0">
      <x:text>
        <x:r>
          <x:t>New finance lease assets (FY:29 E).
New finance lease assets. This line belongs to the PPE and Intangibles calculation. Read its formula to trace the referenced inputs and intermediate totals.
Formula: ='Debt and Leases'!Q37
Cross-sheet references identify the owning schedule. Same-sheet references identify intermediate calculations.</x:t>
        </x:r>
      </x:text>
    </x:comment>
    <x:comment ref="R14" authorId="0">
      <x:text>
        <x:r>
          <x:t>New finance lease assets (FY:30 E).
New finance lease assets. This line belongs to the PPE and Intangibles calculation. Read its formula to trace the referenced inputs and intermediate totals.
Formula: ='Debt and Leases'!R37
Cross-sheet references identify the owning schedule. Same-sheet references identify intermediate calculations.</x:t>
        </x:r>
      </x:text>
    </x:comment>
    <x:comment ref="S14" authorId="0">
      <x:text>
        <x:r>
          <x:t>New finance lease assets (FY:31 E).
New finance lease assets. This line belongs to the PPE and Intangibles calculation. Read its formula to trace the referenced inputs and intermediate totals.
Formula: ='Debt and Leases'!S37
Cross-sheet references identify the owning schedule. Same-sheet references identify intermediate calculations.</x:t>
        </x:r>
      </x:text>
    </x:comment>
    <x:comment ref="C15" authorId="0">
      <x:text>
        <x:r>
          <x:t>Total PPE additions. This line belongs to the PPE and Intangibles calculation. Read its formula to trace the referenced inputs and intermediate totals.</x:t>
        </x:r>
      </x:text>
    </x:comment>
    <x:comment ref="O15" authorId="0">
      <x:text>
        <x:r>
          <x:t>Total PPE additions (FY:27 E).
Total PPE additions. This line belongs to the PPE and Intangibles calculation. Read its formula to trace the referenced inputs and intermediate totals.
Formula: =SUM(O8,O13:O14)
Cross-sheet references identify the owning schedule. Same-sheet references identify intermediate calculations.</x:t>
        </x:r>
      </x:text>
    </x:comment>
    <x:comment ref="P15" authorId="0">
      <x:text>
        <x:r>
          <x:t>Total PPE additions (FY:28 E).
Total PPE additions. This line belongs to the PPE and Intangibles calculation. Read its formula to trace the referenced inputs and intermediate totals.
Formula: =SUM(P8,P13:P14)
Cross-sheet references identify the owning schedule. Same-sheet references identify intermediate calculations.</x:t>
        </x:r>
      </x:text>
    </x:comment>
    <x:comment ref="Q15" authorId="0">
      <x:text>
        <x:r>
          <x:t>Total PPE additions (FY:29 E).
Total PPE additions. This line belongs to the PPE and Intangibles calculation. Read its formula to trace the referenced inputs and intermediate totals.
Formula: =SUM(Q8,Q13:Q14)
Cross-sheet references identify the owning schedule. Same-sheet references identify intermediate calculations.</x:t>
        </x:r>
      </x:text>
    </x:comment>
    <x:comment ref="R15" authorId="0">
      <x:text>
        <x:r>
          <x:t>Total PPE additions (FY:30 E).
Total PPE additions. This line belongs to the PPE and Intangibles calculation. Read its formula to trace the referenced inputs and intermediate totals.
Formula: =SUM(R8,R13:R14)
Cross-sheet references identify the owning schedule. Same-sheet references identify intermediate calculations.</x:t>
        </x:r>
      </x:text>
    </x:comment>
    <x:comment ref="S15" authorId="0">
      <x:text>
        <x:r>
          <x:t>Total PPE additions (FY:31 E).
Total PPE additions. This line belongs to the PPE and Intangibles calculation. Read its formula to trace the referenced inputs and intermediate totals.
Formula: =SUM(S8,S13:S14)
Cross-sheet references identify the owning schedule. Same-sheet references identify intermediate calculations.</x:t>
        </x:r>
      </x:text>
    </x:comment>
    <x:comment ref="C17" authorId="0">
      <x:text>
        <x:r>
          <x:t>Beginning-of-year balance. Forecast periods carry forward the prior closing balance, with FY2026 providing the first forecast opening balance.</x:t>
        </x:r>
      </x:text>
    </x:comment>
    <x:comment ref="O17" authorId="0">
      <x:text>
        <x:r>
          <x:t>Opening gross PPE (FY:27 E).
Beginning-of-year balance. Forecast periods carry forward the prior closing balance, with FY2026 providing the first forecast opening balance.
Formula: =N18
Cross-sheet references identify the owning schedule. Same-sheet references identify intermediate calculations.</x:t>
        </x:r>
      </x:text>
    </x:comment>
    <x:comment ref="P17" authorId="0">
      <x:text>
        <x:r>
          <x:t>Opening gross PPE (FY:28 E).
Beginning-of-year balance. Forecast periods carry forward the prior closing balance, with FY2026 providing the first forecast opening balance.
Formula: =O18
Cross-sheet references identify the owning schedule. Same-sheet references identify intermediate calculations.</x:t>
        </x:r>
      </x:text>
    </x:comment>
    <x:comment ref="Q17" authorId="0">
      <x:text>
        <x:r>
          <x:t>Opening gross PPE (FY:29 E).
Beginning-of-year balance. Forecast periods carry forward the prior closing balance, with FY2026 providing the first forecast opening balance.
Formula: =P18
Cross-sheet references identify the owning schedule. Same-sheet references identify intermediate calculations.</x:t>
        </x:r>
      </x:text>
    </x:comment>
    <x:comment ref="R17" authorId="0">
      <x:text>
        <x:r>
          <x:t>Opening gross PPE (FY:30 E).
Beginning-of-year balance. Forecast periods carry forward the prior closing balance, with FY2026 providing the first forecast opening balance.
Formula: =Q18
Cross-sheet references identify the owning schedule. Same-sheet references identify intermediate calculations.</x:t>
        </x:r>
      </x:text>
    </x:comment>
    <x:comment ref="S17" authorId="0">
      <x:text>
        <x:r>
          <x:t>Opening gross PPE (FY:31 E).
Beginning-of-year balance. Forecast periods carry forward the prior closing balance, with FY2026 providing the first forecast opening balance.
Formula: =R18
Cross-sheet references identify the owning schedule. Same-sheet references identify intermediate calculations.</x:t>
        </x:r>
      </x:text>
    </x:comment>
    <x:comment ref="C18" authorId="0">
      <x:text>
        <x:r>
          <x:t>Year-end balance from the relevant roll-forward. Follow the formula to opening balances, additions, expenses, payments or other changes.</x:t>
        </x:r>
      </x:text>
    </x:comment>
    <x:comment ref="E18" authorId="0">
      <x:text>
        <x:r>
          <x:t>Closing gross PPE (FY:17 A).
Year-end balance from the relevant roll-forward. Follow the formula to opening balances, additions, expenses, payments or other changes.
Formula: ='Filing Notes'!E10
Cross-sheet references identify the owning schedule. Same-sheet references identify intermediate calculations.</x:t>
        </x:r>
      </x:text>
    </x:comment>
    <x:comment ref="F18" authorId="0">
      <x:text>
        <x:r>
          <x:t>Closing gross PPE (FY:18 A).
Year-end balance from the relevant roll-forward. Follow the formula to opening balances, additions, expenses, payments or other changes.
Formula: ='Filing Notes'!F10
Cross-sheet references identify the owning schedule. Same-sheet references identify intermediate calculations.</x:t>
        </x:r>
      </x:text>
    </x:comment>
    <x:comment ref="G18" authorId="0">
      <x:text>
        <x:r>
          <x:t>Closing gross PPE (FY:19 A).
Year-end balance from the relevant roll-forward. Follow the formula to opening balances, additions, expenses, payments or other changes.
Formula: ='Filing Notes'!G10
Cross-sheet references identify the owning schedule. Same-sheet references identify intermediate calculations.</x:t>
        </x:r>
      </x:text>
    </x:comment>
    <x:comment ref="H18" authorId="0">
      <x:text>
        <x:r>
          <x:t>Closing gross PPE (FY:20 A).
Year-end balance from the relevant roll-forward. Follow the formula to opening balances, additions, expenses, payments or other changes.
Formula: ='Filing Notes'!H10
Cross-sheet references identify the owning schedule. Same-sheet references identify intermediate calculations.</x:t>
        </x:r>
      </x:text>
    </x:comment>
    <x:comment ref="I18" authorId="0">
      <x:text>
        <x:r>
          <x:t>Closing gross PPE (FY:21 A).
Year-end balance from the relevant roll-forward. Follow the formula to opening balances, additions, expenses, payments or other changes.
Formula: ='Filing Notes'!I10
Cross-sheet references identify the owning schedule. Same-sheet references identify intermediate calculations.</x:t>
        </x:r>
      </x:text>
    </x:comment>
    <x:comment ref="J18" authorId="0">
      <x:text>
        <x:r>
          <x:t>Closing gross PPE (FY:22 A).
Year-end balance from the relevant roll-forward. Follow the formula to opening balances, additions, expenses, payments or other changes.
Formula: ='Filing Notes'!J10
Cross-sheet references identify the owning schedule. Same-sheet references identify intermediate calculations.</x:t>
        </x:r>
      </x:text>
    </x:comment>
    <x:comment ref="K18" authorId="0">
      <x:text>
        <x:r>
          <x:t>Closing gross PPE (FY:23 A).
Year-end balance from the relevant roll-forward. Follow the formula to opening balances, additions, expenses, payments or other changes.
Formula: ='Filing Notes'!K10
Cross-sheet references identify the owning schedule. Same-sheet references identify intermediate calculations.</x:t>
        </x:r>
      </x:text>
    </x:comment>
    <x:comment ref="L18" authorId="0">
      <x:text>
        <x:r>
          <x:t>Closing gross PPE (FY:24 A).
Year-end balance from the relevant roll-forward. Follow the formula to opening balances, additions, expenses, payments or other changes.
Formula: ='Filing Notes'!L10
Cross-sheet references identify the owning schedule. Same-sheet references identify intermediate calculations.</x:t>
        </x:r>
      </x:text>
    </x:comment>
    <x:comment ref="M18" authorId="0">
      <x:text>
        <x:r>
          <x:t>Closing gross PPE (FY:25 A).
Year-end balance from the relevant roll-forward. Follow the formula to opening balances, additions, expenses, payments or other changes.
Formula: ='Filing Notes'!M10
Cross-sheet references identify the owning schedule. Same-sheet references identify intermediate calculations.</x:t>
        </x:r>
      </x:text>
    </x:comment>
    <x:comment ref="N18" authorId="0">
      <x:text>
        <x:r>
          <x:t>Closing gross PPE (FY:26 A).
Year-end balance from the relevant roll-forward. Follow the formula to opening balances, additions, expenses, payments or other changes.
Formula: ='Filing Notes'!N10
Cross-sheet references identify the owning schedule. Same-sheet references identify intermediate calculations.</x:t>
        </x:r>
      </x:text>
    </x:comment>
    <x:comment ref="O18" authorId="0">
      <x:text>
        <x:r>
          <x:t>Closing gross PPE (FY:27 E).
Year-end balance from the relevant roll-forward. Follow the formula to opening balances, additions, expenses, payments or other changes.
Formula: =O17+O15
Cross-sheet references identify the owning schedule. Same-sheet references identify intermediate calculations.</x:t>
        </x:r>
      </x:text>
    </x:comment>
    <x:comment ref="P18" authorId="0">
      <x:text>
        <x:r>
          <x:t>Closing gross PPE (FY:28 E).
Year-end balance from the relevant roll-forward. Follow the formula to opening balances, additions, expenses, payments or other changes.
Formula: =P17+P15
Cross-sheet references identify the owning schedule. Same-sheet references identify intermediate calculations.</x:t>
        </x:r>
      </x:text>
    </x:comment>
    <x:comment ref="Q18" authorId="0">
      <x:text>
        <x:r>
          <x:t>Closing gross PPE (FY:29 E).
Year-end balance from the relevant roll-forward. Follow the formula to opening balances, additions, expenses, payments or other changes.
Formula: =Q17+Q15
Cross-sheet references identify the owning schedule. Same-sheet references identify intermediate calculations.</x:t>
        </x:r>
      </x:text>
    </x:comment>
    <x:comment ref="R18" authorId="0">
      <x:text>
        <x:r>
          <x:t>Closing gross PPE (FY:30 E).
Year-end balance from the relevant roll-forward. Follow the formula to opening balances, additions, expenses, payments or other changes.
Formula: =R17+R15
Cross-sheet references identify the owning schedule. Same-sheet references identify intermediate calculations.</x:t>
        </x:r>
      </x:text>
    </x:comment>
    <x:comment ref="S18" authorId="0">
      <x:text>
        <x:r>
          <x:t>Closing gross PPE (FY:31 E).
Year-end balance from the relevant roll-forward. Follow the formula to opening balances, additions, expenses, payments or other changes.
Formula: =S17+S15
Cross-sheet references identify the owning schedule. Same-sheet references identify intermediate calculations.</x:t>
        </x:r>
      </x:text>
    </x:comment>
    <x:comment ref="C20" authorId="0">
      <x:text>
        <x:r>
          <x:t>Beginning-of-year balance. Forecast periods carry forward the prior closing balance, with FY2026 providing the first forecast opening balance.</x:t>
        </x:r>
      </x:text>
    </x:comment>
    <x:comment ref="O20" authorId="0">
      <x:text>
        <x:r>
          <x:t>Opening accumulated depreciation (FY:27 E).
Beginning-of-year balance. Forecast periods carry forward the prior closing balance, with FY2026 providing the first forecast opening balance.
Formula: =N22
Cross-sheet references identify the owning schedule. Same-sheet references identify intermediate calculations.</x:t>
        </x:r>
      </x:text>
    </x:comment>
    <x:comment ref="P20" authorId="0">
      <x:text>
        <x:r>
          <x:t>Opening accumulated depreciation (FY:28 E).
Beginning-of-year balance. Forecast periods carry forward the prior closing balance, with FY2026 providing the first forecast opening balance.
Formula: =O22
Cross-sheet references identify the owning schedule. Same-sheet references identify intermediate calculations.</x:t>
        </x:r>
      </x:text>
    </x:comment>
    <x:comment ref="Q20" authorId="0">
      <x:text>
        <x:r>
          <x:t>Opening accumulated depreciation (FY:29 E).
Beginning-of-year balance. Forecast periods carry forward the prior closing balance, with FY2026 providing the first forecast opening balance.
Formula: =P22
Cross-sheet references identify the owning schedule. Same-sheet references identify intermediate calculations.</x:t>
        </x:r>
      </x:text>
    </x:comment>
    <x:comment ref="R20" authorId="0">
      <x:text>
        <x:r>
          <x:t>Opening accumulated depreciation (FY:30 E).
Beginning-of-year balance. Forecast periods carry forward the prior closing balance, with FY2026 providing the first forecast opening balance.
Formula: =Q22
Cross-sheet references identify the owning schedule. Same-sheet references identify intermediate calculations.</x:t>
        </x:r>
      </x:text>
    </x:comment>
    <x:comment ref="S20" authorId="0">
      <x:text>
        <x:r>
          <x:t>Opening accumulated depreciation (FY:31 E).
Beginning-of-year balance. Forecast periods carry forward the prior closing balance, with FY2026 providing the first forecast opening balance.
Formula: =R22
Cross-sheet references identify the owning schedule. Same-sheet references identify intermediate calculations.</x:t>
        </x:r>
      </x:text>
    </x:comment>
    <x:comment ref="C21" authorId="0">
      <x:text>
        <x:r>
          <x:t>Noncash expense for PPE. Forecast legacy assets and new annual cohorts use the useful-life inputs and half-year convention. Expense reduces asset carrying value and is added back once in operating cash flow.</x:t>
        </x:r>
      </x:text>
    </x:comment>
    <x:comment ref="E21" authorId="0">
      <x:text>
        <x:r>
          <x:t>PPE depreciation (FY:17 A).
Noncash expense for PPE. Forecast legacy assets and new annual cohorts use the useful-life inputs and half-year convention. Expense reduces asset carrying value and is added back once in operating cash flow.
Formula: ='Filing Notes'!E8
Cross-sheet references identify the owning schedule. Same-sheet references identify intermediate calculations.</x:t>
        </x:r>
      </x:text>
    </x:comment>
    <x:comment ref="F21" authorId="0">
      <x:text>
        <x:r>
          <x:t>PPE depreciation (FY:18 A).
Noncash expense for PPE. Forecast legacy assets and new annual cohorts use the useful-life inputs and half-year convention. Expense reduces asset carrying value and is added back once in operating cash flow.
Formula: ='Filing Notes'!F8
Cross-sheet references identify the owning schedule. Same-sheet references identify intermediate calculations.</x:t>
        </x:r>
      </x:text>
    </x:comment>
    <x:comment ref="G21" authorId="0">
      <x:text>
        <x:r>
          <x:t>PPE depreciation (FY:19 A).
Noncash expense for PPE. Forecast legacy assets and new annual cohorts use the useful-life inputs and half-year convention. Expense reduces asset carrying value and is added back once in operating cash flow.
Formula: ='Filing Notes'!G8
Cross-sheet references identify the owning schedule. Same-sheet references identify intermediate calculations.</x:t>
        </x:r>
      </x:text>
    </x:comment>
    <x:comment ref="H21" authorId="0">
      <x:text>
        <x:r>
          <x:t>PPE depreciation (FY:20 A).
Noncash expense for PPE. Forecast legacy assets and new annual cohorts use the useful-life inputs and half-year convention. Expense reduces asset carrying value and is added back once in operating cash flow.
Formula: ='Filing Notes'!H8
Cross-sheet references identify the owning schedule. Same-sheet references identify intermediate calculations.</x:t>
        </x:r>
      </x:text>
    </x:comment>
    <x:comment ref="I21" authorId="0">
      <x:text>
        <x:r>
          <x:t>PPE depreciation (FY:21 A).
Noncash expense for PPE. Forecast legacy assets and new annual cohorts use the useful-life inputs and half-year convention. Expense reduces asset carrying value and is added back once in operating cash flow.
Formula: ='Filing Notes'!I8
Cross-sheet references identify the owning schedule. Same-sheet references identify intermediate calculations.</x:t>
        </x:r>
      </x:text>
    </x:comment>
    <x:comment ref="J21" authorId="0">
      <x:text>
        <x:r>
          <x:t>PPE depreciation (FY:22 A).
Noncash expense for PPE. Forecast legacy assets and new annual cohorts use the useful-life inputs and half-year convention. Expense reduces asset carrying value and is added back once in operating cash flow.
Formula: ='Filing Notes'!J8
Cross-sheet references identify the owning schedule. Same-sheet references identify intermediate calculations.</x:t>
        </x:r>
      </x:text>
    </x:comment>
    <x:comment ref="K21" authorId="0">
      <x:text>
        <x:r>
          <x:t>PPE depreciation (FY:23 A).
Noncash expense for PPE. Forecast legacy assets and new annual cohorts use the useful-life inputs and half-year convention. Expense reduces asset carrying value and is added back once in operating cash flow.
Formula: ='Filing Notes'!K8
Cross-sheet references identify the owning schedule. Same-sheet references identify intermediate calculations.</x:t>
        </x:r>
      </x:text>
    </x:comment>
    <x:comment ref="L21" authorId="0">
      <x:text>
        <x:r>
          <x:t>PPE depreciation (FY:24 A).
Noncash expense for PPE. Forecast legacy assets and new annual cohorts use the useful-life inputs and half-year convention. Expense reduces asset carrying value and is added back once in operating cash flow.
Formula: ='Filing Notes'!L8
Cross-sheet references identify the owning schedule. Same-sheet references identify intermediate calculations.</x:t>
        </x:r>
      </x:text>
    </x:comment>
    <x:comment ref="M21" authorId="0">
      <x:text>
        <x:r>
          <x:t>PPE depreciation (FY:25 A).
Noncash expense for PPE. Forecast legacy assets and new annual cohorts use the useful-life inputs and half-year convention. Expense reduces asset carrying value and is added back once in operating cash flow.
Formula: ='Filing Notes'!M8
Cross-sheet references identify the owning schedule. Same-sheet references identify intermediate calculations.</x:t>
        </x:r>
      </x:text>
    </x:comment>
    <x:comment ref="N21" authorId="0">
      <x:text>
        <x:r>
          <x:t>PPE depreciation (FY:26 A).
Noncash expense for PPE. Forecast legacy assets and new annual cohorts use the useful-life inputs and half-year convention. Expense reduces asset carrying value and is added back once in operating cash flow.
Formula: ='Filing Notes'!N8
Cross-sheet references identify the owning schedule. Same-sheet references identify intermediate calculations.</x:t>
        </x:r>
      </x:text>
    </x:comment>
    <x:comment ref="O21" authorId="0">
      <x:text>
        <x:r>
          <x:t>PPE depreciation (FY:27 E).
Noncash expense for PPE. Forecast legacy assets and new annual cohorts use the useful-life inputs and half-year convention. Expense reduces asset carrying value and is added back once in operating cash flow.
Formula: =O27+O39
Cross-sheet references identify the owning schedule. Same-sheet references identify intermediate calculations.</x:t>
        </x:r>
      </x:text>
    </x:comment>
    <x:comment ref="P21" authorId="0">
      <x:text>
        <x:r>
          <x:t>PPE depreciation (FY:28 E).
Noncash expense for PPE. Forecast legacy assets and new annual cohorts use the useful-life inputs and half-year convention. Expense reduces asset carrying value and is added back once in operating cash flow.
Formula: =P27+P39
Cross-sheet references identify the owning schedule. Same-sheet references identify intermediate calculations.</x:t>
        </x:r>
      </x:text>
    </x:comment>
    <x:comment ref="Q21" authorId="0">
      <x:text>
        <x:r>
          <x:t>PPE depreciation (FY:29 E).
Noncash expense for PPE. Forecast legacy assets and new annual cohorts use the useful-life inputs and half-year convention. Expense reduces asset carrying value and is added back once in operating cash flow.
Formula: =Q27+Q39
Cross-sheet references identify the owning schedule. Same-sheet references identify intermediate calculations.</x:t>
        </x:r>
      </x:text>
    </x:comment>
    <x:comment ref="R21" authorId="0">
      <x:text>
        <x:r>
          <x:t>PPE depreciation (FY:30 E).
Noncash expense for PPE. Forecast legacy assets and new annual cohorts use the useful-life inputs and half-year convention. Expense reduces asset carrying value and is added back once in operating cash flow.
Formula: =R27+R39
Cross-sheet references identify the owning schedule. Same-sheet references identify intermediate calculations.</x:t>
        </x:r>
      </x:text>
    </x:comment>
    <x:comment ref="S21" authorId="0">
      <x:text>
        <x:r>
          <x:t>PPE depreciation (FY:31 E).
Noncash expense for PPE. Forecast legacy assets and new annual cohorts use the useful-life inputs and half-year convention. Expense reduces asset carrying value and is added back once in operating cash flow.
Formula: =S27+S39
Cross-sheet references identify the owning schedule. Same-sheet references identify intermediate calculations.</x:t>
        </x:r>
      </x:text>
    </x:comment>
    <x:comment ref="C22" authorId="0">
      <x:text>
        <x:r>
          <x:t>Year-end balance from the relevant roll-forward. Follow the formula to opening balances, additions, expenses, payments or other changes.</x:t>
        </x:r>
      </x:text>
    </x:comment>
    <x:comment ref="E22" authorId="0">
      <x:text>
        <x:r>
          <x:t>Closing accumulated depreciation (FY:17 A).
Year-end balance from the relevant roll-forward. Follow the formula to opening balances, additions, expenses, payments or other changes.
Formula: ='Filing Notes'!E11
Cross-sheet references identify the owning schedule. Same-sheet references identify intermediate calculations.</x:t>
        </x:r>
      </x:text>
    </x:comment>
    <x:comment ref="F22" authorId="0">
      <x:text>
        <x:r>
          <x:t>Closing accumulated depreciation (FY:18 A).
Year-end balance from the relevant roll-forward. Follow the formula to opening balances, additions, expenses, payments or other changes.
Formula: ='Filing Notes'!F11
Cross-sheet references identify the owning schedule. Same-sheet references identify intermediate calculations.</x:t>
        </x:r>
      </x:text>
    </x:comment>
    <x:comment ref="G22" authorId="0">
      <x:text>
        <x:r>
          <x:t>Closing accumulated depreciation (FY:19 A).
Year-end balance from the relevant roll-forward. Follow the formula to opening balances, additions, expenses, payments or other changes.
Formula: ='Filing Notes'!G11
Cross-sheet references identify the owning schedule. Same-sheet references identify intermediate calculations.</x:t>
        </x:r>
      </x:text>
    </x:comment>
    <x:comment ref="H22" authorId="0">
      <x:text>
        <x:r>
          <x:t>Closing accumulated depreciation (FY:20 A).
Year-end balance from the relevant roll-forward. Follow the formula to opening balances, additions, expenses, payments or other changes.
Formula: ='Filing Notes'!H11
Cross-sheet references identify the owning schedule. Same-sheet references identify intermediate calculations.</x:t>
        </x:r>
      </x:text>
    </x:comment>
    <x:comment ref="I22" authorId="0">
      <x:text>
        <x:r>
          <x:t>Closing accumulated depreciation (FY:21 A).
Year-end balance from the relevant roll-forward. Follow the formula to opening balances, additions, expenses, payments or other changes.
Formula: ='Filing Notes'!I11
Cross-sheet references identify the owning schedule. Same-sheet references identify intermediate calculations.</x:t>
        </x:r>
      </x:text>
    </x:comment>
    <x:comment ref="J22" authorId="0">
      <x:text>
        <x:r>
          <x:t>Closing accumulated depreciation (FY:22 A).
Year-end balance from the relevant roll-forward. Follow the formula to opening balances, additions, expenses, payments or other changes.
Formula: ='Filing Notes'!J11
Cross-sheet references identify the owning schedule. Same-sheet references identify intermediate calculations.</x:t>
        </x:r>
      </x:text>
    </x:comment>
    <x:comment ref="K22" authorId="0">
      <x:text>
        <x:r>
          <x:t>Closing accumulated depreciation (FY:23 A).
Year-end balance from the relevant roll-forward. Follow the formula to opening balances, additions, expenses, payments or other changes.
Formula: ='Filing Notes'!K11
Cross-sheet references identify the owning schedule. Same-sheet references identify intermediate calculations.</x:t>
        </x:r>
      </x:text>
    </x:comment>
    <x:comment ref="L22" authorId="0">
      <x:text>
        <x:r>
          <x:t>Closing accumulated depreciation (FY:24 A).
Year-end balance from the relevant roll-forward. Follow the formula to opening balances, additions, expenses, payments or other changes.
Formula: ='Filing Notes'!L11
Cross-sheet references identify the owning schedule. Same-sheet references identify intermediate calculations.</x:t>
        </x:r>
      </x:text>
    </x:comment>
    <x:comment ref="M22" authorId="0">
      <x:text>
        <x:r>
          <x:t>Closing accumulated depreciation (FY:25 A).
Year-end balance from the relevant roll-forward. Follow the formula to opening balances, additions, expenses, payments or other changes.
Formula: ='Filing Notes'!M11
Cross-sheet references identify the owning schedule. Same-sheet references identify intermediate calculations.</x:t>
        </x:r>
      </x:text>
    </x:comment>
    <x:comment ref="N22" authorId="0">
      <x:text>
        <x:r>
          <x:t>Closing accumulated depreciation (FY:26 A).
Year-end balance from the relevant roll-forward. Follow the formula to opening balances, additions, expenses, payments or other changes.
Formula: ='Filing Notes'!N11
Cross-sheet references identify the owning schedule. Same-sheet references identify intermediate calculations.</x:t>
        </x:r>
      </x:text>
    </x:comment>
    <x:comment ref="O22" authorId="0">
      <x:text>
        <x:r>
          <x:t>Closing accumulated depreciation (FY:27 E).
Year-end balance from the relevant roll-forward. Follow the formula to opening balances, additions, expenses, payments or other changes.
Formula: =O20+O21
Cross-sheet references identify the owning schedule. Same-sheet references identify intermediate calculations.</x:t>
        </x:r>
      </x:text>
    </x:comment>
    <x:comment ref="P22" authorId="0">
      <x:text>
        <x:r>
          <x:t>Closing accumulated depreciation (FY:28 E).
Year-end balance from the relevant roll-forward. Follow the formula to opening balances, additions, expenses, payments or other changes.
Formula: =P20+P21
Cross-sheet references identify the owning schedule. Same-sheet references identify intermediate calculations.</x:t>
        </x:r>
      </x:text>
    </x:comment>
    <x:comment ref="Q22" authorId="0">
      <x:text>
        <x:r>
          <x:t>Closing accumulated depreciation (FY:29 E).
Year-end balance from the relevant roll-forward. Follow the formula to opening balances, additions, expenses, payments or other changes.
Formula: =Q20+Q21
Cross-sheet references identify the owning schedule. Same-sheet references identify intermediate calculations.</x:t>
        </x:r>
      </x:text>
    </x:comment>
    <x:comment ref="R22" authorId="0">
      <x:text>
        <x:r>
          <x:t>Closing accumulated depreciation (FY:30 E).
Year-end balance from the relevant roll-forward. Follow the formula to opening balances, additions, expenses, payments or other changes.
Formula: =R20+R21
Cross-sheet references identify the owning schedule. Same-sheet references identify intermediate calculations.</x:t>
        </x:r>
      </x:text>
    </x:comment>
    <x:comment ref="S22" authorId="0">
      <x:text>
        <x:r>
          <x:t>Closing accumulated depreciation (FY:31 E).
Year-end balance from the relevant roll-forward. Follow the formula to opening balances, additions, expenses, payments or other changes.
Formula: =S20+S21
Cross-sheet references identify the owning schedule. Same-sheet references identify intermediate calculations.</x:t>
        </x:r>
      </x:text>
    </x:comment>
    <x:comment ref="C24" authorId="0">
      <x:text>
        <x:r>
          <x:t>Year-end balance from the relevant roll-forward. Follow the formula to opening balances, additions, expenses, payments or other changes.</x:t>
        </x:r>
      </x:text>
    </x:comment>
    <x:comment ref="E24" authorId="0">
      <x:text>
        <x:r>
          <x:t>Closing net PPE (FY:17 A).
Year-end balance from the relevant roll-forward. Follow the formula to opening balances, additions, expenses, payments or other changes.
Formula: ='Historical Inputs'!E35
Cross-sheet references identify the owning schedule. Same-sheet references identify intermediate calculations.</x:t>
        </x:r>
      </x:text>
    </x:comment>
    <x:comment ref="F24" authorId="0">
      <x:text>
        <x:r>
          <x:t>Closing net PPE (FY:18 A).
Year-end balance from the relevant roll-forward. Follow the formula to opening balances, additions, expenses, payments or other changes.
Formula: ='Historical Inputs'!F35
Cross-sheet references identify the owning schedule. Same-sheet references identify intermediate calculations.</x:t>
        </x:r>
      </x:text>
    </x:comment>
    <x:comment ref="G24" authorId="0">
      <x:text>
        <x:r>
          <x:t>Closing net PPE (FY:19 A).
Year-end balance from the relevant roll-forward. Follow the formula to opening balances, additions, expenses, payments or other changes.
Formula: ='Historical Inputs'!G35
Cross-sheet references identify the owning schedule. Same-sheet references identify intermediate calculations.</x:t>
        </x:r>
      </x:text>
    </x:comment>
    <x:comment ref="H24" authorId="0">
      <x:text>
        <x:r>
          <x:t>Closing net PPE (FY:20 A).
Year-end balance from the relevant roll-forward. Follow the formula to opening balances, additions, expenses, payments or other changes.
Formula: ='Historical Inputs'!H35
Cross-sheet references identify the owning schedule. Same-sheet references identify intermediate calculations.</x:t>
        </x:r>
      </x:text>
    </x:comment>
    <x:comment ref="I24" authorId="0">
      <x:text>
        <x:r>
          <x:t>Closing net PPE (FY:21 A).
Year-end balance from the relevant roll-forward. Follow the formula to opening balances, additions, expenses, payments or other changes.
Formula: ='Historical Inputs'!I35
Cross-sheet references identify the owning schedule. Same-sheet references identify intermediate calculations.</x:t>
        </x:r>
      </x:text>
    </x:comment>
    <x:comment ref="J24" authorId="0">
      <x:text>
        <x:r>
          <x:t>Closing net PPE (FY:22 A).
Year-end balance from the relevant roll-forward. Follow the formula to opening balances, additions, expenses, payments or other changes.
Formula: ='Historical Inputs'!J35
Cross-sheet references identify the owning schedule. Same-sheet references identify intermediate calculations.</x:t>
        </x:r>
      </x:text>
    </x:comment>
    <x:comment ref="K24" authorId="0">
      <x:text>
        <x:r>
          <x:t>Closing net PPE (FY:23 A).
Year-end balance from the relevant roll-forward. Follow the formula to opening balances, additions, expenses, payments or other changes.
Formula: ='Historical Inputs'!K35
Cross-sheet references identify the owning schedule. Same-sheet references identify intermediate calculations.</x:t>
        </x:r>
      </x:text>
    </x:comment>
    <x:comment ref="L24" authorId="0">
      <x:text>
        <x:r>
          <x:t>Closing net PPE (FY:24 A).
Year-end balance from the relevant roll-forward. Follow the formula to opening balances, additions, expenses, payments or other changes.
Formula: ='Historical Inputs'!L35
Cross-sheet references identify the owning schedule. Same-sheet references identify intermediate calculations.</x:t>
        </x:r>
      </x:text>
    </x:comment>
    <x:comment ref="M24" authorId="0">
      <x:text>
        <x:r>
          <x:t>Closing net PPE (FY:25 A).
Year-end balance from the relevant roll-forward. Follow the formula to opening balances, additions, expenses, payments or other changes.
Formula: ='Historical Inputs'!M35
Cross-sheet references identify the owning schedule. Same-sheet references identify intermediate calculations.</x:t>
        </x:r>
      </x:text>
    </x:comment>
    <x:comment ref="N24" authorId="0">
      <x:text>
        <x:r>
          <x:t>Closing net PPE (FY:26 A).
Year-end balance from the relevant roll-forward. Follow the formula to opening balances, additions, expenses, payments or other changes.
Formula: ='Historical Inputs'!N35
Cross-sheet references identify the owning schedule. Same-sheet references identify intermediate calculations.</x:t>
        </x:r>
      </x:text>
    </x:comment>
    <x:comment ref="O24" authorId="0">
      <x:text>
        <x:r>
          <x:t>Closing net PPE (FY:27 E).
Year-end balance from the relevant roll-forward. Follow the formula to opening balances, additions, expenses, payments or other changes.
Formula: =O18-O22
Cross-sheet references identify the owning schedule. Same-sheet references identify intermediate calculations.</x:t>
        </x:r>
      </x:text>
    </x:comment>
    <x:comment ref="P24" authorId="0">
      <x:text>
        <x:r>
          <x:t>Closing net PPE (FY:28 E).
Year-end balance from the relevant roll-forward. Follow the formula to opening balances, additions, expenses, payments or other changes.
Formula: =P18-P22
Cross-sheet references identify the owning schedule. Same-sheet references identify intermediate calculations.</x:t>
        </x:r>
      </x:text>
    </x:comment>
    <x:comment ref="Q24" authorId="0">
      <x:text>
        <x:r>
          <x:t>Closing net PPE (FY:29 E).
Year-end balance from the relevant roll-forward. Follow the formula to opening balances, additions, expenses, payments or other changes.
Formula: =Q18-Q22
Cross-sheet references identify the owning schedule. Same-sheet references identify intermediate calculations.</x:t>
        </x:r>
      </x:text>
    </x:comment>
    <x:comment ref="R24" authorId="0">
      <x:text>
        <x:r>
          <x:t>Closing net PPE (FY:30 E).
Year-end balance from the relevant roll-forward. Follow the formula to opening balances, additions, expenses, payments or other changes.
Formula: =R18-R22
Cross-sheet references identify the owning schedule. Same-sheet references identify intermediate calculations.</x:t>
        </x:r>
      </x:text>
    </x:comment>
    <x:comment ref="S24" authorId="0">
      <x:text>
        <x:r>
          <x:t>Closing net PPE (FY:31 E).
Year-end balance from the relevant roll-forward. Follow the formula to opening balances, additions, expenses, payments or other changes.
Formula: =S18-S22
Cross-sheet references identify the owning schedule. Same-sheet references identify intermediate calculations.</x:t>
        </x:r>
      </x:text>
    </x:comment>
    <x:comment ref="C26" authorId="0">
      <x:text>
        <x:r>
          <x:t>Beginning-of-year balance. Forecast periods carry forward the prior closing balance, with FY2026 providing the first forecast opening balance.</x:t>
        </x:r>
      </x:text>
    </x:comment>
    <x:comment ref="O26" authorId="0">
      <x:text>
        <x:r>
          <x:t>Legacy depreciable PPE opening balance (FY:27 E).
Beginning-of-year balance. Forecast periods carry forward the prior closing balance, with FY2026 providing the first forecast opening balance.
Formula: ='Historical Inputs'!N35-'Filing Notes'!N22
Cross-sheet references identify the owning schedule. Same-sheet references identify intermediate calculations.</x:t>
        </x:r>
      </x:text>
    </x:comment>
    <x:comment ref="P26" authorId="0">
      <x:text>
        <x:r>
          <x:t>Legacy depreciable PPE opening balance (FY:28 E).
Beginning-of-year balance. Forecast periods carry forward the prior closing balance, with FY2026 providing the first forecast opening balance.
Formula: =O28
Cross-sheet references identify the owning schedule. Same-sheet references identify intermediate calculations.</x:t>
        </x:r>
      </x:text>
    </x:comment>
    <x:comment ref="Q26" authorId="0">
      <x:text>
        <x:r>
          <x:t>Legacy depreciable PPE opening balance (FY:29 E).
Beginning-of-year balance. Forecast periods carry forward the prior closing balance, with FY2026 providing the first forecast opening balance.
Formula: =P28
Cross-sheet references identify the owning schedule. Same-sheet references identify intermediate calculations.</x:t>
        </x:r>
      </x:text>
    </x:comment>
    <x:comment ref="R26" authorId="0">
      <x:text>
        <x:r>
          <x:t>Legacy depreciable PPE opening balance (FY:30 E).
Beginning-of-year balance. Forecast periods carry forward the prior closing balance, with FY2026 providing the first forecast opening balance.
Formula: =Q28
Cross-sheet references identify the owning schedule. Same-sheet references identify intermediate calculations.</x:t>
        </x:r>
      </x:text>
    </x:comment>
    <x:comment ref="S26" authorId="0">
      <x:text>
        <x:r>
          <x:t>Legacy depreciable PPE opening balance (FY:31 E).
Beginning-of-year balance. Forecast periods carry forward the prior closing balance, with FY2026 providing the first forecast opening balance.
Formula: =R28
Cross-sheet references identify the owning schedule. Same-sheet references identify intermediate calculations.</x:t>
        </x:r>
      </x:text>
    </x:comment>
    <x:comment ref="C27" authorId="0">
      <x:text>
        <x:r>
          <x:t>Noncash expense for PPE. Forecast legacy assets and new annual cohorts use the useful-life inputs and half-year convention. Expense reduces asset carrying value and is added back once in operating cash flow.</x:t>
        </x:r>
      </x:text>
    </x:comment>
    <x:comment ref="O27" authorId="0">
      <x:text>
        <x:r>
          <x:t>Legacy PPE depreciation (FY:27 E).
Noncash expense for PPE. Forecast legacy assets and new annual cohorts use the useful-life inputs and half-year convention. Expense reduces asset carrying value and is added back once in operating cash flow.
Formula: =MIN(O26,('Historical Inputs'!N35-'Filing Notes'!N22)/'Assumptions'!O61)
Cross-sheet references identify the owning schedule. Same-sheet references identify intermediate calculations.</x:t>
        </x:r>
      </x:text>
    </x:comment>
    <x:comment ref="P27" authorId="0">
      <x:text>
        <x:r>
          <x:t>Legacy PPE depreciation (FY:28 E).
Noncash expense for PPE. Forecast legacy assets and new annual cohorts use the useful-life inputs and half-year convention. Expense reduces asset carrying value and is added back once in operating cash flow.
Formula: =MIN(P26,('Historical Inputs'!N35-'Filing Notes'!N22)/'Assumptions'!P61)
Cross-sheet references identify the owning schedule. Same-sheet references identify intermediate calculations.</x:t>
        </x:r>
      </x:text>
    </x:comment>
    <x:comment ref="Q27" authorId="0">
      <x:text>
        <x:r>
          <x:t>Legacy PPE depreciation (FY:29 E).
Noncash expense for PPE. Forecast legacy assets and new annual cohorts use the useful-life inputs and half-year convention. Expense reduces asset carrying value and is added back once in operating cash flow.
Formula: =MIN(Q26,('Historical Inputs'!N35-'Filing Notes'!N22)/'Assumptions'!Q61)
Cross-sheet references identify the owning schedule. Same-sheet references identify intermediate calculations.</x:t>
        </x:r>
      </x:text>
    </x:comment>
    <x:comment ref="R27" authorId="0">
      <x:text>
        <x:r>
          <x:t>Legacy PPE depreciation (FY:30 E).
Noncash expense for PPE. Forecast legacy assets and new annual cohorts use the useful-life inputs and half-year convention. Expense reduces asset carrying value and is added back once in operating cash flow.
Formula: =MIN(R26,('Historical Inputs'!N35-'Filing Notes'!N22)/'Assumptions'!R61)
Cross-sheet references identify the owning schedule. Same-sheet references identify intermediate calculations.</x:t>
        </x:r>
      </x:text>
    </x:comment>
    <x:comment ref="S27" authorId="0">
      <x:text>
        <x:r>
          <x:t>Legacy PPE depreciation (FY:31 E).
Noncash expense for PPE. Forecast legacy assets and new annual cohorts use the useful-life inputs and half-year convention. Expense reduces asset carrying value and is added back once in operating cash flow.
Formula: =MIN(S26,('Historical Inputs'!N35-'Filing Notes'!N22)/'Assumptions'!S61)
Cross-sheet references identify the owning schedule. Same-sheet references identify intermediate calculations.</x:t>
        </x:r>
      </x:text>
    </x:comment>
    <x:comment ref="C28" authorId="0">
      <x:text>
        <x:r>
          <x:t>Year-end balance from the relevant roll-forward. Follow the formula to opening balances, additions, expenses, payments or other changes.</x:t>
        </x:r>
      </x:text>
    </x:comment>
    <x:comment ref="O28" authorId="0">
      <x:text>
        <x:r>
          <x:t>Legacy depreciable PPE closing balance (FY:27 E).
Year-end balance from the relevant roll-forward. Follow the formula to opening balances, additions, expenses, payments or other changes.
Formula: =O26-O27
Cross-sheet references identify the owning schedule. Same-sheet references identify intermediate calculations.</x:t>
        </x:r>
      </x:text>
    </x:comment>
    <x:comment ref="P28" authorId="0">
      <x:text>
        <x:r>
          <x:t>Legacy depreciable PPE closing balance (FY:28 E).
Year-end balance from the relevant roll-forward. Follow the formula to opening balances, additions, expenses, payments or other changes.
Formula: =P26-P27
Cross-sheet references identify the owning schedule. Same-sheet references identify intermediate calculations.</x:t>
        </x:r>
      </x:text>
    </x:comment>
    <x:comment ref="Q28" authorId="0">
      <x:text>
        <x:r>
          <x:t>Legacy depreciable PPE closing balance (FY:29 E).
Year-end balance from the relevant roll-forward. Follow the formula to opening balances, additions, expenses, payments or other changes.
Formula: =Q26-Q27
Cross-sheet references identify the owning schedule. Same-sheet references identify intermediate calculations.</x:t>
        </x:r>
      </x:text>
    </x:comment>
    <x:comment ref="R28" authorId="0">
      <x:text>
        <x:r>
          <x:t>Legacy depreciable PPE closing balance (FY:30 E).
Year-end balance from the relevant roll-forward. Follow the formula to opening balances, additions, expenses, payments or other changes.
Formula: =R26-R27
Cross-sheet references identify the owning schedule. Same-sheet references identify intermediate calculations.</x:t>
        </x:r>
      </x:text>
    </x:comment>
    <x:comment ref="S28" authorId="0">
      <x:text>
        <x:r>
          <x:t>Legacy depreciable PPE closing balance (FY:31 E).
Year-end balance from the relevant roll-forward. Follow the formula to opening balances, additions, expenses, payments or other changes.
Formula: =S26-S27
Cross-sheet references identify the owning schedule. Same-sheet references identify intermediate calculations.</x:t>
        </x:r>
      </x:text>
    </x:comment>
    <x:comment ref="C30" authorId="0">
      <x:text>
        <x:r>
          <x:t>Land is excluded from depreciable PPE and remains at its FY2026 amount in the forecast.</x:t>
        </x:r>
      </x:text>
    </x:comment>
    <x:comment ref="O30" authorId="0">
      <x:text>
        <x:r>
          <x:t>Land held constant (FY:27 E).
Land is excluded from depreciable PPE and remains at its FY2026 amount in the forecast.
Formula: ='Filing Notes'!N22
Cross-sheet references identify the owning schedule. Same-sheet references identify intermediate calculations.</x:t>
        </x:r>
      </x:text>
    </x:comment>
    <x:comment ref="P30" authorId="0">
      <x:text>
        <x:r>
          <x:t>Land held constant (FY:28 E).
Land is excluded from depreciable PPE and remains at its FY2026 amount in the forecast.
Formula: ='Filing Notes'!N22
Cross-sheet references identify the owning schedule. Same-sheet references identify intermediate calculations.</x:t>
        </x:r>
      </x:text>
    </x:comment>
    <x:comment ref="Q30" authorId="0">
      <x:text>
        <x:r>
          <x:t>Land held constant (FY:29 E).
Land is excluded from depreciable PPE and remains at its FY2026 amount in the forecast.
Formula: ='Filing Notes'!N22
Cross-sheet references identify the owning schedule. Same-sheet references identify intermediate calculations.</x:t>
        </x:r>
      </x:text>
    </x:comment>
    <x:comment ref="R30" authorId="0">
      <x:text>
        <x:r>
          <x:t>Land held constant (FY:30 E).
Land is excluded from depreciable PPE and remains at its FY2026 amount in the forecast.
Formula: ='Filing Notes'!N22
Cross-sheet references identify the owning schedule. Same-sheet references identify intermediate calculations.</x:t>
        </x:r>
      </x:text>
    </x:comment>
    <x:comment ref="S30" authorId="0">
      <x:text>
        <x:r>
          <x:t>Land held constant (FY:31 E).
Land is excluded from depreciable PPE and remains at its FY2026 amount in the forecast.
Formula: ='Filing Notes'!N22
Cross-sheet references identify the owning schedule. Same-sheet references identify intermediate calculations.</x:t>
        </x:r>
      </x:text>
    </x:comment>
    <x:comment ref="C32" authorId="0">
      <x:text>
        <x:r>
          <x:t>Remaining carrying amount of the named annual PPE cohort. Depreciation starts with a half-year charge and subsequent years use that cohort's useful life.</x:t>
        </x:r>
      </x:text>
    </x:comment>
    <x:comment ref="O32" authorId="0">
      <x:text>
        <x:r>
          <x:t>FY2027 PPE cohort net carrying amount (FY:27 E).
Remaining carrying amount of the named annual PPE cohort. Depreciation starts with a half-year charge and subsequent years use that cohort's useful life.
Formula: =O15-(O15/'Assumptions'!O65*0.5)
Cross-sheet references identify the owning schedule. Same-sheet references identify intermediate calculations.</x:t>
        </x:r>
      </x:text>
    </x:comment>
    <x:comment ref="P32" authorId="0">
      <x:text>
        <x:r>
          <x:t>FY2027 PPE cohort net carrying amount (FY:28 E).
Remaining carrying amount of the named annual PPE cohort. Depreciation starts with a half-year charge and subsequent years use that cohort's useful life.
Formula: =O32-(MIN(O32,O15/'Assumptions'!O65))
Cross-sheet references identify the owning schedule. Same-sheet references identify intermediate calculations.</x:t>
        </x:r>
      </x:text>
    </x:comment>
    <x:comment ref="Q32" authorId="0">
      <x:text>
        <x:r>
          <x:t>FY2027 PPE cohort net carrying amount (FY:29 E).
Remaining carrying amount of the named annual PPE cohort. Depreciation starts with a half-year charge and subsequent years use that cohort's useful life.
Formula: =P32-(MIN(P32,O15/'Assumptions'!O65))
Cross-sheet references identify the owning schedule. Same-sheet references identify intermediate calculations.</x:t>
        </x:r>
      </x:text>
    </x:comment>
    <x:comment ref="R32" authorId="0">
      <x:text>
        <x:r>
          <x:t>FY2027 PPE cohort net carrying amount (FY:30 E).
Remaining carrying amount of the named annual PPE cohort. Depreciation starts with a half-year charge and subsequent years use that cohort's useful life.
Formula: =Q32-(MIN(Q32,O15/'Assumptions'!O65))
Cross-sheet references identify the owning schedule. Same-sheet references identify intermediate calculations.</x:t>
        </x:r>
      </x:text>
    </x:comment>
    <x:comment ref="S32" authorId="0">
      <x:text>
        <x:r>
          <x:t>FY2027 PPE cohort net carrying amount (FY:31 E).
Remaining carrying amount of the named annual PPE cohort. Depreciation starts with a half-year charge and subsequent years use that cohort's useful life.
Formula: =R32-(MIN(R32,O15/'Assumptions'!O65))
Cross-sheet references identify the owning schedule. Same-sheet references identify intermediate calculations.</x:t>
        </x:r>
      </x:text>
    </x:comment>
    <x:comment ref="C33" authorId="0">
      <x:text>
        <x:r>
          <x:t>Remaining carrying amount of the named annual PPE cohort. Depreciation starts with a half-year charge and subsequent years use that cohort's useful life.</x:t>
        </x:r>
      </x:text>
    </x:comment>
    <x:comment ref="O33" authorId="0">
      <x:text>
        <x:r>
          <x:t>FY2028 PPE cohort net carrying amount (FY:27 E).
Remaining carrying amount of the named annual PPE cohort. Depreciation starts with a half-year charge and subsequent years use that cohort's useful life.
Stored input or primary source observation. It is not calculated in this cell.</x:t>
        </x:r>
      </x:text>
    </x:comment>
    <x:comment ref="P33" authorId="0">
      <x:text>
        <x:r>
          <x:t>FY2028 PPE cohort net carrying amount (FY:28 E).
Remaining carrying amount of the named annual PPE cohort. Depreciation starts with a half-year charge and subsequent years use that cohort's useful life.
Formula: =P15-(P15/'Assumptions'!P65*0.5)
Cross-sheet references identify the owning schedule. Same-sheet references identify intermediate calculations.</x:t>
        </x:r>
      </x:text>
    </x:comment>
    <x:comment ref="Q33" authorId="0">
      <x:text>
        <x:r>
          <x:t>FY2028 PPE cohort net carrying amount (FY:29 E).
Remaining carrying amount of the named annual PPE cohort. Depreciation starts with a half-year charge and subsequent years use that cohort's useful life.
Formula: =P33-(MIN(P33,P15/'Assumptions'!P65))
Cross-sheet references identify the owning schedule. Same-sheet references identify intermediate calculations.</x:t>
        </x:r>
      </x:text>
    </x:comment>
    <x:comment ref="R33" authorId="0">
      <x:text>
        <x:r>
          <x:t>FY2028 PPE cohort net carrying amount (FY:30 E).
Remaining carrying amount of the named annual PPE cohort. Depreciation starts with a half-year charge and subsequent years use that cohort's useful life.
Formula: =Q33-(MIN(Q33,P15/'Assumptions'!P65))
Cross-sheet references identify the owning schedule. Same-sheet references identify intermediate calculations.</x:t>
        </x:r>
      </x:text>
    </x:comment>
    <x:comment ref="S33" authorId="0">
      <x:text>
        <x:r>
          <x:t>FY2028 PPE cohort net carrying amount (FY:31 E).
Remaining carrying amount of the named annual PPE cohort. Depreciation starts with a half-year charge and subsequent years use that cohort's useful life.
Formula: =R33-(MIN(R33,P15/'Assumptions'!P65))
Cross-sheet references identify the owning schedule. Same-sheet references identify intermediate calculations.</x:t>
        </x:r>
      </x:text>
    </x:comment>
    <x:comment ref="C34" authorId="0">
      <x:text>
        <x:r>
          <x:t>Remaining carrying amount of the named annual PPE cohort. Depreciation starts with a half-year charge and subsequent years use that cohort's useful life.</x:t>
        </x:r>
      </x:text>
    </x:comment>
    <x:comment ref="O34" authorId="0">
      <x:text>
        <x:r>
          <x:t>FY2029 PPE cohort net carrying amount (FY:27 E).
Remaining carrying amount of the named annual PPE cohort. Depreciation starts with a half-year charge and subsequent years use that cohort's useful life.
Stored input or primary source observation. It is not calculated in this cell.</x:t>
        </x:r>
      </x:text>
    </x:comment>
    <x:comment ref="P34" authorId="0">
      <x:text>
        <x:r>
          <x:t>FY2029 PPE cohort net carrying amount (FY:28 E).
Remaining carrying amount of the named annual PPE cohort. Depreciation starts with a half-year charge and subsequent years use that cohort's useful life.
Stored input or primary source observation. It is not calculated in this cell.</x:t>
        </x:r>
      </x:text>
    </x:comment>
    <x:comment ref="Q34" authorId="0">
      <x:text>
        <x:r>
          <x:t>FY2029 PPE cohort net carrying amount (FY:29 E).
Remaining carrying amount of the named annual PPE cohort. Depreciation starts with a half-year charge and subsequent years use that cohort's useful life.
Formula: =Q15-(Q15/'Assumptions'!Q65*0.5)
Cross-sheet references identify the owning schedule. Same-sheet references identify intermediate calculations.</x:t>
        </x:r>
      </x:text>
    </x:comment>
    <x:comment ref="R34" authorId="0">
      <x:text>
        <x:r>
          <x:t>FY2029 PPE cohort net carrying amount (FY:30 E).
Remaining carrying amount of the named annual PPE cohort. Depreciation starts with a half-year charge and subsequent years use that cohort's useful life.
Formula: =Q34-(MIN(Q34,Q15/'Assumptions'!Q65))
Cross-sheet references identify the owning schedule. Same-sheet references identify intermediate calculations.</x:t>
        </x:r>
      </x:text>
    </x:comment>
    <x:comment ref="S34" authorId="0">
      <x:text>
        <x:r>
          <x:t>FY2029 PPE cohort net carrying amount (FY:31 E).
Remaining carrying amount of the named annual PPE cohort. Depreciation starts with a half-year charge and subsequent years use that cohort's useful life.
Formula: =R34-(MIN(R34,Q15/'Assumptions'!Q65))
Cross-sheet references identify the owning schedule. Same-sheet references identify intermediate calculations.</x:t>
        </x:r>
      </x:text>
    </x:comment>
    <x:comment ref="C35" authorId="0">
      <x:text>
        <x:r>
          <x:t>Remaining carrying amount of the named annual PPE cohort. Depreciation starts with a half-year charge and subsequent years use that cohort's useful life.</x:t>
        </x:r>
      </x:text>
    </x:comment>
    <x:comment ref="O35" authorId="0">
      <x:text>
        <x:r>
          <x:t>FY2030 PPE cohort net carrying amount (FY:27 E).
Remaining carrying amount of the named annual PPE cohort. Depreciation starts with a half-year charge and subsequent years use that cohort's useful life.
Stored input or primary source observation. It is not calculated in this cell.</x:t>
        </x:r>
      </x:text>
    </x:comment>
    <x:comment ref="P35" authorId="0">
      <x:text>
        <x:r>
          <x:t>FY2030 PPE cohort net carrying amount (FY:28 E).
Remaining carrying amount of the named annual PPE cohort. Depreciation starts with a half-year charge and subsequent years use that cohort's useful life.
Stored input or primary source observation. It is not calculated in this cell.</x:t>
        </x:r>
      </x:text>
    </x:comment>
    <x:comment ref="Q35" authorId="0">
      <x:text>
        <x:r>
          <x:t>FY2030 PPE cohort net carrying amount (FY:29 E).
Remaining carrying amount of the named annual PPE cohort. Depreciation starts with a half-year charge and subsequent years use that cohort's useful life.
Stored input or primary source observation. It is not calculated in this cell.</x:t>
        </x:r>
      </x:text>
    </x:comment>
    <x:comment ref="R35" authorId="0">
      <x:text>
        <x:r>
          <x:t>FY2030 PPE cohort net carrying amount (FY:30 E).
Remaining carrying amount of the named annual PPE cohort. Depreciation starts with a half-year charge and subsequent years use that cohort's useful life.
Formula: =R15-(R15/'Assumptions'!R65*0.5)
Cross-sheet references identify the owning schedule. Same-sheet references identify intermediate calculations.</x:t>
        </x:r>
      </x:text>
    </x:comment>
    <x:comment ref="S35" authorId="0">
      <x:text>
        <x:r>
          <x:t>FY2030 PPE cohort net carrying amount (FY:31 E).
Remaining carrying amount of the named annual PPE cohort. Depreciation starts with a half-year charge and subsequent years use that cohort's useful life.
Formula: =R35-(MIN(R35,R15/'Assumptions'!R65))
Cross-sheet references identify the owning schedule. Same-sheet references identify intermediate calculations.</x:t>
        </x:r>
      </x:text>
    </x:comment>
    <x:comment ref="C36" authorId="0">
      <x:text>
        <x:r>
          <x:t>Remaining carrying amount of the named annual PPE cohort. Depreciation starts with a half-year charge and subsequent years use that cohort's useful life.</x:t>
        </x:r>
      </x:text>
    </x:comment>
    <x:comment ref="O36" authorId="0">
      <x:text>
        <x:r>
          <x:t>FY2031 PPE cohort net carrying amount (FY:27 E).
Remaining carrying amount of the named annual PPE cohort. Depreciation starts with a half-year charge and subsequent years use that cohort's useful life.
Stored input or primary source observation. It is not calculated in this cell.</x:t>
        </x:r>
      </x:text>
    </x:comment>
    <x:comment ref="P36" authorId="0">
      <x:text>
        <x:r>
          <x:t>FY2031 PPE cohort net carrying amount (FY:28 E).
Remaining carrying amount of the named annual PPE cohort. Depreciation starts with a half-year charge and subsequent years use that cohort's useful life.
Stored input or primary source observation. It is not calculated in this cell.</x:t>
        </x:r>
      </x:text>
    </x:comment>
    <x:comment ref="Q36" authorId="0">
      <x:text>
        <x:r>
          <x:t>FY2031 PPE cohort net carrying amount (FY:29 E).
Remaining carrying amount of the named annual PPE cohort. Depreciation starts with a half-year charge and subsequent years use that cohort's useful life.
Stored input or primary source observation. It is not calculated in this cell.</x:t>
        </x:r>
      </x:text>
    </x:comment>
    <x:comment ref="R36" authorId="0">
      <x:text>
        <x:r>
          <x:t>FY2031 PPE cohort net carrying amount (FY:30 E).
Remaining carrying amount of the named annual PPE cohort. Depreciation starts with a half-year charge and subsequent years use that cohort's useful life.
Stored input or primary source observation. It is not calculated in this cell.</x:t>
        </x:r>
      </x:text>
    </x:comment>
    <x:comment ref="S36" authorId="0">
      <x:text>
        <x:r>
          <x:t>FY2031 PPE cohort net carrying amount (FY:31 E).
Remaining carrying amount of the named annual PPE cohort. Depreciation starts with a half-year charge and subsequent years use that cohort's useful life.
Formula: =S15-(S15/'Assumptions'!S65*0.5)
Cross-sheet references identify the owning schedule. Same-sheet references identify intermediate calculations.</x:t>
        </x:r>
      </x:text>
    </x:comment>
    <x:comment ref="C39" authorId="0">
      <x:text>
        <x:r>
          <x:t>Noncash expense for PPE. Forecast legacy assets and new annual cohorts use the useful-life inputs and half-year convention. Expense reduces asset carrying value and is added back once in operating cash flow.</x:t>
        </x:r>
      </x:text>
    </x:comment>
    <x:comment ref="O39" authorId="0">
      <x:text>
        <x:r>
          <x:t>Depreciation of new PPE cohorts (FY:27 E).
Noncash expense for PPE. Forecast legacy assets and new annual cohorts use the useful-life inputs and half-year convention. Expense reduces asset carrying value and is added back once in operating cash flow.
Formula: =O15/'Assumptions'!O65*0.5
Cross-sheet references identify the owning schedule. Same-sheet references identify intermediate calculations.</x:t>
        </x:r>
      </x:text>
    </x:comment>
    <x:comment ref="P39" authorId="0">
      <x:text>
        <x:r>
          <x:t>Depreciation of new PPE cohorts (FY:28 E).
Noncash expense for PPE. Forecast legacy assets and new annual cohorts use the useful-life inputs and half-year convention. Expense reduces asset carrying value and is added back once in operating cash flow.
Formula: =MIN(O32,O15/'Assumptions'!O65)+P15/'Assumptions'!P65*0.5
Cross-sheet references identify the owning schedule. Same-sheet references identify intermediate calculations.</x:t>
        </x:r>
      </x:text>
    </x:comment>
    <x:comment ref="Q39" authorId="0">
      <x:text>
        <x:r>
          <x:t>Depreciation of new PPE cohorts (FY:29 E).
Noncash expense for PPE. Forecast legacy assets and new annual cohorts use the useful-life inputs and half-year convention. Expense reduces asset carrying value and is added back once in operating cash flow.
Formula: =MIN(P32,O15/'Assumptions'!O65)+MIN(P33,P15/'Assumptions'!P65)+Q15/'Assumptions'!Q65*0.5
Cross-sheet references identify the owning schedule. Same-sheet references identify intermediate calculations.</x:t>
        </x:r>
      </x:text>
    </x:comment>
    <x:comment ref="R39" authorId="0">
      <x:text>
        <x:r>
          <x:t>Depreciation of new PPE cohorts (FY:30 E).
Noncash expense for PPE. Forecast legacy assets and new annual cohorts use the useful-life inputs and half-year convention. Expense reduces asset carrying value and is added back once in operating cash flow.
Formula: =MIN(Q32,O15/'Assumptions'!O65)+MIN(Q33,P15/'Assumptions'!P65)+MIN(Q34,Q15/'Assumptions'!Q65)+R15/'Assumptions'!R65*0.5
Cross-sheet references identify the owning schedule. Same-sheet references identify intermediate calculations.</x:t>
        </x:r>
      </x:text>
    </x:comment>
    <x:comment ref="S39" authorId="0">
      <x:text>
        <x:r>
          <x:t>Depreciation of new PPE cohorts (FY:31 E).
Noncash expense for PPE. Forecast legacy assets and new annual cohorts use the useful-life inputs and half-year convention. Expense reduces asset carrying value and is added back once in operating cash flow.
Formula: =MIN(R32,O15/'Assumptions'!O65)+MIN(R33,P15/'Assumptions'!P65)+MIN(R34,Q15/'Assumptions'!Q65)+MIN(R35,R15/'Assumptions'!R65)+S15/'Assumptions'!S65*0.5
Cross-sheet references identify the owning schedule. Same-sheet references identify intermediate calculations.</x:t>
        </x:r>
      </x:text>
    </x:comment>
    <x:comment ref="C41" authorId="0">
      <x:text>
        <x:r>
          <x:t>Beginning-of-year balance. Forecast periods carry forward the prior closing balance, with FY2026 providing the first forecast opening balance.</x:t>
        </x:r>
      </x:text>
    </x:comment>
    <x:comment ref="O41" authorId="0">
      <x:text>
        <x:r>
          <x:t>Intangible assets opening balance (FY:27 E).
Beginning-of-year balance. Forecast periods carry forward the prior closing balance, with FY2026 providing the first forecast opening balance.
Formula: ='Balance Sheet'!N20
Cross-sheet references identify the owning schedule. Same-sheet references identify intermediate calculations.</x:t>
        </x:r>
      </x:text>
    </x:comment>
    <x:comment ref="P41" authorId="0">
      <x:text>
        <x:r>
          <x:t>Intangible assets opening balance (FY:28 E).
Beginning-of-year balance. Forecast periods carry forward the prior closing balance, with FY2026 providing the first forecast opening balance.
Formula: ='Balance Sheet'!O20
Cross-sheet references identify the owning schedule. Same-sheet references identify intermediate calculations.</x:t>
        </x:r>
      </x:text>
    </x:comment>
    <x:comment ref="Q41" authorId="0">
      <x:text>
        <x:r>
          <x:t>Intangible assets opening balance (FY:29 E).
Beginning-of-year balance. Forecast periods carry forward the prior closing balance, with FY2026 providing the first forecast opening balance.
Formula: ='Balance Sheet'!P20
Cross-sheet references identify the owning schedule. Same-sheet references identify intermediate calculations.</x:t>
        </x:r>
      </x:text>
    </x:comment>
    <x:comment ref="R41" authorId="0">
      <x:text>
        <x:r>
          <x:t>Intangible assets opening balance (FY:30 E).
Beginning-of-year balance. Forecast periods carry forward the prior closing balance, with FY2026 providing the first forecast opening balance.
Formula: ='Balance Sheet'!Q20
Cross-sheet references identify the owning schedule. Same-sheet references identify intermediate calculations.</x:t>
        </x:r>
      </x:text>
    </x:comment>
    <x:comment ref="S41" authorId="0">
      <x:text>
        <x:r>
          <x:t>Intangible assets opening balance (FY:31 E).
Beginning-of-year balance. Forecast periods carry forward the prior closing balance, with FY2026 providing the first forecast opening balance.
Formula: ='Balance Sheet'!R20
Cross-sheet references identify the owning schedule. Same-sheet references identify intermediate calculations.</x:t>
        </x:r>
      </x:text>
    </x:comment>
    <x:comment ref="C42" authorId="0">
      <x:text>
        <x:r>
          <x:t>Noncash intangible expense. Forecast amortization follows the expected schedule disclosed in the FY2026 filing, subject to the remaining asset balance.</x:t>
        </x:r>
      </x:text>
    </x:comment>
    <x:comment ref="E42" authorId="0">
      <x:text>
        <x:r>
          <x:t>Disclosed expected intangible amortization (FY:17 A).
Noncash intangible expense. Forecast amortization follows the expected schedule disclosed in the FY2026 filing, subject to the remaining asset balance.
Formula: ='Filing Notes'!E9
Cross-sheet references identify the owning schedule. Same-sheet references identify intermediate calculations.</x:t>
        </x:r>
      </x:text>
    </x:comment>
    <x:comment ref="F42" authorId="0">
      <x:text>
        <x:r>
          <x:t>Disclosed expected intangible amortization (FY:18 A).
Noncash intangible expense. Forecast amortization follows the expected schedule disclosed in the FY2026 filing, subject to the remaining asset balance.
Formula: ='Filing Notes'!F9
Cross-sheet references identify the owning schedule. Same-sheet references identify intermediate calculations.</x:t>
        </x:r>
      </x:text>
    </x:comment>
    <x:comment ref="G42" authorId="0">
      <x:text>
        <x:r>
          <x:t>Disclosed expected intangible amortization (FY:19 A).
Noncash intangible expense. Forecast amortization follows the expected schedule disclosed in the FY2026 filing, subject to the remaining asset balance.
Formula: ='Filing Notes'!G9
Cross-sheet references identify the owning schedule. Same-sheet references identify intermediate calculations.</x:t>
        </x:r>
      </x:text>
    </x:comment>
    <x:comment ref="H42" authorId="0">
      <x:text>
        <x:r>
          <x:t>Disclosed expected intangible amortization (FY:20 A).
Noncash intangible expense. Forecast amortization follows the expected schedule disclosed in the FY2026 filing, subject to the remaining asset balance.
Formula: ='Filing Notes'!H9
Cross-sheet references identify the owning schedule. Same-sheet references identify intermediate calculations.</x:t>
        </x:r>
      </x:text>
    </x:comment>
    <x:comment ref="I42" authorId="0">
      <x:text>
        <x:r>
          <x:t>Disclosed expected intangible amortization (FY:21 A).
Noncash intangible expense. Forecast amortization follows the expected schedule disclosed in the FY2026 filing, subject to the remaining asset balance.
Formula: ='Filing Notes'!I9
Cross-sheet references identify the owning schedule. Same-sheet references identify intermediate calculations.</x:t>
        </x:r>
      </x:text>
    </x:comment>
    <x:comment ref="J42" authorId="0">
      <x:text>
        <x:r>
          <x:t>Disclosed expected intangible amortization (FY:22 A).
Noncash intangible expense. Forecast amortization follows the expected schedule disclosed in the FY2026 filing, subject to the remaining asset balance.
Formula: ='Filing Notes'!J9
Cross-sheet references identify the owning schedule. Same-sheet references identify intermediate calculations.</x:t>
        </x:r>
      </x:text>
    </x:comment>
    <x:comment ref="K42" authorId="0">
      <x:text>
        <x:r>
          <x:t>Disclosed expected intangible amortization (FY:23 A).
Noncash intangible expense. Forecast amortization follows the expected schedule disclosed in the FY2026 filing, subject to the remaining asset balance.
Formula: ='Filing Notes'!K9
Cross-sheet references identify the owning schedule. Same-sheet references identify intermediate calculations.</x:t>
        </x:r>
      </x:text>
    </x:comment>
    <x:comment ref="L42" authorId="0">
      <x:text>
        <x:r>
          <x:t>Disclosed expected intangible amortization (FY:24 A).
Noncash intangible expense. Forecast amortization follows the expected schedule disclosed in the FY2026 filing, subject to the remaining asset balance.
Formula: ='Filing Notes'!L9
Cross-sheet references identify the owning schedule. Same-sheet references identify intermediate calculations.</x:t>
        </x:r>
      </x:text>
    </x:comment>
    <x:comment ref="M42" authorId="0">
      <x:text>
        <x:r>
          <x:t>Disclosed expected intangible amortization (FY:25 A).
Noncash intangible expense. Forecast amortization follows the expected schedule disclosed in the FY2026 filing, subject to the remaining asset balance.
Formula: ='Filing Notes'!M9
Cross-sheet references identify the owning schedule. Same-sheet references identify intermediate calculations.</x:t>
        </x:r>
      </x:text>
    </x:comment>
    <x:comment ref="N42" authorId="0">
      <x:text>
        <x:r>
          <x:t>Disclosed expected intangible amortization (FY:26 A).
Noncash intangible expense. Forecast amortization follows the expected schedule disclosed in the FY2026 filing, subject to the remaining asset balance.
Formula: ='Filing Notes'!N9
Cross-sheet references identify the owning schedule. Same-sheet references identify intermediate calculations.</x:t>
        </x:r>
      </x:text>
    </x:comment>
    <x:comment ref="O42" authorId="0">
      <x:text>
        <x:r>
          <x:t>Disclosed expected intangible amortization (FY:27 E).
Noncash intangible expense. Forecast amortization follows the expected schedule disclosed in the FY2026 filing, subject to the remaining asset balance.
Formula: =MIN(O41,'Filing Notes'!O38)
Cross-sheet references identify the owning schedule. Same-sheet references identify intermediate calculations.</x:t>
        </x:r>
      </x:text>
    </x:comment>
    <x:comment ref="P42" authorId="0">
      <x:text>
        <x:r>
          <x:t>Disclosed expected intangible amortization (FY:28 E).
Noncash intangible expense. Forecast amortization follows the expected schedule disclosed in the FY2026 filing, subject to the remaining asset balance.
Formula: =MIN(P41,'Filing Notes'!P38)
Cross-sheet references identify the owning schedule. Same-sheet references identify intermediate calculations.</x:t>
        </x:r>
      </x:text>
    </x:comment>
    <x:comment ref="Q42" authorId="0">
      <x:text>
        <x:r>
          <x:t>Disclosed expected intangible amortization (FY:29 E).
Noncash intangible expense. Forecast amortization follows the expected schedule disclosed in the FY2026 filing, subject to the remaining asset balance.
Formula: =MIN(Q41,'Filing Notes'!Q38)
Cross-sheet references identify the owning schedule. Same-sheet references identify intermediate calculations.</x:t>
        </x:r>
      </x:text>
    </x:comment>
    <x:comment ref="R42" authorId="0">
      <x:text>
        <x:r>
          <x:t>Disclosed expected intangible amortization (FY:30 E).
Noncash intangible expense. Forecast amortization follows the expected schedule disclosed in the FY2026 filing, subject to the remaining asset balance.
Formula: =MIN(R41,'Filing Notes'!R38)
Cross-sheet references identify the owning schedule. Same-sheet references identify intermediate calculations.</x:t>
        </x:r>
      </x:text>
    </x:comment>
    <x:comment ref="S42" authorId="0">
      <x:text>
        <x:r>
          <x:t>Disclosed expected intangible amortization (FY:31 E).
Noncash intangible expense. Forecast amortization follows the expected schedule disclosed in the FY2026 filing, subject to the remaining asset balance.
Formula: =MIN(S41,'Filing Notes'!S38)
Cross-sheet references identify the owning schedule. Same-sheet references identify intermediate calculations.</x:t>
        </x:r>
      </x:text>
    </x:comment>
    <x:comment ref="C43" authorId="0">
      <x:text>
        <x:r>
          <x:t>Year-end balance from the relevant roll-forward. Follow the formula to opening balances, additions, expenses, payments or other changes.</x:t>
        </x:r>
      </x:text>
    </x:comment>
    <x:comment ref="E43" authorId="0">
      <x:text>
        <x:r>
          <x:t>Intangible assets closing balance (FY:17 A).
Year-end balance from the relevant roll-forward. Follow the formula to opening balances, additions, expenses, payments or other changes.
Formula: ='Historical Inputs'!E39
Cross-sheet references identify the owning schedule. Same-sheet references identify intermediate calculations.</x:t>
        </x:r>
      </x:text>
    </x:comment>
    <x:comment ref="F43" authorId="0">
      <x:text>
        <x:r>
          <x:t>Intangible assets closing balance (FY:18 A).
Year-end balance from the relevant roll-forward. Follow the formula to opening balances, additions, expenses, payments or other changes.
Formula: ='Historical Inputs'!F39
Cross-sheet references identify the owning schedule. Same-sheet references identify intermediate calculations.</x:t>
        </x:r>
      </x:text>
    </x:comment>
    <x:comment ref="G43" authorId="0">
      <x:text>
        <x:r>
          <x:t>Intangible assets closing balance (FY:19 A).
Year-end balance from the relevant roll-forward. Follow the formula to opening balances, additions, expenses, payments or other changes.
Formula: ='Historical Inputs'!G39
Cross-sheet references identify the owning schedule. Same-sheet references identify intermediate calculations.</x:t>
        </x:r>
      </x:text>
    </x:comment>
    <x:comment ref="H43" authorId="0">
      <x:text>
        <x:r>
          <x:t>Intangible assets closing balance (FY:20 A).
Year-end balance from the relevant roll-forward. Follow the formula to opening balances, additions, expenses, payments or other changes.
Formula: ='Historical Inputs'!H39
Cross-sheet references identify the owning schedule. Same-sheet references identify intermediate calculations.</x:t>
        </x:r>
      </x:text>
    </x:comment>
    <x:comment ref="I43" authorId="0">
      <x:text>
        <x:r>
          <x:t>Intangible assets closing balance (FY:21 A).
Year-end balance from the relevant roll-forward. Follow the formula to opening balances, additions, expenses, payments or other changes.
Formula: ='Historical Inputs'!I39
Cross-sheet references identify the owning schedule. Same-sheet references identify intermediate calculations.</x:t>
        </x:r>
      </x:text>
    </x:comment>
    <x:comment ref="J43" authorId="0">
      <x:text>
        <x:r>
          <x:t>Intangible assets closing balance (FY:22 A).
Year-end balance from the relevant roll-forward. Follow the formula to opening balances, additions, expenses, payments or other changes.
Formula: ='Historical Inputs'!J39
Cross-sheet references identify the owning schedule. Same-sheet references identify intermediate calculations.</x:t>
        </x:r>
      </x:text>
    </x:comment>
    <x:comment ref="K43" authorId="0">
      <x:text>
        <x:r>
          <x:t>Intangible assets closing balance (FY:23 A).
Year-end balance from the relevant roll-forward. Follow the formula to opening balances, additions, expenses, payments or other changes.
Formula: ='Historical Inputs'!K39
Cross-sheet references identify the owning schedule. Same-sheet references identify intermediate calculations.</x:t>
        </x:r>
      </x:text>
    </x:comment>
    <x:comment ref="L43" authorId="0">
      <x:text>
        <x:r>
          <x:t>Intangible assets closing balance (FY:24 A).
Year-end balance from the relevant roll-forward. Follow the formula to opening balances, additions, expenses, payments or other changes.
Formula: ='Historical Inputs'!L39
Cross-sheet references identify the owning schedule. Same-sheet references identify intermediate calculations.</x:t>
        </x:r>
      </x:text>
    </x:comment>
    <x:comment ref="M43" authorId="0">
      <x:text>
        <x:r>
          <x:t>Intangible assets closing balance (FY:25 A).
Year-end balance from the relevant roll-forward. Follow the formula to opening balances, additions, expenses, payments or other changes.
Formula: ='Historical Inputs'!M39
Cross-sheet references identify the owning schedule. Same-sheet references identify intermediate calculations.</x:t>
        </x:r>
      </x:text>
    </x:comment>
    <x:comment ref="N43" authorId="0">
      <x:text>
        <x:r>
          <x:t>Intangible assets closing balance (FY:26 A).
Year-end balance from the relevant roll-forward. Follow the formula to opening balances, additions, expenses, payments or other changes.
Formula: ='Historical Inputs'!N39
Cross-sheet references identify the owning schedule. Same-sheet references identify intermediate calculations.</x:t>
        </x:r>
      </x:text>
    </x:comment>
    <x:comment ref="O43" authorId="0">
      <x:text>
        <x:r>
          <x:t>Intangible assets closing balance (FY:27 E).
Year-end balance from the relevant roll-forward. Follow the formula to opening balances, additions, expenses, payments or other changes.
Formula: =O41-O42
Cross-sheet references identify the owning schedule. Same-sheet references identify intermediate calculations.</x:t>
        </x:r>
      </x:text>
    </x:comment>
    <x:comment ref="P43" authorId="0">
      <x:text>
        <x:r>
          <x:t>Intangible assets closing balance (FY:28 E).
Year-end balance from the relevant roll-forward. Follow the formula to opening balances, additions, expenses, payments or other changes.
Formula: =P41-P42
Cross-sheet references identify the owning schedule. Same-sheet references identify intermediate calculations.</x:t>
        </x:r>
      </x:text>
    </x:comment>
    <x:comment ref="Q43" authorId="0">
      <x:text>
        <x:r>
          <x:t>Intangible assets closing balance (FY:29 E).
Year-end balance from the relevant roll-forward. Follow the formula to opening balances, additions, expenses, payments or other changes.
Formula: =Q41-Q42
Cross-sheet references identify the owning schedule. Same-sheet references identify intermediate calculations.</x:t>
        </x:r>
      </x:text>
    </x:comment>
    <x:comment ref="R43" authorId="0">
      <x:text>
        <x:r>
          <x:t>Intangible assets closing balance (FY:30 E).
Year-end balance from the relevant roll-forward. Follow the formula to opening balances, additions, expenses, payments or other changes.
Formula: =R41-R42
Cross-sheet references identify the owning schedule. Same-sheet references identify intermediate calculations.</x:t>
        </x:r>
      </x:text>
    </x:comment>
    <x:comment ref="S43" authorId="0">
      <x:text>
        <x:r>
          <x:t>Intangible assets closing balance (FY:31 E).
Year-end balance from the relevant roll-forward. Follow the formula to opening balances, additions, expenses, payments or other changes.
Formula: =S41-S42
Cross-sheet references identify the owning schedule. Same-sheet references identify intermediate calculations.</x:t>
        </x:r>
      </x:text>
    </x:comment>
    <x:comment ref="C62" authorId="0">
      <x:text>
        <x:r>
          <x:t>Live analytical observation. This formula reads the existing statement or schedule and updates with the selected case. ="FY2031 PPE additions: "&amp;FIXED(S15/1000,1,TRUE)&amp;"bn versus depreciation of "&amp;FIXED(S21/1000,1,TRUE)&amp;"bn."</x:t>
        </x:r>
      </x:text>
    </x:comment>
    <x:comment ref="C63" authorId="0">
      <x:text>
        <x:r>
          <x:t>Live analytical observation. This formula reads the existing statement or schedule and updates with the selected case. ="FY2031 closing net PPE: "&amp;FIXED(S24/1000,1,TRUE)&amp;"bn. New finance lease assets contribute "&amp;FIXED(S14/1000,1,TRUE)&amp;"bn of annual additions."</x:t>
        </x:r>
      </x:text>
    </x:comment>
    <x:comment ref="C64" authorId="0">
      <x:text>
        <x:r>
          <x:t>Live analytical observation. This formula reads the existing statement or schedule and updates with the selected case. ="FY2031 remaining intangible assets: "&amp;FIXED(S43/1000,1,TRUE)&amp;"bn, after the disclosed amortization schedule."</x:t>
        </x:r>
      </x:text>
    </x:comment>
    <x:comment ref="C88" authorId="0">
      <x:text>
        <x:r>
          <x:t>PPE additions and depreciation (USD billions). Formula-linked chart data. A means actual and E means the active-case estimate. Unavailable historical observations remain blank.</x:t>
        </x:r>
      </x:text>
    </x:comment>
    <x:comment ref="C107" authorId="0">
      <x:text>
        <x:r>
          <x:t>Net PPE and intangible balances (USD billions). Formula-linked chart data. A means actual and E means the active-case estimate. Unavailable historical observations remain blank.</x:t>
        </x:r>
      </x:text>
    </x:comment>
  </x:commentList>
</x:comments>
</file>

<file path=xl/comments14.xml><?xml version="1.0" encoding="utf-8"?>
<x:comments xmlns:x="http://schemas.openxmlformats.org/spreadsheetml/2006/main">
  <x:authors>
    <x:author>Goran Brkich</x:author>
  </x:authors>
  <x:commentList>
    <x:comment ref="C2" authorId="0">
      <x:text>
        <x:r>
          <x:t>Debt and Leases.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Beginning-of-year balance. Forecast periods carry forward the prior closing balance, with FY2026 providing the first forecast opening balance.</x:t>
        </x:r>
      </x:text>
    </x:comment>
    <x:comment ref="E8" authorId="0">
      <x:text>
        <x:r>
          <x:t>Opening debt face value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8" authorId="0">
      <x:text>
        <x:r>
          <x:t>Opening debt face value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8" authorId="0">
      <x:text>
        <x:r>
          <x:t>Opening debt face value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8" authorId="0">
      <x:text>
        <x:r>
          <x:t>Opening debt face value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8" authorId="0">
      <x:text>
        <x:r>
          <x:t>Opening debt face value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8" authorId="0">
      <x:text>
        <x:r>
          <x:t>Opening debt face value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8" authorId="0">
      <x:text>
        <x:r>
          <x:t>Opening debt face value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8" authorId="0">
      <x:text>
        <x:r>
          <x:t>Opening debt face value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8" authorId="0">
      <x:text>
        <x:r>
          <x:t>Opening debt face value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8" authorId="0">
      <x:text>
        <x:r>
          <x:t>Opening debt face value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8" authorId="0">
      <x:text>
        <x:r>
          <x:t>Opening debt face value (FY:27 E).
Beginning-of-year balance. Forecast periods carry forward the prior closing balance, with FY2026 providing the first forecast opening balance.
Formula: =N12
Cross-sheet references identify the owning schedule. Same-sheet references identify intermediate calculations.</x:t>
        </x:r>
      </x:text>
    </x:comment>
    <x:comment ref="P8" authorId="0">
      <x:text>
        <x:r>
          <x:t>Opening debt face value (FY:28 E).
Beginning-of-year balance. Forecast periods carry forward the prior closing balance, with FY2026 providing the first forecast opening balance.
Formula: =O12
Cross-sheet references identify the owning schedule. Same-sheet references identify intermediate calculations.</x:t>
        </x:r>
      </x:text>
    </x:comment>
    <x:comment ref="Q8" authorId="0">
      <x:text>
        <x:r>
          <x:t>Opening debt face value (FY:29 E).
Beginning-of-year balance. Forecast periods carry forward the prior closing balance, with FY2026 providing the first forecast opening balance.
Formula: =P12
Cross-sheet references identify the owning schedule. Same-sheet references identify intermediate calculations.</x:t>
        </x:r>
      </x:text>
    </x:comment>
    <x:comment ref="R8" authorId="0">
      <x:text>
        <x:r>
          <x:t>Opening debt face value (FY:30 E).
Beginning-of-year balance. Forecast periods carry forward the prior closing balance, with FY2026 providing the first forecast opening balance.
Formula: =Q12
Cross-sheet references identify the owning schedule. Same-sheet references identify intermediate calculations.</x:t>
        </x:r>
      </x:text>
    </x:comment>
    <x:comment ref="S8" authorId="0">
      <x:text>
        <x:r>
          <x:t>Opening debt face value (FY:31 E).
Beginning-of-year balance. Forecast periods carry forward the prior closing balance, with FY2026 providing the first forecast opening balance.
Formula: =R12
Cross-sheet references identify the owning schedule. Same-sheet references identify intermediate calculations.</x:t>
        </x:r>
      </x:text>
    </x:comment>
    <x:comment ref="C9" authorId="0">
      <x:text>
        <x:r>
          <x:t>Reduction of debt or lease principal, separate from interest expense. Read the formula for the specific contractual or modeled payment schedule and sign.</x:t>
        </x:r>
      </x:text>
    </x:comment>
    <x:comment ref="E9" authorId="0">
      <x:text>
        <x:r>
          <x:t>Contractual debt principal repayment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9" authorId="0">
      <x:text>
        <x:r>
          <x:t>Contractual debt principal repayment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9" authorId="0">
      <x:text>
        <x:r>
          <x:t>Contractual debt principal repayment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9" authorId="0">
      <x:text>
        <x:r>
          <x:t>Contractual debt principal repayment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9" authorId="0">
      <x:text>
        <x:r>
          <x:t>Contractual debt principal repayment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9" authorId="0">
      <x:text>
        <x:r>
          <x:t>Contractual debt principal repayment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9" authorId="0">
      <x:text>
        <x:r>
          <x:t>Contractual debt principal repayment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9" authorId="0">
      <x:text>
        <x:r>
          <x:t>Contractual debt principal repayment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9" authorId="0">
      <x:text>
        <x:r>
          <x:t>Contractual debt principal repayment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9" authorId="0">
      <x:text>
        <x:r>
          <x:t>Contractual debt principal repayment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9" authorId="0">
      <x:text>
        <x:r>
          <x:t>Contractual debt principal repayment (FY:27 E).
Reduction of debt or lease principal, separate from interest expense. Read the formula for the specific contractual or modeled payment schedule and sign.
Formula: =MIN(O8,'Filing Notes'!O37)
Cross-sheet references identify the owning schedule. Same-sheet references identify intermediate calculations.</x:t>
        </x:r>
      </x:text>
    </x:comment>
    <x:comment ref="P9" authorId="0">
      <x:text>
        <x:r>
          <x:t>Contractual debt principal repayment (FY:28 E).
Reduction of debt or lease principal, separate from interest expense. Read the formula for the specific contractual or modeled payment schedule and sign.
Formula: =MIN(P8,'Filing Notes'!P37)
Cross-sheet references identify the owning schedule. Same-sheet references identify intermediate calculations.</x:t>
        </x:r>
      </x:text>
    </x:comment>
    <x:comment ref="Q9" authorId="0">
      <x:text>
        <x:r>
          <x:t>Contractual debt principal repayment (FY:29 E).
Reduction of debt or lease principal, separate from interest expense. Read the formula for the specific contractual or modeled payment schedule and sign.
Formula: =MIN(Q8,'Filing Notes'!Q37)
Cross-sheet references identify the owning schedule. Same-sheet references identify intermediate calculations.</x:t>
        </x:r>
      </x:text>
    </x:comment>
    <x:comment ref="R9" authorId="0">
      <x:text>
        <x:r>
          <x:t>Contractual debt principal repayment (FY:30 E).
Reduction of debt or lease principal, separate from interest expense. Read the formula for the specific contractual or modeled payment schedule and sign.
Formula: =MIN(R8,'Filing Notes'!R37)
Cross-sheet references identify the owning schedule. Same-sheet references identify intermediate calculations.</x:t>
        </x:r>
      </x:text>
    </x:comment>
    <x:comment ref="S9" authorId="0">
      <x:text>
        <x:r>
          <x:t>Contractual debt principal repayment (FY:31 E).
Reduction of debt or lease principal, separate from interest expense. Read the formula for the specific contractual or modeled payment schedule and sign.
Formula: =MIN(S8,'Filing Notes'!S37)
Cross-sheet references identify the owning schedule. Same-sheet references identify intermediate calculations.</x:t>
        </x:r>
      </x:text>
    </x:comment>
    <x:comment ref="C10" authorId="0">
      <x:text>
        <x:r>
          <x:t>Planned new debt. This line belongs to the Debt and Leases calculation. Read its formula to trace the referenced inputs and intermediate totals.</x:t>
        </x:r>
      </x:text>
    </x:comment>
    <x:comment ref="E10" authorId="0">
      <x:text>
        <x:r>
          <x:t>Planned new debt (FY:17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10" authorId="0">
      <x:text>
        <x:r>
          <x:t>Planned new debt (FY:18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10" authorId="0">
      <x:text>
        <x:r>
          <x:t>Planned new debt (FY:19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10" authorId="0">
      <x:text>
        <x:r>
          <x:t>Planned new debt (FY:20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10" authorId="0">
      <x:text>
        <x:r>
          <x:t>Planned new debt (FY:21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10" authorId="0">
      <x:text>
        <x:r>
          <x:t>Planned new debt (FY:22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10" authorId="0">
      <x:text>
        <x:r>
          <x:t>Planned new debt (FY:23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10" authorId="0">
      <x:text>
        <x:r>
          <x:t>Planned new debt (FY:24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10" authorId="0">
      <x:text>
        <x:r>
          <x:t>Planned new debt (FY:25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10" authorId="0">
      <x:text>
        <x:r>
          <x:t>Planned new debt (FY:26 A).
Planned new debt.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O10" authorId="0">
      <x:text>
        <x:r>
          <x:t>Planned new debt (FY:27 E).
Planned new debt. This line belongs to the Debt and Leases calculation. Read its formula to trace the referenced inputs and intermediate totals.
Formula: ='Assumptions'!O161
Cross-sheet references identify the owning schedule. Same-sheet references identify intermediate calculations.</x:t>
        </x:r>
      </x:text>
    </x:comment>
    <x:comment ref="P10" authorId="0">
      <x:text>
        <x:r>
          <x:t>Planned new debt (FY:28 E).
Planned new debt. This line belongs to the Debt and Leases calculation. Read its formula to trace the referenced inputs and intermediate totals.
Formula: ='Assumptions'!P161
Cross-sheet references identify the owning schedule. Same-sheet references identify intermediate calculations.</x:t>
        </x:r>
      </x:text>
    </x:comment>
    <x:comment ref="Q10" authorId="0">
      <x:text>
        <x:r>
          <x:t>Planned new debt (FY:29 E).
Planned new debt. This line belongs to the Debt and Leases calculation. Read its formula to trace the referenced inputs and intermediate totals.
Formula: ='Assumptions'!Q161
Cross-sheet references identify the owning schedule. Same-sheet references identify intermediate calculations.</x:t>
        </x:r>
      </x:text>
    </x:comment>
    <x:comment ref="R10" authorId="0">
      <x:text>
        <x:r>
          <x:t>Planned new debt (FY:30 E).
Planned new debt. This line belongs to the Debt and Leases calculation. Read its formula to trace the referenced inputs and intermediate totals.
Formula: ='Assumptions'!R161
Cross-sheet references identify the owning schedule. Same-sheet references identify intermediate calculations.</x:t>
        </x:r>
      </x:text>
    </x:comment>
    <x:comment ref="S10" authorId="0">
      <x:text>
        <x:r>
          <x:t>Planned new debt (FY:31 E).
Planned new debt. This line belongs to the Debt and Leases calculation. Read its formula to trace the referenced inputs and intermediate totals.
Formula: ='Assumptions'!S161
Cross-sheet references identify the owning schedule. Same-sheet references identify intermediate calculations.</x:t>
        </x:r>
      </x:text>
    </x:comment>
    <x:comment ref="C11" authorId="0">
      <x:text>
        <x:r>
          <x:t>Funding needed after available short-term investments above the reserve are liquidated. Borrowing occurs at year-end and starts accruing interest next year. This is not a committed credit facility.</x:t>
        </x:r>
      </x:text>
    </x:comment>
    <x:comment ref="E11" authorId="0">
      <x:text>
        <x:r>
          <x:t>Liquidity borrowing requirement (FY:17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F11" authorId="0">
      <x:text>
        <x:r>
          <x:t>Liquidity borrowing requirement (FY:18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G11" authorId="0">
      <x:text>
        <x:r>
          <x:t>Liquidity borrowing requirement (FY:19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H11" authorId="0">
      <x:text>
        <x:r>
          <x:t>Liquidity borrowing requirement (FY:20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I11" authorId="0">
      <x:text>
        <x:r>
          <x:t>Liquidity borrowing requirement (FY:21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J11" authorId="0">
      <x:text>
        <x:r>
          <x:t>Liquidity borrowing requirement (FY:22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K11" authorId="0">
      <x:text>
        <x:r>
          <x:t>Liquidity borrowing requirement (FY:23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L11" authorId="0">
      <x:text>
        <x:r>
          <x:t>Liquidity borrowing requirement (FY:24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M11" authorId="0">
      <x:text>
        <x:r>
          <x:t>Liquidity borrowing requirement (FY:25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N11" authorId="0">
      <x:text>
        <x:r>
          <x:t>Liquidity borrowing requirement (FY:26 A).
Funding needed after available short-term investments above the reserve are liquidated. Borrowing occurs at year-end and starts accruing interest next year. This is not a committed credit facility. This period is unavailable or not applicable. Do not interpret it as zero.
Stored input or primary source observation. It is not calculated in this cell.</x:t>
        </x:r>
      </x:text>
    </x:comment>
    <x:comment ref="O11" authorId="0">
      <x:text>
        <x:r>
          <x:t>Liquidity borrowing requirement (FY:27 E).
Funding needed after available short-term investments above the reserve are liquidated. Borrowing occurs at year-end and starts accruing interest next year. This is not a committed credit facility.
Formula: =MAX(0,'Assumptions'!O117-'Cash Flow'!O59-O77)
Cross-sheet references identify the owning schedule. Same-sheet references identify intermediate calculations.</x:t>
        </x:r>
      </x:text>
    </x:comment>
    <x:comment ref="P11" authorId="0">
      <x:text>
        <x:r>
          <x:t>Liquidity borrowing requirement (FY:28 E).
Funding needed after available short-term investments above the reserve are liquidated. Borrowing occurs at year-end and starts accruing interest next year. This is not a committed credit facility.
Formula: =MAX(0,'Assumptions'!P117-'Cash Flow'!P59-P77)
Cross-sheet references identify the owning schedule. Same-sheet references identify intermediate calculations.</x:t>
        </x:r>
      </x:text>
    </x:comment>
    <x:comment ref="Q11" authorId="0">
      <x:text>
        <x:r>
          <x:t>Liquidity borrowing requirement (FY:29 E).
Funding needed after available short-term investments above the reserve are liquidated. Borrowing occurs at year-end and starts accruing interest next year. This is not a committed credit facility.
Formula: =MAX(0,'Assumptions'!Q117-'Cash Flow'!Q59-Q77)
Cross-sheet references identify the owning schedule. Same-sheet references identify intermediate calculations.</x:t>
        </x:r>
      </x:text>
    </x:comment>
    <x:comment ref="R11" authorId="0">
      <x:text>
        <x:r>
          <x:t>Liquidity borrowing requirement (FY:30 E).
Funding needed after available short-term investments above the reserve are liquidated. Borrowing occurs at year-end and starts accruing interest next year. This is not a committed credit facility.
Formula: =MAX(0,'Assumptions'!R117-'Cash Flow'!R59-R77)
Cross-sheet references identify the owning schedule. Same-sheet references identify intermediate calculations.</x:t>
        </x:r>
      </x:text>
    </x:comment>
    <x:comment ref="S11" authorId="0">
      <x:text>
        <x:r>
          <x:t>Liquidity borrowing requirement (FY:31 E).
Funding needed after available short-term investments above the reserve are liquidated. Borrowing occurs at year-end and starts accruing interest next year. This is not a committed credit facility.
Formula: =MAX(0,'Assumptions'!S117-'Cash Flow'!S59-S77)
Cross-sheet references identify the owning schedule. Same-sheet references identify intermediate calculations.</x:t>
        </x:r>
      </x:text>
    </x:comment>
    <x:comment ref="C12" authorId="0">
      <x:text>
        <x:r>
          <x:t>Year-end balance from the relevant roll-forward. Follow the formula to opening balances, additions, expenses, payments or other changes.</x:t>
        </x:r>
      </x:text>
    </x:comment>
    <x:comment ref="E12" authorId="0">
      <x:text>
        <x:r>
          <x:t>Closing debt face value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12" authorId="0">
      <x:text>
        <x:r>
          <x:t>Closing debt face value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12" authorId="0">
      <x:text>
        <x:r>
          <x:t>Closing debt face value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12" authorId="0">
      <x:text>
        <x:r>
          <x:t>Closing debt face value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12" authorId="0">
      <x:text>
        <x:r>
          <x:t>Closing debt face value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12" authorId="0">
      <x:text>
        <x:r>
          <x:t>Closing debt face value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12" authorId="0">
      <x:text>
        <x:r>
          <x:t>Closing debt face value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12" authorId="0">
      <x:text>
        <x:r>
          <x:t>Closing debt face value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12" authorId="0">
      <x:text>
        <x:r>
          <x:t>Closing debt face value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12" authorId="0">
      <x:text>
        <x:r>
          <x:t>Closing debt face value (FY:26 A).
Year-end balance from the relevant roll-forward. Follow the formula to opening balances, additions, expenses, payments or other changes.
Formula: ='Filing Notes'!N24
Cross-sheet references identify the owning schedule. Same-sheet references identify intermediate calculations.</x:t>
        </x:r>
      </x:text>
    </x:comment>
    <x:comment ref="O12" authorId="0">
      <x:text>
        <x:r>
          <x:t>Closing debt face value (FY:27 E).
Year-end balance from the relevant roll-forward. Follow the formula to opening balances, additions, expenses, payments or other changes.
Formula: =O8-O9+O10+O11
Cross-sheet references identify the owning schedule. Same-sheet references identify intermediate calculations.</x:t>
        </x:r>
      </x:text>
    </x:comment>
    <x:comment ref="P12" authorId="0">
      <x:text>
        <x:r>
          <x:t>Closing debt face value (FY:28 E).
Year-end balance from the relevant roll-forward. Follow the formula to opening balances, additions, expenses, payments or other changes.
Formula: =P8-P9+P10+P11
Cross-sheet references identify the owning schedule. Same-sheet references identify intermediate calculations.</x:t>
        </x:r>
      </x:text>
    </x:comment>
    <x:comment ref="Q12" authorId="0">
      <x:text>
        <x:r>
          <x:t>Closing debt face value (FY:29 E).
Year-end balance from the relevant roll-forward. Follow the formula to opening balances, additions, expenses, payments or other changes.
Formula: =Q8-Q9+Q10+Q11
Cross-sheet references identify the owning schedule. Same-sheet references identify intermediate calculations.</x:t>
        </x:r>
      </x:text>
    </x:comment>
    <x:comment ref="R12" authorId="0">
      <x:text>
        <x:r>
          <x:t>Closing debt face value (FY:30 E).
Year-end balance from the relevant roll-forward. Follow the formula to opening balances, additions, expenses, payments or other changes.
Formula: =R8-R9+R10+R11
Cross-sheet references identify the owning schedule. Same-sheet references identify intermediate calculations.</x:t>
        </x:r>
      </x:text>
    </x:comment>
    <x:comment ref="S12" authorId="0">
      <x:text>
        <x:r>
          <x:t>Closing debt face value (FY:31 E).
Year-end balance from the relevant roll-forward. Follow the formula to opening balances, additions, expenses, payments or other changes.
Formula: =S8-S9+S10+S11
Cross-sheet references identify the owning schedule. Same-sheet references identify intermediate calculations.</x:t>
        </x:r>
      </x:text>
    </x:comment>
    <x:comment ref="C14" authorId="0">
      <x:text>
        <x:r>
          <x:t>Beginning-of-year balance. Forecast periods carry forward the prior closing balance, with FY2026 providing the first forecast opening balance.</x:t>
        </x:r>
      </x:text>
    </x:comment>
    <x:comment ref="E14" authorId="0">
      <x:text>
        <x:r>
          <x:t>Opening debt accounting adjustments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14" authorId="0">
      <x:text>
        <x:r>
          <x:t>Opening debt accounting adjustments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14" authorId="0">
      <x:text>
        <x:r>
          <x:t>Opening debt accounting adjustments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14" authorId="0">
      <x:text>
        <x:r>
          <x:t>Opening debt accounting adjustments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14" authorId="0">
      <x:text>
        <x:r>
          <x:t>Opening debt accounting adjustments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14" authorId="0">
      <x:text>
        <x:r>
          <x:t>Opening debt accounting adjustments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14" authorId="0">
      <x:text>
        <x:r>
          <x:t>Opening debt accounting adjustments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14" authorId="0">
      <x:text>
        <x:r>
          <x:t>Opening debt accounting adjustments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14" authorId="0">
      <x:text>
        <x:r>
          <x:t>Opening debt accounting adjustments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14" authorId="0">
      <x:text>
        <x:r>
          <x:t>Opening debt accounting adjustments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14" authorId="0">
      <x:text>
        <x:r>
          <x:t>Opening debt accounting adjustments (FY:27 E).
Beginning-of-year balance. Forecast periods carry forward the prior closing balance, with FY2026 providing the first forecast opening balance.
Formula: =N16
Cross-sheet references identify the owning schedule. Same-sheet references identify intermediate calculations.</x:t>
        </x:r>
      </x:text>
    </x:comment>
    <x:comment ref="P14" authorId="0">
      <x:text>
        <x:r>
          <x:t>Opening debt accounting adjustments (FY:28 E).
Beginning-of-year balance. Forecast periods carry forward the prior closing balance, with FY2026 providing the first forecast opening balance.
Formula: =O16
Cross-sheet references identify the owning schedule. Same-sheet references identify intermediate calculations.</x:t>
        </x:r>
      </x:text>
    </x:comment>
    <x:comment ref="Q14" authorId="0">
      <x:text>
        <x:r>
          <x:t>Opening debt accounting adjustments (FY:29 E).
Beginning-of-year balance. Forecast periods carry forward the prior closing balance, with FY2026 providing the first forecast opening balance.
Formula: =P16
Cross-sheet references identify the owning schedule. Same-sheet references identify intermediate calculations.</x:t>
        </x:r>
      </x:text>
    </x:comment>
    <x:comment ref="R14" authorId="0">
      <x:text>
        <x:r>
          <x:t>Opening debt accounting adjustments (FY:30 E).
Beginning-of-year balance. Forecast periods carry forward the prior closing balance, with FY2026 providing the first forecast opening balance.
Formula: =Q16
Cross-sheet references identify the owning schedule. Same-sheet references identify intermediate calculations.</x:t>
        </x:r>
      </x:text>
    </x:comment>
    <x:comment ref="S14" authorId="0">
      <x:text>
        <x:r>
          <x:t>Opening debt accounting adjustments (FY:31 E).
Beginning-of-year balance. Forecast periods carry forward the prior closing balance, with FY2026 providing the first forecast opening balance.
Formula: =R16
Cross-sheet references identify the owning schedule. Same-sheet references identify intermediate calculations.</x:t>
        </x:r>
      </x:text>
    </x:comment>
    <x:comment ref="C15" authorId="0">
      <x:text>
        <x:r>
          <x:t>Cash balance or signed cash flow as named in the row. Positive cash-flow amounts are inflows and negative amounts are outflows. Follow the formula or source reference below for the classification.</x:t>
        </x:r>
      </x:text>
    </x:comment>
    <x:comment ref="E15" authorId="0">
      <x:text>
        <x:r>
          <x:t>Noncash accounting amortization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15" authorId="0">
      <x:text>
        <x:r>
          <x:t>Noncash accounting amortization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15" authorId="0">
      <x:text>
        <x:r>
          <x:t>Noncash accounting amortization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15" authorId="0">
      <x:text>
        <x:r>
          <x:t>Noncash accounting amortization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xt>
        <x:r>
          <x:t>Noncash accounting amortization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15" authorId="0">
      <x:text>
        <x:r>
          <x:t>Noncash accounting amortization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15" authorId="0">
      <x:text>
        <x:r>
          <x:t>Noncash accounting amortization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15" authorId="0">
      <x:text>
        <x:r>
          <x:t>Noncash accounting amortization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15" authorId="0">
      <x:text>
        <x:r>
          <x:t>Noncash accounting amortization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15" authorId="0">
      <x:text>
        <x:r>
          <x:t>Noncash accounting amortization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15" authorId="0">
      <x:text>
        <x:r>
          <x:t>Noncash accounting amortization (FY:27 E).
Cash balance or signed cash flow as named in the row. Positive cash-flow amounts are inflows and negative amounts are outflows. Follow the formula or source reference below for the classification.
Formula: =MIN(O14,O14*'Assumptions'!O137)
Cross-sheet references identify the owning schedule. Same-sheet references identify intermediate calculations.</x:t>
        </x:r>
      </x:text>
    </x:comment>
    <x:comment ref="P15" authorId="0">
      <x:text>
        <x:r>
          <x:t>Noncash accounting amortization (FY:28 E).
Cash balance or signed cash flow as named in the row. Positive cash-flow amounts are inflows and negative amounts are outflows. Follow the formula or source reference below for the classification.
Formula: =MIN(P14,P14*'Assumptions'!P137)
Cross-sheet references identify the owning schedule. Same-sheet references identify intermediate calculations.</x:t>
        </x:r>
      </x:text>
    </x:comment>
    <x:comment ref="Q15" authorId="0">
      <x:text>
        <x:r>
          <x:t>Noncash accounting amortization (FY:29 E).
Cash balance or signed cash flow as named in the row. Positive cash-flow amounts are inflows and negative amounts are outflows. Follow the formula or source reference below for the classification.
Formula: =MIN(Q14,Q14*'Assumptions'!Q137)
Cross-sheet references identify the owning schedule. Same-sheet references identify intermediate calculations.</x:t>
        </x:r>
      </x:text>
    </x:comment>
    <x:comment ref="R15" authorId="0">
      <x:text>
        <x:r>
          <x:t>Noncash accounting amortization (FY:30 E).
Cash balance or signed cash flow as named in the row. Positive cash-flow amounts are inflows and negative amounts are outflows. Follow the formula or source reference below for the classification.
Formula: =MIN(R14,R14*'Assumptions'!R137)
Cross-sheet references identify the owning schedule. Same-sheet references identify intermediate calculations.</x:t>
        </x:r>
      </x:text>
    </x:comment>
    <x:comment ref="S15" authorId="0">
      <x:text>
        <x:r>
          <x:t>Noncash accounting amortization (FY:31 E).
Cash balance or signed cash flow as named in the row. Positive cash-flow amounts are inflows and negative amounts are outflows. Follow the formula or source reference below for the classification.
Formula: =MIN(S14,S14*'Assumptions'!S137)
Cross-sheet references identify the owning schedule. Same-sheet references identify intermediate calculations.</x:t>
        </x:r>
      </x:text>
    </x:comment>
    <x:comment ref="C16" authorId="0">
      <x:text>
        <x:r>
          <x:t>Year-end balance from the relevant roll-forward. Follow the formula to opening balances, additions, expenses, payments or other changes.</x:t>
        </x:r>
      </x:text>
    </x:comment>
    <x:comment ref="E16" authorId="0">
      <x:text>
        <x:r>
          <x:t>Closing debt accounting adjustments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16" authorId="0">
      <x:text>
        <x:r>
          <x:t>Closing debt accounting adjustments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16" authorId="0">
      <x:text>
        <x:r>
          <x:t>Closing debt accounting adjustments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16" authorId="0">
      <x:text>
        <x:r>
          <x:t>Closing debt accounting adjustments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16" authorId="0">
      <x:text>
        <x:r>
          <x:t>Closing debt accounting adjustments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16" authorId="0">
      <x:text>
        <x:r>
          <x:t>Closing debt accounting adjustments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16" authorId="0">
      <x:text>
        <x:r>
          <x:t>Closing debt accounting adjustments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16" authorId="0">
      <x:text>
        <x:r>
          <x:t>Closing debt accounting adjustments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16" authorId="0">
      <x:text>
        <x:r>
          <x:t>Closing debt accounting adjustments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16" authorId="0">
      <x:text>
        <x:r>
          <x:t>Closing debt accounting adjustments (FY:26 A).
Year-end balance from the relevant roll-forward. Follow the formula to opening balances, additions, expenses, payments or other changes.
Formula: =SUM('Filing Notes'!N25:N27)
Cross-sheet references identify the owning schedule. Same-sheet references identify intermediate calculations.</x:t>
        </x:r>
      </x:text>
    </x:comment>
    <x:comment ref="O16" authorId="0">
      <x:text>
        <x:r>
          <x:t>Closing debt accounting adjustments (FY:27 E).
Year-end balance from the relevant roll-forward. Follow the formula to opening balances, additions, expenses, payments or other changes.
Formula: =O14-O15
Cross-sheet references identify the owning schedule. Same-sheet references identify intermediate calculations.</x:t>
        </x:r>
      </x:text>
    </x:comment>
    <x:comment ref="P16" authorId="0">
      <x:text>
        <x:r>
          <x:t>Closing debt accounting adjustments (FY:28 E).
Year-end balance from the relevant roll-forward. Follow the formula to opening balances, additions, expenses, payments or other changes.
Formula: =P14-P15
Cross-sheet references identify the owning schedule. Same-sheet references identify intermediate calculations.</x:t>
        </x:r>
      </x:text>
    </x:comment>
    <x:comment ref="Q16" authorId="0">
      <x:text>
        <x:r>
          <x:t>Closing debt accounting adjustments (FY:29 E).
Year-end balance from the relevant roll-forward. Follow the formula to opening balances, additions, expenses, payments or other changes.
Formula: =Q14-Q15
Cross-sheet references identify the owning schedule. Same-sheet references identify intermediate calculations.</x:t>
        </x:r>
      </x:text>
    </x:comment>
    <x:comment ref="R16" authorId="0">
      <x:text>
        <x:r>
          <x:t>Closing debt accounting adjustments (FY:30 E).
Year-end balance from the relevant roll-forward. Follow the formula to opening balances, additions, expenses, payments or other changes.
Formula: =R14-R15
Cross-sheet references identify the owning schedule. Same-sheet references identify intermediate calculations.</x:t>
        </x:r>
      </x:text>
    </x:comment>
    <x:comment ref="S16" authorId="0">
      <x:text>
        <x:r>
          <x:t>Closing debt accounting adjustments (FY:31 E).
Year-end balance from the relevant roll-forward. Follow the formula to opening balances, additions, expenses, payments or other changes.
Formula: =S14-S15
Cross-sheet references identify the owning schedule. Same-sheet references identify intermediate calculations.</x:t>
        </x:r>
      </x:text>
    </x:comment>
    <x:comment ref="C18" authorId="0">
      <x:text>
        <x:r>
          <x:t>Year-end balance from the relevant roll-forward. Follow the formula to opening balances, additions, expenses, payments or other changes.</x:t>
        </x:r>
      </x:text>
    </x:comment>
    <x:comment ref="E18" authorId="0">
      <x:text>
        <x:r>
          <x:t>Closing debt carrying amount (FY:17 A).
Year-end balance from the relevant roll-forward. Follow the formula to opening balances, additions, expenses, payments or other changes.
Formula: ='Historical Inputs'!E43+'Historical Inputs'!E49+'Historical Inputs'!E61
Cross-sheet references identify the owning schedule. Same-sheet references identify intermediate calculations.</x:t>
        </x:r>
      </x:text>
    </x:comment>
    <x:comment ref="F18" authorId="0">
      <x:text>
        <x:r>
          <x:t>Closing debt carrying amount (FY:18 A).
Year-end balance from the relevant roll-forward. Follow the formula to opening balances, additions, expenses, payments or other changes.
Formula: ='Historical Inputs'!F43+'Historical Inputs'!F49+'Historical Inputs'!F61
Cross-sheet references identify the owning schedule. Same-sheet references identify intermediate calculations.</x:t>
        </x:r>
      </x:text>
    </x:comment>
    <x:comment ref="G18" authorId="0">
      <x:text>
        <x:r>
          <x:t>Closing debt carrying amount (FY:19 A).
Year-end balance from the relevant roll-forward. Follow the formula to opening balances, additions, expenses, payments or other changes.
Formula: ='Historical Inputs'!G43+'Historical Inputs'!G49+'Historical Inputs'!G61
Cross-sheet references identify the owning schedule. Same-sheet references identify intermediate calculations.</x:t>
        </x:r>
      </x:text>
    </x:comment>
    <x:comment ref="H18" authorId="0">
      <x:text>
        <x:r>
          <x:t>Closing debt carrying amount (FY:20 A).
Year-end balance from the relevant roll-forward. Follow the formula to opening balances, additions, expenses, payments or other changes.
Formula: ='Historical Inputs'!H43+'Historical Inputs'!H49+'Historical Inputs'!H61
Cross-sheet references identify the owning schedule. Same-sheet references identify intermediate calculations.</x:t>
        </x:r>
      </x:text>
    </x:comment>
    <x:comment ref="I18" authorId="0">
      <x:text>
        <x:r>
          <x:t>Closing debt carrying amount (FY:21 A).
Year-end balance from the relevant roll-forward. Follow the formula to opening balances, additions, expenses, payments or other changes.
Formula: ='Historical Inputs'!I43+'Historical Inputs'!I49+'Historical Inputs'!I61
Cross-sheet references identify the owning schedule. Same-sheet references identify intermediate calculations.</x:t>
        </x:r>
      </x:text>
    </x:comment>
    <x:comment ref="J18" authorId="0">
      <x:text>
        <x:r>
          <x:t>Closing debt carrying amount (FY:22 A).
Year-end balance from the relevant roll-forward. Follow the formula to opening balances, additions, expenses, payments or other changes.
Formula: ='Historical Inputs'!J43+'Historical Inputs'!J49+'Historical Inputs'!J61
Cross-sheet references identify the owning schedule. Same-sheet references identify intermediate calculations.</x:t>
        </x:r>
      </x:text>
    </x:comment>
    <x:comment ref="K18" authorId="0">
      <x:text>
        <x:r>
          <x:t>Closing debt carrying amount (FY:23 A).
Year-end balance from the relevant roll-forward. Follow the formula to opening balances, additions, expenses, payments or other changes.
Formula: ='Historical Inputs'!K43+'Historical Inputs'!K49+'Historical Inputs'!K61
Cross-sheet references identify the owning schedule. Same-sheet references identify intermediate calculations.</x:t>
        </x:r>
      </x:text>
    </x:comment>
    <x:comment ref="L18" authorId="0">
      <x:text>
        <x:r>
          <x:t>Closing debt carrying amount (FY:24 A).
Year-end balance from the relevant roll-forward. Follow the formula to opening balances, additions, expenses, payments or other changes.
Formula: ='Historical Inputs'!L43+'Historical Inputs'!L49+'Historical Inputs'!L61
Cross-sheet references identify the owning schedule. Same-sheet references identify intermediate calculations.</x:t>
        </x:r>
      </x:text>
    </x:comment>
    <x:comment ref="M18" authorId="0">
      <x:text>
        <x:r>
          <x:t>Closing debt carrying amount (FY:25 A).
Year-end balance from the relevant roll-forward. Follow the formula to opening balances, additions, expenses, payments or other changes.
Formula: ='Historical Inputs'!M43+'Historical Inputs'!M49+'Historical Inputs'!M61
Cross-sheet references identify the owning schedule. Same-sheet references identify intermediate calculations.</x:t>
        </x:r>
      </x:text>
    </x:comment>
    <x:comment ref="N18" authorId="0">
      <x:text>
        <x:r>
          <x:t>Closing debt carrying amount (FY:26 A).
Year-end balance from the relevant roll-forward. Follow the formula to opening balances, additions, expenses, payments or other changes.
Formula: ='Historical Inputs'!N43+'Historical Inputs'!N49+'Historical Inputs'!N61
Cross-sheet references identify the owning schedule. Same-sheet references identify intermediate calculations.</x:t>
        </x:r>
      </x:text>
    </x:comment>
    <x:comment ref="O18" authorId="0">
      <x:text>
        <x:r>
          <x:t>Closing debt carrying amount (FY:27 E).
Year-end balance from the relevant roll-forward. Follow the formula to opening balances, additions, expenses, payments or other changes.
Formula: =O12-O16
Cross-sheet references identify the owning schedule. Same-sheet references identify intermediate calculations.</x:t>
        </x:r>
      </x:text>
    </x:comment>
    <x:comment ref="P18" authorId="0">
      <x:text>
        <x:r>
          <x:t>Closing debt carrying amount (FY:28 E).
Year-end balance from the relevant roll-forward. Follow the formula to opening balances, additions, expenses, payments or other changes.
Formula: =P12-P16
Cross-sheet references identify the owning schedule. Same-sheet references identify intermediate calculations.</x:t>
        </x:r>
      </x:text>
    </x:comment>
    <x:comment ref="Q18" authorId="0">
      <x:text>
        <x:r>
          <x:t>Closing debt carrying amount (FY:29 E).
Year-end balance from the relevant roll-forward. Follow the formula to opening balances, additions, expenses, payments or other changes.
Formula: =Q12-Q16
Cross-sheet references identify the owning schedule. Same-sheet references identify intermediate calculations.</x:t>
        </x:r>
      </x:text>
    </x:comment>
    <x:comment ref="R18" authorId="0">
      <x:text>
        <x:r>
          <x:t>Closing debt carrying amount (FY:30 E).
Year-end balance from the relevant roll-forward. Follow the formula to opening balances, additions, expenses, payments or other changes.
Formula: =R12-R16
Cross-sheet references identify the owning schedule. Same-sheet references identify intermediate calculations.</x:t>
        </x:r>
      </x:text>
    </x:comment>
    <x:comment ref="S18" authorId="0">
      <x:text>
        <x:r>
          <x:t>Closing debt carrying amount (FY:31 E).
Year-end balance from the relevant roll-forward. Follow the formula to opening balances, additions, expenses, payments or other changes.
Formula: =S12-S16
Cross-sheet references identify the owning schedule. Same-sheet references identify intermediate calculations.</x:t>
        </x:r>
      </x:text>
    </x:comment>
    <x:comment ref="C19" authorId="0">
      <x:text>
        <x:r>
          <x:t>Current debt carrying amount. This line belongs to the Debt and Leases calculation. Read its formula to trace the referenced inputs and intermediate totals.</x:t>
        </x:r>
      </x:text>
    </x:comment>
    <x:comment ref="E19" authorId="0">
      <x:text>
        <x:r>
          <x:t>Current debt carrying amount (FY:17 A).
Current debt carrying amount. This line belongs to the Debt and Leases calculation. Read its formula to trace the referenced inputs and intermediate totals.
Formula: ='Historical Inputs'!E43
Cross-sheet references identify the owning schedule. Same-sheet references identify intermediate calculations.</x:t>
        </x:r>
      </x:text>
    </x:comment>
    <x:comment ref="F19" authorId="0">
      <x:text>
        <x:r>
          <x:t>Current debt carrying amount (FY:18 A).
Current debt carrying amount. This line belongs to the Debt and Leases calculation. Read its formula to trace the referenced inputs and intermediate totals.
Formula: ='Historical Inputs'!F43
Cross-sheet references identify the owning schedule. Same-sheet references identify intermediate calculations.</x:t>
        </x:r>
      </x:text>
    </x:comment>
    <x:comment ref="G19" authorId="0">
      <x:text>
        <x:r>
          <x:t>Current debt carrying amount (FY:19 A).
Current debt carrying amount. This line belongs to the Debt and Leases calculation. Read its formula to trace the referenced inputs and intermediate totals.
Formula: ='Historical Inputs'!G43
Cross-sheet references identify the owning schedule. Same-sheet references identify intermediate calculations.</x:t>
        </x:r>
      </x:text>
    </x:comment>
    <x:comment ref="H19" authorId="0">
      <x:text>
        <x:r>
          <x:t>Current debt carrying amount (FY:20 A).
Current debt carrying amount. This line belongs to the Debt and Leases calculation. Read its formula to trace the referenced inputs and intermediate totals.
Formula: ='Historical Inputs'!H43
Cross-sheet references identify the owning schedule. Same-sheet references identify intermediate calculations.</x:t>
        </x:r>
      </x:text>
    </x:comment>
    <x:comment ref="I19" authorId="0">
      <x:text>
        <x:r>
          <x:t>Current debt carrying amount (FY:21 A).
Current debt carrying amount. This line belongs to the Debt and Leases calculation. Read its formula to trace the referenced inputs and intermediate totals.
Formula: ='Historical Inputs'!I43
Cross-sheet references identify the owning schedule. Same-sheet references identify intermediate calculations.</x:t>
        </x:r>
      </x:text>
    </x:comment>
    <x:comment ref="J19" authorId="0">
      <x:text>
        <x:r>
          <x:t>Current debt carrying amount (FY:22 A).
Current debt carrying amount. This line belongs to the Debt and Leases calculation. Read its formula to trace the referenced inputs and intermediate totals.
Formula: ='Historical Inputs'!J43
Cross-sheet references identify the owning schedule. Same-sheet references identify intermediate calculations.</x:t>
        </x:r>
      </x:text>
    </x:comment>
    <x:comment ref="K19" authorId="0">
      <x:text>
        <x:r>
          <x:t>Current debt carrying amount (FY:23 A).
Current debt carrying amount. This line belongs to the Debt and Leases calculation. Read its formula to trace the referenced inputs and intermediate totals.
Formula: ='Historical Inputs'!K43
Cross-sheet references identify the owning schedule. Same-sheet references identify intermediate calculations.</x:t>
        </x:r>
      </x:text>
    </x:comment>
    <x:comment ref="L19" authorId="0">
      <x:text>
        <x:r>
          <x:t>Current debt carrying amount (FY:24 A).
Current debt carrying amount. This line belongs to the Debt and Leases calculation. Read its formula to trace the referenced inputs and intermediate totals.
Formula: ='Historical Inputs'!L43
Cross-sheet references identify the owning schedule. Same-sheet references identify intermediate calculations.</x:t>
        </x:r>
      </x:text>
    </x:comment>
    <x:comment ref="M19" authorId="0">
      <x:text>
        <x:r>
          <x:t>Current debt carrying amount (FY:25 A).
Current debt carrying amount. This line belongs to the Debt and Leases calculation. Read its formula to trace the referenced inputs and intermediate totals.
Formula: ='Historical Inputs'!M43
Cross-sheet references identify the owning schedule. Same-sheet references identify intermediate calculations.</x:t>
        </x:r>
      </x:text>
    </x:comment>
    <x:comment ref="N19" authorId="0">
      <x:text>
        <x:r>
          <x:t>Current debt carrying amount (FY:26 A).
Current debt carrying amount. This line belongs to the Debt and Leases calculation. Read its formula to trace the referenced inputs and intermediate totals.
Formula: ='Historical Inputs'!N43
Cross-sheet references identify the owning schedule. Same-sheet references identify intermediate calculations.</x:t>
        </x:r>
      </x:text>
    </x:comment>
    <x:comment ref="O19" authorId="0">
      <x:text>
        <x:r>
          <x:t>Current debt carrying amount (FY:27 E).
Current debt carrying amount. This line belongs to the Debt and Leases calculation. Read its formula to trace the referenced inputs and intermediate totals.
Formula: =MIN(O18,O27*(1-'Filing Notes'!N44))
Cross-sheet references identify the owning schedule. Same-sheet references identify intermediate calculations.</x:t>
        </x:r>
      </x:text>
    </x:comment>
    <x:comment ref="P19" authorId="0">
      <x:text>
        <x:r>
          <x:t>Current debt carrying amount (FY:28 E).
Current debt carrying amount. This line belongs to the Debt and Leases calculation. Read its formula to trace the referenced inputs and intermediate totals.
Formula: =MIN(P18,P27*(1-'Filing Notes'!N44))
Cross-sheet references identify the owning schedule. Same-sheet references identify intermediate calculations.</x:t>
        </x:r>
      </x:text>
    </x:comment>
    <x:comment ref="Q19" authorId="0">
      <x:text>
        <x:r>
          <x:t>Current debt carrying amount (FY:29 E).
Current debt carrying amount. This line belongs to the Debt and Leases calculation. Read its formula to trace the referenced inputs and intermediate totals.
Formula: =MIN(Q18,Q27*(1-'Filing Notes'!N44))
Cross-sheet references identify the owning schedule. Same-sheet references identify intermediate calculations.</x:t>
        </x:r>
      </x:text>
    </x:comment>
    <x:comment ref="R19" authorId="0">
      <x:text>
        <x:r>
          <x:t>Current debt carrying amount (FY:30 E).
Current debt carrying amount. This line belongs to the Debt and Leases calculation. Read its formula to trace the referenced inputs and intermediate totals.
Formula: =MIN(R18,R27*(1-'Filing Notes'!N44))
Cross-sheet references identify the owning schedule. Same-sheet references identify intermediate calculations.</x:t>
        </x:r>
      </x:text>
    </x:comment>
    <x:comment ref="S19" authorId="0">
      <x:text>
        <x:r>
          <x:t>Current debt carrying amount (FY:31 E).
Current debt carrying amount. This line belongs to the Debt and Leases calculation. Read its formula to trace the referenced inputs and intermediate totals.
Formula: =MIN(S18,S27*(1-'Filing Notes'!N44))
Cross-sheet references identify the owning schedule. Same-sheet references identify intermediate calculations.</x:t>
        </x:r>
      </x:text>
    </x:comment>
    <x:comment ref="C20" authorId="0">
      <x:text>
        <x:r>
          <x:t>Long-term debt carrying amount. This line belongs to the Debt and Leases calculation. Read its formula to trace the referenced inputs and intermediate totals.</x:t>
        </x:r>
      </x:text>
    </x:comment>
    <x:comment ref="E20" authorId="0">
      <x:text>
        <x:r>
          <x:t>Long-term debt carrying amount (FY:17 A).
Long-term debt carrying amount. This line belongs to the Debt and Leases calculation. Read its formula to trace the referenced inputs and intermediate totals.
Formula: ='Historical Inputs'!E49
Cross-sheet references identify the owning schedule. Same-sheet references identify intermediate calculations.</x:t>
        </x:r>
      </x:text>
    </x:comment>
    <x:comment ref="F20" authorId="0">
      <x:text>
        <x:r>
          <x:t>Long-term debt carrying amount (FY:18 A).
Long-term debt carrying amount. This line belongs to the Debt and Leases calculation. Read its formula to trace the referenced inputs and intermediate totals.
Formula: ='Historical Inputs'!F49
Cross-sheet references identify the owning schedule. Same-sheet references identify intermediate calculations.</x:t>
        </x:r>
      </x:text>
    </x:comment>
    <x:comment ref="G20" authorId="0">
      <x:text>
        <x:r>
          <x:t>Long-term debt carrying amount (FY:19 A).
Long-term debt carrying amount. This line belongs to the Debt and Leases calculation. Read its formula to trace the referenced inputs and intermediate totals.
Formula: ='Historical Inputs'!G49
Cross-sheet references identify the owning schedule. Same-sheet references identify intermediate calculations.</x:t>
        </x:r>
      </x:text>
    </x:comment>
    <x:comment ref="H20" authorId="0">
      <x:text>
        <x:r>
          <x:t>Long-term debt carrying amount (FY:20 A).
Long-term debt carrying amount. This line belongs to the Debt and Leases calculation. Read its formula to trace the referenced inputs and intermediate totals.
Formula: ='Historical Inputs'!H49
Cross-sheet references identify the owning schedule. Same-sheet references identify intermediate calculations.</x:t>
        </x:r>
      </x:text>
    </x:comment>
    <x:comment ref="I20" authorId="0">
      <x:text>
        <x:r>
          <x:t>Long-term debt carrying amount (FY:21 A).
Long-term debt carrying amount. This line belongs to the Debt and Leases calculation. Read its formula to trace the referenced inputs and intermediate totals.
Formula: ='Historical Inputs'!I49
Cross-sheet references identify the owning schedule. Same-sheet references identify intermediate calculations.</x:t>
        </x:r>
      </x:text>
    </x:comment>
    <x:comment ref="J20" authorId="0">
      <x:text>
        <x:r>
          <x:t>Long-term debt carrying amount (FY:22 A).
Long-term debt carrying amount. This line belongs to the Debt and Leases calculation. Read its formula to trace the referenced inputs and intermediate totals.
Formula: ='Historical Inputs'!J49
Cross-sheet references identify the owning schedule. Same-sheet references identify intermediate calculations.</x:t>
        </x:r>
      </x:text>
    </x:comment>
    <x:comment ref="K20" authorId="0">
      <x:text>
        <x:r>
          <x:t>Long-term debt carrying amount (FY:23 A).
Long-term debt carrying amount. This line belongs to the Debt and Leases calculation. Read its formula to trace the referenced inputs and intermediate totals.
Formula: ='Historical Inputs'!K49
Cross-sheet references identify the owning schedule. Same-sheet references identify intermediate calculations.</x:t>
        </x:r>
      </x:text>
    </x:comment>
    <x:comment ref="L20" authorId="0">
      <x:text>
        <x:r>
          <x:t>Long-term debt carrying amount (FY:24 A).
Long-term debt carrying amount. This line belongs to the Debt and Leases calculation. Read its formula to trace the referenced inputs and intermediate totals.
Formula: ='Historical Inputs'!L49
Cross-sheet references identify the owning schedule. Same-sheet references identify intermediate calculations.</x:t>
        </x:r>
      </x:text>
    </x:comment>
    <x:comment ref="M20" authorId="0">
      <x:text>
        <x:r>
          <x:t>Long-term debt carrying amount (FY:25 A).
Long-term debt carrying amount. This line belongs to the Debt and Leases calculation. Read its formula to trace the referenced inputs and intermediate totals.
Formula: ='Historical Inputs'!M49
Cross-sheet references identify the owning schedule. Same-sheet references identify intermediate calculations.</x:t>
        </x:r>
      </x:text>
    </x:comment>
    <x:comment ref="N20" authorId="0">
      <x:text>
        <x:r>
          <x:t>Long-term debt carrying amount (FY:26 A).
Long-term debt carrying amount. This line belongs to the Debt and Leases calculation. Read its formula to trace the referenced inputs and intermediate totals.
Formula: ='Historical Inputs'!N49
Cross-sheet references identify the owning schedule. Same-sheet references identify intermediate calculations.</x:t>
        </x:r>
      </x:text>
    </x:comment>
    <x:comment ref="O20" authorId="0">
      <x:text>
        <x:r>
          <x:t>Long-term debt carrying amount (FY:27 E).
Long-term debt carrying amount. This line belongs to the Debt and Leases calculation. Read its formula to trace the referenced inputs and intermediate totals.
Formula: =O18-O19
Cross-sheet references identify the owning schedule. Same-sheet references identify intermediate calculations.</x:t>
        </x:r>
      </x:text>
    </x:comment>
    <x:comment ref="P20" authorId="0">
      <x:text>
        <x:r>
          <x:t>Long-term debt carrying amount (FY:28 E).
Long-term debt carrying amount. This line belongs to the Debt and Leases calculation. Read its formula to trace the referenced inputs and intermediate totals.
Formula: =P18-P19
Cross-sheet references identify the owning schedule. Same-sheet references identify intermediate calculations.</x:t>
        </x:r>
      </x:text>
    </x:comment>
    <x:comment ref="Q20" authorId="0">
      <x:text>
        <x:r>
          <x:t>Long-term debt carrying amount (FY:29 E).
Long-term debt carrying amount. This line belongs to the Debt and Leases calculation. Read its formula to trace the referenced inputs and intermediate totals.
Formula: =Q18-Q19
Cross-sheet references identify the owning schedule. Same-sheet references identify intermediate calculations.</x:t>
        </x:r>
      </x:text>
    </x:comment>
    <x:comment ref="R20" authorId="0">
      <x:text>
        <x:r>
          <x:t>Long-term debt carrying amount (FY:30 E).
Long-term debt carrying amount. This line belongs to the Debt and Leases calculation. Read its formula to trace the referenced inputs and intermediate totals.
Formula: =R18-R19
Cross-sheet references identify the owning schedule. Same-sheet references identify intermediate calculations.</x:t>
        </x:r>
      </x:text>
    </x:comment>
    <x:comment ref="S20" authorId="0">
      <x:text>
        <x:r>
          <x:t>Long-term debt carrying amount (FY:31 E).
Long-term debt carrying amount. This line belongs to the Debt and Leases calculation. Read its formula to trace the referenced inputs and intermediate totals.
Formula: =S18-S19
Cross-sheet references identify the owning schedule. Same-sheet references identify intermediate calculations.</x:t>
        </x:r>
      </x:text>
    </x:comment>
    <x:comment ref="C22" authorId="0">
      <x:text>
        <x:r>
          <x:t>Interest or investment income calculated using the named rate and balance. Capitalized interest is part of the capex budget; the remaining recognized interest affects net income.</x:t>
        </x:r>
      </x:text>
    </x:comment>
    <x:comment ref="E22" authorId="0">
      <x:text>
        <x:r>
          <x:t>Cash coupon interest on debt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22" authorId="0">
      <x:text>
        <x:r>
          <x:t>Cash coupon interest on debt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22" authorId="0">
      <x:text>
        <x:r>
          <x:t>Cash coupon interest on debt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22" authorId="0">
      <x:text>
        <x:r>
          <x:t>Cash coupon interest on debt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22" authorId="0">
      <x:text>
        <x:r>
          <x:t>Cash coupon interest on debt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22" authorId="0">
      <x:text>
        <x:r>
          <x:t>Cash coupon interest on debt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22" authorId="0">
      <x:text>
        <x:r>
          <x:t>Cash coupon interest on debt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22" authorId="0">
      <x:text>
        <x:r>
          <x:t>Cash coupon interest on debt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22" authorId="0">
      <x:text>
        <x:r>
          <x:t>Cash coupon interest on debt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22" authorId="0">
      <x:text>
        <x:r>
          <x:t>Cash coupon interest on debt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22" authorId="0">
      <x:text>
        <x:r>
          <x:t>Cash coupon interest on debt (FY:27 E).
Interest or investment income calculated using the named rate and balance. Capitalized interest is part of the capex budget; the remaining recognized interest affects net income.
Formula: =O8*'Assumptions'!O125
Cross-sheet references identify the owning schedule. Same-sheet references identify intermediate calculations.</x:t>
        </x:r>
      </x:text>
    </x:comment>
    <x:comment ref="P22" authorId="0">
      <x:text>
        <x:r>
          <x:t>Cash coupon interest on debt (FY:28 E).
Interest or investment income calculated using the named rate and balance. Capitalized interest is part of the capex budget; the remaining recognized interest affects net income.
Formula: =P8*'Assumptions'!P125
Cross-sheet references identify the owning schedule. Same-sheet references identify intermediate calculations.</x:t>
        </x:r>
      </x:text>
    </x:comment>
    <x:comment ref="Q22" authorId="0">
      <x:text>
        <x:r>
          <x:t>Cash coupon interest on debt (FY:29 E).
Interest or investment income calculated using the named rate and balance. Capitalized interest is part of the capex budget; the remaining recognized interest affects net income.
Formula: =Q8*'Assumptions'!Q125
Cross-sheet references identify the owning schedule. Same-sheet references identify intermediate calculations.</x:t>
        </x:r>
      </x:text>
    </x:comment>
    <x:comment ref="R22" authorId="0">
      <x:text>
        <x:r>
          <x:t>Cash coupon interest on debt (FY:30 E).
Interest or investment income calculated using the named rate and balance. Capitalized interest is part of the capex budget; the remaining recognized interest affects net income.
Formula: =R8*'Assumptions'!R125
Cross-sheet references identify the owning schedule. Same-sheet references identify intermediate calculations.</x:t>
        </x:r>
      </x:text>
    </x:comment>
    <x:comment ref="S22" authorId="0">
      <x:text>
        <x:r>
          <x:t>Cash coupon interest on debt (FY:31 E).
Interest or investment income calculated using the named rate and balance. Capitalized interest is part of the capex budget; the remaining recognized interest affects net income.
Formula: =S8*'Assumptions'!S125
Cross-sheet references identify the owning schedule. Same-sheet references identify intermediate calculations.</x:t>
        </x:r>
      </x:text>
    </x:comment>
    <x:comment ref="C23" authorId="0">
      <x:text>
        <x:r>
          <x:t>Interest or investment income calculated using the named rate and balance. Capitalized interest is part of the capex budget; the remaining recognized interest affects net income.</x:t>
        </x:r>
      </x:text>
    </x:comment>
    <x:comment ref="E23" authorId="0">
      <x:text>
        <x:r>
          <x:t>Finance lease interest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23" authorId="0">
      <x:text>
        <x:r>
          <x:t>Finance lease interest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23" authorId="0">
      <x:text>
        <x:r>
          <x:t>Finance lease interest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23" authorId="0">
      <x:text>
        <x:r>
          <x:t>Finance lease interest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23" authorId="0">
      <x:text>
        <x:r>
          <x:t>Finance lease interest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23" authorId="0">
      <x:text>
        <x:r>
          <x:t>Finance lease interest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23" authorId="0">
      <x:text>
        <x:r>
          <x:t>Finance lease interest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23" authorId="0">
      <x:text>
        <x:r>
          <x:t>Finance lease interest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23" authorId="0">
      <x:text>
        <x:r>
          <x:t>Finance lease interest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23" authorId="0">
      <x:text>
        <x:r>
          <x:t>Finance lease interest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23" authorId="0">
      <x:text>
        <x:r>
          <x:t>Finance lease interest (FY:27 E).
Interest or investment income calculated using the named rate and balance. Capitalized interest is part of the capex budget; the remaining recognized interest affects net income.
Formula: =O40
Cross-sheet references identify the owning schedule. Same-sheet references identify intermediate calculations.</x:t>
        </x:r>
      </x:text>
    </x:comment>
    <x:comment ref="P23" authorId="0">
      <x:text>
        <x:r>
          <x:t>Finance lease interest (FY:28 E).
Interest or investment income calculated using the named rate and balance. Capitalized interest is part of the capex budget; the remaining recognized interest affects net income.
Formula: =P40
Cross-sheet references identify the owning schedule. Same-sheet references identify intermediate calculations.</x:t>
        </x:r>
      </x:text>
    </x:comment>
    <x:comment ref="Q23" authorId="0">
      <x:text>
        <x:r>
          <x:t>Finance lease interest (FY:29 E).
Interest or investment income calculated using the named rate and balance. Capitalized interest is part of the capex budget; the remaining recognized interest affects net income.
Formula: =Q40
Cross-sheet references identify the owning schedule. Same-sheet references identify intermediate calculations.</x:t>
        </x:r>
      </x:text>
    </x:comment>
    <x:comment ref="R23" authorId="0">
      <x:text>
        <x:r>
          <x:t>Finance lease interest (FY:30 E).
Interest or investment income calculated using the named rate and balance. Capitalized interest is part of the capex budget; the remaining recognized interest affects net income.
Formula: =R40
Cross-sheet references identify the owning schedule. Same-sheet references identify intermediate calculations.</x:t>
        </x:r>
      </x:text>
    </x:comment>
    <x:comment ref="S23" authorId="0">
      <x:text>
        <x:r>
          <x:t>Finance lease interest (FY:31 E).
Interest or investment income calculated using the named rate and balance. Capitalized interest is part of the capex budget; the remaining recognized interest affects net income.
Formula: =S40
Cross-sheet references identify the owning schedule. Same-sheet references identify intermediate calculations.</x:t>
        </x:r>
      </x:text>
    </x:comment>
    <x:comment ref="C24" authorId="0">
      <x:text>
        <x:r>
          <x:t>Interest or investment income calculated using the named rate and balance. Capitalized interest is part of the capex budget; the remaining recognized interest affects net income.</x:t>
        </x:r>
      </x:text>
    </x:comment>
    <x:comment ref="E24" authorId="0">
      <x:text>
        <x:r>
          <x:t>Capitalized cash interest within capex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24" authorId="0">
      <x:text>
        <x:r>
          <x:t>Capitalized cash interest within capex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24" authorId="0">
      <x:text>
        <x:r>
          <x:t>Capitalized cash interest within capex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24" authorId="0">
      <x:text>
        <x:r>
          <x:t>Capitalized cash interest within capex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24" authorId="0">
      <x:text>
        <x:r>
          <x:t>Capitalized cash interest within capex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24" authorId="0">
      <x:text>
        <x:r>
          <x:t>Capitalized cash interest within capex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24" authorId="0">
      <x:text>
        <x:r>
          <x:t>Capitalized cash interest within capex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24" authorId="0">
      <x:text>
        <x:r>
          <x:t>Capitalized cash interest within capex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24" authorId="0">
      <x:text>
        <x:r>
          <x:t>Capitalized cash interest within capex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24" authorId="0">
      <x:text>
        <x:r>
          <x:t>Capitalized cash interest within capex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24" authorId="0">
      <x:text>
        <x:r>
          <x:t>Capitalized cash interest within capex (FY:27 E).
Interest or investment income calculated using the named rate and balance. Capitalized interest is part of the capex budget; the remaining recognized interest affects net income.
Formula: =(O22+O23)*'Assumptions'!O133
Cross-sheet references identify the owning schedule. Same-sheet references identify intermediate calculations.</x:t>
        </x:r>
      </x:text>
    </x:comment>
    <x:comment ref="P24" authorId="0">
      <x:text>
        <x:r>
          <x:t>Capitalized cash interest within capex (FY:28 E).
Interest or investment income calculated using the named rate and balance. Capitalized interest is part of the capex budget; the remaining recognized interest affects net income.
Formula: =(P22+P23)*'Assumptions'!P133
Cross-sheet references identify the owning schedule. Same-sheet references identify intermediate calculations.</x:t>
        </x:r>
      </x:text>
    </x:comment>
    <x:comment ref="Q24" authorId="0">
      <x:text>
        <x:r>
          <x:t>Capitalized cash interest within capex (FY:29 E).
Interest or investment income calculated using the named rate and balance. Capitalized interest is part of the capex budget; the remaining recognized interest affects net income.
Formula: =(Q22+Q23)*'Assumptions'!Q133
Cross-sheet references identify the owning schedule. Same-sheet references identify intermediate calculations.</x:t>
        </x:r>
      </x:text>
    </x:comment>
    <x:comment ref="R24" authorId="0">
      <x:text>
        <x:r>
          <x:t>Capitalized cash interest within capex (FY:30 E).
Interest or investment income calculated using the named rate and balance. Capitalized interest is part of the capex budget; the remaining recognized interest affects net income.
Formula: =(R22+R23)*'Assumptions'!R133
Cross-sheet references identify the owning schedule. Same-sheet references identify intermediate calculations.</x:t>
        </x:r>
      </x:text>
    </x:comment>
    <x:comment ref="S24" authorId="0">
      <x:text>
        <x:r>
          <x:t>Capitalized cash interest within capex (FY:31 E).
Interest or investment income calculated using the named rate and balance. Capitalized interest is part of the capex budget; the remaining recognized interest affects net income.
Formula: =(S22+S23)*'Assumptions'!S133
Cross-sheet references identify the owning schedule. Same-sheet references identify intermediate calculations.</x:t>
        </x:r>
      </x:text>
    </x:comment>
    <x:comment ref="C25" authorId="0">
      <x:text>
        <x:r>
          <x:t>Interest or investment income calculated using the named rate and balance. Capitalized interest is part of the capex budget; the remaining recognized interest affects net income.</x:t>
        </x:r>
      </x:text>
    </x:comment>
    <x:comment ref="E25" authorId="0">
      <x:text>
        <x:r>
          <x:t>Interest expense recognized in income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25" authorId="0">
      <x:text>
        <x:r>
          <x:t>Interest expense recognized in income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25" authorId="0">
      <x:text>
        <x:r>
          <x:t>Interest expense recognized in income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25" authorId="0">
      <x:text>
        <x:r>
          <x:t>Interest expense recognized in income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25" authorId="0">
      <x:text>
        <x:r>
          <x:t>Interest expense recognized in income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25" authorId="0">
      <x:text>
        <x:r>
          <x:t>Interest expense recognized in income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25" authorId="0">
      <x:text>
        <x:r>
          <x:t>Interest expense recognized in income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25" authorId="0">
      <x:text>
        <x:r>
          <x:t>Interest expense recognized in income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25" authorId="0">
      <x:text>
        <x:r>
          <x:t>Interest expense recognized in income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25" authorId="0">
      <x:text>
        <x:r>
          <x:t>Interest expense recognized in income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25" authorId="0">
      <x:text>
        <x:r>
          <x:t>Interest expense recognized in income (FY:27 E).
Interest or investment income calculated using the named rate and balance. Capitalized interest is part of the capex budget; the remaining recognized interest affects net income.
Formula: =O22+O23-O24+O15
Cross-sheet references identify the owning schedule. Same-sheet references identify intermediate calculations.</x:t>
        </x:r>
      </x:text>
    </x:comment>
    <x:comment ref="P25" authorId="0">
      <x:text>
        <x:r>
          <x:t>Interest expense recognized in income (FY:28 E).
Interest or investment income calculated using the named rate and balance. Capitalized interest is part of the capex budget; the remaining recognized interest affects net income.
Formula: =P22+P23-P24+P15
Cross-sheet references identify the owning schedule. Same-sheet references identify intermediate calculations.</x:t>
        </x:r>
      </x:text>
    </x:comment>
    <x:comment ref="Q25" authorId="0">
      <x:text>
        <x:r>
          <x:t>Interest expense recognized in income (FY:29 E).
Interest or investment income calculated using the named rate and balance. Capitalized interest is part of the capex budget; the remaining recognized interest affects net income.
Formula: =Q22+Q23-Q24+Q15
Cross-sheet references identify the owning schedule. Same-sheet references identify intermediate calculations.</x:t>
        </x:r>
      </x:text>
    </x:comment>
    <x:comment ref="R25" authorId="0">
      <x:text>
        <x:r>
          <x:t>Interest expense recognized in income (FY:30 E).
Interest or investment income calculated using the named rate and balance. Capitalized interest is part of the capex budget; the remaining recognized interest affects net income.
Formula: =R22+R23-R24+R15
Cross-sheet references identify the owning schedule. Same-sheet references identify intermediate calculations.</x:t>
        </x:r>
      </x:text>
    </x:comment>
    <x:comment ref="S25" authorId="0">
      <x:text>
        <x:r>
          <x:t>Interest expense recognized in income (FY:31 E).
Interest or investment income calculated using the named rate and balance. Capitalized interest is part of the capex budget; the remaining recognized interest affects net income.
Formula: =S22+S23-S24+S15
Cross-sheet references identify the owning schedule. Same-sheet references identify intermediate calculations.</x:t>
        </x:r>
      </x:text>
    </x:comment>
    <x:comment ref="C26" authorId="0">
      <x:text>
        <x:r>
          <x:t>Beginning-of-year balance. Forecast periods carry forward the prior closing balance, with FY2026 providing the first forecast opening balance.</x:t>
        </x:r>
      </x:text>
    </x:comment>
    <x:comment ref="E26" authorId="0">
      <x:text>
        <x:r>
          <x:t>Income on opening cash and short-term investments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26" authorId="0">
      <x:text>
        <x:r>
          <x:t>Income on opening cash and short-term investments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26" authorId="0">
      <x:text>
        <x:r>
          <x:t>Income on opening cash and short-term investments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26" authorId="0">
      <x:text>
        <x:r>
          <x:t>Income on opening cash and short-term investments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26" authorId="0">
      <x:text>
        <x:r>
          <x:t>Income on opening cash and short-term investments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26" authorId="0">
      <x:text>
        <x:r>
          <x:t>Income on opening cash and short-term investments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26" authorId="0">
      <x:text>
        <x:r>
          <x:t>Income on opening cash and short-term investments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26" authorId="0">
      <x:text>
        <x:r>
          <x:t>Income on opening cash and short-term investments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26" authorId="0">
      <x:text>
        <x:r>
          <x:t>Income on opening cash and short-term investments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26" authorId="0">
      <x:text>
        <x:r>
          <x:t>Income on opening cash and short-term investments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26" authorId="0">
      <x:text>
        <x:r>
          <x:t>Income on opening cash and short-term investments (FY:27 E).
Beginning-of-year balance. Forecast periods carry forward the prior closing balance, with FY2026 providing the first forecast opening balance.
Formula: =('Balance Sheet'!N8+'Balance Sheet'!N9)*'Assumptions'!O129
Cross-sheet references identify the owning schedule. Same-sheet references identify intermediate calculations.</x:t>
        </x:r>
      </x:text>
    </x:comment>
    <x:comment ref="P26" authorId="0">
      <x:text>
        <x:r>
          <x:t>Income on opening cash and short-term investments (FY:28 E).
Beginning-of-year balance. Forecast periods carry forward the prior closing balance, with FY2026 providing the first forecast opening balance.
Formula: =('Balance Sheet'!O8+'Balance Sheet'!O9)*'Assumptions'!P129
Cross-sheet references identify the owning schedule. Same-sheet references identify intermediate calculations.</x:t>
        </x:r>
      </x:text>
    </x:comment>
    <x:comment ref="Q26" authorId="0">
      <x:text>
        <x:r>
          <x:t>Income on opening cash and short-term investments (FY:29 E).
Beginning-of-year balance. Forecast periods carry forward the prior closing balance, with FY2026 providing the first forecast opening balance.
Formula: =('Balance Sheet'!P8+'Balance Sheet'!P9)*'Assumptions'!Q129
Cross-sheet references identify the owning schedule. Same-sheet references identify intermediate calculations.</x:t>
        </x:r>
      </x:text>
    </x:comment>
    <x:comment ref="R26" authorId="0">
      <x:text>
        <x:r>
          <x:t>Income on opening cash and short-term investments (FY:30 E).
Beginning-of-year balance. Forecast periods carry forward the prior closing balance, with FY2026 providing the first forecast opening balance.
Formula: =('Balance Sheet'!Q8+'Balance Sheet'!Q9)*'Assumptions'!R129
Cross-sheet references identify the owning schedule. Same-sheet references identify intermediate calculations.</x:t>
        </x:r>
      </x:text>
    </x:comment>
    <x:comment ref="S26" authorId="0">
      <x:text>
        <x:r>
          <x:t>Income on opening cash and short-term investments (FY:31 E).
Beginning-of-year balance. Forecast periods carry forward the prior closing balance, with FY2026 providing the first forecast opening balance.
Formula: =('Balance Sheet'!R8+'Balance Sheet'!R9)*'Assumptions'!S129
Cross-sheet references identify the owning schedule. Same-sheet references identify intermediate calculations.</x:t>
        </x:r>
      </x:text>
    </x:comment>
    <x:comment ref="C27" authorId="0">
      <x:text>
        <x:r>
          <x:t>Reduction of debt or lease principal, separate from interest expense. Read the formula for the specific contractual or modeled payment schedule and sign.</x:t>
        </x:r>
      </x:text>
    </x:comment>
    <x:comment ref="E27" authorId="0">
      <x:text>
        <x:r>
          <x:t>Next year contractual debt principal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27" authorId="0">
      <x:text>
        <x:r>
          <x:t>Next year contractual debt principal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27" authorId="0">
      <x:text>
        <x:r>
          <x:t>Next year contractual debt principal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27" authorId="0">
      <x:text>
        <x:r>
          <x:t>Next year contractual debt principal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27" authorId="0">
      <x:text>
        <x:r>
          <x:t>Next year contractual debt principal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27" authorId="0">
      <x:text>
        <x:r>
          <x:t>Next year contractual debt principal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27" authorId="0">
      <x:text>
        <x:r>
          <x:t>Next year contractual debt principal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27" authorId="0">
      <x:text>
        <x:r>
          <x:t>Next year contractual debt principal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27" authorId="0">
      <x:text>
        <x:r>
          <x:t>Next year contractual debt principal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27" authorId="0">
      <x:text>
        <x:r>
          <x:t>Next year contractual debt principal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27" authorId="0">
      <x:text>
        <x:r>
          <x:t>Next year contractual debt principal (FY:27 E).
Reduction of debt or lease principal, separate from interest expense. Read the formula for the specific contractual or modeled payment schedule and sign.
Formula: ='Filing Notes'!P37
Cross-sheet references identify the owning schedule. Same-sheet references identify intermediate calculations.</x:t>
        </x:r>
      </x:text>
    </x:comment>
    <x:comment ref="P27" authorId="0">
      <x:text>
        <x:r>
          <x:t>Next year contractual debt principal (FY:28 E).
Reduction of debt or lease principal, separate from interest expense. Read the formula for the specific contractual or modeled payment schedule and sign.
Formula: ='Filing Notes'!Q37
Cross-sheet references identify the owning schedule. Same-sheet references identify intermediate calculations.</x:t>
        </x:r>
      </x:text>
    </x:comment>
    <x:comment ref="Q27" authorId="0">
      <x:text>
        <x:r>
          <x:t>Next year contractual debt principal (FY:29 E).
Reduction of debt or lease principal, separate from interest expense. Read the formula for the specific contractual or modeled payment schedule and sign.
Formula: ='Filing Notes'!R37
Cross-sheet references identify the owning schedule. Same-sheet references identify intermediate calculations.</x:t>
        </x:r>
      </x:text>
    </x:comment>
    <x:comment ref="R27" authorId="0">
      <x:text>
        <x:r>
          <x:t>Next year contractual debt principal (FY:30 E).
Reduction of debt or lease principal, separate from interest expense. Read the formula for the specific contractual or modeled payment schedule and sign.
Formula: ='Filing Notes'!S37
Cross-sheet references identify the owning schedule. Same-sheet references identify intermediate calculations.</x:t>
        </x:r>
      </x:text>
    </x:comment>
    <x:comment ref="S27" authorId="0">
      <x:text>
        <x:r>
          <x:t>Next year contractual debt principal (FY:31 E).
Reduction of debt or lease principal, separate from interest expense. Read the formula for the specific contractual or modeled payment schedule and sign.
Formula: ='Assumptions'!O211
Cross-sheet references identify the owning schedule. Same-sheet references identify intermediate calculations.</x:t>
        </x:r>
      </x:text>
    </x:comment>
    <x:comment ref="C31" authorId="0">
      <x:text>
        <x:r>
          <x:t>Beginning-of-year balance. Forecast periods carry forward the prior closing balance, with FY2026 providing the first forecast opening balance.</x:t>
        </x:r>
      </x:text>
    </x:comment>
    <x:comment ref="E31" authorId="0">
      <x:text>
        <x:r>
          <x:t>Opening legacy finance lease liability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31" authorId="0">
      <x:text>
        <x:r>
          <x:t>Opening legacy finance lease liability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31" authorId="0">
      <x:text>
        <x:r>
          <x:t>Opening legacy finance lease liability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31" authorId="0">
      <x:text>
        <x:r>
          <x:t>Opening legacy finance lease liability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31" authorId="0">
      <x:text>
        <x:r>
          <x:t>Opening legacy finance lease liability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31" authorId="0">
      <x:text>
        <x:r>
          <x:t>Opening legacy finance lease liability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31" authorId="0">
      <x:text>
        <x:r>
          <x:t>Opening legacy finance lease liability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31" authorId="0">
      <x:text>
        <x:r>
          <x:t>Opening legacy finance lease liability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31" authorId="0">
      <x:text>
        <x:r>
          <x:t>Opening legacy finance lease liability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31" authorId="0">
      <x:text>
        <x:r>
          <x:t>Opening legacy finance lease liability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31" authorId="0">
      <x:text>
        <x:r>
          <x:t>Opening legacy finance lease liability (FY:27 E).
Beginning-of-year balance. Forecast periods carry forward the prior closing balance, with FY2026 providing the first forecast opening balance.
Formula: ='Filing Notes'!N12
Cross-sheet references identify the owning schedule. Same-sheet references identify intermediate calculations.</x:t>
        </x:r>
      </x:text>
    </x:comment>
    <x:comment ref="P31" authorId="0">
      <x:text>
        <x:r>
          <x:t>Opening legacy finance lease liability (FY:28 E).
Beginning-of-year balance. Forecast periods carry forward the prior closing balance, with FY2026 providing the first forecast opening balance.
Formula: =O35
Cross-sheet references identify the owning schedule. Same-sheet references identify intermediate calculations.</x:t>
        </x:r>
      </x:text>
    </x:comment>
    <x:comment ref="Q31" authorId="0">
      <x:text>
        <x:r>
          <x:t>Opening legacy finance lease liability (FY:29 E).
Beginning-of-year balance. Forecast periods carry forward the prior closing balance, with FY2026 providing the first forecast opening balance.
Formula: =P35
Cross-sheet references identify the owning schedule. Same-sheet references identify intermediate calculations.</x:t>
        </x:r>
      </x:text>
    </x:comment>
    <x:comment ref="R31" authorId="0">
      <x:text>
        <x:r>
          <x:t>Opening legacy finance lease liability (FY:30 E).
Beginning-of-year balance. Forecast periods carry forward the prior closing balance, with FY2026 providing the first forecast opening balance.
Formula: =Q35
Cross-sheet references identify the owning schedule. Same-sheet references identify intermediate calculations.</x:t>
        </x:r>
      </x:text>
    </x:comment>
    <x:comment ref="S31" authorId="0">
      <x:text>
        <x:r>
          <x:t>Opening legacy finance lease liability (FY:31 E).
Beginning-of-year balance. Forecast periods carry forward the prior closing balance, with FY2026 providing the first forecast opening balance.
Formula: =R35
Cross-sheet references identify the owning schedule. Same-sheet references identify intermediate calculations.</x:t>
        </x:r>
      </x:text>
    </x:comment>
    <x:comment ref="C32" authorId="0">
      <x:text>
        <x:r>
          <x:t>Cash balance or signed cash flow as named in the row. Positive cash-flow amounts are inflows and negative amounts are outflows. Follow the formula or source reference below for the classification.</x:t>
        </x:r>
      </x:text>
    </x:comment>
    <x:comment ref="E32" authorId="0">
      <x:text>
        <x:r>
          <x:t>Contractual legacy finance lease cash payments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32" authorId="0">
      <x:text>
        <x:r>
          <x:t>Contractual legacy finance lease cash payments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32" authorId="0">
      <x:text>
        <x:r>
          <x:t>Contractual legacy finance lease cash payments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32" authorId="0">
      <x:text>
        <x:r>
          <x:t>Contractual legacy finance lease cash payments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32" authorId="0">
      <x:text>
        <x:r>
          <x:t>Contractual legacy finance lease cash payments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32" authorId="0">
      <x:text>
        <x:r>
          <x:t>Contractual legacy finance lease cash payments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32" authorId="0">
      <x:text>
        <x:r>
          <x:t>Contractual legacy finance lease cash payments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32" authorId="0">
      <x:text>
        <x:r>
          <x:t>Contractual legacy finance lease cash payments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32" authorId="0">
      <x:text>
        <x:r>
          <x:t>Contractual legacy finance lease cash payments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32" authorId="0">
      <x:text>
        <x:r>
          <x:t>Contractual legacy finance lease cash payments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32" authorId="0">
      <x:text>
        <x:r>
          <x:t>Contractual legacy finance lease cash payments (FY:27 E).
Cash balance or signed cash flow as named in the row. Positive cash-flow amounts are inflows and negative amounts are outflows. Follow the formula or source reference below for the classification.
Formula: ='Filing Notes'!O40
Cross-sheet references identify the owning schedule. Same-sheet references identify intermediate calculations.</x:t>
        </x:r>
      </x:text>
    </x:comment>
    <x:comment ref="P32" authorId="0">
      <x:text>
        <x:r>
          <x:t>Contractual legacy finance lease cash payments (FY:28 E).
Cash balance or signed cash flow as named in the row. Positive cash-flow amounts are inflows and negative amounts are outflows. Follow the formula or source reference below for the classification.
Formula: ='Filing Notes'!P40
Cross-sheet references identify the owning schedule. Same-sheet references identify intermediate calculations.</x:t>
        </x:r>
      </x:text>
    </x:comment>
    <x:comment ref="Q32" authorId="0">
      <x:text>
        <x:r>
          <x:t>Contractual legacy finance lease cash payments (FY:29 E).
Cash balance or signed cash flow as named in the row. Positive cash-flow amounts are inflows and negative amounts are outflows. Follow the formula or source reference below for the classification.
Formula: ='Filing Notes'!Q40
Cross-sheet references identify the owning schedule. Same-sheet references identify intermediate calculations.</x:t>
        </x:r>
      </x:text>
    </x:comment>
    <x:comment ref="R32" authorId="0">
      <x:text>
        <x:r>
          <x:t>Contractual legacy finance lease cash payments (FY:30 E).
Cash balance or signed cash flow as named in the row. Positive cash-flow amounts are inflows and negative amounts are outflows. Follow the formula or source reference below for the classification.
Formula: ='Filing Notes'!R40
Cross-sheet references identify the owning schedule. Same-sheet references identify intermediate calculations.</x:t>
        </x:r>
      </x:text>
    </x:comment>
    <x:comment ref="S32" authorId="0">
      <x:text>
        <x:r>
          <x:t>Contractual legacy finance lease cash payments (FY:31 E).
Cash balance or signed cash flow as named in the row. Positive cash-flow amounts are inflows and negative amounts are outflows. Follow the formula or source reference below for the classification.
Formula: ='Filing Notes'!S40
Cross-sheet references identify the owning schedule. Same-sheet references identify intermediate calculations.</x:t>
        </x:r>
      </x:text>
    </x:comment>
    <x:comment ref="C33" authorId="0">
      <x:text>
        <x:r>
          <x:t>Interest or investment income calculated using the named rate and balance. Capitalized interest is part of the capex budget; the remaining recognized interest affects net income.</x:t>
        </x:r>
      </x:text>
    </x:comment>
    <x:comment ref="E33" authorId="0">
      <x:text>
        <x:r>
          <x:t>Interest on legacy finance leases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33" authorId="0">
      <x:text>
        <x:r>
          <x:t>Interest on legacy finance leases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33" authorId="0">
      <x:text>
        <x:r>
          <x:t>Interest on legacy finance leases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33" authorId="0">
      <x:text>
        <x:r>
          <x:t>Interest on legacy finance leases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33" authorId="0">
      <x:text>
        <x:r>
          <x:t>Interest on legacy finance leases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33" authorId="0">
      <x:text>
        <x:r>
          <x:t>Interest on legacy finance leases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33" authorId="0">
      <x:text>
        <x:r>
          <x:t>Interest on legacy finance leases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33" authorId="0">
      <x:text>
        <x:r>
          <x:t>Interest on legacy finance leases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33" authorId="0">
      <x:text>
        <x:r>
          <x:t>Interest on legacy finance leases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33" authorId="0">
      <x:text>
        <x:r>
          <x:t>Interest on legacy finance leases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33" authorId="0">
      <x:text>
        <x:r>
          <x:t>Interest on legacy finance leases (FY:27 E).
Interest or investment income calculated using the named rate and balance. Capitalized interest is part of the capex budget; the remaining recognized interest affects net income.
Formula: =O31*'Assumptions'!O141
Cross-sheet references identify the owning schedule. Same-sheet references identify intermediate calculations.</x:t>
        </x:r>
      </x:text>
    </x:comment>
    <x:comment ref="P33" authorId="0">
      <x:text>
        <x:r>
          <x:t>Interest on legacy finance leases (FY:28 E).
Interest or investment income calculated using the named rate and balance. Capitalized interest is part of the capex budget; the remaining recognized interest affects net income.
Formula: =P31*'Assumptions'!P141
Cross-sheet references identify the owning schedule. Same-sheet references identify intermediate calculations.</x:t>
        </x:r>
      </x:text>
    </x:comment>
    <x:comment ref="Q33" authorId="0">
      <x:text>
        <x:r>
          <x:t>Interest on legacy finance leases (FY:29 E).
Interest or investment income calculated using the named rate and balance. Capitalized interest is part of the capex budget; the remaining recognized interest affects net income.
Formula: =Q31*'Assumptions'!Q141
Cross-sheet references identify the owning schedule. Same-sheet references identify intermediate calculations.</x:t>
        </x:r>
      </x:text>
    </x:comment>
    <x:comment ref="R33" authorId="0">
      <x:text>
        <x:r>
          <x:t>Interest on legacy finance leases (FY:30 E).
Interest or investment income calculated using the named rate and balance. Capitalized interest is part of the capex budget; the remaining recognized interest affects net income.
Formula: =R31*'Assumptions'!R141
Cross-sheet references identify the owning schedule. Same-sheet references identify intermediate calculations.</x:t>
        </x:r>
      </x:text>
    </x:comment>
    <x:comment ref="S33" authorId="0">
      <x:text>
        <x:r>
          <x:t>Interest on legacy finance leases (FY:31 E).
Interest or investment income calculated using the named rate and balance. Capitalized interest is part of the capex budget; the remaining recognized interest affects net income.
Formula: =S31*'Assumptions'!S141
Cross-sheet references identify the owning schedule. Same-sheet references identify intermediate calculations.</x:t>
        </x:r>
      </x:text>
    </x:comment>
    <x:comment ref="C34" authorId="0">
      <x:text>
        <x:r>
          <x:t>Reduction of debt or lease principal, separate from interest expense. Read the formula for the specific contractual or modeled payment schedule and sign.</x:t>
        </x:r>
      </x:text>
    </x:comment>
    <x:comment ref="E34" authorId="0">
      <x:text>
        <x:r>
          <x:t>Legacy finance lease principal payments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34" authorId="0">
      <x:text>
        <x:r>
          <x:t>Legacy finance lease principal payments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34" authorId="0">
      <x:text>
        <x:r>
          <x:t>Legacy finance lease principal payments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34" authorId="0">
      <x:text>
        <x:r>
          <x:t>Legacy finance lease principal payments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34" authorId="0">
      <x:text>
        <x:r>
          <x:t>Legacy finance lease principal payments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34" authorId="0">
      <x:text>
        <x:r>
          <x:t>Legacy finance lease principal payments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34" authorId="0">
      <x:text>
        <x:r>
          <x:t>Legacy finance lease principal payments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34" authorId="0">
      <x:text>
        <x:r>
          <x:t>Legacy finance lease principal payments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34" authorId="0">
      <x:text>
        <x:r>
          <x:t>Legacy finance lease principal payments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34" authorId="0">
      <x:text>
        <x:r>
          <x:t>Legacy finance lease principal payments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34" authorId="0">
      <x:text>
        <x:r>
          <x:t>Legacy finance lease principal payments (FY:27 E).
Reduction of debt or lease principal, separate from interest expense. Read the formula for the specific contractual or modeled payment schedule and sign.
Formula: =MIN(O31,MAX(0,O32-O33))
Cross-sheet references identify the owning schedule. Same-sheet references identify intermediate calculations.</x:t>
        </x:r>
      </x:text>
    </x:comment>
    <x:comment ref="P34" authorId="0">
      <x:text>
        <x:r>
          <x:t>Legacy finance lease principal payments (FY:28 E).
Reduction of debt or lease principal, separate from interest expense. Read the formula for the specific contractual or modeled payment schedule and sign.
Formula: =MIN(P31,MAX(0,P32-P33))
Cross-sheet references identify the owning schedule. Same-sheet references identify intermediate calculations.</x:t>
        </x:r>
      </x:text>
    </x:comment>
    <x:comment ref="Q34" authorId="0">
      <x:text>
        <x:r>
          <x:t>Legacy finance lease principal payments (FY:29 E).
Reduction of debt or lease principal, separate from interest expense. Read the formula for the specific contractual or modeled payment schedule and sign.
Formula: =MIN(Q31,MAX(0,Q32-Q33))
Cross-sheet references identify the owning schedule. Same-sheet references identify intermediate calculations.</x:t>
        </x:r>
      </x:text>
    </x:comment>
    <x:comment ref="R34" authorId="0">
      <x:text>
        <x:r>
          <x:t>Legacy finance lease principal payments (FY:30 E).
Reduction of debt or lease principal, separate from interest expense. Read the formula for the specific contractual or modeled payment schedule and sign.
Formula: =MIN(R31,MAX(0,R32-R33))
Cross-sheet references identify the owning schedule. Same-sheet references identify intermediate calculations.</x:t>
        </x:r>
      </x:text>
    </x:comment>
    <x:comment ref="S34" authorId="0">
      <x:text>
        <x:r>
          <x:t>Legacy finance lease principal payments (FY:31 E).
Reduction of debt or lease principal, separate from interest expense. Read the formula for the specific contractual or modeled payment schedule and sign.
Formula: =MIN(S31,MAX(0,S32-S33))
Cross-sheet references identify the owning schedule. Same-sheet references identify intermediate calculations.</x:t>
        </x:r>
      </x:text>
    </x:comment>
    <x:comment ref="C35" authorId="0">
      <x:text>
        <x:r>
          <x:t>Year-end balance from the relevant roll-forward. Follow the formula to opening balances, additions, expenses, payments or other changes.</x:t>
        </x:r>
      </x:text>
    </x:comment>
    <x:comment ref="E35" authorId="0">
      <x:text>
        <x:r>
          <x:t>Closing legacy finance lease liability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35" authorId="0">
      <x:text>
        <x:r>
          <x:t>Closing legacy finance lease liability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35" authorId="0">
      <x:text>
        <x:r>
          <x:t>Closing legacy finance lease liability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35" authorId="0">
      <x:text>
        <x:r>
          <x:t>Closing legacy finance lease liability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35" authorId="0">
      <x:text>
        <x:r>
          <x:t>Closing legacy finance lease liability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35" authorId="0">
      <x:text>
        <x:r>
          <x:t>Closing legacy finance lease liability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35" authorId="0">
      <x:text>
        <x:r>
          <x:t>Closing legacy finance lease liability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35" authorId="0">
      <x:text>
        <x:r>
          <x:t>Closing legacy finance lease liability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35" authorId="0">
      <x:text>
        <x:r>
          <x:t>Closing legacy finance lease liability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35" authorId="0">
      <x:text>
        <x:r>
          <x:t>Closing legacy finance lease liability (FY:26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O35" authorId="0">
      <x:text>
        <x:r>
          <x:t>Closing legacy finance lease liability (FY:27 E).
Year-end balance from the relevant roll-forward. Follow the formula to opening balances, additions, expenses, payments or other changes.
Formula: =O31-O34
Cross-sheet references identify the owning schedule. Same-sheet references identify intermediate calculations.</x:t>
        </x:r>
      </x:text>
    </x:comment>
    <x:comment ref="P35" authorId="0">
      <x:text>
        <x:r>
          <x:t>Closing legacy finance lease liability (FY:28 E).
Year-end balance from the relevant roll-forward. Follow the formula to opening balances, additions, expenses, payments or other changes.
Formula: =P31-P34
Cross-sheet references identify the owning schedule. Same-sheet references identify intermediate calculations.</x:t>
        </x:r>
      </x:text>
    </x:comment>
    <x:comment ref="Q35" authorId="0">
      <x:text>
        <x:r>
          <x:t>Closing legacy finance lease liability (FY:29 E).
Year-end balance from the relevant roll-forward. Follow the formula to opening balances, additions, expenses, payments or other changes.
Formula: =Q31-Q34
Cross-sheet references identify the owning schedule. Same-sheet references identify intermediate calculations.</x:t>
        </x:r>
      </x:text>
    </x:comment>
    <x:comment ref="R35" authorId="0">
      <x:text>
        <x:r>
          <x:t>Closing legacy finance lease liability (FY:30 E).
Year-end balance from the relevant roll-forward. Follow the formula to opening balances, additions, expenses, payments or other changes.
Formula: =R31-R34
Cross-sheet references identify the owning schedule. Same-sheet references identify intermediate calculations.</x:t>
        </x:r>
      </x:text>
    </x:comment>
    <x:comment ref="S35" authorId="0">
      <x:text>
        <x:r>
          <x:t>Closing legacy finance lease liability (FY:31 E).
Year-end balance from the relevant roll-forward. Follow the formula to opening balances, additions, expenses, payments or other changes.
Formula: =S31-S34
Cross-sheet references identify the owning schedule. Same-sheet references identify intermediate calculations.</x:t>
        </x:r>
      </x:text>
    </x:comment>
    <x:comment ref="C36" authorId="0">
      <x:text>
        <x:r>
          <x:t>Beginning-of-year balance. Forecast periods carry forward the prior closing balance, with FY2026 providing the first forecast opening balance.</x:t>
        </x:r>
      </x:text>
    </x:comment>
    <x:comment ref="E36" authorId="0">
      <x:text>
        <x:r>
          <x:t>Opening new finance lease liability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36" authorId="0">
      <x:text>
        <x:r>
          <x:t>Opening new finance lease liability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36" authorId="0">
      <x:text>
        <x:r>
          <x:t>Opening new finance lease liability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36" authorId="0">
      <x:text>
        <x:r>
          <x:t>Opening new finance lease liability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36" authorId="0">
      <x:text>
        <x:r>
          <x:t>Opening new finance lease liability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36" authorId="0">
      <x:text>
        <x:r>
          <x:t>Opening new finance lease liability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36" authorId="0">
      <x:text>
        <x:r>
          <x:t>Opening new finance lease liability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36" authorId="0">
      <x:text>
        <x:r>
          <x:t>Opening new finance lease liability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36" authorId="0">
      <x:text>
        <x:r>
          <x:t>Opening new finance lease liability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36" authorId="0">
      <x:text>
        <x:r>
          <x:t>Opening new finance lease liability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36" authorId="0">
      <x:text>
        <x:r>
          <x:t>Opening new finance lease liability (FY:27 E).
Beginning-of-year balance. Forecast periods carry forward the prior closing balance, with FY2026 providing the first forecast opening balance.
Formula: =0
Cross-sheet references identify the owning schedule. Same-sheet references identify intermediate calculations.</x:t>
        </x:r>
      </x:text>
    </x:comment>
    <x:comment ref="P36" authorId="0">
      <x:text>
        <x:r>
          <x:t>Opening new finance lease liability (FY:28 E).
Beginning-of-year balance. Forecast periods carry forward the prior closing balance, with FY2026 providing the first forecast opening balance.
Formula: =O39
Cross-sheet references identify the owning schedule. Same-sheet references identify intermediate calculations.</x:t>
        </x:r>
      </x:text>
    </x:comment>
    <x:comment ref="Q36" authorId="0">
      <x:text>
        <x:r>
          <x:t>Opening new finance lease liability (FY:29 E).
Beginning-of-year balance. Forecast periods carry forward the prior closing balance, with FY2026 providing the first forecast opening balance.
Formula: =P39
Cross-sheet references identify the owning schedule. Same-sheet references identify intermediate calculations.</x:t>
        </x:r>
      </x:text>
    </x:comment>
    <x:comment ref="R36" authorId="0">
      <x:text>
        <x:r>
          <x:t>Opening new finance lease liability (FY:30 E).
Beginning-of-year balance. Forecast periods carry forward the prior closing balance, with FY2026 providing the first forecast opening balance.
Formula: =Q39
Cross-sheet references identify the owning schedule. Same-sheet references identify intermediate calculations.</x:t>
        </x:r>
      </x:text>
    </x:comment>
    <x:comment ref="S36" authorId="0">
      <x:text>
        <x:r>
          <x:t>Opening new finance lease liability (FY:31 E).
Beginning-of-year balance. Forecast periods carry forward the prior closing balance, with FY2026 providing the first forecast opening balance.
Formula: =R39
Cross-sheet references identify the owning schedule. Same-sheet references identify intermediate calculations.</x:t>
        </x:r>
      </x:text>
    </x:comment>
    <x:comment ref="C37" authorId="0">
      <x:text>
        <x:r>
          <x:t>New finance lease assets and liabilities. This line belongs to the Debt and Leases calculation. Read its formula to trace the referenced inputs and intermediate totals.</x:t>
        </x:r>
      </x:text>
    </x:comment>
    <x:comment ref="E37" authorId="0">
      <x:text>
        <x:r>
          <x:t>New finance lease assets and liabilities (FY:17 A).
New finance lease assets and liabilities. This line belongs to the Debt and Leases calculation. Read its formula to trace the referenced inputs and intermediate totals.
Formula: ='Filing Notes'!E14
Cross-sheet references identify the owning schedule. Same-sheet references identify intermediate calculations.</x:t>
        </x:r>
      </x:text>
    </x:comment>
    <x:comment ref="F37" authorId="0">
      <x:text>
        <x:r>
          <x:t>New finance lease assets and liabilities (FY:18 A).
New finance lease assets and liabilities. This line belongs to the Debt and Leases calculation. Read its formula to trace the referenced inputs and intermediate totals.
Formula: ='Filing Notes'!F14
Cross-sheet references identify the owning schedule. Same-sheet references identify intermediate calculations.</x:t>
        </x:r>
      </x:text>
    </x:comment>
    <x:comment ref="G37" authorId="0">
      <x:text>
        <x:r>
          <x:t>New finance lease assets and liabilities (FY:19 A).
New finance lease assets and liabilities. This line belongs to the Debt and Leases calculation. Read its formula to trace the referenced inputs and intermediate totals.
Formula: ='Filing Notes'!G14
Cross-sheet references identify the owning schedule. Same-sheet references identify intermediate calculations.</x:t>
        </x:r>
      </x:text>
    </x:comment>
    <x:comment ref="H37" authorId="0">
      <x:text>
        <x:r>
          <x:t>New finance lease assets and liabilities (FY:20 A).
New finance lease assets and liabilities. This line belongs to the Debt and Leases calculation. Read its formula to trace the referenced inputs and intermediate totals.
Formula: ='Filing Notes'!H14
Cross-sheet references identify the owning schedule. Same-sheet references identify intermediate calculations.</x:t>
        </x:r>
      </x:text>
    </x:comment>
    <x:comment ref="I37" authorId="0">
      <x:text>
        <x:r>
          <x:t>New finance lease assets and liabilities (FY:21 A).
New finance lease assets and liabilities. This line belongs to the Debt and Leases calculation. Read its formula to trace the referenced inputs and intermediate totals.
Formula: ='Filing Notes'!I14
Cross-sheet references identify the owning schedule. Same-sheet references identify intermediate calculations.</x:t>
        </x:r>
      </x:text>
    </x:comment>
    <x:comment ref="J37" authorId="0">
      <x:text>
        <x:r>
          <x:t>New finance lease assets and liabilities (FY:22 A).
New finance lease assets and liabilities. This line belongs to the Debt and Leases calculation. Read its formula to trace the referenced inputs and intermediate totals.
Formula: ='Filing Notes'!J14
Cross-sheet references identify the owning schedule. Same-sheet references identify intermediate calculations.</x:t>
        </x:r>
      </x:text>
    </x:comment>
    <x:comment ref="K37" authorId="0">
      <x:text>
        <x:r>
          <x:t>New finance lease assets and liabilities (FY:23 A).
New finance lease assets and liabilities. This line belongs to the Debt and Leases calculation. Read its formula to trace the referenced inputs and intermediate totals.
Formula: ='Filing Notes'!K14
Cross-sheet references identify the owning schedule. Same-sheet references identify intermediate calculations.</x:t>
        </x:r>
      </x:text>
    </x:comment>
    <x:comment ref="L37" authorId="0">
      <x:text>
        <x:r>
          <x:t>New finance lease assets and liabilities (FY:24 A).
New finance lease assets and liabilities. This line belongs to the Debt and Leases calculation. Read its formula to trace the referenced inputs and intermediate totals.
Formula: ='Filing Notes'!L14
Cross-sheet references identify the owning schedule. Same-sheet references identify intermediate calculations.</x:t>
        </x:r>
      </x:text>
    </x:comment>
    <x:comment ref="M37" authorId="0">
      <x:text>
        <x:r>
          <x:t>New finance lease assets and liabilities (FY:25 A).
New finance lease assets and liabilities. This line belongs to the Debt and Leases calculation. Read its formula to trace the referenced inputs and intermediate totals.
Formula: ='Filing Notes'!M14
Cross-sheet references identify the owning schedule. Same-sheet references identify intermediate calculations.</x:t>
        </x:r>
      </x:text>
    </x:comment>
    <x:comment ref="N37" authorId="0">
      <x:text>
        <x:r>
          <x:t>New finance lease assets and liabilities (FY:26 A).
New finance lease assets and liabilities. This line belongs to the Debt and Leases calculation. Read its formula to trace the referenced inputs and intermediate totals.
Formula: ='Filing Notes'!N14
Cross-sheet references identify the owning schedule. Same-sheet references identify intermediate calculations.</x:t>
        </x:r>
      </x:text>
    </x:comment>
    <x:comment ref="O37" authorId="0">
      <x:text>
        <x:r>
          <x:t>New finance lease assets and liabilities (FY:27 E).
New finance lease assets and liabilities. This line belongs to the Debt and Leases calculation. Read its formula to trace the referenced inputs and intermediate totals.
Formula: ='Income Statement'!O8*'Assumptions'!O53
Cross-sheet references identify the owning schedule. Same-sheet references identify intermediate calculations.</x:t>
        </x:r>
      </x:text>
    </x:comment>
    <x:comment ref="P37" authorId="0">
      <x:text>
        <x:r>
          <x:t>New finance lease assets and liabilities (FY:28 E).
New finance lease assets and liabilities. This line belongs to the Debt and Leases calculation. Read its formula to trace the referenced inputs and intermediate totals.
Formula: ='Income Statement'!P8*'Assumptions'!P53
Cross-sheet references identify the owning schedule. Same-sheet references identify intermediate calculations.</x:t>
        </x:r>
      </x:text>
    </x:comment>
    <x:comment ref="Q37" authorId="0">
      <x:text>
        <x:r>
          <x:t>New finance lease assets and liabilities (FY:29 E).
New finance lease assets and liabilities. This line belongs to the Debt and Leases calculation. Read its formula to trace the referenced inputs and intermediate totals.
Formula: ='Income Statement'!Q8*'Assumptions'!Q53
Cross-sheet references identify the owning schedule. Same-sheet references identify intermediate calculations.</x:t>
        </x:r>
      </x:text>
    </x:comment>
    <x:comment ref="R37" authorId="0">
      <x:text>
        <x:r>
          <x:t>New finance lease assets and liabilities (FY:30 E).
New finance lease assets and liabilities. This line belongs to the Debt and Leases calculation. Read its formula to trace the referenced inputs and intermediate totals.
Formula: ='Income Statement'!R8*'Assumptions'!R53
Cross-sheet references identify the owning schedule. Same-sheet references identify intermediate calculations.</x:t>
        </x:r>
      </x:text>
    </x:comment>
    <x:comment ref="S37" authorId="0">
      <x:text>
        <x:r>
          <x:t>New finance lease assets and liabilities (FY:31 E).
New finance lease assets and liabilities. This line belongs to the Debt and Leases calculation. Read its formula to trace the referenced inputs and intermediate totals.
Formula: ='Income Statement'!S8*'Assumptions'!S53
Cross-sheet references identify the owning schedule. Same-sheet references identify intermediate calculations.</x:t>
        </x:r>
      </x:text>
    </x:comment>
    <x:comment ref="C38" authorId="0">
      <x:text>
        <x:r>
          <x:t>Reduction of debt or lease principal, separate from interest expense. Read the formula for the specific contractual or modeled payment schedule and sign.</x:t>
        </x:r>
      </x:text>
    </x:comment>
    <x:comment ref="E38" authorId="0">
      <x:text>
        <x:r>
          <x:t>Principal payments on new finance leases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38" authorId="0">
      <x:text>
        <x:r>
          <x:t>Principal payments on new finance leases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38" authorId="0">
      <x:text>
        <x:r>
          <x:t>Principal payments on new finance leases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38" authorId="0">
      <x:text>
        <x:r>
          <x:t>Principal payments on new finance leases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38" authorId="0">
      <x:text>
        <x:r>
          <x:t>Principal payments on new finance leases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38" authorId="0">
      <x:text>
        <x:r>
          <x:t>Principal payments on new finance leases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38" authorId="0">
      <x:text>
        <x:r>
          <x:t>Principal payments on new finance leases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38" authorId="0">
      <x:text>
        <x:r>
          <x:t>Principal payments on new finance leases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38" authorId="0">
      <x:text>
        <x:r>
          <x:t>Principal payments on new finance leases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38" authorId="0">
      <x:text>
        <x:r>
          <x:t>Principal payments on new finance leases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38" authorId="0">
      <x:text>
        <x:r>
          <x:t>Principal payments on new finance leases (FY:27 E).
Reduction of debt or lease principal, separate from interest expense. Read the formula for the specific contractual or modeled payment schedule and sign.
Formula: =MIN(O36+O37,O36/'Assumptions'!O149+0.5*O37/'Assumptions'!O149)
Cross-sheet references identify the owning schedule. Same-sheet references identify intermediate calculations.</x:t>
        </x:r>
      </x:text>
    </x:comment>
    <x:comment ref="P38" authorId="0">
      <x:text>
        <x:r>
          <x:t>Principal payments on new finance leases (FY:28 E).
Reduction of debt or lease principal, separate from interest expense. Read the formula for the specific contractual or modeled payment schedule and sign.
Formula: =MIN(P36+P37,P36/'Assumptions'!P149+0.5*P37/'Assumptions'!P149)
Cross-sheet references identify the owning schedule. Same-sheet references identify intermediate calculations.</x:t>
        </x:r>
      </x:text>
    </x:comment>
    <x:comment ref="Q38" authorId="0">
      <x:text>
        <x:r>
          <x:t>Principal payments on new finance leases (FY:29 E).
Reduction of debt or lease principal, separate from interest expense. Read the formula for the specific contractual or modeled payment schedule and sign.
Formula: =MIN(Q36+Q37,Q36/'Assumptions'!Q149+0.5*Q37/'Assumptions'!Q149)
Cross-sheet references identify the owning schedule. Same-sheet references identify intermediate calculations.</x:t>
        </x:r>
      </x:text>
    </x:comment>
    <x:comment ref="R38" authorId="0">
      <x:text>
        <x:r>
          <x:t>Principal payments on new finance leases (FY:30 E).
Reduction of debt or lease principal, separate from interest expense. Read the formula for the specific contractual or modeled payment schedule and sign.
Formula: =MIN(R36+R37,R36/'Assumptions'!R149+0.5*R37/'Assumptions'!R149)
Cross-sheet references identify the owning schedule. Same-sheet references identify intermediate calculations.</x:t>
        </x:r>
      </x:text>
    </x:comment>
    <x:comment ref="S38" authorId="0">
      <x:text>
        <x:r>
          <x:t>Principal payments on new finance leases (FY:31 E).
Reduction of debt or lease principal, separate from interest expense. Read the formula for the specific contractual or modeled payment schedule and sign.
Formula: =MIN(S36+S37,S36/'Assumptions'!S149+0.5*S37/'Assumptions'!S149)
Cross-sheet references identify the owning schedule. Same-sheet references identify intermediate calculations.</x:t>
        </x:r>
      </x:text>
    </x:comment>
    <x:comment ref="C39" authorId="0">
      <x:text>
        <x:r>
          <x:t>Year-end balance from the relevant roll-forward. Follow the formula to opening balances, additions, expenses, payments or other changes.</x:t>
        </x:r>
      </x:text>
    </x:comment>
    <x:comment ref="E39" authorId="0">
      <x:text>
        <x:r>
          <x:t>Closing new finance lease liability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39" authorId="0">
      <x:text>
        <x:r>
          <x:t>Closing new finance lease liability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39" authorId="0">
      <x:text>
        <x:r>
          <x:t>Closing new finance lease liability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39" authorId="0">
      <x:text>
        <x:r>
          <x:t>Closing new finance lease liability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39" authorId="0">
      <x:text>
        <x:r>
          <x:t>Closing new finance lease liability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39" authorId="0">
      <x:text>
        <x:r>
          <x:t>Closing new finance lease liability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39" authorId="0">
      <x:text>
        <x:r>
          <x:t>Closing new finance lease liability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39" authorId="0">
      <x:text>
        <x:r>
          <x:t>Closing new finance lease liability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39" authorId="0">
      <x:text>
        <x:r>
          <x:t>Closing new finance lease liability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39" authorId="0">
      <x:text>
        <x:r>
          <x:t>Closing new finance lease liability (FY:26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O39" authorId="0">
      <x:text>
        <x:r>
          <x:t>Closing new finance lease liability (FY:27 E).
Year-end balance from the relevant roll-forward. Follow the formula to opening balances, additions, expenses, payments or other changes.
Formula: =O36+O37-O38
Cross-sheet references identify the owning schedule. Same-sheet references identify intermediate calculations.</x:t>
        </x:r>
      </x:text>
    </x:comment>
    <x:comment ref="P39" authorId="0">
      <x:text>
        <x:r>
          <x:t>Closing new finance lease liability (FY:28 E).
Year-end balance from the relevant roll-forward. Follow the formula to opening balances, additions, expenses, payments or other changes.
Formula: =P36+P37-P38
Cross-sheet references identify the owning schedule. Same-sheet references identify intermediate calculations.</x:t>
        </x:r>
      </x:text>
    </x:comment>
    <x:comment ref="Q39" authorId="0">
      <x:text>
        <x:r>
          <x:t>Closing new finance lease liability (FY:29 E).
Year-end balance from the relevant roll-forward. Follow the formula to opening balances, additions, expenses, payments or other changes.
Formula: =Q36+Q37-Q38
Cross-sheet references identify the owning schedule. Same-sheet references identify intermediate calculations.</x:t>
        </x:r>
      </x:text>
    </x:comment>
    <x:comment ref="R39" authorId="0">
      <x:text>
        <x:r>
          <x:t>Closing new finance lease liability (FY:30 E).
Year-end balance from the relevant roll-forward. Follow the formula to opening balances, additions, expenses, payments or other changes.
Formula: =R36+R37-R38
Cross-sheet references identify the owning schedule. Same-sheet references identify intermediate calculations.</x:t>
        </x:r>
      </x:text>
    </x:comment>
    <x:comment ref="S39" authorId="0">
      <x:text>
        <x:r>
          <x:t>Closing new finance lease liability (FY:31 E).
Year-end balance from the relevant roll-forward. Follow the formula to opening balances, additions, expenses, payments or other changes.
Formula: =S36+S37-S38
Cross-sheet references identify the owning schedule. Same-sheet references identify intermediate calculations.</x:t>
        </x:r>
      </x:text>
    </x:comment>
    <x:comment ref="C40" authorId="0">
      <x:text>
        <x:r>
          <x:t>Interest or investment income calculated using the named rate and balance. Capitalized interest is part of the capex budget; the remaining recognized interest affects net income.</x:t>
        </x:r>
      </x:text>
    </x:comment>
    <x:comment ref="E40" authorId="0">
      <x:text>
        <x:r>
          <x:t>Total finance lease interest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40" authorId="0">
      <x:text>
        <x:r>
          <x:t>Total finance lease interest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40" authorId="0">
      <x:text>
        <x:r>
          <x:t>Total finance lease interest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40" authorId="0">
      <x:text>
        <x:r>
          <x:t>Total finance lease interest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40" authorId="0">
      <x:text>
        <x:r>
          <x:t>Total finance lease interest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40" authorId="0">
      <x:text>
        <x:r>
          <x:t>Total finance lease interest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40" authorId="0">
      <x:text>
        <x:r>
          <x:t>Total finance lease interest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40" authorId="0">
      <x:text>
        <x:r>
          <x:t>Total finance lease interest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40" authorId="0">
      <x:text>
        <x:r>
          <x:t>Total finance lease interest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40" authorId="0">
      <x:text>
        <x:r>
          <x:t>Total finance lease interest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40" authorId="0">
      <x:text>
        <x:r>
          <x:t>Total finance lease interest (FY:27 E).
Interest or investment income calculated using the named rate and balance. Capitalized interest is part of the capex budget; the remaining recognized interest affects net income.
Formula: =O33+(O36+0.5*O37)*'Assumptions'!O141
Cross-sheet references identify the owning schedule. Same-sheet references identify intermediate calculations.</x:t>
        </x:r>
      </x:text>
    </x:comment>
    <x:comment ref="P40" authorId="0">
      <x:text>
        <x:r>
          <x:t>Total finance lease interest (FY:28 E).
Interest or investment income calculated using the named rate and balance. Capitalized interest is part of the capex budget; the remaining recognized interest affects net income.
Formula: =P33+(P36+0.5*P37)*'Assumptions'!P141
Cross-sheet references identify the owning schedule. Same-sheet references identify intermediate calculations.</x:t>
        </x:r>
      </x:text>
    </x:comment>
    <x:comment ref="Q40" authorId="0">
      <x:text>
        <x:r>
          <x:t>Total finance lease interest (FY:29 E).
Interest or investment income calculated using the named rate and balance. Capitalized interest is part of the capex budget; the remaining recognized interest affects net income.
Formula: =Q33+(Q36+0.5*Q37)*'Assumptions'!Q141
Cross-sheet references identify the owning schedule. Same-sheet references identify intermediate calculations.</x:t>
        </x:r>
      </x:text>
    </x:comment>
    <x:comment ref="R40" authorId="0">
      <x:text>
        <x:r>
          <x:t>Total finance lease interest (FY:30 E).
Interest or investment income calculated using the named rate and balance. Capitalized interest is part of the capex budget; the remaining recognized interest affects net income.
Formula: =R33+(R36+0.5*R37)*'Assumptions'!R141
Cross-sheet references identify the owning schedule. Same-sheet references identify intermediate calculations.</x:t>
        </x:r>
      </x:text>
    </x:comment>
    <x:comment ref="S40" authorId="0">
      <x:text>
        <x:r>
          <x:t>Total finance lease interest (FY:31 E).
Interest or investment income calculated using the named rate and balance. Capitalized interest is part of the capex budget; the remaining recognized interest affects net income.
Formula: =S33+(S36+0.5*S37)*'Assumptions'!S141
Cross-sheet references identify the owning schedule. Same-sheet references identify intermediate calculations.</x:t>
        </x:r>
      </x:text>
    </x:comment>
    <x:comment ref="C41" authorId="0">
      <x:text>
        <x:r>
          <x:t>Reduction of debt or lease principal, separate from interest expense. Read the formula for the specific contractual or modeled payment schedule and sign.</x:t>
        </x:r>
      </x:text>
    </x:comment>
    <x:comment ref="E41" authorId="0">
      <x:text>
        <x:r>
          <x:t>Total finance lease principal payments (FY:17 A).
Reduction of debt or lease principal, separate from interest expense. Read the formula for the specific contractual or modeled payment schedule and sign.
Formula: ='Filing Notes'!E13
Cross-sheet references identify the owning schedule. Same-sheet references identify intermediate calculations.</x:t>
        </x:r>
      </x:text>
    </x:comment>
    <x:comment ref="F41" authorId="0">
      <x:text>
        <x:r>
          <x:t>Total finance lease principal payments (FY:18 A).
Reduction of debt or lease principal, separate from interest expense. Read the formula for the specific contractual or modeled payment schedule and sign.
Formula: ='Filing Notes'!F13
Cross-sheet references identify the owning schedule. Same-sheet references identify intermediate calculations.</x:t>
        </x:r>
      </x:text>
    </x:comment>
    <x:comment ref="G41" authorId="0">
      <x:text>
        <x:r>
          <x:t>Total finance lease principal payments (FY:19 A).
Reduction of debt or lease principal, separate from interest expense. Read the formula for the specific contractual or modeled payment schedule and sign.
Formula: ='Filing Notes'!G13
Cross-sheet references identify the owning schedule. Same-sheet references identify intermediate calculations.</x:t>
        </x:r>
      </x:text>
    </x:comment>
    <x:comment ref="H41" authorId="0">
      <x:text>
        <x:r>
          <x:t>Total finance lease principal payments (FY:20 A).
Reduction of debt or lease principal, separate from interest expense. Read the formula for the specific contractual or modeled payment schedule and sign.
Formula: ='Filing Notes'!H13
Cross-sheet references identify the owning schedule. Same-sheet references identify intermediate calculations.</x:t>
        </x:r>
      </x:text>
    </x:comment>
    <x:comment ref="I41" authorId="0">
      <x:text>
        <x:r>
          <x:t>Total finance lease principal payments (FY:21 A).
Reduction of debt or lease principal, separate from interest expense. Read the formula for the specific contractual or modeled payment schedule and sign.
Formula: ='Filing Notes'!I13
Cross-sheet references identify the owning schedule. Same-sheet references identify intermediate calculations.</x:t>
        </x:r>
      </x:text>
    </x:comment>
    <x:comment ref="J41" authorId="0">
      <x:text>
        <x:r>
          <x:t>Total finance lease principal payments (FY:22 A).
Reduction of debt or lease principal, separate from interest expense. Read the formula for the specific contractual or modeled payment schedule and sign.
Formula: ='Filing Notes'!J13
Cross-sheet references identify the owning schedule. Same-sheet references identify intermediate calculations.</x:t>
        </x:r>
      </x:text>
    </x:comment>
    <x:comment ref="K41" authorId="0">
      <x:text>
        <x:r>
          <x:t>Total finance lease principal payments (FY:23 A).
Reduction of debt or lease principal, separate from interest expense. Read the formula for the specific contractual or modeled payment schedule and sign.
Formula: ='Filing Notes'!K13
Cross-sheet references identify the owning schedule. Same-sheet references identify intermediate calculations.</x:t>
        </x:r>
      </x:text>
    </x:comment>
    <x:comment ref="L41" authorId="0">
      <x:text>
        <x:r>
          <x:t>Total finance lease principal payments (FY:24 A).
Reduction of debt or lease principal, separate from interest expense. Read the formula for the specific contractual or modeled payment schedule and sign.
Formula: ='Filing Notes'!L13
Cross-sheet references identify the owning schedule. Same-sheet references identify intermediate calculations.</x:t>
        </x:r>
      </x:text>
    </x:comment>
    <x:comment ref="M41" authorId="0">
      <x:text>
        <x:r>
          <x:t>Total finance lease principal payments (FY:25 A).
Reduction of debt or lease principal, separate from interest expense. Read the formula for the specific contractual or modeled payment schedule and sign.
Formula: ='Filing Notes'!M13
Cross-sheet references identify the owning schedule. Same-sheet references identify intermediate calculations.</x:t>
        </x:r>
      </x:text>
    </x:comment>
    <x:comment ref="N41" authorId="0">
      <x:text>
        <x:r>
          <x:t>Total finance lease principal payments (FY:26 A).
Reduction of debt or lease principal, separate from interest expense. Read the formula for the specific contractual or modeled payment schedule and sign.
Formula: ='Filing Notes'!N13
Cross-sheet references identify the owning schedule. Same-sheet references identify intermediate calculations.</x:t>
        </x:r>
      </x:text>
    </x:comment>
    <x:comment ref="O41" authorId="0">
      <x:text>
        <x:r>
          <x:t>Total finance lease principal payments (FY:27 E).
Reduction of debt or lease principal, separate from interest expense. Read the formula for the specific contractual or modeled payment schedule and sign.
Formula: =O34+O38
Cross-sheet references identify the owning schedule. Same-sheet references identify intermediate calculations.</x:t>
        </x:r>
      </x:text>
    </x:comment>
    <x:comment ref="P41" authorId="0">
      <x:text>
        <x:r>
          <x:t>Total finance lease principal payments (FY:28 E).
Reduction of debt or lease principal, separate from interest expense. Read the formula for the specific contractual or modeled payment schedule and sign.
Formula: =P34+P38
Cross-sheet references identify the owning schedule. Same-sheet references identify intermediate calculations.</x:t>
        </x:r>
      </x:text>
    </x:comment>
    <x:comment ref="Q41" authorId="0">
      <x:text>
        <x:r>
          <x:t>Total finance lease principal payments (FY:29 E).
Reduction of debt or lease principal, separate from interest expense. Read the formula for the specific contractual or modeled payment schedule and sign.
Formula: =Q34+Q38
Cross-sheet references identify the owning schedule. Same-sheet references identify intermediate calculations.</x:t>
        </x:r>
      </x:text>
    </x:comment>
    <x:comment ref="R41" authorId="0">
      <x:text>
        <x:r>
          <x:t>Total finance lease principal payments (FY:30 E).
Reduction of debt or lease principal, separate from interest expense. Read the formula for the specific contractual or modeled payment schedule and sign.
Formula: =R34+R38
Cross-sheet references identify the owning schedule. Same-sheet references identify intermediate calculations.</x:t>
        </x:r>
      </x:text>
    </x:comment>
    <x:comment ref="S41" authorId="0">
      <x:text>
        <x:r>
          <x:t>Total finance lease principal payments (FY:31 E).
Reduction of debt or lease principal, separate from interest expense. Read the formula for the specific contractual or modeled payment schedule and sign.
Formula: =S34+S38
Cross-sheet references identify the owning schedule. Same-sheet references identify intermediate calculations.</x:t>
        </x:r>
      </x:text>
    </x:comment>
    <x:comment ref="C42" authorId="0">
      <x:text>
        <x:r>
          <x:t>Total finance lease liabilities. This line belongs to the Debt and Leases calculation. Read its formula to trace the referenced inputs and intermediate totals.</x:t>
        </x:r>
      </x:text>
    </x:comment>
    <x:comment ref="E42" authorId="0">
      <x:text>
        <x:r>
          <x:t>Total finance lease liabilities (FY:17 A).
Total finance lease liabilities. This line belongs to the Debt and Leases calculation. Read its formula to trace the referenced inputs and intermediate totals.
Formula: ='Filing Notes'!E12
Cross-sheet references identify the owning schedule. Same-sheet references identify intermediate calculations.</x:t>
        </x:r>
      </x:text>
    </x:comment>
    <x:comment ref="F42" authorId="0">
      <x:text>
        <x:r>
          <x:t>Total finance lease liabilities (FY:18 A).
Total finance lease liabilities. This line belongs to the Debt and Leases calculation. Read its formula to trace the referenced inputs and intermediate totals.
Formula: ='Filing Notes'!F12
Cross-sheet references identify the owning schedule. Same-sheet references identify intermediate calculations.</x:t>
        </x:r>
      </x:text>
    </x:comment>
    <x:comment ref="G42" authorId="0">
      <x:text>
        <x:r>
          <x:t>Total finance lease liabilities (FY:19 A).
Total finance lease liabilities. This line belongs to the Debt and Leases calculation. Read its formula to trace the referenced inputs and intermediate totals.
Formula: ='Filing Notes'!G12
Cross-sheet references identify the owning schedule. Same-sheet references identify intermediate calculations.</x:t>
        </x:r>
      </x:text>
    </x:comment>
    <x:comment ref="H42" authorId="0">
      <x:text>
        <x:r>
          <x:t>Total finance lease liabilities (FY:20 A).
Total finance lease liabilities. This line belongs to the Debt and Leases calculation. Read its formula to trace the referenced inputs and intermediate totals.
Formula: ='Filing Notes'!H12
Cross-sheet references identify the owning schedule. Same-sheet references identify intermediate calculations.</x:t>
        </x:r>
      </x:text>
    </x:comment>
    <x:comment ref="I42" authorId="0">
      <x:text>
        <x:r>
          <x:t>Total finance lease liabilities (FY:21 A).
Total finance lease liabilities. This line belongs to the Debt and Leases calculation. Read its formula to trace the referenced inputs and intermediate totals.
Formula: ='Filing Notes'!I12
Cross-sheet references identify the owning schedule. Same-sheet references identify intermediate calculations.</x:t>
        </x:r>
      </x:text>
    </x:comment>
    <x:comment ref="J42" authorId="0">
      <x:text>
        <x:r>
          <x:t>Total finance lease liabilities (FY:22 A).
Total finance lease liabilities. This line belongs to the Debt and Leases calculation. Read its formula to trace the referenced inputs and intermediate totals.
Formula: ='Filing Notes'!J12
Cross-sheet references identify the owning schedule. Same-sheet references identify intermediate calculations.</x:t>
        </x:r>
      </x:text>
    </x:comment>
    <x:comment ref="K42" authorId="0">
      <x:text>
        <x:r>
          <x:t>Total finance lease liabilities (FY:23 A).
Total finance lease liabilities. This line belongs to the Debt and Leases calculation. Read its formula to trace the referenced inputs and intermediate totals.
Formula: ='Filing Notes'!K12
Cross-sheet references identify the owning schedule. Same-sheet references identify intermediate calculations.</x:t>
        </x:r>
      </x:text>
    </x:comment>
    <x:comment ref="L42" authorId="0">
      <x:text>
        <x:r>
          <x:t>Total finance lease liabilities (FY:24 A).
Total finance lease liabilities. This line belongs to the Debt and Leases calculation. Read its formula to trace the referenced inputs and intermediate totals.
Formula: ='Filing Notes'!L12
Cross-sheet references identify the owning schedule. Same-sheet references identify intermediate calculations.</x:t>
        </x:r>
      </x:text>
    </x:comment>
    <x:comment ref="M42" authorId="0">
      <x:text>
        <x:r>
          <x:t>Total finance lease liabilities (FY:25 A).
Total finance lease liabilities. This line belongs to the Debt and Leases calculation. Read its formula to trace the referenced inputs and intermediate totals.
Formula: ='Filing Notes'!M12
Cross-sheet references identify the owning schedule. Same-sheet references identify intermediate calculations.</x:t>
        </x:r>
      </x:text>
    </x:comment>
    <x:comment ref="N42" authorId="0">
      <x:text>
        <x:r>
          <x:t>Total finance lease liabilities (FY:26 A).
Total finance lease liabilities. This line belongs to the Debt and Leases calculation. Read its formula to trace the referenced inputs and intermediate totals.
Formula: ='Filing Notes'!N12
Cross-sheet references identify the owning schedule. Same-sheet references identify intermediate calculations.</x:t>
        </x:r>
      </x:text>
    </x:comment>
    <x:comment ref="O42" authorId="0">
      <x:text>
        <x:r>
          <x:t>Total finance lease liabilities (FY:27 E).
Total finance lease liabilities. This line belongs to the Debt and Leases calculation. Read its formula to trace the referenced inputs and intermediate totals.
Formula: =O35+O39
Cross-sheet references identify the owning schedule. Same-sheet references identify intermediate calculations.</x:t>
        </x:r>
      </x:text>
    </x:comment>
    <x:comment ref="P42" authorId="0">
      <x:text>
        <x:r>
          <x:t>Total finance lease liabilities (FY:28 E).
Total finance lease liabilities. This line belongs to the Debt and Leases calculation. Read its formula to trace the referenced inputs and intermediate totals.
Formula: =P35+P39
Cross-sheet references identify the owning schedule. Same-sheet references identify intermediate calculations.</x:t>
        </x:r>
      </x:text>
    </x:comment>
    <x:comment ref="Q42" authorId="0">
      <x:text>
        <x:r>
          <x:t>Total finance lease liabilities (FY:29 E).
Total finance lease liabilities. This line belongs to the Debt and Leases calculation. Read its formula to trace the referenced inputs and intermediate totals.
Formula: =Q35+Q39
Cross-sheet references identify the owning schedule. Same-sheet references identify intermediate calculations.</x:t>
        </x:r>
      </x:text>
    </x:comment>
    <x:comment ref="R42" authorId="0">
      <x:text>
        <x:r>
          <x:t>Total finance lease liabilities (FY:30 E).
Total finance lease liabilities. This line belongs to the Debt and Leases calculation. Read its formula to trace the referenced inputs and intermediate totals.
Formula: =R35+R39
Cross-sheet references identify the owning schedule. Same-sheet references identify intermediate calculations.</x:t>
        </x:r>
      </x:text>
    </x:comment>
    <x:comment ref="S42" authorId="0">
      <x:text>
        <x:r>
          <x:t>Total finance lease liabilities (FY:31 E).
Total finance lease liabilities. This line belongs to the Debt and Leases calculation. Read its formula to trace the referenced inputs and intermediate totals.
Formula: =S35+S39
Cross-sheet references identify the owning schedule. Same-sheet references identify intermediate calculations.</x:t>
        </x:r>
      </x:text>
    </x:comment>
    <x:comment ref="C43" authorId="0">
      <x:text>
        <x:r>
          <x:t>Current finance lease liabilities. This line belongs to the Debt and Leases calculation. Read its formula to trace the referenced inputs and intermediate totals.</x:t>
        </x:r>
      </x:text>
    </x:comment>
    <x:comment ref="E43" authorId="0">
      <x:text>
        <x:r>
          <x:t>Current finance lease liabilities (FY:17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43" authorId="0">
      <x:text>
        <x:r>
          <x:t>Current finance lease liabilities (FY:18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43" authorId="0">
      <x:text>
        <x:r>
          <x:t>Current finance lease liabilities (FY:19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43" authorId="0">
      <x:text>
        <x:r>
          <x:t>Current finance lease liabilities (FY:20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43" authorId="0">
      <x:text>
        <x:r>
          <x:t>Current finance lease liabilities (FY:21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43" authorId="0">
      <x:text>
        <x:r>
          <x:t>Current finance lease liabilities (FY:22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43" authorId="0">
      <x:text>
        <x:r>
          <x:t>Current finance lease liabilities (FY:23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43" authorId="0">
      <x:text>
        <x:r>
          <x:t>Current finance lease liabilities (FY:24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43" authorId="0">
      <x:text>
        <x:r>
          <x:t>Current finance lease liabilities (FY:25 A).
Current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43" authorId="0">
      <x:text>
        <x:r>
          <x:t>Current finance lease liabilities (FY:26 A).
Current finance lease liabilities. This line belongs to the Debt and Leases calculation. Read its formula to trace the referenced inputs and intermediate totals.
Formula: ='Filing Notes'!N29
Cross-sheet references identify the owning schedule. Same-sheet references identify intermediate calculations.</x:t>
        </x:r>
      </x:text>
    </x:comment>
    <x:comment ref="O43" authorId="0">
      <x:text>
        <x:r>
          <x:t>Current finance lease liabilities (FY:27 E).
Current finance lease liabilities. This line belongs to the Debt and Leases calculation. Read its formula to trace the referenced inputs and intermediate totals.
Formula: =MIN(O42,MAX(0,O45-O35*'Assumptions'!O141)+O39/'Assumptions'!O149)
Cross-sheet references identify the owning schedule. Same-sheet references identify intermediate calculations.</x:t>
        </x:r>
      </x:text>
    </x:comment>
    <x:comment ref="P43" authorId="0">
      <x:text>
        <x:r>
          <x:t>Current finance lease liabilities (FY:28 E).
Current finance lease liabilities. This line belongs to the Debt and Leases calculation. Read its formula to trace the referenced inputs and intermediate totals.
Formula: =MIN(P42,MAX(0,P45-P35*'Assumptions'!P141)+P39/'Assumptions'!P149)
Cross-sheet references identify the owning schedule. Same-sheet references identify intermediate calculations.</x:t>
        </x:r>
      </x:text>
    </x:comment>
    <x:comment ref="Q43" authorId="0">
      <x:text>
        <x:r>
          <x:t>Current finance lease liabilities (FY:29 E).
Current finance lease liabilities. This line belongs to the Debt and Leases calculation. Read its formula to trace the referenced inputs and intermediate totals.
Formula: =MIN(Q42,MAX(0,Q45-Q35*'Assumptions'!Q141)+Q39/'Assumptions'!Q149)
Cross-sheet references identify the owning schedule. Same-sheet references identify intermediate calculations.</x:t>
        </x:r>
      </x:text>
    </x:comment>
    <x:comment ref="R43" authorId="0">
      <x:text>
        <x:r>
          <x:t>Current finance lease liabilities (FY:30 E).
Current finance lease liabilities. This line belongs to the Debt and Leases calculation. Read its formula to trace the referenced inputs and intermediate totals.
Formula: =MIN(R42,MAX(0,R45-R35*'Assumptions'!R141)+R39/'Assumptions'!R149)
Cross-sheet references identify the owning schedule. Same-sheet references identify intermediate calculations.</x:t>
        </x:r>
      </x:text>
    </x:comment>
    <x:comment ref="S43" authorId="0">
      <x:text>
        <x:r>
          <x:t>Current finance lease liabilities (FY:31 E).
Current finance lease liabilities. This line belongs to the Debt and Leases calculation. Read its formula to trace the referenced inputs and intermediate totals.
Formula: =MIN(S42,MAX(0,S45-S35*'Assumptions'!S141)+S39/'Assumptions'!S149)
Cross-sheet references identify the owning schedule. Same-sheet references identify intermediate calculations.</x:t>
        </x:r>
      </x:text>
    </x:comment>
    <x:comment ref="C44" authorId="0">
      <x:text>
        <x:r>
          <x:t>Long-term finance lease liabilities. This line belongs to the Debt and Leases calculation. Read its formula to trace the referenced inputs and intermediate totals.</x:t>
        </x:r>
      </x:text>
    </x:comment>
    <x:comment ref="E44" authorId="0">
      <x:text>
        <x:r>
          <x:t>Long-term finance lease liabilities (FY:17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44" authorId="0">
      <x:text>
        <x:r>
          <x:t>Long-term finance lease liabilities (FY:18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44" authorId="0">
      <x:text>
        <x:r>
          <x:t>Long-term finance lease liabilities (FY:19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44" authorId="0">
      <x:text>
        <x:r>
          <x:t>Long-term finance lease liabilities (FY:20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44" authorId="0">
      <x:text>
        <x:r>
          <x:t>Long-term finance lease liabilities (FY:21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44" authorId="0">
      <x:text>
        <x:r>
          <x:t>Long-term finance lease liabilities (FY:22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44" authorId="0">
      <x:text>
        <x:r>
          <x:t>Long-term finance lease liabilities (FY:23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44" authorId="0">
      <x:text>
        <x:r>
          <x:t>Long-term finance lease liabilities (FY:24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44" authorId="0">
      <x:text>
        <x:r>
          <x:t>Long-term finance lease liabilities (FY:25 A).
Long-term finance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44" authorId="0">
      <x:text>
        <x:r>
          <x:t>Long-term finance lease liabilities (FY:26 A).
Long-term finance lease liabilities. This line belongs to the Debt and Leases calculation. Read its formula to trace the referenced inputs and intermediate totals.
Formula: ='Filing Notes'!N30
Cross-sheet references identify the owning schedule. Same-sheet references identify intermediate calculations.</x:t>
        </x:r>
      </x:text>
    </x:comment>
    <x:comment ref="O44" authorId="0">
      <x:text>
        <x:r>
          <x:t>Long-term finance lease liabilities (FY:27 E).
Long-term finance lease liabilities. This line belongs to the Debt and Leases calculation. Read its formula to trace the referenced inputs and intermediate totals.
Formula: =O42-O43
Cross-sheet references identify the owning schedule. Same-sheet references identify intermediate calculations.</x:t>
        </x:r>
      </x:text>
    </x:comment>
    <x:comment ref="P44" authorId="0">
      <x:text>
        <x:r>
          <x:t>Long-term finance lease liabilities (FY:28 E).
Long-term finance lease liabilities. This line belongs to the Debt and Leases calculation. Read its formula to trace the referenced inputs and intermediate totals.
Formula: =P42-P43
Cross-sheet references identify the owning schedule. Same-sheet references identify intermediate calculations.</x:t>
        </x:r>
      </x:text>
    </x:comment>
    <x:comment ref="Q44" authorId="0">
      <x:text>
        <x:r>
          <x:t>Long-term finance lease liabilities (FY:29 E).
Long-term finance lease liabilities. This line belongs to the Debt and Leases calculation. Read its formula to trace the referenced inputs and intermediate totals.
Formula: =Q42-Q43
Cross-sheet references identify the owning schedule. Same-sheet references identify intermediate calculations.</x:t>
        </x:r>
      </x:text>
    </x:comment>
    <x:comment ref="R44" authorId="0">
      <x:text>
        <x:r>
          <x:t>Long-term finance lease liabilities (FY:30 E).
Long-term finance lease liabilities. This line belongs to the Debt and Leases calculation. Read its formula to trace the referenced inputs and intermediate totals.
Formula: =R42-R43
Cross-sheet references identify the owning schedule. Same-sheet references identify intermediate calculations.</x:t>
        </x:r>
      </x:text>
    </x:comment>
    <x:comment ref="S44" authorId="0">
      <x:text>
        <x:r>
          <x:t>Long-term finance lease liabilities (FY:31 E).
Long-term finance lease liabilities. This line belongs to the Debt and Leases calculation. Read its formula to trace the referenced inputs and intermediate totals.
Formula: =S42-S43
Cross-sheet references identify the owning schedule. Same-sheet references identify intermediate calculations.</x:t>
        </x:r>
      </x:text>
    </x:comment>
    <x:comment ref="C45" authorId="0">
      <x:text>
        <x:r>
          <x:t>Cash balance or signed cash flow as named in the row. Positive cash-flow amounts are inflows and negative amounts are outflows. Follow the formula or source reference below for the classification.</x:t>
        </x:r>
      </x:text>
    </x:comment>
    <x:comment ref="E45" authorId="0">
      <x:text>
        <x:r>
          <x:t>Next year legacy finance lease cash payments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45" authorId="0">
      <x:text>
        <x:r>
          <x:t>Next year legacy finance lease cash payments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45" authorId="0">
      <x:text>
        <x:r>
          <x:t>Next year legacy finance lease cash payments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45" authorId="0">
      <x:text>
        <x:r>
          <x:t>Next year legacy finance lease cash payments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45" authorId="0">
      <x:text>
        <x:r>
          <x:t>Next year legacy finance lease cash payments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45" authorId="0">
      <x:text>
        <x:r>
          <x:t>Next year legacy finance lease cash payments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45" authorId="0">
      <x:text>
        <x:r>
          <x:t>Next year legacy finance lease cash payments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45" authorId="0">
      <x:text>
        <x:r>
          <x:t>Next year legacy finance lease cash payments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45" authorId="0">
      <x:text>
        <x:r>
          <x:t>Next year legacy finance lease cash payments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45" authorId="0">
      <x:text>
        <x:r>
          <x:t>Next year legacy finance lease cash payments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45" authorId="0">
      <x:text>
        <x:r>
          <x:t>Next year legacy finance lease cash payments (FY:27 E).
Cash balance or signed cash flow as named in the row. Positive cash-flow amounts are inflows and negative amounts are outflows. Follow the formula or source reference below for the classification.
Formula: ='Filing Notes'!P40
Cross-sheet references identify the owning schedule. Same-sheet references identify intermediate calculations.</x:t>
        </x:r>
      </x:text>
    </x:comment>
    <x:comment ref="P45" authorId="0">
      <x:text>
        <x:r>
          <x:t>Next year legacy finance lease cash payments (FY:28 E).
Cash balance or signed cash flow as named in the row. Positive cash-flow amounts are inflows and negative amounts are outflows. Follow the formula or source reference below for the classification.
Formula: ='Filing Notes'!Q40
Cross-sheet references identify the owning schedule. Same-sheet references identify intermediate calculations.</x:t>
        </x:r>
      </x:text>
    </x:comment>
    <x:comment ref="Q45" authorId="0">
      <x:text>
        <x:r>
          <x:t>Next year legacy finance lease cash payments (FY:29 E).
Cash balance or signed cash flow as named in the row. Positive cash-flow amounts are inflows and negative amounts are outflows. Follow the formula or source reference below for the classification.
Formula: ='Filing Notes'!R40
Cross-sheet references identify the owning schedule. Same-sheet references identify intermediate calculations.</x:t>
        </x:r>
      </x:text>
    </x:comment>
    <x:comment ref="R45" authorId="0">
      <x:text>
        <x:r>
          <x:t>Next year legacy finance lease cash payments (FY:30 E).
Cash balance or signed cash flow as named in the row. Positive cash-flow amounts are inflows and negative amounts are outflows. Follow the formula or source reference below for the classification.
Formula: ='Filing Notes'!S40
Cross-sheet references identify the owning schedule. Same-sheet references identify intermediate calculations.</x:t>
        </x:r>
      </x:text>
    </x:comment>
    <x:comment ref="S45" authorId="0">
      <x:text>
        <x:r>
          <x:t>Next year legacy finance lease cash payments (FY:31 E).
Cash balance or signed cash flow as named in the row. Positive cash-flow amounts are inflows and negative amounts are outflows. Follow the formula or source reference below for the classification.
Formula: ='Assumptions'!O213
Cross-sheet references identify the owning schedule. Same-sheet references identify intermediate calculations.</x:t>
        </x:r>
      </x:text>
    </x:comment>
    <x:comment ref="C48" authorId="0">
      <x:text>
        <x:r>
          <x:t>Beginning-of-year balance. Forecast periods carry forward the prior closing balance, with FY2026 providing the first forecast opening balance.</x:t>
        </x:r>
      </x:text>
    </x:comment>
    <x:comment ref="E48" authorId="0">
      <x:text>
        <x:r>
          <x:t>Opening legacy operating ROU assets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48" authorId="0">
      <x:text>
        <x:r>
          <x:t>Opening legacy operating ROU assets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48" authorId="0">
      <x:text>
        <x:r>
          <x:t>Opening legacy operating ROU assets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48" authorId="0">
      <x:text>
        <x:r>
          <x:t>Opening legacy operating ROU assets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48" authorId="0">
      <x:text>
        <x:r>
          <x:t>Opening legacy operating ROU assets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48" authorId="0">
      <x:text>
        <x:r>
          <x:t>Opening legacy operating ROU assets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48" authorId="0">
      <x:text>
        <x:r>
          <x:t>Opening legacy operating ROU assets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48" authorId="0">
      <x:text>
        <x:r>
          <x:t>Opening legacy operating ROU assets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48" authorId="0">
      <x:text>
        <x:r>
          <x:t>Opening legacy operating ROU assets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48" authorId="0">
      <x:text>
        <x:r>
          <x:t>Opening legacy operating ROU assets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48" authorId="0">
      <x:text>
        <x:r>
          <x:t>Opening legacy operating ROU assets (FY:27 E).
Beginning-of-year balance. Forecast periods carry forward the prior closing balance, with FY2026 providing the first forecast opening balance.
Formula: ='Historical Inputs'!N36
Cross-sheet references identify the owning schedule. Same-sheet references identify intermediate calculations.</x:t>
        </x:r>
      </x:text>
    </x:comment>
    <x:comment ref="P48" authorId="0">
      <x:text>
        <x:r>
          <x:t>Opening legacy operating ROU assets (FY:28 E).
Beginning-of-year balance. Forecast periods carry forward the prior closing balance, with FY2026 providing the first forecast opening balance.
Formula: =O50
Cross-sheet references identify the owning schedule. Same-sheet references identify intermediate calculations.</x:t>
        </x:r>
      </x:text>
    </x:comment>
    <x:comment ref="Q48" authorId="0">
      <x:text>
        <x:r>
          <x:t>Opening legacy operating ROU assets (FY:29 E).
Beginning-of-year balance. Forecast periods carry forward the prior closing balance, with FY2026 providing the first forecast opening balance.
Formula: =P50
Cross-sheet references identify the owning schedule. Same-sheet references identify intermediate calculations.</x:t>
        </x:r>
      </x:text>
    </x:comment>
    <x:comment ref="R48" authorId="0">
      <x:text>
        <x:r>
          <x:t>Opening legacy operating ROU assets (FY:30 E).
Beginning-of-year balance. Forecast periods carry forward the prior closing balance, with FY2026 providing the first forecast opening balance.
Formula: =Q50
Cross-sheet references identify the owning schedule. Same-sheet references identify intermediate calculations.</x:t>
        </x:r>
      </x:text>
    </x:comment>
    <x:comment ref="S48" authorId="0">
      <x:text>
        <x:r>
          <x:t>Opening legacy operating ROU assets (FY:31 E).
Beginning-of-year balance. Forecast periods carry forward the prior closing balance, with FY2026 providing the first forecast opening balance.
Formula: =R50
Cross-sheet references identify the owning schedule. Same-sheet references identify intermediate calculations.</x:t>
        </x:r>
      </x:text>
    </x:comment>
    <x:comment ref="C49" authorId="0">
      <x:text>
        <x:r>
          <x:t>Legacy operating ROU amortization. This line belongs to the Debt and Leases calculation. Read its formula to trace the referenced inputs and intermediate totals.</x:t>
        </x:r>
      </x:text>
    </x:comment>
    <x:comment ref="E49" authorId="0">
      <x:text>
        <x:r>
          <x:t>Legacy operating ROU amortization (FY:17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49" authorId="0">
      <x:text>
        <x:r>
          <x:t>Legacy operating ROU amortization (FY:18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49" authorId="0">
      <x:text>
        <x:r>
          <x:t>Legacy operating ROU amortization (FY:19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49" authorId="0">
      <x:text>
        <x:r>
          <x:t>Legacy operating ROU amortization (FY:20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49" authorId="0">
      <x:text>
        <x:r>
          <x:t>Legacy operating ROU amortization (FY:21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49" authorId="0">
      <x:text>
        <x:r>
          <x:t>Legacy operating ROU amortization (FY:22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49" authorId="0">
      <x:text>
        <x:r>
          <x:t>Legacy operating ROU amortization (FY:23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49" authorId="0">
      <x:text>
        <x:r>
          <x:t>Legacy operating ROU amortization (FY:24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49" authorId="0">
      <x:text>
        <x:r>
          <x:t>Legacy operating ROU amortization (FY:25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49" authorId="0">
      <x:text>
        <x:r>
          <x:t>Legacy operating ROU amortization (FY:26 A).
Legacy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O49" authorId="0">
      <x:text>
        <x:r>
          <x:t>Legacy operating ROU amortization (FY:27 E).
Legacy operating ROU amortization. This line belongs to the Debt and Leases calculation. Read its formula to trace the referenced inputs and intermediate totals.
Formula: =MIN(O48,'Historical Inputs'!N36/'Assumptions'!O157)
Cross-sheet references identify the owning schedule. Same-sheet references identify intermediate calculations.</x:t>
        </x:r>
      </x:text>
    </x:comment>
    <x:comment ref="P49" authorId="0">
      <x:text>
        <x:r>
          <x:t>Legacy operating ROU amortization (FY:28 E).
Legacy operating ROU amortization. This line belongs to the Debt and Leases calculation. Read its formula to trace the referenced inputs and intermediate totals.
Formula: =MIN(P48,'Historical Inputs'!N36/'Assumptions'!P157)
Cross-sheet references identify the owning schedule. Same-sheet references identify intermediate calculations.</x:t>
        </x:r>
      </x:text>
    </x:comment>
    <x:comment ref="Q49" authorId="0">
      <x:text>
        <x:r>
          <x:t>Legacy operating ROU amortization (FY:29 E).
Legacy operating ROU amortization. This line belongs to the Debt and Leases calculation. Read its formula to trace the referenced inputs and intermediate totals.
Formula: =MIN(Q48,'Historical Inputs'!N36/'Assumptions'!Q157)
Cross-sheet references identify the owning schedule. Same-sheet references identify intermediate calculations.</x:t>
        </x:r>
      </x:text>
    </x:comment>
    <x:comment ref="R49" authorId="0">
      <x:text>
        <x:r>
          <x:t>Legacy operating ROU amortization (FY:30 E).
Legacy operating ROU amortization. This line belongs to the Debt and Leases calculation. Read its formula to trace the referenced inputs and intermediate totals.
Formula: =MIN(R48,'Historical Inputs'!N36/'Assumptions'!R157)
Cross-sheet references identify the owning schedule. Same-sheet references identify intermediate calculations.</x:t>
        </x:r>
      </x:text>
    </x:comment>
    <x:comment ref="S49" authorId="0">
      <x:text>
        <x:r>
          <x:t>Legacy operating ROU amortization (FY:31 E).
Legacy operating ROU amortization. This line belongs to the Debt and Leases calculation. Read its formula to trace the referenced inputs and intermediate totals.
Formula: =MIN(S48,'Historical Inputs'!N36/'Assumptions'!S157)
Cross-sheet references identify the owning schedule. Same-sheet references identify intermediate calculations.</x:t>
        </x:r>
      </x:text>
    </x:comment>
    <x:comment ref="C50" authorId="0">
      <x:text>
        <x:r>
          <x:t>Year-end balance from the relevant roll-forward. Follow the formula to opening balances, additions, expenses, payments or other changes.</x:t>
        </x:r>
      </x:text>
    </x:comment>
    <x:comment ref="E50" authorId="0">
      <x:text>
        <x:r>
          <x:t>Closing legacy operating ROU assets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50" authorId="0">
      <x:text>
        <x:r>
          <x:t>Closing legacy operating ROU assets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50" authorId="0">
      <x:text>
        <x:r>
          <x:t>Closing legacy operating ROU assets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50" authorId="0">
      <x:text>
        <x:r>
          <x:t>Closing legacy operating ROU assets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50" authorId="0">
      <x:text>
        <x:r>
          <x:t>Closing legacy operating ROU assets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50" authorId="0">
      <x:text>
        <x:r>
          <x:t>Closing legacy operating ROU assets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50" authorId="0">
      <x:text>
        <x:r>
          <x:t>Closing legacy operating ROU assets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50" authorId="0">
      <x:text>
        <x:r>
          <x:t>Closing legacy operating ROU assets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50" authorId="0">
      <x:text>
        <x:r>
          <x:t>Closing legacy operating ROU assets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50" authorId="0">
      <x:text>
        <x:r>
          <x:t>Closing legacy operating ROU assets (FY:26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O50" authorId="0">
      <x:text>
        <x:r>
          <x:t>Closing legacy operating ROU assets (FY:27 E).
Year-end balance from the relevant roll-forward. Follow the formula to opening balances, additions, expenses, payments or other changes.
Formula: =O48-O49
Cross-sheet references identify the owning schedule. Same-sheet references identify intermediate calculations.</x:t>
        </x:r>
      </x:text>
    </x:comment>
    <x:comment ref="P50" authorId="0">
      <x:text>
        <x:r>
          <x:t>Closing legacy operating ROU assets (FY:28 E).
Year-end balance from the relevant roll-forward. Follow the formula to opening balances, additions, expenses, payments or other changes.
Formula: =P48-P49
Cross-sheet references identify the owning schedule. Same-sheet references identify intermediate calculations.</x:t>
        </x:r>
      </x:text>
    </x:comment>
    <x:comment ref="Q50" authorId="0">
      <x:text>
        <x:r>
          <x:t>Closing legacy operating ROU assets (FY:29 E).
Year-end balance from the relevant roll-forward. Follow the formula to opening balances, additions, expenses, payments or other changes.
Formula: =Q48-Q49
Cross-sheet references identify the owning schedule. Same-sheet references identify intermediate calculations.</x:t>
        </x:r>
      </x:text>
    </x:comment>
    <x:comment ref="R50" authorId="0">
      <x:text>
        <x:r>
          <x:t>Closing legacy operating ROU assets (FY:30 E).
Year-end balance from the relevant roll-forward. Follow the formula to opening balances, additions, expenses, payments or other changes.
Formula: =R48-R49
Cross-sheet references identify the owning schedule. Same-sheet references identify intermediate calculations.</x:t>
        </x:r>
      </x:text>
    </x:comment>
    <x:comment ref="S50" authorId="0">
      <x:text>
        <x:r>
          <x:t>Closing legacy operating ROU assets (FY:31 E).
Year-end balance from the relevant roll-forward. Follow the formula to opening balances, additions, expenses, payments or other changes.
Formula: =S48-S49
Cross-sheet references identify the owning schedule. Same-sheet references identify intermediate calculations.</x:t>
        </x:r>
      </x:text>
    </x:comment>
    <x:comment ref="C51" authorId="0">
      <x:text>
        <x:r>
          <x:t>Beginning-of-year balance. Forecast periods carry forward the prior closing balance, with FY2026 providing the first forecast opening balance.</x:t>
        </x:r>
      </x:text>
    </x:comment>
    <x:comment ref="E51" authorId="0">
      <x:text>
        <x:r>
          <x:t>Opening legacy operating lease liability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51" authorId="0">
      <x:text>
        <x:r>
          <x:t>Opening legacy operating lease liability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51" authorId="0">
      <x:text>
        <x:r>
          <x:t>Opening legacy operating lease liability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51" authorId="0">
      <x:text>
        <x:r>
          <x:t>Opening legacy operating lease liability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51" authorId="0">
      <x:text>
        <x:r>
          <x:t>Opening legacy operating lease liability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51" authorId="0">
      <x:text>
        <x:r>
          <x:t>Opening legacy operating lease liability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51" authorId="0">
      <x:text>
        <x:r>
          <x:t>Opening legacy operating lease liability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51" authorId="0">
      <x:text>
        <x:r>
          <x:t>Opening legacy operating lease liability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51" authorId="0">
      <x:text>
        <x:r>
          <x:t>Opening legacy operating lease liability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51" authorId="0">
      <x:text>
        <x:r>
          <x:t>Opening legacy operating lease liability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51" authorId="0">
      <x:text>
        <x:r>
          <x:t>Opening legacy operating lease liability (FY:27 E).
Beginning-of-year balance. Forecast periods carry forward the prior closing balance, with FY2026 providing the first forecast opening balance.
Formula: ='Filing Notes'!N15
Cross-sheet references identify the owning schedule. Same-sheet references identify intermediate calculations.</x:t>
        </x:r>
      </x:text>
    </x:comment>
    <x:comment ref="P51" authorId="0">
      <x:text>
        <x:r>
          <x:t>Opening legacy operating lease liability (FY:28 E).
Beginning-of-year balance. Forecast periods carry forward the prior closing balance, with FY2026 providing the first forecast opening balance.
Formula: =O55
Cross-sheet references identify the owning schedule. Same-sheet references identify intermediate calculations.</x:t>
        </x:r>
      </x:text>
    </x:comment>
    <x:comment ref="Q51" authorId="0">
      <x:text>
        <x:r>
          <x:t>Opening legacy operating lease liability (FY:29 E).
Beginning-of-year balance. Forecast periods carry forward the prior closing balance, with FY2026 providing the first forecast opening balance.
Formula: =P55
Cross-sheet references identify the owning schedule. Same-sheet references identify intermediate calculations.</x:t>
        </x:r>
      </x:text>
    </x:comment>
    <x:comment ref="R51" authorId="0">
      <x:text>
        <x:r>
          <x:t>Opening legacy operating lease liability (FY:30 E).
Beginning-of-year balance. Forecast periods carry forward the prior closing balance, with FY2026 providing the first forecast opening balance.
Formula: =Q55
Cross-sheet references identify the owning schedule. Same-sheet references identify intermediate calculations.</x:t>
        </x:r>
      </x:text>
    </x:comment>
    <x:comment ref="S51" authorId="0">
      <x:text>
        <x:r>
          <x:t>Opening legacy operating lease liability (FY:31 E).
Beginning-of-year balance. Forecast periods carry forward the prior closing balance, with FY2026 providing the first forecast opening balance.
Formula: =R55
Cross-sheet references identify the owning schedule. Same-sheet references identify intermediate calculations.</x:t>
        </x:r>
      </x:text>
    </x:comment>
    <x:comment ref="C52" authorId="0">
      <x:text>
        <x:r>
          <x:t>Cash balance or signed cash flow as named in the row. Positive cash-flow amounts are inflows and negative amounts are outflows. Follow the formula or source reference below for the classification.</x:t>
        </x:r>
      </x:text>
    </x:comment>
    <x:comment ref="E52" authorId="0">
      <x:text>
        <x:r>
          <x:t>Contractual legacy operating lease cash payments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52" authorId="0">
      <x:text>
        <x:r>
          <x:t>Contractual legacy operating lease cash payments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52" authorId="0">
      <x:text>
        <x:r>
          <x:t>Contractual legacy operating lease cash payments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52" authorId="0">
      <x:text>
        <x:r>
          <x:t>Contractual legacy operating lease cash payments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52" authorId="0">
      <x:text>
        <x:r>
          <x:t>Contractual legacy operating lease cash payments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52" authorId="0">
      <x:text>
        <x:r>
          <x:t>Contractual legacy operating lease cash payments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52" authorId="0">
      <x:text>
        <x:r>
          <x:t>Contractual legacy operating lease cash payments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52" authorId="0">
      <x:text>
        <x:r>
          <x:t>Contractual legacy operating lease cash payments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52" authorId="0">
      <x:text>
        <x:r>
          <x:t>Contractual legacy operating lease cash payments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52" authorId="0">
      <x:text>
        <x:r>
          <x:t>Contractual legacy operating lease cash payments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52" authorId="0">
      <x:text>
        <x:r>
          <x:t>Contractual legacy operating lease cash payments (FY:27 E).
Cash balance or signed cash flow as named in the row. Positive cash-flow amounts are inflows and negative amounts are outflows. Follow the formula or source reference below for the classification.
Formula: ='Filing Notes'!O39
Cross-sheet references identify the owning schedule. Same-sheet references identify intermediate calculations.</x:t>
        </x:r>
      </x:text>
    </x:comment>
    <x:comment ref="P52" authorId="0">
      <x:text>
        <x:r>
          <x:t>Contractual legacy operating lease cash payments (FY:28 E).
Cash balance or signed cash flow as named in the row. Positive cash-flow amounts are inflows and negative amounts are outflows. Follow the formula or source reference below for the classification.
Formula: ='Filing Notes'!P39
Cross-sheet references identify the owning schedule. Same-sheet references identify intermediate calculations.</x:t>
        </x:r>
      </x:text>
    </x:comment>
    <x:comment ref="Q52" authorId="0">
      <x:text>
        <x:r>
          <x:t>Contractual legacy operating lease cash payments (FY:29 E).
Cash balance or signed cash flow as named in the row. Positive cash-flow amounts are inflows and negative amounts are outflows. Follow the formula or source reference below for the classification.
Formula: ='Filing Notes'!Q39
Cross-sheet references identify the owning schedule. Same-sheet references identify intermediate calculations.</x:t>
        </x:r>
      </x:text>
    </x:comment>
    <x:comment ref="R52" authorId="0">
      <x:text>
        <x:r>
          <x:t>Contractual legacy operating lease cash payments (FY:30 E).
Cash balance or signed cash flow as named in the row. Positive cash-flow amounts are inflows and negative amounts are outflows. Follow the formula or source reference below for the classification.
Formula: ='Filing Notes'!R39
Cross-sheet references identify the owning schedule. Same-sheet references identify intermediate calculations.</x:t>
        </x:r>
      </x:text>
    </x:comment>
    <x:comment ref="S52" authorId="0">
      <x:text>
        <x:r>
          <x:t>Contractual legacy operating lease cash payments (FY:31 E).
Cash balance or signed cash flow as named in the row. Positive cash-flow amounts are inflows and negative amounts are outflows. Follow the formula or source reference below for the classification.
Formula: ='Filing Notes'!S39
Cross-sheet references identify the owning schedule. Same-sheet references identify intermediate calculations.</x:t>
        </x:r>
      </x:text>
    </x:comment>
    <x:comment ref="C53" authorId="0">
      <x:text>
        <x:r>
          <x:t>Interest or investment income calculated using the named rate and balance. Capitalized interest is part of the capex budget; the remaining recognized interest affects net income.</x:t>
        </x:r>
      </x:text>
    </x:comment>
    <x:comment ref="E53" authorId="0">
      <x:text>
        <x:r>
          <x:t>Interest component of legacy operating leases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53" authorId="0">
      <x:text>
        <x:r>
          <x:t>Interest component of legacy operating leases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53" authorId="0">
      <x:text>
        <x:r>
          <x:t>Interest component of legacy operating leases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53" authorId="0">
      <x:text>
        <x:r>
          <x:t>Interest component of legacy operating leases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53" authorId="0">
      <x:text>
        <x:r>
          <x:t>Interest component of legacy operating leases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53" authorId="0">
      <x:text>
        <x:r>
          <x:t>Interest component of legacy operating leases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53" authorId="0">
      <x:text>
        <x:r>
          <x:t>Interest component of legacy operating leases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53" authorId="0">
      <x:text>
        <x:r>
          <x:t>Interest component of legacy operating leases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53" authorId="0">
      <x:text>
        <x:r>
          <x:t>Interest component of legacy operating leases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53" authorId="0">
      <x:text>
        <x:r>
          <x:t>Interest component of legacy operating leases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53" authorId="0">
      <x:text>
        <x:r>
          <x:t>Interest component of legacy operating leases (FY:27 E).
Interest or investment income calculated using the named rate and balance. Capitalized interest is part of the capex budget; the remaining recognized interest affects net income.
Formula: =O51*'Assumptions'!O145
Cross-sheet references identify the owning schedule. Same-sheet references identify intermediate calculations.</x:t>
        </x:r>
      </x:text>
    </x:comment>
    <x:comment ref="P53" authorId="0">
      <x:text>
        <x:r>
          <x:t>Interest component of legacy operating leases (FY:28 E).
Interest or investment income calculated using the named rate and balance. Capitalized interest is part of the capex budget; the remaining recognized interest affects net income.
Formula: =P51*'Assumptions'!P145
Cross-sheet references identify the owning schedule. Same-sheet references identify intermediate calculations.</x:t>
        </x:r>
      </x:text>
    </x:comment>
    <x:comment ref="Q53" authorId="0">
      <x:text>
        <x:r>
          <x:t>Interest component of legacy operating leases (FY:29 E).
Interest or investment income calculated using the named rate and balance. Capitalized interest is part of the capex budget; the remaining recognized interest affects net income.
Formula: =Q51*'Assumptions'!Q145
Cross-sheet references identify the owning schedule. Same-sheet references identify intermediate calculations.</x:t>
        </x:r>
      </x:text>
    </x:comment>
    <x:comment ref="R53" authorId="0">
      <x:text>
        <x:r>
          <x:t>Interest component of legacy operating leases (FY:30 E).
Interest or investment income calculated using the named rate and balance. Capitalized interest is part of the capex budget; the remaining recognized interest affects net income.
Formula: =R51*'Assumptions'!R145
Cross-sheet references identify the owning schedule. Same-sheet references identify intermediate calculations.</x:t>
        </x:r>
      </x:text>
    </x:comment>
    <x:comment ref="S53" authorId="0">
      <x:text>
        <x:r>
          <x:t>Interest component of legacy operating leases (FY:31 E).
Interest or investment income calculated using the named rate and balance. Capitalized interest is part of the capex budget; the remaining recognized interest affects net income.
Formula: =S51*'Assumptions'!S145
Cross-sheet references identify the owning schedule. Same-sheet references identify intermediate calculations.</x:t>
        </x:r>
      </x:text>
    </x:comment>
    <x:comment ref="C54" authorId="0">
      <x:text>
        <x:r>
          <x:t>Reduction of debt or lease principal, separate from interest expense. Read the formula for the specific contractual or modeled payment schedule and sign.</x:t>
        </x:r>
      </x:text>
    </x:comment>
    <x:comment ref="E54" authorId="0">
      <x:text>
        <x:r>
          <x:t>Legacy operating lease principal reduction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54" authorId="0">
      <x:text>
        <x:r>
          <x:t>Legacy operating lease principal reduction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54" authorId="0">
      <x:text>
        <x:r>
          <x:t>Legacy operating lease principal reduction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54" authorId="0">
      <x:text>
        <x:r>
          <x:t>Legacy operating lease principal reduction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54" authorId="0">
      <x:text>
        <x:r>
          <x:t>Legacy operating lease principal reduction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54" authorId="0">
      <x:text>
        <x:r>
          <x:t>Legacy operating lease principal reduction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54" authorId="0">
      <x:text>
        <x:r>
          <x:t>Legacy operating lease principal reduction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54" authorId="0">
      <x:text>
        <x:r>
          <x:t>Legacy operating lease principal reduction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54" authorId="0">
      <x:text>
        <x:r>
          <x:t>Legacy operating lease principal reduction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54" authorId="0">
      <x:text>
        <x:r>
          <x:t>Legacy operating lease principal reduction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54" authorId="0">
      <x:text>
        <x:r>
          <x:t>Legacy operating lease principal reduction (FY:27 E).
Reduction of debt or lease principal, separate from interest expense. Read the formula for the specific contractual or modeled payment schedule and sign.
Formula: =MIN(O51,MAX(0,O52-O53))
Cross-sheet references identify the owning schedule. Same-sheet references identify intermediate calculations.</x:t>
        </x:r>
      </x:text>
    </x:comment>
    <x:comment ref="P54" authorId="0">
      <x:text>
        <x:r>
          <x:t>Legacy operating lease principal reduction (FY:28 E).
Reduction of debt or lease principal, separate from interest expense. Read the formula for the specific contractual or modeled payment schedule and sign.
Formula: =MIN(P51,MAX(0,P52-P53))
Cross-sheet references identify the owning schedule. Same-sheet references identify intermediate calculations.</x:t>
        </x:r>
      </x:text>
    </x:comment>
    <x:comment ref="Q54" authorId="0">
      <x:text>
        <x:r>
          <x:t>Legacy operating lease principal reduction (FY:29 E).
Reduction of debt or lease principal, separate from interest expense. Read the formula for the specific contractual or modeled payment schedule and sign.
Formula: =MIN(Q51,MAX(0,Q52-Q53))
Cross-sheet references identify the owning schedule. Same-sheet references identify intermediate calculations.</x:t>
        </x:r>
      </x:text>
    </x:comment>
    <x:comment ref="R54" authorId="0">
      <x:text>
        <x:r>
          <x:t>Legacy operating lease principal reduction (FY:30 E).
Reduction of debt or lease principal, separate from interest expense. Read the formula for the specific contractual or modeled payment schedule and sign.
Formula: =MIN(R51,MAX(0,R52-R53))
Cross-sheet references identify the owning schedule. Same-sheet references identify intermediate calculations.</x:t>
        </x:r>
      </x:text>
    </x:comment>
    <x:comment ref="S54" authorId="0">
      <x:text>
        <x:r>
          <x:t>Legacy operating lease principal reduction (FY:31 E).
Reduction of debt or lease principal, separate from interest expense. Read the formula for the specific contractual or modeled payment schedule and sign.
Formula: =MIN(S51,MAX(0,S52-S53))
Cross-sheet references identify the owning schedule. Same-sheet references identify intermediate calculations.</x:t>
        </x:r>
      </x:text>
    </x:comment>
    <x:comment ref="C55" authorId="0">
      <x:text>
        <x:r>
          <x:t>Year-end balance from the relevant roll-forward. Follow the formula to opening balances, additions, expenses, payments or other changes.</x:t>
        </x:r>
      </x:text>
    </x:comment>
    <x:comment ref="E55" authorId="0">
      <x:text>
        <x:r>
          <x:t>Closing legacy operating lease liability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55" authorId="0">
      <x:text>
        <x:r>
          <x:t>Closing legacy operating lease liability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55" authorId="0">
      <x:text>
        <x:r>
          <x:t>Closing legacy operating lease liability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55" authorId="0">
      <x:text>
        <x:r>
          <x:t>Closing legacy operating lease liability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55" authorId="0">
      <x:text>
        <x:r>
          <x:t>Closing legacy operating lease liability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55" authorId="0">
      <x:text>
        <x:r>
          <x:t>Closing legacy operating lease liability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55" authorId="0">
      <x:text>
        <x:r>
          <x:t>Closing legacy operating lease liability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55" authorId="0">
      <x:text>
        <x:r>
          <x:t>Closing legacy operating lease liability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55" authorId="0">
      <x:text>
        <x:r>
          <x:t>Closing legacy operating lease liability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55" authorId="0">
      <x:text>
        <x:r>
          <x:t>Closing legacy operating lease liability (FY:26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O55" authorId="0">
      <x:text>
        <x:r>
          <x:t>Closing legacy operating lease liability (FY:27 E).
Year-end balance from the relevant roll-forward. Follow the formula to opening balances, additions, expenses, payments or other changes.
Formula: =O51-O54
Cross-sheet references identify the owning schedule. Same-sheet references identify intermediate calculations.</x:t>
        </x:r>
      </x:text>
    </x:comment>
    <x:comment ref="P55" authorId="0">
      <x:text>
        <x:r>
          <x:t>Closing legacy operating lease liability (FY:28 E).
Year-end balance from the relevant roll-forward. Follow the formula to opening balances, additions, expenses, payments or other changes.
Formula: =P51-P54
Cross-sheet references identify the owning schedule. Same-sheet references identify intermediate calculations.</x:t>
        </x:r>
      </x:text>
    </x:comment>
    <x:comment ref="Q55" authorId="0">
      <x:text>
        <x:r>
          <x:t>Closing legacy operating lease liability (FY:29 E).
Year-end balance from the relevant roll-forward. Follow the formula to opening balances, additions, expenses, payments or other changes.
Formula: =Q51-Q54
Cross-sheet references identify the owning schedule. Same-sheet references identify intermediate calculations.</x:t>
        </x:r>
      </x:text>
    </x:comment>
    <x:comment ref="R55" authorId="0">
      <x:text>
        <x:r>
          <x:t>Closing legacy operating lease liability (FY:30 E).
Year-end balance from the relevant roll-forward. Follow the formula to opening balances, additions, expenses, payments or other changes.
Formula: =R51-R54
Cross-sheet references identify the owning schedule. Same-sheet references identify intermediate calculations.</x:t>
        </x:r>
      </x:text>
    </x:comment>
    <x:comment ref="S55" authorId="0">
      <x:text>
        <x:r>
          <x:t>Closing legacy operating lease liability (FY:31 E).
Year-end balance from the relevant roll-forward. Follow the formula to opening balances, additions, expenses, payments or other changes.
Formula: =S51-S54
Cross-sheet references identify the owning schedule. Same-sheet references identify intermediate calculations.</x:t>
        </x:r>
      </x:text>
    </x:comment>
    <x:comment ref="C56" authorId="0">
      <x:text>
        <x:r>
          <x:t>Beginning-of-year balance. Forecast periods carry forward the prior closing balance, with FY2026 providing the first forecast opening balance.</x:t>
        </x:r>
      </x:text>
    </x:comment>
    <x:comment ref="E56" authorId="0">
      <x:text>
        <x:r>
          <x:t>Opening new operating lease assets and liabilities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56" authorId="0">
      <x:text>
        <x:r>
          <x:t>Opening new operating lease assets and liabilities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56" authorId="0">
      <x:text>
        <x:r>
          <x:t>Opening new operating lease assets and liabilities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56" authorId="0">
      <x:text>
        <x:r>
          <x:t>Opening new operating lease assets and liabilities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56" authorId="0">
      <x:text>
        <x:r>
          <x:t>Opening new operating lease assets and liabilities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56" authorId="0">
      <x:text>
        <x:r>
          <x:t>Opening new operating lease assets and liabilities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56" authorId="0">
      <x:text>
        <x:r>
          <x:t>Opening new operating lease assets and liabilities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56" authorId="0">
      <x:text>
        <x:r>
          <x:t>Opening new operating lease assets and liabilities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56" authorId="0">
      <x:text>
        <x:r>
          <x:t>Opening new operating lease assets and liabilities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56" authorId="0">
      <x:text>
        <x:r>
          <x:t>Opening new operating lease assets and liabilities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56" authorId="0">
      <x:text>
        <x:r>
          <x:t>Opening new operating lease assets and liabilities (FY:27 E).
Beginning-of-year balance. Forecast periods carry forward the prior closing balance, with FY2026 providing the first forecast opening balance.
Formula: =0
Cross-sheet references identify the owning schedule. Same-sheet references identify intermediate calculations.</x:t>
        </x:r>
      </x:text>
    </x:comment>
    <x:comment ref="P56" authorId="0">
      <x:text>
        <x:r>
          <x:t>Opening new operating lease assets and liabilities (FY:28 E).
Beginning-of-year balance. Forecast periods carry forward the prior closing balance, with FY2026 providing the first forecast opening balance.
Formula: =O59
Cross-sheet references identify the owning schedule. Same-sheet references identify intermediate calculations.</x:t>
        </x:r>
      </x:text>
    </x:comment>
    <x:comment ref="Q56" authorId="0">
      <x:text>
        <x:r>
          <x:t>Opening new operating lease assets and liabilities (FY:29 E).
Beginning-of-year balance. Forecast periods carry forward the prior closing balance, with FY2026 providing the first forecast opening balance.
Formula: =P59
Cross-sheet references identify the owning schedule. Same-sheet references identify intermediate calculations.</x:t>
        </x:r>
      </x:text>
    </x:comment>
    <x:comment ref="R56" authorId="0">
      <x:text>
        <x:r>
          <x:t>Opening new operating lease assets and liabilities (FY:30 E).
Beginning-of-year balance. Forecast periods carry forward the prior closing balance, with FY2026 providing the first forecast opening balance.
Formula: =Q59
Cross-sheet references identify the owning schedule. Same-sheet references identify intermediate calculations.</x:t>
        </x:r>
      </x:text>
    </x:comment>
    <x:comment ref="S56" authorId="0">
      <x:text>
        <x:r>
          <x:t>Opening new operating lease assets and liabilities (FY:31 E).
Beginning-of-year balance. Forecast periods carry forward the prior closing balance, with FY2026 providing the first forecast opening balance.
Formula: =R59
Cross-sheet references identify the owning schedule. Same-sheet references identify intermediate calculations.</x:t>
        </x:r>
      </x:text>
    </x:comment>
    <x:comment ref="C57" authorId="0">
      <x:text>
        <x:r>
          <x:t>New operating lease assets and liabilities. This line belongs to the Debt and Leases calculation. Read its formula to trace the referenced inputs and intermediate totals.</x:t>
        </x:r>
      </x:text>
    </x:comment>
    <x:comment ref="E57" authorId="0">
      <x:text>
        <x:r>
          <x:t>New operating lease assets and liabilities (FY:17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57" authorId="0">
      <x:text>
        <x:r>
          <x:t>New operating lease assets and liabilities (FY:18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57" authorId="0">
      <x:text>
        <x:r>
          <x:t>New operating lease assets and liabilities (FY:19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57" authorId="0">
      <x:text>
        <x:r>
          <x:t>New operating lease assets and liabilities (FY:20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57" authorId="0">
      <x:text>
        <x:r>
          <x:t>New operating lease assets and liabilities (FY:21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57" authorId="0">
      <x:text>
        <x:r>
          <x:t>New operating lease assets and liabilities (FY:22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57" authorId="0">
      <x:text>
        <x:r>
          <x:t>New operating lease assets and liabilities (FY:23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57" authorId="0">
      <x:text>
        <x:r>
          <x:t>New operating lease assets and liabilities (FY:24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57" authorId="0">
      <x:text>
        <x:r>
          <x:t>New operating lease assets and liabilities (FY:25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57" authorId="0">
      <x:text>
        <x:r>
          <x:t>New operating lease assets and liabilities (FY:26 A).
New operating lease assets and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O57" authorId="0">
      <x:text>
        <x:r>
          <x:t>New operating lease assets and liabilities (FY:27 E).
New operating lease assets and liabilities. This line belongs to the Debt and Leases calculation. Read its formula to trace the referenced inputs and intermediate totals.
Formula: ='Income Statement'!O8*'Assumptions'!O57
Cross-sheet references identify the owning schedule. Same-sheet references identify intermediate calculations.</x:t>
        </x:r>
      </x:text>
    </x:comment>
    <x:comment ref="P57" authorId="0">
      <x:text>
        <x:r>
          <x:t>New operating lease assets and liabilities (FY:28 E).
New operating lease assets and liabilities. This line belongs to the Debt and Leases calculation. Read its formula to trace the referenced inputs and intermediate totals.
Formula: ='Income Statement'!P8*'Assumptions'!P57
Cross-sheet references identify the owning schedule. Same-sheet references identify intermediate calculations.</x:t>
        </x:r>
      </x:text>
    </x:comment>
    <x:comment ref="Q57" authorId="0">
      <x:text>
        <x:r>
          <x:t>New operating lease assets and liabilities (FY:29 E).
New operating lease assets and liabilities. This line belongs to the Debt and Leases calculation. Read its formula to trace the referenced inputs and intermediate totals.
Formula: ='Income Statement'!Q8*'Assumptions'!Q57
Cross-sheet references identify the owning schedule. Same-sheet references identify intermediate calculations.</x:t>
        </x:r>
      </x:text>
    </x:comment>
    <x:comment ref="R57" authorId="0">
      <x:text>
        <x:r>
          <x:t>New operating lease assets and liabilities (FY:30 E).
New operating lease assets and liabilities. This line belongs to the Debt and Leases calculation. Read its formula to trace the referenced inputs and intermediate totals.
Formula: ='Income Statement'!R8*'Assumptions'!R57
Cross-sheet references identify the owning schedule. Same-sheet references identify intermediate calculations.</x:t>
        </x:r>
      </x:text>
    </x:comment>
    <x:comment ref="S57" authorId="0">
      <x:text>
        <x:r>
          <x:t>New operating lease assets and liabilities (FY:31 E).
New operating lease assets and liabilities. This line belongs to the Debt and Leases calculation. Read its formula to trace the referenced inputs and intermediate totals.
Formula: ='Income Statement'!S8*'Assumptions'!S57
Cross-sheet references identify the owning schedule. Same-sheet references identify intermediate calculations.</x:t>
        </x:r>
      </x:text>
    </x:comment>
    <x:comment ref="C58" authorId="0">
      <x:text>
        <x:r>
          <x:t>Reduction of debt or lease principal, separate from interest expense. Read the formula for the specific contractual or modeled payment schedule and sign.</x:t>
        </x:r>
      </x:text>
    </x:comment>
    <x:comment ref="E58" authorId="0">
      <x:text>
        <x:r>
          <x:t>New operating ROU amortization and principal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58" authorId="0">
      <x:text>
        <x:r>
          <x:t>New operating ROU amortization and principal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58" authorId="0">
      <x:text>
        <x:r>
          <x:t>New operating ROU amortization and principal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58" authorId="0">
      <x:text>
        <x:r>
          <x:t>New operating ROU amortization and principal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58" authorId="0">
      <x:text>
        <x:r>
          <x:t>New operating ROU amortization and principal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58" authorId="0">
      <x:text>
        <x:r>
          <x:t>New operating ROU amortization and principal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58" authorId="0">
      <x:text>
        <x:r>
          <x:t>New operating ROU amortization and principal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58" authorId="0">
      <x:text>
        <x:r>
          <x:t>New operating ROU amortization and principal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58" authorId="0">
      <x:text>
        <x:r>
          <x:t>New operating ROU amortization and principal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58" authorId="0">
      <x:text>
        <x:r>
          <x:t>New operating ROU amortization and principal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58" authorId="0">
      <x:text>
        <x:r>
          <x:t>New operating ROU amortization and principal (FY:27 E).
Reduction of debt or lease principal, separate from interest expense. Read the formula for the specific contractual or modeled payment schedule and sign.
Formula: =MIN(O56+O57,O56/'Assumptions'!O153+0.5*O57/'Assumptions'!O153)
Cross-sheet references identify the owning schedule. Same-sheet references identify intermediate calculations.</x:t>
        </x:r>
      </x:text>
    </x:comment>
    <x:comment ref="P58" authorId="0">
      <x:text>
        <x:r>
          <x:t>New operating ROU amortization and principal (FY:28 E).
Reduction of debt or lease principal, separate from interest expense. Read the formula for the specific contractual or modeled payment schedule and sign.
Formula: =MIN(P56+P57,P56/'Assumptions'!P153+0.5*P57/'Assumptions'!P153)
Cross-sheet references identify the owning schedule. Same-sheet references identify intermediate calculations.</x:t>
        </x:r>
      </x:text>
    </x:comment>
    <x:comment ref="Q58" authorId="0">
      <x:text>
        <x:r>
          <x:t>New operating ROU amortization and principal (FY:29 E).
Reduction of debt or lease principal, separate from interest expense. Read the formula for the specific contractual or modeled payment schedule and sign.
Formula: =MIN(Q56+Q57,Q56/'Assumptions'!Q153+0.5*Q57/'Assumptions'!Q153)
Cross-sheet references identify the owning schedule. Same-sheet references identify intermediate calculations.</x:t>
        </x:r>
      </x:text>
    </x:comment>
    <x:comment ref="R58" authorId="0">
      <x:text>
        <x:r>
          <x:t>New operating ROU amortization and principal (FY:30 E).
Reduction of debt or lease principal, separate from interest expense. Read the formula for the specific contractual or modeled payment schedule and sign.
Formula: =MIN(R56+R57,R56/'Assumptions'!R153+0.5*R57/'Assumptions'!R153)
Cross-sheet references identify the owning schedule. Same-sheet references identify intermediate calculations.</x:t>
        </x:r>
      </x:text>
    </x:comment>
    <x:comment ref="S58" authorId="0">
      <x:text>
        <x:r>
          <x:t>New operating ROU amortization and principal (FY:31 E).
Reduction of debt or lease principal, separate from interest expense. Read the formula for the specific contractual or modeled payment schedule and sign.
Formula: =MIN(S56+S57,S56/'Assumptions'!S153+0.5*S57/'Assumptions'!S153)
Cross-sheet references identify the owning schedule. Same-sheet references identify intermediate calculations.</x:t>
        </x:r>
      </x:text>
    </x:comment>
    <x:comment ref="C59" authorId="0">
      <x:text>
        <x:r>
          <x:t>Year-end balance from the relevant roll-forward. Follow the formula to opening balances, additions, expenses, payments or other changes.</x:t>
        </x:r>
      </x:text>
    </x:comment>
    <x:comment ref="E59" authorId="0">
      <x:text>
        <x:r>
          <x:t>Closing new operating lease assets and liabilities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59" authorId="0">
      <x:text>
        <x:r>
          <x:t>Closing new operating lease assets and liabilities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59" authorId="0">
      <x:text>
        <x:r>
          <x:t>Closing new operating lease assets and liabilities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59" authorId="0">
      <x:text>
        <x:r>
          <x:t>Closing new operating lease assets and liabilities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59" authorId="0">
      <x:text>
        <x:r>
          <x:t>Closing new operating lease assets and liabilities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59" authorId="0">
      <x:text>
        <x:r>
          <x:t>Closing new operating lease assets and liabilities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59" authorId="0">
      <x:text>
        <x:r>
          <x:t>Closing new operating lease assets and liabilities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59" authorId="0">
      <x:text>
        <x:r>
          <x:t>Closing new operating lease assets and liabilities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59" authorId="0">
      <x:text>
        <x:r>
          <x:t>Closing new operating lease assets and liabilities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59" authorId="0">
      <x:text>
        <x:r>
          <x:t>Closing new operating lease assets and liabilities (FY:26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O59" authorId="0">
      <x:text>
        <x:r>
          <x:t>Closing new operating lease assets and liabilities (FY:27 E).
Year-end balance from the relevant roll-forward. Follow the formula to opening balances, additions, expenses, payments or other changes.
Formula: =O56+O57-O58
Cross-sheet references identify the owning schedule. Same-sheet references identify intermediate calculations.</x:t>
        </x:r>
      </x:text>
    </x:comment>
    <x:comment ref="P59" authorId="0">
      <x:text>
        <x:r>
          <x:t>Closing new operating lease assets and liabilities (FY:28 E).
Year-end balance from the relevant roll-forward. Follow the formula to opening balances, additions, expenses, payments or other changes.
Formula: =P56+P57-P58
Cross-sheet references identify the owning schedule. Same-sheet references identify intermediate calculations.</x:t>
        </x:r>
      </x:text>
    </x:comment>
    <x:comment ref="Q59" authorId="0">
      <x:text>
        <x:r>
          <x:t>Closing new operating lease assets and liabilities (FY:29 E).
Year-end balance from the relevant roll-forward. Follow the formula to opening balances, additions, expenses, payments or other changes.
Formula: =Q56+Q57-Q58
Cross-sheet references identify the owning schedule. Same-sheet references identify intermediate calculations.</x:t>
        </x:r>
      </x:text>
    </x:comment>
    <x:comment ref="R59" authorId="0">
      <x:text>
        <x:r>
          <x:t>Closing new operating lease assets and liabilities (FY:30 E).
Year-end balance from the relevant roll-forward. Follow the formula to opening balances, additions, expenses, payments or other changes.
Formula: =R56+R57-R58
Cross-sheet references identify the owning schedule. Same-sheet references identify intermediate calculations.</x:t>
        </x:r>
      </x:text>
    </x:comment>
    <x:comment ref="S59" authorId="0">
      <x:text>
        <x:r>
          <x:t>Closing new operating lease assets and liabilities (FY:31 E).
Year-end balance from the relevant roll-forward. Follow the formula to opening balances, additions, expenses, payments or other changes.
Formula: =S56+S57-S58
Cross-sheet references identify the owning schedule. Same-sheet references identify intermediate calculations.</x:t>
        </x:r>
      </x:text>
    </x:comment>
    <x:comment ref="C60" authorId="0">
      <x:text>
        <x:r>
          <x:t>Interest or investment income calculated using the named rate and balance. Capitalized interest is part of the capex budget; the remaining recognized interest affects net income.</x:t>
        </x:r>
      </x:text>
    </x:comment>
    <x:comment ref="E60" authorId="0">
      <x:text>
        <x:r>
          <x:t>Interest component of new operating leases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60" authorId="0">
      <x:text>
        <x:r>
          <x:t>Interest component of new operating leases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60" authorId="0">
      <x:text>
        <x:r>
          <x:t>Interest component of new operating leases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60" authorId="0">
      <x:text>
        <x:r>
          <x:t>Interest component of new operating leases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60" authorId="0">
      <x:text>
        <x:r>
          <x:t>Interest component of new operating leases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60" authorId="0">
      <x:text>
        <x:r>
          <x:t>Interest component of new operating leases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60" authorId="0">
      <x:text>
        <x:r>
          <x:t>Interest component of new operating leases (FY:23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L60" authorId="0">
      <x:text>
        <x:r>
          <x:t>Interest component of new operating leases (FY:24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M60" authorId="0">
      <x:text>
        <x:r>
          <x:t>Interest component of new operating leases (FY:25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N60" authorId="0">
      <x:text>
        <x:r>
          <x:t>Interest component of new operating leases (FY:26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O60" authorId="0">
      <x:text>
        <x:r>
          <x:t>Interest component of new operating leases (FY:27 E).
Interest or investment income calculated using the named rate and balance. Capitalized interest is part of the capex budget; the remaining recognized interest affects net income.
Formula: =(O56+0.5*O57)*'Assumptions'!O145
Cross-sheet references identify the owning schedule. Same-sheet references identify intermediate calculations.</x:t>
        </x:r>
      </x:text>
    </x:comment>
    <x:comment ref="P60" authorId="0">
      <x:text>
        <x:r>
          <x:t>Interest component of new operating leases (FY:28 E).
Interest or investment income calculated using the named rate and balance. Capitalized interest is part of the capex budget; the remaining recognized interest affects net income.
Formula: =(P56+0.5*P57)*'Assumptions'!P145
Cross-sheet references identify the owning schedule. Same-sheet references identify intermediate calculations.</x:t>
        </x:r>
      </x:text>
    </x:comment>
    <x:comment ref="Q60" authorId="0">
      <x:text>
        <x:r>
          <x:t>Interest component of new operating leases (FY:29 E).
Interest or investment income calculated using the named rate and balance. Capitalized interest is part of the capex budget; the remaining recognized interest affects net income.
Formula: =(Q56+0.5*Q57)*'Assumptions'!Q145
Cross-sheet references identify the owning schedule. Same-sheet references identify intermediate calculations.</x:t>
        </x:r>
      </x:text>
    </x:comment>
    <x:comment ref="R60" authorId="0">
      <x:text>
        <x:r>
          <x:t>Interest component of new operating leases (FY:30 E).
Interest or investment income calculated using the named rate and balance. Capitalized interest is part of the capex budget; the remaining recognized interest affects net income.
Formula: =(R56+0.5*R57)*'Assumptions'!R145
Cross-sheet references identify the owning schedule. Same-sheet references identify intermediate calculations.</x:t>
        </x:r>
      </x:text>
    </x:comment>
    <x:comment ref="S60" authorId="0">
      <x:text>
        <x:r>
          <x:t>Interest component of new operating leases (FY:31 E).
Interest or investment income calculated using the named rate and balance. Capitalized interest is part of the capex budget; the remaining recognized interest affects net income.
Formula: =(S56+0.5*S57)*'Assumptions'!S145
Cross-sheet references identify the owning schedule. Same-sheet references identify intermediate calculations.</x:t>
        </x:r>
      </x:text>
    </x:comment>
    <x:comment ref="C61" authorId="0">
      <x:text>
        <x:r>
          <x:t>Operating lease expense. This line belongs to the Debt and Leases calculation. Read its formula to trace the referenced inputs and intermediate totals.</x:t>
        </x:r>
      </x:text>
    </x:comment>
    <x:comment ref="E61" authorId="0">
      <x:text>
        <x:r>
          <x:t>Operating lease expense (FY:17 A).
Operating lease expense. This line belongs to the Debt and Leases calculation. Read its formula to trace the referenced inputs and intermediate totals.
Formula: ='Filing Notes'!E17
Cross-sheet references identify the owning schedule. Same-sheet references identify intermediate calculations.</x:t>
        </x:r>
      </x:text>
    </x:comment>
    <x:comment ref="F61" authorId="0">
      <x:text>
        <x:r>
          <x:t>Operating lease expense (FY:18 A).
Operating lease expense. This line belongs to the Debt and Leases calculation. Read its formula to trace the referenced inputs and intermediate totals.
Formula: ='Filing Notes'!F17
Cross-sheet references identify the owning schedule. Same-sheet references identify intermediate calculations.</x:t>
        </x:r>
      </x:text>
    </x:comment>
    <x:comment ref="G61" authorId="0">
      <x:text>
        <x:r>
          <x:t>Operating lease expense (FY:19 A).
Operating lease expense. This line belongs to the Debt and Leases calculation. Read its formula to trace the referenced inputs and intermediate totals.
Formula: ='Filing Notes'!G17
Cross-sheet references identify the owning schedule. Same-sheet references identify intermediate calculations.</x:t>
        </x:r>
      </x:text>
    </x:comment>
    <x:comment ref="H61" authorId="0">
      <x:text>
        <x:r>
          <x:t>Operating lease expense (FY:20 A).
Operating lease expense. This line belongs to the Debt and Leases calculation. Read its formula to trace the referenced inputs and intermediate totals.
Formula: ='Filing Notes'!H17
Cross-sheet references identify the owning schedule. Same-sheet references identify intermediate calculations.</x:t>
        </x:r>
      </x:text>
    </x:comment>
    <x:comment ref="I61" authorId="0">
      <x:text>
        <x:r>
          <x:t>Operating lease expense (FY:21 A).
Operating lease expense. This line belongs to the Debt and Leases calculation. Read its formula to trace the referenced inputs and intermediate totals.
Formula: ='Filing Notes'!I17
Cross-sheet references identify the owning schedule. Same-sheet references identify intermediate calculations.</x:t>
        </x:r>
      </x:text>
    </x:comment>
    <x:comment ref="J61" authorId="0">
      <x:text>
        <x:r>
          <x:t>Operating lease expense (FY:22 A).
Operating lease expense. This line belongs to the Debt and Leases calculation. Read its formula to trace the referenced inputs and intermediate totals.
Formula: ='Filing Notes'!J17
Cross-sheet references identify the owning schedule. Same-sheet references identify intermediate calculations.</x:t>
        </x:r>
      </x:text>
    </x:comment>
    <x:comment ref="K61" authorId="0">
      <x:text>
        <x:r>
          <x:t>Operating lease expense (FY:23 A).
Operating lease expense. This line belongs to the Debt and Leases calculation. Read its formula to trace the referenced inputs and intermediate totals.
Formula: ='Filing Notes'!K17
Cross-sheet references identify the owning schedule. Same-sheet references identify intermediate calculations.</x:t>
        </x:r>
      </x:text>
    </x:comment>
    <x:comment ref="L61" authorId="0">
      <x:text>
        <x:r>
          <x:t>Operating lease expense (FY:24 A).
Operating lease expense. This line belongs to the Debt and Leases calculation. Read its formula to trace the referenced inputs and intermediate totals.
Formula: ='Filing Notes'!L17
Cross-sheet references identify the owning schedule. Same-sheet references identify intermediate calculations.</x:t>
        </x:r>
      </x:text>
    </x:comment>
    <x:comment ref="M61" authorId="0">
      <x:text>
        <x:r>
          <x:t>Operating lease expense (FY:25 A).
Operating lease expense. This line belongs to the Debt and Leases calculation. Read its formula to trace the referenced inputs and intermediate totals.
Formula: ='Filing Notes'!M17
Cross-sheet references identify the owning schedule. Same-sheet references identify intermediate calculations.</x:t>
        </x:r>
      </x:text>
    </x:comment>
    <x:comment ref="N61" authorId="0">
      <x:text>
        <x:r>
          <x:t>Operating lease expense (FY:26 A).
Operating lease expense. This line belongs to the Debt and Leases calculation. Read its formula to trace the referenced inputs and intermediate totals.
Formula: ='Filing Notes'!N17
Cross-sheet references identify the owning schedule. Same-sheet references identify intermediate calculations.</x:t>
        </x:r>
      </x:text>
    </x:comment>
    <x:comment ref="O61" authorId="0">
      <x:text>
        <x:r>
          <x:t>Operating lease expense (FY:27 E).
Operating lease expense. This line belongs to the Debt and Leases calculation. Read its formula to trace the referenced inputs and intermediate totals.
Formula: =SUM(O49,O53,O58,O60)
Cross-sheet references identify the owning schedule. Same-sheet references identify intermediate calculations.</x:t>
        </x:r>
      </x:text>
    </x:comment>
    <x:comment ref="P61" authorId="0">
      <x:text>
        <x:r>
          <x:t>Operating lease expense (FY:28 E).
Operating lease expense. This line belongs to the Debt and Leases calculation. Read its formula to trace the referenced inputs and intermediate totals.
Formula: =SUM(P49,P53,P58,P60)
Cross-sheet references identify the owning schedule. Same-sheet references identify intermediate calculations.</x:t>
        </x:r>
      </x:text>
    </x:comment>
    <x:comment ref="Q61" authorId="0">
      <x:text>
        <x:r>
          <x:t>Operating lease expense (FY:29 E).
Operating lease expense. This line belongs to the Debt and Leases calculation. Read its formula to trace the referenced inputs and intermediate totals.
Formula: =SUM(Q49,Q53,Q58,Q60)
Cross-sheet references identify the owning schedule. Same-sheet references identify intermediate calculations.</x:t>
        </x:r>
      </x:text>
    </x:comment>
    <x:comment ref="R61" authorId="0">
      <x:text>
        <x:r>
          <x:t>Operating lease expense (FY:30 E).
Operating lease expense. This line belongs to the Debt and Leases calculation. Read its formula to trace the referenced inputs and intermediate totals.
Formula: =SUM(R49,R53,R58,R60)
Cross-sheet references identify the owning schedule. Same-sheet references identify intermediate calculations.</x:t>
        </x:r>
      </x:text>
    </x:comment>
    <x:comment ref="S61" authorId="0">
      <x:text>
        <x:r>
          <x:t>Operating lease expense (FY:31 E).
Operating lease expense. This line belongs to the Debt and Leases calculation. Read its formula to trace the referenced inputs and intermediate totals.
Formula: =SUM(S49,S53,S58,S60)
Cross-sheet references identify the owning schedule. Same-sheet references identify intermediate calculations.</x:t>
        </x:r>
      </x:text>
    </x:comment>
    <x:comment ref="C62" authorId="0">
      <x:text>
        <x:r>
          <x:t>Year-end balance from the relevant roll-forward. Follow the formula to opening balances, additions, expenses, payments or other changes.</x:t>
        </x:r>
      </x:text>
    </x:comment>
    <x:comment ref="E62" authorId="0">
      <x:text>
        <x:r>
          <x:t>Closing operating ROU assets (FY:17 A).
Year-end balance from the relevant roll-forward. Follow the formula to opening balances, additions, expenses, payments or other changes.
Formula: ='Historical Inputs'!E36
Cross-sheet references identify the owning schedule. Same-sheet references identify intermediate calculations.</x:t>
        </x:r>
      </x:text>
    </x:comment>
    <x:comment ref="F62" authorId="0">
      <x:text>
        <x:r>
          <x:t>Closing operating ROU assets (FY:18 A).
Year-end balance from the relevant roll-forward. Follow the formula to opening balances, additions, expenses, payments or other changes.
Formula: ='Historical Inputs'!F36
Cross-sheet references identify the owning schedule. Same-sheet references identify intermediate calculations.</x:t>
        </x:r>
      </x:text>
    </x:comment>
    <x:comment ref="G62" authorId="0">
      <x:text>
        <x:r>
          <x:t>Closing operating ROU assets (FY:19 A).
Year-end balance from the relevant roll-forward. Follow the formula to opening balances, additions, expenses, payments or other changes.
Formula: ='Historical Inputs'!G36
Cross-sheet references identify the owning schedule. Same-sheet references identify intermediate calculations.</x:t>
        </x:r>
      </x:text>
    </x:comment>
    <x:comment ref="H62" authorId="0">
      <x:text>
        <x:r>
          <x:t>Closing operating ROU assets (FY:20 A).
Year-end balance from the relevant roll-forward. Follow the formula to opening balances, additions, expenses, payments or other changes.
Formula: ='Historical Inputs'!H36
Cross-sheet references identify the owning schedule. Same-sheet references identify intermediate calculations.</x:t>
        </x:r>
      </x:text>
    </x:comment>
    <x:comment ref="I62" authorId="0">
      <x:text>
        <x:r>
          <x:t>Closing operating ROU assets (FY:21 A).
Year-end balance from the relevant roll-forward. Follow the formula to opening balances, additions, expenses, payments or other changes.
Formula: ='Historical Inputs'!I36
Cross-sheet references identify the owning schedule. Same-sheet references identify intermediate calculations.</x:t>
        </x:r>
      </x:text>
    </x:comment>
    <x:comment ref="J62" authorId="0">
      <x:text>
        <x:r>
          <x:t>Closing operating ROU assets (FY:22 A).
Year-end balance from the relevant roll-forward. Follow the formula to opening balances, additions, expenses, payments or other changes.
Formula: ='Historical Inputs'!J36
Cross-sheet references identify the owning schedule. Same-sheet references identify intermediate calculations.</x:t>
        </x:r>
      </x:text>
    </x:comment>
    <x:comment ref="K62" authorId="0">
      <x:text>
        <x:r>
          <x:t>Closing operating ROU assets (FY:23 A).
Year-end balance from the relevant roll-forward. Follow the formula to opening balances, additions, expenses, payments or other changes.
Formula: ='Historical Inputs'!K36
Cross-sheet references identify the owning schedule. Same-sheet references identify intermediate calculations.</x:t>
        </x:r>
      </x:text>
    </x:comment>
    <x:comment ref="L62" authorId="0">
      <x:text>
        <x:r>
          <x:t>Closing operating ROU assets (FY:24 A).
Year-end balance from the relevant roll-forward. Follow the formula to opening balances, additions, expenses, payments or other changes.
Formula: ='Historical Inputs'!L36
Cross-sheet references identify the owning schedule. Same-sheet references identify intermediate calculations.</x:t>
        </x:r>
      </x:text>
    </x:comment>
    <x:comment ref="M62" authorId="0">
      <x:text>
        <x:r>
          <x:t>Closing operating ROU assets (FY:25 A).
Year-end balance from the relevant roll-forward. Follow the formula to opening balances, additions, expenses, payments or other changes.
Formula: ='Historical Inputs'!M36
Cross-sheet references identify the owning schedule. Same-sheet references identify intermediate calculations.</x:t>
        </x:r>
      </x:text>
    </x:comment>
    <x:comment ref="N62" authorId="0">
      <x:text>
        <x:r>
          <x:t>Closing operating ROU assets (FY:26 A).
Year-end balance from the relevant roll-forward. Follow the formula to opening balances, additions, expenses, payments or other changes.
Formula: ='Historical Inputs'!N36
Cross-sheet references identify the owning schedule. Same-sheet references identify intermediate calculations.</x:t>
        </x:r>
      </x:text>
    </x:comment>
    <x:comment ref="O62" authorId="0">
      <x:text>
        <x:r>
          <x:t>Closing operating ROU assets (FY:27 E).
Year-end balance from the relevant roll-forward. Follow the formula to opening balances, additions, expenses, payments or other changes.
Formula: =O50+O59
Cross-sheet references identify the owning schedule. Same-sheet references identify intermediate calculations.</x:t>
        </x:r>
      </x:text>
    </x:comment>
    <x:comment ref="P62" authorId="0">
      <x:text>
        <x:r>
          <x:t>Closing operating ROU assets (FY:28 E).
Year-end balance from the relevant roll-forward. Follow the formula to opening balances, additions, expenses, payments or other changes.
Formula: =P50+P59
Cross-sheet references identify the owning schedule. Same-sheet references identify intermediate calculations.</x:t>
        </x:r>
      </x:text>
    </x:comment>
    <x:comment ref="Q62" authorId="0">
      <x:text>
        <x:r>
          <x:t>Closing operating ROU assets (FY:29 E).
Year-end balance from the relevant roll-forward. Follow the formula to opening balances, additions, expenses, payments or other changes.
Formula: =Q50+Q59
Cross-sheet references identify the owning schedule. Same-sheet references identify intermediate calculations.</x:t>
        </x:r>
      </x:text>
    </x:comment>
    <x:comment ref="R62" authorId="0">
      <x:text>
        <x:r>
          <x:t>Closing operating ROU assets (FY:30 E).
Year-end balance from the relevant roll-forward. Follow the formula to opening balances, additions, expenses, payments or other changes.
Formula: =R50+R59
Cross-sheet references identify the owning schedule. Same-sheet references identify intermediate calculations.</x:t>
        </x:r>
      </x:text>
    </x:comment>
    <x:comment ref="S62" authorId="0">
      <x:text>
        <x:r>
          <x:t>Closing operating ROU assets (FY:31 E).
Year-end balance from the relevant roll-forward. Follow the formula to opening balances, additions, expenses, payments or other changes.
Formula: =S50+S59
Cross-sheet references identify the owning schedule. Same-sheet references identify intermediate calculations.</x:t>
        </x:r>
      </x:text>
    </x:comment>
    <x:comment ref="C63" authorId="0">
      <x:text>
        <x:r>
          <x:t>Total operating lease liabilities. This line belongs to the Debt and Leases calculation. Read its formula to trace the referenced inputs and intermediate totals.</x:t>
        </x:r>
      </x:text>
    </x:comment>
    <x:comment ref="E63" authorId="0">
      <x:text>
        <x:r>
          <x:t>Total operating lease liabilities (FY:17 A).
Total operating lease liabilities. This line belongs to the Debt and Leases calculation. Read its formula to trace the referenced inputs and intermediate totals.
Formula: ='Filing Notes'!E15
Cross-sheet references identify the owning schedule. Same-sheet references identify intermediate calculations.</x:t>
        </x:r>
      </x:text>
    </x:comment>
    <x:comment ref="F63" authorId="0">
      <x:text>
        <x:r>
          <x:t>Total operating lease liabilities (FY:18 A).
Total operating lease liabilities. This line belongs to the Debt and Leases calculation. Read its formula to trace the referenced inputs and intermediate totals.
Formula: ='Filing Notes'!F15
Cross-sheet references identify the owning schedule. Same-sheet references identify intermediate calculations.</x:t>
        </x:r>
      </x:text>
    </x:comment>
    <x:comment ref="G63" authorId="0">
      <x:text>
        <x:r>
          <x:t>Total operating lease liabilities (FY:19 A).
Total operating lease liabilities. This line belongs to the Debt and Leases calculation. Read its formula to trace the referenced inputs and intermediate totals.
Formula: ='Filing Notes'!G15
Cross-sheet references identify the owning schedule. Same-sheet references identify intermediate calculations.</x:t>
        </x:r>
      </x:text>
    </x:comment>
    <x:comment ref="H63" authorId="0">
      <x:text>
        <x:r>
          <x:t>Total operating lease liabilities (FY:20 A).
Total operating lease liabilities. This line belongs to the Debt and Leases calculation. Read its formula to trace the referenced inputs and intermediate totals.
Formula: ='Filing Notes'!H15
Cross-sheet references identify the owning schedule. Same-sheet references identify intermediate calculations.</x:t>
        </x:r>
      </x:text>
    </x:comment>
    <x:comment ref="I63" authorId="0">
      <x:text>
        <x:r>
          <x:t>Total operating lease liabilities (FY:21 A).
Total operating lease liabilities. This line belongs to the Debt and Leases calculation. Read its formula to trace the referenced inputs and intermediate totals.
Formula: ='Filing Notes'!I15
Cross-sheet references identify the owning schedule. Same-sheet references identify intermediate calculations.</x:t>
        </x:r>
      </x:text>
    </x:comment>
    <x:comment ref="J63" authorId="0">
      <x:text>
        <x:r>
          <x:t>Total operating lease liabilities (FY:22 A).
Total operating lease liabilities. This line belongs to the Debt and Leases calculation. Read its formula to trace the referenced inputs and intermediate totals.
Formula: ='Filing Notes'!J15
Cross-sheet references identify the owning schedule. Same-sheet references identify intermediate calculations.</x:t>
        </x:r>
      </x:text>
    </x:comment>
    <x:comment ref="K63" authorId="0">
      <x:text>
        <x:r>
          <x:t>Total operating lease liabilities (FY:23 A).
Total operating lease liabilities. This line belongs to the Debt and Leases calculation. Read its formula to trace the referenced inputs and intermediate totals.
Formula: ='Filing Notes'!K15
Cross-sheet references identify the owning schedule. Same-sheet references identify intermediate calculations.</x:t>
        </x:r>
      </x:text>
    </x:comment>
    <x:comment ref="L63" authorId="0">
      <x:text>
        <x:r>
          <x:t>Total operating lease liabilities (FY:24 A).
Total operating lease liabilities. This line belongs to the Debt and Leases calculation. Read its formula to trace the referenced inputs and intermediate totals.
Formula: ='Filing Notes'!L15
Cross-sheet references identify the owning schedule. Same-sheet references identify intermediate calculations.</x:t>
        </x:r>
      </x:text>
    </x:comment>
    <x:comment ref="M63" authorId="0">
      <x:text>
        <x:r>
          <x:t>Total operating lease liabilities (FY:25 A).
Total operating lease liabilities. This line belongs to the Debt and Leases calculation. Read its formula to trace the referenced inputs and intermediate totals.
Formula: ='Filing Notes'!M15
Cross-sheet references identify the owning schedule. Same-sheet references identify intermediate calculations.</x:t>
        </x:r>
      </x:text>
    </x:comment>
    <x:comment ref="N63" authorId="0">
      <x:text>
        <x:r>
          <x:t>Total operating lease liabilities (FY:26 A).
Total operating lease liabilities. This line belongs to the Debt and Leases calculation. Read its formula to trace the referenced inputs and intermediate totals.
Formula: ='Filing Notes'!N15
Cross-sheet references identify the owning schedule. Same-sheet references identify intermediate calculations.</x:t>
        </x:r>
      </x:text>
    </x:comment>
    <x:comment ref="O63" authorId="0">
      <x:text>
        <x:r>
          <x:t>Total operating lease liabilities (FY:27 E).
Total operating lease liabilities. This line belongs to the Debt and Leases calculation. Read its formula to trace the referenced inputs and intermediate totals.
Formula: =O55+O59
Cross-sheet references identify the owning schedule. Same-sheet references identify intermediate calculations.</x:t>
        </x:r>
      </x:text>
    </x:comment>
    <x:comment ref="P63" authorId="0">
      <x:text>
        <x:r>
          <x:t>Total operating lease liabilities (FY:28 E).
Total operating lease liabilities. This line belongs to the Debt and Leases calculation. Read its formula to trace the referenced inputs and intermediate totals.
Formula: =P55+P59
Cross-sheet references identify the owning schedule. Same-sheet references identify intermediate calculations.</x:t>
        </x:r>
      </x:text>
    </x:comment>
    <x:comment ref="Q63" authorId="0">
      <x:text>
        <x:r>
          <x:t>Total operating lease liabilities (FY:29 E).
Total operating lease liabilities. This line belongs to the Debt and Leases calculation. Read its formula to trace the referenced inputs and intermediate totals.
Formula: =Q55+Q59
Cross-sheet references identify the owning schedule. Same-sheet references identify intermediate calculations.</x:t>
        </x:r>
      </x:text>
    </x:comment>
    <x:comment ref="R63" authorId="0">
      <x:text>
        <x:r>
          <x:t>Total operating lease liabilities (FY:30 E).
Total operating lease liabilities. This line belongs to the Debt and Leases calculation. Read its formula to trace the referenced inputs and intermediate totals.
Formula: =R55+R59
Cross-sheet references identify the owning schedule. Same-sheet references identify intermediate calculations.</x:t>
        </x:r>
      </x:text>
    </x:comment>
    <x:comment ref="S63" authorId="0">
      <x:text>
        <x:r>
          <x:t>Total operating lease liabilities (FY:31 E).
Total operating lease liabilities. This line belongs to the Debt and Leases calculation. Read its formula to trace the referenced inputs and intermediate totals.
Formula: =S55+S59
Cross-sheet references identify the owning schedule. Same-sheet references identify intermediate calculations.</x:t>
        </x:r>
      </x:text>
    </x:comment>
    <x:comment ref="C64" authorId="0">
      <x:text>
        <x:r>
          <x:t>Current operating lease liabilities. This line belongs to the Debt and Leases calculation. Read its formula to trace the referenced inputs and intermediate totals.</x:t>
        </x:r>
      </x:text>
    </x:comment>
    <x:comment ref="E64" authorId="0">
      <x:text>
        <x:r>
          <x:t>Current operating lease liabilities (FY:17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64" authorId="0">
      <x:text>
        <x:r>
          <x:t>Current operating lease liabilities (FY:18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64" authorId="0">
      <x:text>
        <x:r>
          <x:t>Current operating lease liabilities (FY:19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64" authorId="0">
      <x:text>
        <x:r>
          <x:t>Current operating lease liabilities (FY:20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64" authorId="0">
      <x:text>
        <x:r>
          <x:t>Current operating lease liabilities (FY:21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64" authorId="0">
      <x:text>
        <x:r>
          <x:t>Current operating lease liabilities (FY:22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64" authorId="0">
      <x:text>
        <x:r>
          <x:t>Current operating lease liabilities (FY:23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64" authorId="0">
      <x:text>
        <x:r>
          <x:t>Current operating lease liabilities (FY:24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64" authorId="0">
      <x:text>
        <x:r>
          <x:t>Current operating lease liabilities (FY:25 A).
Current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64" authorId="0">
      <x:text>
        <x:r>
          <x:t>Current operating lease liabilities (FY:26 A).
Current operating lease liabilities. This line belongs to the Debt and Leases calculation. Read its formula to trace the referenced inputs and intermediate totals.
Formula: ='Filing Notes'!N28
Cross-sheet references identify the owning schedule. Same-sheet references identify intermediate calculations.</x:t>
        </x:r>
      </x:text>
    </x:comment>
    <x:comment ref="O64" authorId="0">
      <x:text>
        <x:r>
          <x:t>Current operating lease liabilities (FY:27 E).
Current operating lease liabilities. This line belongs to the Debt and Leases calculation. Read its formula to trace the referenced inputs and intermediate totals.
Formula: =MIN(O63,MAX(0,O69-O55*'Assumptions'!O145)+O59/'Assumptions'!O153)
Cross-sheet references identify the owning schedule. Same-sheet references identify intermediate calculations.</x:t>
        </x:r>
      </x:text>
    </x:comment>
    <x:comment ref="P64" authorId="0">
      <x:text>
        <x:r>
          <x:t>Current operating lease liabilities (FY:28 E).
Current operating lease liabilities. This line belongs to the Debt and Leases calculation. Read its formula to trace the referenced inputs and intermediate totals.
Formula: =MIN(P63,MAX(0,P69-P55*'Assumptions'!P145)+P59/'Assumptions'!P153)
Cross-sheet references identify the owning schedule. Same-sheet references identify intermediate calculations.</x:t>
        </x:r>
      </x:text>
    </x:comment>
    <x:comment ref="Q64" authorId="0">
      <x:text>
        <x:r>
          <x:t>Current operating lease liabilities (FY:29 E).
Current operating lease liabilities. This line belongs to the Debt and Leases calculation. Read its formula to trace the referenced inputs and intermediate totals.
Formula: =MIN(Q63,MAX(0,Q69-Q55*'Assumptions'!Q145)+Q59/'Assumptions'!Q153)
Cross-sheet references identify the owning schedule. Same-sheet references identify intermediate calculations.</x:t>
        </x:r>
      </x:text>
    </x:comment>
    <x:comment ref="R64" authorId="0">
      <x:text>
        <x:r>
          <x:t>Current operating lease liabilities (FY:30 E).
Current operating lease liabilities. This line belongs to the Debt and Leases calculation. Read its formula to trace the referenced inputs and intermediate totals.
Formula: =MIN(R63,MAX(0,R69-R55*'Assumptions'!R145)+R59/'Assumptions'!R153)
Cross-sheet references identify the owning schedule. Same-sheet references identify intermediate calculations.</x:t>
        </x:r>
      </x:text>
    </x:comment>
    <x:comment ref="S64" authorId="0">
      <x:text>
        <x:r>
          <x:t>Current operating lease liabilities (FY:31 E).
Current operating lease liabilities. This line belongs to the Debt and Leases calculation. Read its formula to trace the referenced inputs and intermediate totals.
Formula: =MIN(S63,MAX(0,S69-S55*'Assumptions'!S145)+S59/'Assumptions'!S153)
Cross-sheet references identify the owning schedule. Same-sheet references identify intermediate calculations.</x:t>
        </x:r>
      </x:text>
    </x:comment>
    <x:comment ref="C65" authorId="0">
      <x:text>
        <x:r>
          <x:t>Long-term operating lease liabilities. This line belongs to the Debt and Leases calculation. Read its formula to trace the referenced inputs and intermediate totals.</x:t>
        </x:r>
      </x:text>
    </x:comment>
    <x:comment ref="E65" authorId="0">
      <x:text>
        <x:r>
          <x:t>Long-term operating lease liabilities (FY:17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65" authorId="0">
      <x:text>
        <x:r>
          <x:t>Long-term operating lease liabilities (FY:18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65" authorId="0">
      <x:text>
        <x:r>
          <x:t>Long-term operating lease liabilities (FY:19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65" authorId="0">
      <x:text>
        <x:r>
          <x:t>Long-term operating lease liabilities (FY:20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65" authorId="0">
      <x:text>
        <x:r>
          <x:t>Long-term operating lease liabilities (FY:21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65" authorId="0">
      <x:text>
        <x:r>
          <x:t>Long-term operating lease liabilities (FY:22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65" authorId="0">
      <x:text>
        <x:r>
          <x:t>Long-term operating lease liabilities (FY:23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65" authorId="0">
      <x:text>
        <x:r>
          <x:t>Long-term operating lease liabilities (FY:24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65" authorId="0">
      <x:text>
        <x:r>
          <x:t>Long-term operating lease liabilities (FY:25 A).
Long-term operating lease liabilities.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65" authorId="0">
      <x:text>
        <x:r>
          <x:t>Long-term operating lease liabilities (FY:26 A).
Long-term operating lease liabilities. This line belongs to the Debt and Leases calculation. Read its formula to trace the referenced inputs and intermediate totals.
Formula: ='Historical Inputs'!N53
Cross-sheet references identify the owning schedule. Same-sheet references identify intermediate calculations.</x:t>
        </x:r>
      </x:text>
    </x:comment>
    <x:comment ref="O65" authorId="0">
      <x:text>
        <x:r>
          <x:t>Long-term operating lease liabilities (FY:27 E).
Long-term operating lease liabilities. This line belongs to the Debt and Leases calculation. Read its formula to trace the referenced inputs and intermediate totals.
Formula: =O63-O64
Cross-sheet references identify the owning schedule. Same-sheet references identify intermediate calculations.</x:t>
        </x:r>
      </x:text>
    </x:comment>
    <x:comment ref="P65" authorId="0">
      <x:text>
        <x:r>
          <x:t>Long-term operating lease liabilities (FY:28 E).
Long-term operating lease liabilities. This line belongs to the Debt and Leases calculation. Read its formula to trace the referenced inputs and intermediate totals.
Formula: =P63-P64
Cross-sheet references identify the owning schedule. Same-sheet references identify intermediate calculations.</x:t>
        </x:r>
      </x:text>
    </x:comment>
    <x:comment ref="Q65" authorId="0">
      <x:text>
        <x:r>
          <x:t>Long-term operating lease liabilities (FY:29 E).
Long-term operating lease liabilities. This line belongs to the Debt and Leases calculation. Read its formula to trace the referenced inputs and intermediate totals.
Formula: =Q63-Q64
Cross-sheet references identify the owning schedule. Same-sheet references identify intermediate calculations.</x:t>
        </x:r>
      </x:text>
    </x:comment>
    <x:comment ref="R65" authorId="0">
      <x:text>
        <x:r>
          <x:t>Long-term operating lease liabilities (FY:30 E).
Long-term operating lease liabilities. This line belongs to the Debt and Leases calculation. Read its formula to trace the referenced inputs and intermediate totals.
Formula: =R63-R64
Cross-sheet references identify the owning schedule. Same-sheet references identify intermediate calculations.</x:t>
        </x:r>
      </x:text>
    </x:comment>
    <x:comment ref="S65" authorId="0">
      <x:text>
        <x:r>
          <x:t>Long-term operating lease liabilities (FY:31 E).
Long-term operating lease liabilities. This line belongs to the Debt and Leases calculation. Read its formula to trace the referenced inputs and intermediate totals.
Formula: =S63-S64
Cross-sheet references identify the owning schedule. Same-sheet references identify intermediate calculations.</x:t>
        </x:r>
      </x:text>
    </x:comment>
    <x:comment ref="C66" authorId="0">
      <x:text>
        <x:r>
          <x:t>Cash balance or signed cash flow as named in the row. Positive cash-flow amounts are inflows and negative amounts are outflows. Follow the formula or source reference below for the classification.</x:t>
        </x:r>
      </x:text>
    </x:comment>
    <x:comment ref="E66" authorId="0">
      <x:text>
        <x:r>
          <x:t>Operating lease cash reconciliation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66" authorId="0">
      <x:text>
        <x:r>
          <x:t>Operating lease cash reconciliation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66" authorId="0">
      <x:text>
        <x:r>
          <x:t>Operating lease cash reconciliation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66" authorId="0">
      <x:text>
        <x:r>
          <x:t>Operating lease cash reconciliation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66" authorId="0">
      <x:text>
        <x:r>
          <x:t>Operating lease cash reconciliation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66" authorId="0">
      <x:text>
        <x:r>
          <x:t>Operating lease cash reconciliation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66" authorId="0">
      <x:text>
        <x:r>
          <x:t>Operating lease cash reconciliation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66" authorId="0">
      <x:text>
        <x:r>
          <x:t>Operating lease cash reconciliation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66" authorId="0">
      <x:text>
        <x:r>
          <x:t>Operating lease cash reconciliation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66" authorId="0">
      <x:text>
        <x:r>
          <x:t>Operating lease cash reconciliation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66" authorId="0">
      <x:text>
        <x:r>
          <x:t>Operating lease cash reconciliation (FY:27 E).
Cash balance or signed cash flow as named in the row. Positive cash-flow amounts are inflows and negative amounts are outflows. Follow the formula or source reference below for the classification.
Formula: =O67-O68
Cross-sheet references identify the owning schedule. Same-sheet references identify intermediate calculations.</x:t>
        </x:r>
      </x:text>
    </x:comment>
    <x:comment ref="P66" authorId="0">
      <x:text>
        <x:r>
          <x:t>Operating lease cash reconciliation (FY:28 E).
Cash balance or signed cash flow as named in the row. Positive cash-flow amounts are inflows and negative amounts are outflows. Follow the formula or source reference below for the classification.
Formula: =P67-P68
Cross-sheet references identify the owning schedule. Same-sheet references identify intermediate calculations.</x:t>
        </x:r>
      </x:text>
    </x:comment>
    <x:comment ref="Q66" authorId="0">
      <x:text>
        <x:r>
          <x:t>Operating lease cash reconciliation (FY:29 E).
Cash balance or signed cash flow as named in the row. Positive cash-flow amounts are inflows and negative amounts are outflows. Follow the formula or source reference below for the classification.
Formula: =Q67-Q68
Cross-sheet references identify the owning schedule. Same-sheet references identify intermediate calculations.</x:t>
        </x:r>
      </x:text>
    </x:comment>
    <x:comment ref="R66" authorId="0">
      <x:text>
        <x:r>
          <x:t>Operating lease cash reconciliation (FY:30 E).
Cash balance or signed cash flow as named in the row. Positive cash-flow amounts are inflows and negative amounts are outflows. Follow the formula or source reference below for the classification.
Formula: =R67-R68
Cross-sheet references identify the owning schedule. Same-sheet references identify intermediate calculations.</x:t>
        </x:r>
      </x:text>
    </x:comment>
    <x:comment ref="S66" authorId="0">
      <x:text>
        <x:r>
          <x:t>Operating lease cash reconciliation (FY:31 E).
Cash balance or signed cash flow as named in the row. Positive cash-flow amounts are inflows and negative amounts are outflows. Follow the formula or source reference below for the classification.
Formula: =S67-S68
Cross-sheet references identify the owning schedule. Same-sheet references identify intermediate calculations.</x:t>
        </x:r>
      </x:text>
    </x:comment>
    <x:comment ref="C67" authorId="0">
      <x:text>
        <x:r>
          <x:t>Total operating ROU amortization. This line belongs to the Debt and Leases calculation. Read its formula to trace the referenced inputs and intermediate totals.</x:t>
        </x:r>
      </x:text>
    </x:comment>
    <x:comment ref="E67" authorId="0">
      <x:text>
        <x:r>
          <x:t>Total operating ROU amortization (FY:17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67" authorId="0">
      <x:text>
        <x:r>
          <x:t>Total operating ROU amortization (FY:18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67" authorId="0">
      <x:text>
        <x:r>
          <x:t>Total operating ROU amortization (FY:19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67" authorId="0">
      <x:text>
        <x:r>
          <x:t>Total operating ROU amortization (FY:20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67" authorId="0">
      <x:text>
        <x:r>
          <x:t>Total operating ROU amortization (FY:21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67" authorId="0">
      <x:text>
        <x:r>
          <x:t>Total operating ROU amortization (FY:22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67" authorId="0">
      <x:text>
        <x:r>
          <x:t>Total operating ROU amortization (FY:23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67" authorId="0">
      <x:text>
        <x:r>
          <x:t>Total operating ROU amortization (FY:24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67" authorId="0">
      <x:text>
        <x:r>
          <x:t>Total operating ROU amortization (FY:25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67" authorId="0">
      <x:text>
        <x:r>
          <x:t>Total operating ROU amortization (FY:26 A).
Total operating ROU amortization.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O67" authorId="0">
      <x:text>
        <x:r>
          <x:t>Total operating ROU amortization (FY:27 E).
Total operating ROU amortization. This line belongs to the Debt and Leases calculation. Read its formula to trace the referenced inputs and intermediate totals.
Formula: =O49+O58
Cross-sheet references identify the owning schedule. Same-sheet references identify intermediate calculations.</x:t>
        </x:r>
      </x:text>
    </x:comment>
    <x:comment ref="P67" authorId="0">
      <x:text>
        <x:r>
          <x:t>Total operating ROU amortization (FY:28 E).
Total operating ROU amortization. This line belongs to the Debt and Leases calculation. Read its formula to trace the referenced inputs and intermediate totals.
Formula: =P49+P58
Cross-sheet references identify the owning schedule. Same-sheet references identify intermediate calculations.</x:t>
        </x:r>
      </x:text>
    </x:comment>
    <x:comment ref="Q67" authorId="0">
      <x:text>
        <x:r>
          <x:t>Total operating ROU amortization (FY:29 E).
Total operating ROU amortization. This line belongs to the Debt and Leases calculation. Read its formula to trace the referenced inputs and intermediate totals.
Formula: =Q49+Q58
Cross-sheet references identify the owning schedule. Same-sheet references identify intermediate calculations.</x:t>
        </x:r>
      </x:text>
    </x:comment>
    <x:comment ref="R67" authorId="0">
      <x:text>
        <x:r>
          <x:t>Total operating ROU amortization (FY:30 E).
Total operating ROU amortization. This line belongs to the Debt and Leases calculation. Read its formula to trace the referenced inputs and intermediate totals.
Formula: =R49+R58
Cross-sheet references identify the owning schedule. Same-sheet references identify intermediate calculations.</x:t>
        </x:r>
      </x:text>
    </x:comment>
    <x:comment ref="S67" authorId="0">
      <x:text>
        <x:r>
          <x:t>Total operating ROU amortization (FY:31 E).
Total operating ROU amortization. This line belongs to the Debt and Leases calculation. Read its formula to trace the referenced inputs and intermediate totals.
Formula: =S49+S58
Cross-sheet references identify the owning schedule. Same-sheet references identify intermediate calculations.</x:t>
        </x:r>
      </x:text>
    </x:comment>
    <x:comment ref="C68" authorId="0">
      <x:text>
        <x:r>
          <x:t>Reduction of debt or lease principal, separate from interest expense. Read the formula for the specific contractual or modeled payment schedule and sign.</x:t>
        </x:r>
      </x:text>
    </x:comment>
    <x:comment ref="E68" authorId="0">
      <x:text>
        <x:r>
          <x:t>Total operating lease principal reduction (FY:17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F68" authorId="0">
      <x:text>
        <x:r>
          <x:t>Total operating lease principal reduction (FY:18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G68" authorId="0">
      <x:text>
        <x:r>
          <x:t>Total operating lease principal reduction (FY:19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H68" authorId="0">
      <x:text>
        <x:r>
          <x:t>Total operating lease principal reduction (FY:20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I68" authorId="0">
      <x:text>
        <x:r>
          <x:t>Total operating lease principal reduction (FY:21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J68" authorId="0">
      <x:text>
        <x:r>
          <x:t>Total operating lease principal reduction (FY:22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K68" authorId="0">
      <x:text>
        <x:r>
          <x:t>Total operating lease principal reduction (FY:23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L68" authorId="0">
      <x:text>
        <x:r>
          <x:t>Total operating lease principal reduction (FY:24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M68" authorId="0">
      <x:text>
        <x:r>
          <x:t>Total operating lease principal reduction (FY:25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N68" authorId="0">
      <x:text>
        <x:r>
          <x:t>Total operating lease principal reduction (FY:26 A).
Reduction of debt or lease principal, separate from interest expense. Read the formula for the specific contractual or modeled payment schedule and sign. This period is unavailable or not applicable. Do not interpret it as zero.
Stored input or primary source observation. It is not calculated in this cell.</x:t>
        </x:r>
      </x:text>
    </x:comment>
    <x:comment ref="O68" authorId="0">
      <x:text>
        <x:r>
          <x:t>Total operating lease principal reduction (FY:27 E).
Reduction of debt or lease principal, separate from interest expense. Read the formula for the specific contractual or modeled payment schedule and sign.
Formula: =O54+O58
Cross-sheet references identify the owning schedule. Same-sheet references identify intermediate calculations.</x:t>
        </x:r>
      </x:text>
    </x:comment>
    <x:comment ref="P68" authorId="0">
      <x:text>
        <x:r>
          <x:t>Total operating lease principal reduction (FY:28 E).
Reduction of debt or lease principal, separate from interest expense. Read the formula for the specific contractual or modeled payment schedule and sign.
Formula: =P54+P58
Cross-sheet references identify the owning schedule. Same-sheet references identify intermediate calculations.</x:t>
        </x:r>
      </x:text>
    </x:comment>
    <x:comment ref="Q68" authorId="0">
      <x:text>
        <x:r>
          <x:t>Total operating lease principal reduction (FY:29 E).
Reduction of debt or lease principal, separate from interest expense. Read the formula for the specific contractual or modeled payment schedule and sign.
Formula: =Q54+Q58
Cross-sheet references identify the owning schedule. Same-sheet references identify intermediate calculations.</x:t>
        </x:r>
      </x:text>
    </x:comment>
    <x:comment ref="R68" authorId="0">
      <x:text>
        <x:r>
          <x:t>Total operating lease principal reduction (FY:30 E).
Reduction of debt or lease principal, separate from interest expense. Read the formula for the specific contractual or modeled payment schedule and sign.
Formula: =R54+R58
Cross-sheet references identify the owning schedule. Same-sheet references identify intermediate calculations.</x:t>
        </x:r>
      </x:text>
    </x:comment>
    <x:comment ref="S68" authorId="0">
      <x:text>
        <x:r>
          <x:t>Total operating lease principal reduction (FY:31 E).
Reduction of debt or lease principal, separate from interest expense. Read the formula for the specific contractual or modeled payment schedule and sign.
Formula: =S54+S58
Cross-sheet references identify the owning schedule. Same-sheet references identify intermediate calculations.</x:t>
        </x:r>
      </x:text>
    </x:comment>
    <x:comment ref="C69" authorId="0">
      <x:text>
        <x:r>
          <x:t>Cash balance or signed cash flow as named in the row. Positive cash-flow amounts are inflows and negative amounts are outflows. Follow the formula or source reference below for the classification.</x:t>
        </x:r>
      </x:text>
    </x:comment>
    <x:comment ref="E69" authorId="0">
      <x:text>
        <x:r>
          <x:t>Next year legacy operating lease cash payments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69" authorId="0">
      <x:text>
        <x:r>
          <x:t>Next year legacy operating lease cash payments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69" authorId="0">
      <x:text>
        <x:r>
          <x:t>Next year legacy operating lease cash payments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69" authorId="0">
      <x:text>
        <x:r>
          <x:t>Next year legacy operating lease cash payments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69" authorId="0">
      <x:text>
        <x:r>
          <x:t>Next year legacy operating lease cash payments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69" authorId="0">
      <x:text>
        <x:r>
          <x:t>Next year legacy operating lease cash payments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69" authorId="0">
      <x:text>
        <x:r>
          <x:t>Next year legacy operating lease cash payments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69" authorId="0">
      <x:text>
        <x:r>
          <x:t>Next year legacy operating lease cash payments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69" authorId="0">
      <x:text>
        <x:r>
          <x:t>Next year legacy operating lease cash payments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69" authorId="0">
      <x:text>
        <x:r>
          <x:t>Next year legacy operating lease cash payments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69" authorId="0">
      <x:text>
        <x:r>
          <x:t>Next year legacy operating lease cash payments (FY:27 E).
Cash balance or signed cash flow as named in the row. Positive cash-flow amounts are inflows and negative amounts are outflows. Follow the formula or source reference below for the classification.
Formula: ='Filing Notes'!P39
Cross-sheet references identify the owning schedule. Same-sheet references identify intermediate calculations.</x:t>
        </x:r>
      </x:text>
    </x:comment>
    <x:comment ref="P69" authorId="0">
      <x:text>
        <x:r>
          <x:t>Next year legacy operating lease cash payments (FY:28 E).
Cash balance or signed cash flow as named in the row. Positive cash-flow amounts are inflows and negative amounts are outflows. Follow the formula or source reference below for the classification.
Formula: ='Filing Notes'!Q39
Cross-sheet references identify the owning schedule. Same-sheet references identify intermediate calculations.</x:t>
        </x:r>
      </x:text>
    </x:comment>
    <x:comment ref="Q69" authorId="0">
      <x:text>
        <x:r>
          <x:t>Next year legacy operating lease cash payments (FY:29 E).
Cash balance or signed cash flow as named in the row. Positive cash-flow amounts are inflows and negative amounts are outflows. Follow the formula or source reference below for the classification.
Formula: ='Filing Notes'!R39
Cross-sheet references identify the owning schedule. Same-sheet references identify intermediate calculations.</x:t>
        </x:r>
      </x:text>
    </x:comment>
    <x:comment ref="R69" authorId="0">
      <x:text>
        <x:r>
          <x:t>Next year legacy operating lease cash payments (FY:30 E).
Cash balance or signed cash flow as named in the row. Positive cash-flow amounts are inflows and negative amounts are outflows. Follow the formula or source reference below for the classification.
Formula: ='Filing Notes'!S39
Cross-sheet references identify the owning schedule. Same-sheet references identify intermediate calculations.</x:t>
        </x:r>
      </x:text>
    </x:comment>
    <x:comment ref="S69" authorId="0">
      <x:text>
        <x:r>
          <x:t>Next year legacy operating lease cash payments (FY:31 E).
Cash balance or signed cash flow as named in the row. Positive cash-flow amounts are inflows and negative amounts are outflows. Follow the formula or source reference below for the classification.
Formula: ='Assumptions'!O212
Cross-sheet references identify the owning schedule. Same-sheet references identify intermediate calculations.</x:t>
        </x:r>
      </x:text>
    </x:comment>
    <x:comment ref="C72" authorId="0">
      <x:text>
        <x:r>
          <x:t>Beginning-of-year balance. Forecast periods carry forward the prior closing balance, with FY2026 providing the first forecast opening balance.</x:t>
        </x:r>
      </x:text>
    </x:comment>
    <x:comment ref="E72" authorId="0">
      <x:text>
        <x:r>
          <x:t>Opening short-term investments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72" authorId="0">
      <x:text>
        <x:r>
          <x:t>Opening short-term investments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72" authorId="0">
      <x:text>
        <x:r>
          <x:t>Opening short-term investments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72" authorId="0">
      <x:text>
        <x:r>
          <x:t>Opening short-term investments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72" authorId="0">
      <x:text>
        <x:r>
          <x:t>Opening short-term investments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72" authorId="0">
      <x:text>
        <x:r>
          <x:t>Opening short-term investments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72" authorId="0">
      <x:text>
        <x:r>
          <x:t>Opening short-term investments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72" authorId="0">
      <x:text>
        <x:r>
          <x:t>Opening short-term investments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72" authorId="0">
      <x:text>
        <x:r>
          <x:t>Opening short-term investments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72" authorId="0">
      <x:text>
        <x:r>
          <x:t>Opening short-term investments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72" authorId="0">
      <x:text>
        <x:r>
          <x:t>Opening short-term investments (FY:27 E).
Beginning-of-year balance. Forecast periods carry forward the prior closing balance, with FY2026 providing the first forecast opening balance.
Formula: ='Balance Sheet'!N9
Cross-sheet references identify the owning schedule. Same-sheet references identify intermediate calculations.</x:t>
        </x:r>
      </x:text>
    </x:comment>
    <x:comment ref="P72" authorId="0">
      <x:text>
        <x:r>
          <x:t>Opening short-term investments (FY:28 E).
Beginning-of-year balance. Forecast periods carry forward the prior closing balance, with FY2026 providing the first forecast opening balance.
Formula: ='Balance Sheet'!O9
Cross-sheet references identify the owning schedule. Same-sheet references identify intermediate calculations.</x:t>
        </x:r>
      </x:text>
    </x:comment>
    <x:comment ref="Q72" authorId="0">
      <x:text>
        <x:r>
          <x:t>Opening short-term investments (FY:29 E).
Beginning-of-year balance. Forecast periods carry forward the prior closing balance, with FY2026 providing the first forecast opening balance.
Formula: ='Balance Sheet'!P9
Cross-sheet references identify the owning schedule. Same-sheet references identify intermediate calculations.</x:t>
        </x:r>
      </x:text>
    </x:comment>
    <x:comment ref="R72" authorId="0">
      <x:text>
        <x:r>
          <x:t>Opening short-term investments (FY:30 E).
Beginning-of-year balance. Forecast periods carry forward the prior closing balance, with FY2026 providing the first forecast opening balance.
Formula: ='Balance Sheet'!Q9
Cross-sheet references identify the owning schedule. Same-sheet references identify intermediate calculations.</x:t>
        </x:r>
      </x:text>
    </x:comment>
    <x:comment ref="S72" authorId="0">
      <x:text>
        <x:r>
          <x:t>Opening short-term investments (FY:31 E).
Beginning-of-year balance. Forecast periods carry forward the prior closing balance, with FY2026 providing the first forecast opening balance.
Formula: ='Balance Sheet'!R9
Cross-sheet references identify the owning schedule. Same-sheet references identify intermediate calculations.</x:t>
        </x:r>
      </x:text>
    </x:comment>
    <x:comment ref="C73" authorId="0">
      <x:text>
        <x:r>
          <x:t>Year-end balance from the relevant roll-forward. Follow the formula to opening balances, additions, expenses, payments or other changes.</x:t>
        </x:r>
      </x:text>
    </x:comment>
    <x:comment ref="E73" authorId="0">
      <x:text>
        <x:r>
          <x:t>Planned closing short-term investments (FY:17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F73" authorId="0">
      <x:text>
        <x:r>
          <x:t>Planned closing short-term investments (FY:18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G73" authorId="0">
      <x:text>
        <x:r>
          <x:t>Planned closing short-term investments (FY:19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H73" authorId="0">
      <x:text>
        <x:r>
          <x:t>Planned closing short-term investments (FY:20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I73" authorId="0">
      <x:text>
        <x:r>
          <x:t>Planned closing short-term investments (FY:21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J73" authorId="0">
      <x:text>
        <x:r>
          <x:t>Planned closing short-term investments (FY:22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K73" authorId="0">
      <x:text>
        <x:r>
          <x:t>Planned closing short-term investments (FY:23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L73" authorId="0">
      <x:text>
        <x:r>
          <x:t>Planned closing short-term investments (FY:24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M73" authorId="0">
      <x:text>
        <x:r>
          <x:t>Planned closing short-term investments (FY:25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N73" authorId="0">
      <x:text>
        <x:r>
          <x:t>Planned closing short-term investments (FY:26 A).
Year-end balance from the relevant roll-forward. Follow the formula to opening balances, additions, expenses, payments or other changes. This period is unavailable or not applicable. Do not interpret it as zero.
Stored input or primary source observation. It is not calculated in this cell.</x:t>
        </x:r>
      </x:text>
    </x:comment>
    <x:comment ref="O73" authorId="0">
      <x:text>
        <x:r>
          <x:t>Planned closing short-term investments (FY:27 E).
Year-end balance from the relevant roll-forward. Follow the formula to opening balances, additions, expenses, payments or other changes.
Formula: =MAX('Assumptions'!O121,O72*(1+'Assumptions'!O165))
Cross-sheet references identify the owning schedule. Same-sheet references identify intermediate calculations.</x:t>
        </x:r>
      </x:text>
    </x:comment>
    <x:comment ref="P73" authorId="0">
      <x:text>
        <x:r>
          <x:t>Planned closing short-term investments (FY:28 E).
Year-end balance from the relevant roll-forward. Follow the formula to opening balances, additions, expenses, payments or other changes.
Formula: =MAX('Assumptions'!P121,P72*(1+'Assumptions'!P165))
Cross-sheet references identify the owning schedule. Same-sheet references identify intermediate calculations.</x:t>
        </x:r>
      </x:text>
    </x:comment>
    <x:comment ref="Q73" authorId="0">
      <x:text>
        <x:r>
          <x:t>Planned closing short-term investments (FY:29 E).
Year-end balance from the relevant roll-forward. Follow the formula to opening balances, additions, expenses, payments or other changes.
Formula: =MAX('Assumptions'!Q121,Q72*(1+'Assumptions'!Q165))
Cross-sheet references identify the owning schedule. Same-sheet references identify intermediate calculations.</x:t>
        </x:r>
      </x:text>
    </x:comment>
    <x:comment ref="R73" authorId="0">
      <x:text>
        <x:r>
          <x:t>Planned closing short-term investments (FY:30 E).
Year-end balance from the relevant roll-forward. Follow the formula to opening balances, additions, expenses, payments or other changes.
Formula: =MAX('Assumptions'!R121,R72*(1+'Assumptions'!R165))
Cross-sheet references identify the owning schedule. Same-sheet references identify intermediate calculations.</x:t>
        </x:r>
      </x:text>
    </x:comment>
    <x:comment ref="S73" authorId="0">
      <x:text>
        <x:r>
          <x:t>Planned closing short-term investments (FY:31 E).
Year-end balance from the relevant roll-forward. Follow the formula to opening balances, additions, expenses, payments or other changes.
Formula: =MAX('Assumptions'!S121,S72*(1+'Assumptions'!S165))
Cross-sheet references identify the owning schedule. Same-sheet references identify intermediate calculations.</x:t>
        </x:r>
      </x:text>
    </x:comment>
    <x:comment ref="C74" authorId="0">
      <x:text>
        <x:r>
          <x:t>Minimum short-term investment reserve. This line belongs to the Debt and Leases calculation. Read its formula to trace the referenced inputs and intermediate totals.</x:t>
        </x:r>
      </x:text>
    </x:comment>
    <x:comment ref="E74" authorId="0">
      <x:text>
        <x:r>
          <x:t>Minimum short-term investment reserve (FY:17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74" authorId="0">
      <x:text>
        <x:r>
          <x:t>Minimum short-term investment reserve (FY:18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74" authorId="0">
      <x:text>
        <x:r>
          <x:t>Minimum short-term investment reserve (FY:19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74" authorId="0">
      <x:text>
        <x:r>
          <x:t>Minimum short-term investment reserve (FY:20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74" authorId="0">
      <x:text>
        <x:r>
          <x:t>Minimum short-term investment reserve (FY:21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74" authorId="0">
      <x:text>
        <x:r>
          <x:t>Minimum short-term investment reserve (FY:22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74" authorId="0">
      <x:text>
        <x:r>
          <x:t>Minimum short-term investment reserve (FY:23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74" authorId="0">
      <x:text>
        <x:r>
          <x:t>Minimum short-term investment reserve (FY:24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74" authorId="0">
      <x:text>
        <x:r>
          <x:t>Minimum short-term investment reserve (FY:25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74" authorId="0">
      <x:text>
        <x:r>
          <x:t>Minimum short-term investment reserve (FY:26 A).
Minimum short-term investment reserve.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O74" authorId="0">
      <x:text>
        <x:r>
          <x:t>Minimum short-term investment reserve (FY:27 E).
Minimum short-term investment reserve. This line belongs to the Debt and Leases calculation. Read its formula to trace the referenced inputs and intermediate totals.
Formula: ='Assumptions'!O121
Cross-sheet references identify the owning schedule. Same-sheet references identify intermediate calculations.</x:t>
        </x:r>
      </x:text>
    </x:comment>
    <x:comment ref="P74" authorId="0">
      <x:text>
        <x:r>
          <x:t>Minimum short-term investment reserve (FY:28 E).
Minimum short-term investment reserve. This line belongs to the Debt and Leases calculation. Read its formula to trace the referenced inputs and intermediate totals.
Formula: ='Assumptions'!P121
Cross-sheet references identify the owning schedule. Same-sheet references identify intermediate calculations.</x:t>
        </x:r>
      </x:text>
    </x:comment>
    <x:comment ref="Q74" authorId="0">
      <x:text>
        <x:r>
          <x:t>Minimum short-term investment reserve (FY:29 E).
Minimum short-term investment reserve. This line belongs to the Debt and Leases calculation. Read its formula to trace the referenced inputs and intermediate totals.
Formula: ='Assumptions'!Q121
Cross-sheet references identify the owning schedule. Same-sheet references identify intermediate calculations.</x:t>
        </x:r>
      </x:text>
    </x:comment>
    <x:comment ref="R74" authorId="0">
      <x:text>
        <x:r>
          <x:t>Minimum short-term investment reserve (FY:30 E).
Minimum short-term investment reserve. This line belongs to the Debt and Leases calculation. Read its formula to trace the referenced inputs and intermediate totals.
Formula: ='Assumptions'!R121
Cross-sheet references identify the owning schedule. Same-sheet references identify intermediate calculations.</x:t>
        </x:r>
      </x:text>
    </x:comment>
    <x:comment ref="S74" authorId="0">
      <x:text>
        <x:r>
          <x:t>Minimum short-term investment reserve (FY:31 E).
Minimum short-term investment reserve. This line belongs to the Debt and Leases calculation. Read its formula to trace the referenced inputs and intermediate totals.
Formula: ='Assumptions'!S121
Cross-sheet references identify the owning schedule. Same-sheet references identify intermediate calculations.</x:t>
        </x:r>
      </x:text>
    </x:comment>
    <x:comment ref="C75" authorId="0">
      <x:text>
        <x:r>
          <x:t>Cash balance or signed cash flow as named in the row. Positive cash-flow amounts are inflows and negative amounts are outflows. Follow the formula or source reference below for the classification.</x:t>
        </x:r>
      </x:text>
    </x:comment>
    <x:comment ref="E75" authorId="0">
      <x:text>
        <x:r>
          <x:t>Cash before reserve liquidation and funding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75" authorId="0">
      <x:text>
        <x:r>
          <x:t>Cash before reserve liquidation and funding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75" authorId="0">
      <x:text>
        <x:r>
          <x:t>Cash before reserve liquidation and funding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75" authorId="0">
      <x:text>
        <x:r>
          <x:t>Cash before reserve liquidation and funding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75" authorId="0">
      <x:text>
        <x:r>
          <x:t>Cash before reserve liquidation and funding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75" authorId="0">
      <x:text>
        <x:r>
          <x:t>Cash before reserve liquidation and funding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75" authorId="0">
      <x:text>
        <x:r>
          <x:t>Cash before reserve liquidation and funding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75" authorId="0">
      <x:text>
        <x:r>
          <x:t>Cash before reserve liquidation and funding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75" authorId="0">
      <x:text>
        <x:r>
          <x:t>Cash before reserve liquidation and funding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75" authorId="0">
      <x:text>
        <x:r>
          <x:t>Cash before reserve liquidation and funding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75" authorId="0">
      <x:text>
        <x:r>
          <x:t>Cash before reserve liquidation and funding (FY:27 E).
Cash balance or signed cash flow as named in the row. Positive cash-flow amounts are inflows and negative amounts are outflows. Follow the formula or source reference below for the classification.
Formula: ='Cash Flow'!O59
Cross-sheet references identify the owning schedule. Same-sheet references identify intermediate calculations.</x:t>
        </x:r>
      </x:text>
    </x:comment>
    <x:comment ref="P75" authorId="0">
      <x:text>
        <x:r>
          <x:t>Cash before reserve liquidation and funding (FY:28 E).
Cash balance or signed cash flow as named in the row. Positive cash-flow amounts are inflows and negative amounts are outflows. Follow the formula or source reference below for the classification.
Formula: ='Cash Flow'!P59
Cross-sheet references identify the owning schedule. Same-sheet references identify intermediate calculations.</x:t>
        </x:r>
      </x:text>
    </x:comment>
    <x:comment ref="Q75" authorId="0">
      <x:text>
        <x:r>
          <x:t>Cash before reserve liquidation and funding (FY:29 E).
Cash balance or signed cash flow as named in the row. Positive cash-flow amounts are inflows and negative amounts are outflows. Follow the formula or source reference below for the classification.
Formula: ='Cash Flow'!Q59
Cross-sheet references identify the owning schedule. Same-sheet references identify intermediate calculations.</x:t>
        </x:r>
      </x:text>
    </x:comment>
    <x:comment ref="R75" authorId="0">
      <x:text>
        <x:r>
          <x:t>Cash before reserve liquidation and funding (FY:30 E).
Cash balance or signed cash flow as named in the row. Positive cash-flow amounts are inflows and negative amounts are outflows. Follow the formula or source reference below for the classification.
Formula: ='Cash Flow'!R59
Cross-sheet references identify the owning schedule. Same-sheet references identify intermediate calculations.</x:t>
        </x:r>
      </x:text>
    </x:comment>
    <x:comment ref="S75" authorId="0">
      <x:text>
        <x:r>
          <x:t>Cash before reserve liquidation and funding (FY:31 E).
Cash balance or signed cash flow as named in the row. Positive cash-flow amounts are inflows and negative amounts are outflows. Follow the formula or source reference below for the classification.
Formula: ='Cash Flow'!S59
Cross-sheet references identify the owning schedule. Same-sheet references identify intermediate calculations.</x:t>
        </x:r>
      </x:text>
    </x:comment>
    <x:comment ref="C76" authorId="0">
      <x:text>
        <x:r>
          <x:t>Cash balance or signed cash flow as named in the row. Positive cash-flow amounts are inflows and negative amounts are outflows. Follow the formula or source reference below for the classification.</x:t>
        </x:r>
      </x:text>
    </x:comment>
    <x:comment ref="E76" authorId="0">
      <x:text>
        <x:r>
          <x:t>Cash shortfall to policy minimum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76" authorId="0">
      <x:text>
        <x:r>
          <x:t>Cash shortfall to policy minimum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76" authorId="0">
      <x:text>
        <x:r>
          <x:t>Cash shortfall to policy minimum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76" authorId="0">
      <x:text>
        <x:r>
          <x:t>Cash shortfall to policy minimum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76" authorId="0">
      <x:text>
        <x:r>
          <x:t>Cash shortfall to policy minimum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76" authorId="0">
      <x:text>
        <x:r>
          <x:t>Cash shortfall to policy minimum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76" authorId="0">
      <x:text>
        <x:r>
          <x:t>Cash shortfall to policy minimum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76" authorId="0">
      <x:text>
        <x:r>
          <x:t>Cash shortfall to policy minimum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76" authorId="0">
      <x:text>
        <x:r>
          <x:t>Cash shortfall to policy minimum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76" authorId="0">
      <x:text>
        <x:r>
          <x:t>Cash shortfall to policy minimum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76" authorId="0">
      <x:text>
        <x:r>
          <x:t>Cash shortfall to policy minimum (FY:27 E).
Cash balance or signed cash flow as named in the row. Positive cash-flow amounts are inflows and negative amounts are outflows. Follow the formula or source reference below for the classification.
Formula: =MAX(0,'Assumptions'!O117-O75)
Cross-sheet references identify the owning schedule. Same-sheet references identify intermediate calculations.</x:t>
        </x:r>
      </x:text>
    </x:comment>
    <x:comment ref="P76" authorId="0">
      <x:text>
        <x:r>
          <x:t>Cash shortfall to policy minimum (FY:28 E).
Cash balance or signed cash flow as named in the row. Positive cash-flow amounts are inflows and negative amounts are outflows. Follow the formula or source reference below for the classification.
Formula: =MAX(0,'Assumptions'!P117-P75)
Cross-sheet references identify the owning schedule. Same-sheet references identify intermediate calculations.</x:t>
        </x:r>
      </x:text>
    </x:comment>
    <x:comment ref="Q76" authorId="0">
      <x:text>
        <x:r>
          <x:t>Cash shortfall to policy minimum (FY:29 E).
Cash balance or signed cash flow as named in the row. Positive cash-flow amounts are inflows and negative amounts are outflows. Follow the formula or source reference below for the classification.
Formula: =MAX(0,'Assumptions'!Q117-Q75)
Cross-sheet references identify the owning schedule. Same-sheet references identify intermediate calculations.</x:t>
        </x:r>
      </x:text>
    </x:comment>
    <x:comment ref="R76" authorId="0">
      <x:text>
        <x:r>
          <x:t>Cash shortfall to policy minimum (FY:30 E).
Cash balance or signed cash flow as named in the row. Positive cash-flow amounts are inflows and negative amounts are outflows. Follow the formula or source reference below for the classification.
Formula: =MAX(0,'Assumptions'!R117-R75)
Cross-sheet references identify the owning schedule. Same-sheet references identify intermediate calculations.</x:t>
        </x:r>
      </x:text>
    </x:comment>
    <x:comment ref="S76" authorId="0">
      <x:text>
        <x:r>
          <x:t>Cash shortfall to policy minimum (FY:31 E).
Cash balance or signed cash flow as named in the row. Positive cash-flow amounts are inflows and negative amounts are outflows. Follow the formula or source reference below for the classification.
Formula: =MAX(0,'Assumptions'!S117-S75)
Cross-sheet references identify the owning schedule. Same-sheet references identify intermediate calculations.</x:t>
        </x:r>
      </x:text>
    </x:comment>
    <x:comment ref="C77" authorId="0">
      <x:text>
        <x:r>
          <x:t>Reserve investments liquidated. This line belongs to the Debt and Leases calculation. Read its formula to trace the referenced inputs and intermediate totals.</x:t>
        </x:r>
      </x:text>
    </x:comment>
    <x:comment ref="E77" authorId="0">
      <x:text>
        <x:r>
          <x:t>Reserve investments liquidated (FY:17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F77" authorId="0">
      <x:text>
        <x:r>
          <x:t>Reserve investments liquidated (FY:18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G77" authorId="0">
      <x:text>
        <x:r>
          <x:t>Reserve investments liquidated (FY:19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H77" authorId="0">
      <x:text>
        <x:r>
          <x:t>Reserve investments liquidated (FY:20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I77" authorId="0">
      <x:text>
        <x:r>
          <x:t>Reserve investments liquidated (FY:21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J77" authorId="0">
      <x:text>
        <x:r>
          <x:t>Reserve investments liquidated (FY:22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K77" authorId="0">
      <x:text>
        <x:r>
          <x:t>Reserve investments liquidated (FY:23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L77" authorId="0">
      <x:text>
        <x:r>
          <x:t>Reserve investments liquidated (FY:24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M77" authorId="0">
      <x:text>
        <x:r>
          <x:t>Reserve investments liquidated (FY:25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N77" authorId="0">
      <x:text>
        <x:r>
          <x:t>Reserve investments liquidated (FY:26 A).
Reserve investments liquidated. This line belongs to the Debt and Leases calculation. Read its formula to trace the referenced inputs and intermediate totals. This period is unavailable or not applicable. Do not interpret it as zero.
Stored input or primary source observation. It is not calculated in this cell.</x:t>
        </x:r>
      </x:text>
    </x:comment>
    <x:comment ref="O77" authorId="0">
      <x:text>
        <x:r>
          <x:t>Reserve investments liquidated (FY:27 E).
Reserve investments liquidated. This line belongs to the Debt and Leases calculation. Read its formula to trace the referenced inputs and intermediate totals.
Formula: =MIN(MAX(0,O73-O74),O76)
Cross-sheet references identify the owning schedule. Same-sheet references identify intermediate calculations.</x:t>
        </x:r>
      </x:text>
    </x:comment>
    <x:comment ref="P77" authorId="0">
      <x:text>
        <x:r>
          <x:t>Reserve investments liquidated (FY:28 E).
Reserve investments liquidated. This line belongs to the Debt and Leases calculation. Read its formula to trace the referenced inputs and intermediate totals.
Formula: =MIN(MAX(0,P73-P74),P76)
Cross-sheet references identify the owning schedule. Same-sheet references identify intermediate calculations.</x:t>
        </x:r>
      </x:text>
    </x:comment>
    <x:comment ref="Q77" authorId="0">
      <x:text>
        <x:r>
          <x:t>Reserve investments liquidated (FY:29 E).
Reserve investments liquidated. This line belongs to the Debt and Leases calculation. Read its formula to trace the referenced inputs and intermediate totals.
Formula: =MIN(MAX(0,Q73-Q74),Q76)
Cross-sheet references identify the owning schedule. Same-sheet references identify intermediate calculations.</x:t>
        </x:r>
      </x:text>
    </x:comment>
    <x:comment ref="R77" authorId="0">
      <x:text>
        <x:r>
          <x:t>Reserve investments liquidated (FY:30 E).
Reserve investments liquidated. This line belongs to the Debt and Leases calculation. Read its formula to trace the referenced inputs and intermediate totals.
Formula: =MIN(MAX(0,R73-R74),R76)
Cross-sheet references identify the owning schedule. Same-sheet references identify intermediate calculations.</x:t>
        </x:r>
      </x:text>
    </x:comment>
    <x:comment ref="S77" authorId="0">
      <x:text>
        <x:r>
          <x:t>Reserve investments liquidated (FY:31 E).
Reserve investments liquidated. This line belongs to the Debt and Leases calculation. Read its formula to trace the referenced inputs and intermediate totals.
Formula: =MIN(MAX(0,S73-S74),S76)
Cross-sheet references identify the owning schedule. Same-sheet references identify intermediate calculations.</x:t>
        </x:r>
      </x:text>
    </x:comment>
    <x:comment ref="C78" authorId="0">
      <x:text>
        <x:r>
          <x:t>Year-end balance from the relevant roll-forward. Follow the formula to opening balances, additions, expenses, payments or other changes.</x:t>
        </x:r>
      </x:text>
    </x:comment>
    <x:comment ref="E78" authorId="0">
      <x:text>
        <x:r>
          <x:t>Closing short-term investments (FY:17 A).
Year-end balance from the relevant roll-forward. Follow the formula to opening balances, additions, expenses, payments or other changes.
Formula: ='Historical Inputs'!E29
Cross-sheet references identify the owning schedule. Same-sheet references identify intermediate calculations.</x:t>
        </x:r>
      </x:text>
    </x:comment>
    <x:comment ref="F78" authorId="0">
      <x:text>
        <x:r>
          <x:t>Closing short-term investments (FY:18 A).
Year-end balance from the relevant roll-forward. Follow the formula to opening balances, additions, expenses, payments or other changes.
Formula: ='Historical Inputs'!F29
Cross-sheet references identify the owning schedule. Same-sheet references identify intermediate calculations.</x:t>
        </x:r>
      </x:text>
    </x:comment>
    <x:comment ref="G78" authorId="0">
      <x:text>
        <x:r>
          <x:t>Closing short-term investments (FY:19 A).
Year-end balance from the relevant roll-forward. Follow the formula to opening balances, additions, expenses, payments or other changes.
Formula: ='Historical Inputs'!G29
Cross-sheet references identify the owning schedule. Same-sheet references identify intermediate calculations.</x:t>
        </x:r>
      </x:text>
    </x:comment>
    <x:comment ref="H78" authorId="0">
      <x:text>
        <x:r>
          <x:t>Closing short-term investments (FY:20 A).
Year-end balance from the relevant roll-forward. Follow the formula to opening balances, additions, expenses, payments or other changes.
Formula: ='Historical Inputs'!H29
Cross-sheet references identify the owning schedule. Same-sheet references identify intermediate calculations.</x:t>
        </x:r>
      </x:text>
    </x:comment>
    <x:comment ref="I78" authorId="0">
      <x:text>
        <x:r>
          <x:t>Closing short-term investments (FY:21 A).
Year-end balance from the relevant roll-forward. Follow the formula to opening balances, additions, expenses, payments or other changes.
Formula: ='Historical Inputs'!I29
Cross-sheet references identify the owning schedule. Same-sheet references identify intermediate calculations.</x:t>
        </x:r>
      </x:text>
    </x:comment>
    <x:comment ref="J78" authorId="0">
      <x:text>
        <x:r>
          <x:t>Closing short-term investments (FY:22 A).
Year-end balance from the relevant roll-forward. Follow the formula to opening balances, additions, expenses, payments or other changes.
Formula: ='Historical Inputs'!J29
Cross-sheet references identify the owning schedule. Same-sheet references identify intermediate calculations.</x:t>
        </x:r>
      </x:text>
    </x:comment>
    <x:comment ref="K78" authorId="0">
      <x:text>
        <x:r>
          <x:t>Closing short-term investments (FY:23 A).
Year-end balance from the relevant roll-forward. Follow the formula to opening balances, additions, expenses, payments or other changes.
Formula: ='Historical Inputs'!K29
Cross-sheet references identify the owning schedule. Same-sheet references identify intermediate calculations.</x:t>
        </x:r>
      </x:text>
    </x:comment>
    <x:comment ref="L78" authorId="0">
      <x:text>
        <x:r>
          <x:t>Closing short-term investments (FY:24 A).
Year-end balance from the relevant roll-forward. Follow the formula to opening balances, additions, expenses, payments or other changes.
Formula: ='Historical Inputs'!L29
Cross-sheet references identify the owning schedule. Same-sheet references identify intermediate calculations.</x:t>
        </x:r>
      </x:text>
    </x:comment>
    <x:comment ref="M78" authorId="0">
      <x:text>
        <x:r>
          <x:t>Closing short-term investments (FY:25 A).
Year-end balance from the relevant roll-forward. Follow the formula to opening balances, additions, expenses, payments or other changes.
Formula: ='Historical Inputs'!M29
Cross-sheet references identify the owning schedule. Same-sheet references identify intermediate calculations.</x:t>
        </x:r>
      </x:text>
    </x:comment>
    <x:comment ref="N78" authorId="0">
      <x:text>
        <x:r>
          <x:t>Closing short-term investments (FY:26 A).
Year-end balance from the relevant roll-forward. Follow the formula to opening balances, additions, expenses, payments or other changes.
Formula: ='Historical Inputs'!N29
Cross-sheet references identify the owning schedule. Same-sheet references identify intermediate calculations.</x:t>
        </x:r>
      </x:text>
    </x:comment>
    <x:comment ref="O78" authorId="0">
      <x:text>
        <x:r>
          <x:t>Closing short-term investments (FY:27 E).
Year-end balance from the relevant roll-forward. Follow the formula to opening balances, additions, expenses, payments or other changes.
Formula: =O73-O77
Cross-sheet references identify the owning schedule. Same-sheet references identify intermediate calculations.</x:t>
        </x:r>
      </x:text>
    </x:comment>
    <x:comment ref="P78" authorId="0">
      <x:text>
        <x:r>
          <x:t>Closing short-term investments (FY:28 E).
Year-end balance from the relevant roll-forward. Follow the formula to opening balances, additions, expenses, payments or other changes.
Formula: =P73-P77
Cross-sheet references identify the owning schedule. Same-sheet references identify intermediate calculations.</x:t>
        </x:r>
      </x:text>
    </x:comment>
    <x:comment ref="Q78" authorId="0">
      <x:text>
        <x:r>
          <x:t>Closing short-term investments (FY:29 E).
Year-end balance from the relevant roll-forward. Follow the formula to opening balances, additions, expenses, payments or other changes.
Formula: =Q73-Q77
Cross-sheet references identify the owning schedule. Same-sheet references identify intermediate calculations.</x:t>
        </x:r>
      </x:text>
    </x:comment>
    <x:comment ref="R78" authorId="0">
      <x:text>
        <x:r>
          <x:t>Closing short-term investments (FY:30 E).
Year-end balance from the relevant roll-forward. Follow the formula to opening balances, additions, expenses, payments or other changes.
Formula: =R73-R77
Cross-sheet references identify the owning schedule. Same-sheet references identify intermediate calculations.</x:t>
        </x:r>
      </x:text>
    </x:comment>
    <x:comment ref="S78" authorId="0">
      <x:text>
        <x:r>
          <x:t>Closing short-term investments (FY:31 E).
Year-end balance from the relevant roll-forward. Follow the formula to opening balances, additions, expenses, payments or other changes.
Formula: =S73-S77
Cross-sheet references identify the owning schedule. Same-sheet references identify intermediate calculations.</x:t>
        </x:r>
      </x:text>
    </x:comment>
    <x:comment ref="C79" authorId="0">
      <x:text>
        <x:r>
          <x:t>Beginning-of-year balance. Forecast periods carry forward the prior closing balance, with FY2026 providing the first forecast opening balance.</x:t>
        </x:r>
      </x:text>
    </x:comment>
    <x:comment ref="E79" authorId="0">
      <x:text>
        <x:r>
          <x:t>Opening cash balance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79" authorId="0">
      <x:text>
        <x:r>
          <x:t>Opening cash balance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79" authorId="0">
      <x:text>
        <x:r>
          <x:t>Opening cash balance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79" authorId="0">
      <x:text>
        <x:r>
          <x:t>Opening cash balance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79" authorId="0">
      <x:text>
        <x:r>
          <x:t>Opening cash balance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79" authorId="0">
      <x:text>
        <x:r>
          <x:t>Opening cash balance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79" authorId="0">
      <x:text>
        <x:r>
          <x:t>Opening cash balance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79" authorId="0">
      <x:text>
        <x:r>
          <x:t>Opening cash balance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79" authorId="0">
      <x:text>
        <x:r>
          <x:t>Opening cash balance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79" authorId="0">
      <x:text>
        <x:r>
          <x:t>Opening cash balance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79" authorId="0">
      <x:text>
        <x:r>
          <x:t>Opening cash balance (FY:27 E).
Beginning-of-year balance. Forecast periods carry forward the prior closing balance, with FY2026 providing the first forecast opening balance.
Formula: ='Balance Sheet'!N8
Cross-sheet references identify the owning schedule. Same-sheet references identify intermediate calculations.</x:t>
        </x:r>
      </x:text>
    </x:comment>
    <x:comment ref="P79" authorId="0">
      <x:text>
        <x:r>
          <x:t>Opening cash balance (FY:28 E).
Beginning-of-year balance. Forecast periods carry forward the prior closing balance, with FY2026 providing the first forecast opening balance.
Formula: ='Balance Sheet'!O8
Cross-sheet references identify the owning schedule. Same-sheet references identify intermediate calculations.</x:t>
        </x:r>
      </x:text>
    </x:comment>
    <x:comment ref="Q79" authorId="0">
      <x:text>
        <x:r>
          <x:t>Opening cash balance (FY:29 E).
Beginning-of-year balance. Forecast periods carry forward the prior closing balance, with FY2026 providing the first forecast opening balance.
Formula: ='Balance Sheet'!P8
Cross-sheet references identify the owning schedule. Same-sheet references identify intermediate calculations.</x:t>
        </x:r>
      </x:text>
    </x:comment>
    <x:comment ref="R79" authorId="0">
      <x:text>
        <x:r>
          <x:t>Opening cash balance (FY:30 E).
Beginning-of-year balance. Forecast periods carry forward the prior closing balance, with FY2026 providing the first forecast opening balance.
Formula: ='Balance Sheet'!Q8
Cross-sheet references identify the owning schedule. Same-sheet references identify intermediate calculations.</x:t>
        </x:r>
      </x:text>
    </x:comment>
    <x:comment ref="S79" authorId="0">
      <x:text>
        <x:r>
          <x:t>Opening cash balance (FY:31 E).
Beginning-of-year balance. Forecast periods carry forward the prior closing balance, with FY2026 providing the first forecast opening balance.
Formula: ='Balance Sheet'!R8
Cross-sheet references identify the owning schedule. Same-sheet references identify intermediate calculations.</x:t>
        </x:r>
      </x:text>
    </x:comment>
    <x:comment ref="C80" authorId="0">
      <x:text>
        <x:r>
          <x:t>Year-end balance from the relevant roll-forward. Follow the formula to opening balances, additions, expenses, payments or other changes.</x:t>
        </x:r>
      </x:text>
    </x:comment>
    <x:comment ref="E80" authorId="0">
      <x:text>
        <x:r>
          <x:t>Closing cash balance (FY:17 A).
Year-end balance from the relevant roll-forward. Follow the formula to opening balances, additions, expenses, payments or other changes.
Formula: ='Historical Inputs'!E28
Cross-sheet references identify the owning schedule. Same-sheet references identify intermediate calculations.</x:t>
        </x:r>
      </x:text>
    </x:comment>
    <x:comment ref="F80" authorId="0">
      <x:text>
        <x:r>
          <x:t>Closing cash balance (FY:18 A).
Year-end balance from the relevant roll-forward. Follow the formula to opening balances, additions, expenses, payments or other changes.
Formula: ='Historical Inputs'!F28
Cross-sheet references identify the owning schedule. Same-sheet references identify intermediate calculations.</x:t>
        </x:r>
      </x:text>
    </x:comment>
    <x:comment ref="G80" authorId="0">
      <x:text>
        <x:r>
          <x:t>Closing cash balance (FY:19 A).
Year-end balance from the relevant roll-forward. Follow the formula to opening balances, additions, expenses, payments or other changes.
Formula: ='Historical Inputs'!G28
Cross-sheet references identify the owning schedule. Same-sheet references identify intermediate calculations.</x:t>
        </x:r>
      </x:text>
    </x:comment>
    <x:comment ref="H80" authorId="0">
      <x:text>
        <x:r>
          <x:t>Closing cash balance (FY:20 A).
Year-end balance from the relevant roll-forward. Follow the formula to opening balances, additions, expenses, payments or other changes.
Formula: ='Historical Inputs'!H28
Cross-sheet references identify the owning schedule. Same-sheet references identify intermediate calculations.</x:t>
        </x:r>
      </x:text>
    </x:comment>
    <x:comment ref="I80" authorId="0">
      <x:text>
        <x:r>
          <x:t>Closing cash balance (FY:21 A).
Year-end balance from the relevant roll-forward. Follow the formula to opening balances, additions, expenses, payments or other changes.
Formula: ='Historical Inputs'!I28
Cross-sheet references identify the owning schedule. Same-sheet references identify intermediate calculations.</x:t>
        </x:r>
      </x:text>
    </x:comment>
    <x:comment ref="J80" authorId="0">
      <x:text>
        <x:r>
          <x:t>Closing cash balance (FY:22 A).
Year-end balance from the relevant roll-forward. Follow the formula to opening balances, additions, expenses, payments or other changes.
Formula: ='Historical Inputs'!J28
Cross-sheet references identify the owning schedule. Same-sheet references identify intermediate calculations.</x:t>
        </x:r>
      </x:text>
    </x:comment>
    <x:comment ref="K80" authorId="0">
      <x:text>
        <x:r>
          <x:t>Closing cash balance (FY:23 A).
Year-end balance from the relevant roll-forward. Follow the formula to opening balances, additions, expenses, payments or other changes.
Formula: ='Historical Inputs'!K28
Cross-sheet references identify the owning schedule. Same-sheet references identify intermediate calculations.</x:t>
        </x:r>
      </x:text>
    </x:comment>
    <x:comment ref="L80" authorId="0">
      <x:text>
        <x:r>
          <x:t>Closing cash balance (FY:24 A).
Year-end balance from the relevant roll-forward. Follow the formula to opening balances, additions, expenses, payments or other changes.
Formula: ='Historical Inputs'!L28
Cross-sheet references identify the owning schedule. Same-sheet references identify intermediate calculations.</x:t>
        </x:r>
      </x:text>
    </x:comment>
    <x:comment ref="M80" authorId="0">
      <x:text>
        <x:r>
          <x:t>Closing cash balance (FY:25 A).
Year-end balance from the relevant roll-forward. Follow the formula to opening balances, additions, expenses, payments or other changes.
Formula: ='Historical Inputs'!M28
Cross-sheet references identify the owning schedule. Same-sheet references identify intermediate calculations.</x:t>
        </x:r>
      </x:text>
    </x:comment>
    <x:comment ref="N80" authorId="0">
      <x:text>
        <x:r>
          <x:t>Closing cash balance (FY:26 A).
Year-end balance from the relevant roll-forward. Follow the formula to opening balances, additions, expenses, payments or other changes.
Formula: ='Historical Inputs'!N28
Cross-sheet references identify the owning schedule. Same-sheet references identify intermediate calculations.</x:t>
        </x:r>
      </x:text>
    </x:comment>
    <x:comment ref="O80" authorId="0">
      <x:text>
        <x:r>
          <x:t>Closing cash balance (FY:27 E).
Year-end balance from the relevant roll-forward. Follow the formula to opening balances, additions, expenses, payments or other changes.
Formula: ='Cash Flow'!O54
Cross-sheet references identify the owning schedule. Same-sheet references identify intermediate calculations.</x:t>
        </x:r>
      </x:text>
    </x:comment>
    <x:comment ref="P80" authorId="0">
      <x:text>
        <x:r>
          <x:t>Closing cash balance (FY:28 E).
Year-end balance from the relevant roll-forward. Follow the formula to opening balances, additions, expenses, payments or other changes.
Formula: ='Cash Flow'!P54
Cross-sheet references identify the owning schedule. Same-sheet references identify intermediate calculations.</x:t>
        </x:r>
      </x:text>
    </x:comment>
    <x:comment ref="Q80" authorId="0">
      <x:text>
        <x:r>
          <x:t>Closing cash balance (FY:29 E).
Year-end balance from the relevant roll-forward. Follow the formula to opening balances, additions, expenses, payments or other changes.
Formula: ='Cash Flow'!Q54
Cross-sheet references identify the owning schedule. Same-sheet references identify intermediate calculations.</x:t>
        </x:r>
      </x:text>
    </x:comment>
    <x:comment ref="R80" authorId="0">
      <x:text>
        <x:r>
          <x:t>Closing cash balance (FY:30 E).
Year-end balance from the relevant roll-forward. Follow the formula to opening balances, additions, expenses, payments or other changes.
Formula: ='Cash Flow'!R54
Cross-sheet references identify the owning schedule. Same-sheet references identify intermediate calculations.</x:t>
        </x:r>
      </x:text>
    </x:comment>
    <x:comment ref="S80" authorId="0">
      <x:text>
        <x:r>
          <x:t>Closing cash balance (FY:31 E).
Year-end balance from the relevant roll-forward. Follow the formula to opening balances, additions, expenses, payments or other changes.
Formula: ='Cash Flow'!S54
Cross-sheet references identify the owning schedule. Same-sheet references identify intermediate calculations.</x:t>
        </x:r>
      </x:text>
    </x:comment>
    <x:comment ref="C82" authorId="0">
      <x:text>
        <x:r>
          <x:t>Beginning-of-year balance. Forecast periods carry forward the prior closing balance, with FY2026 providing the first forecast opening balance.</x:t>
        </x:r>
      </x:text>
    </x:comment>
    <x:comment ref="E82" authorId="0">
      <x:text>
        <x:r>
          <x:t>Opening equity investments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82" authorId="0">
      <x:text>
        <x:r>
          <x:t>Opening equity investments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82" authorId="0">
      <x:text>
        <x:r>
          <x:t>Opening equity investments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82" authorId="0">
      <x:text>
        <x:r>
          <x:t>Opening equity investments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82" authorId="0">
      <x:text>
        <x:r>
          <x:t>Opening equity investments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82" authorId="0">
      <x:text>
        <x:r>
          <x:t>Opening equity investments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82" authorId="0">
      <x:text>
        <x:r>
          <x:t>Opening equity investments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82" authorId="0">
      <x:text>
        <x:r>
          <x:t>Opening equity investments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82" authorId="0">
      <x:text>
        <x:r>
          <x:t>Opening equity investments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82" authorId="0">
      <x:text>
        <x:r>
          <x:t>Opening equity investments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82" authorId="0">
      <x:text>
        <x:r>
          <x:t>Opening equity investments (FY:27 E).
Beginning-of-year balance. Forecast periods carry forward the prior closing balance, with FY2026 providing the first forecast opening balance.
Formula: ='Balance Sheet'!N18
Cross-sheet references identify the owning schedule. Same-sheet references identify intermediate calculations.</x:t>
        </x:r>
      </x:text>
    </x:comment>
    <x:comment ref="P82" authorId="0">
      <x:text>
        <x:r>
          <x:t>Opening equity investments (FY:28 E).
Beginning-of-year balance. Forecast periods carry forward the prior closing balance, with FY2026 providing the first forecast opening balance.
Formula: ='Balance Sheet'!O18
Cross-sheet references identify the owning schedule. Same-sheet references identify intermediate calculations.</x:t>
        </x:r>
      </x:text>
    </x:comment>
    <x:comment ref="Q82" authorId="0">
      <x:text>
        <x:r>
          <x:t>Opening equity investments (FY:29 E).
Beginning-of-year balance. Forecast periods carry forward the prior closing balance, with FY2026 providing the first forecast opening balance.
Formula: ='Balance Sheet'!P18
Cross-sheet references identify the owning schedule. Same-sheet references identify intermediate calculations.</x:t>
        </x:r>
      </x:text>
    </x:comment>
    <x:comment ref="R82" authorId="0">
      <x:text>
        <x:r>
          <x:t>Opening equity investments (FY:30 E).
Beginning-of-year balance. Forecast periods carry forward the prior closing balance, with FY2026 providing the first forecast opening balance.
Formula: ='Balance Sheet'!Q18
Cross-sheet references identify the owning schedule. Same-sheet references identify intermediate calculations.</x:t>
        </x:r>
      </x:text>
    </x:comment>
    <x:comment ref="S82" authorId="0">
      <x:text>
        <x:r>
          <x:t>Opening equity investments (FY:31 E).
Beginning-of-year balance. Forecast periods carry forward the prior closing balance, with FY2026 providing the first forecast opening balance.
Formula: ='Balance Sheet'!R18
Cross-sheet references identify the owning schedule. Same-sheet references identify intermediate calculations.</x:t>
        </x:r>
      </x:text>
    </x:comment>
    <x:comment ref="C83" authorId="0">
      <x:text>
        <x:r>
          <x:t>Cash balance or signed cash flow as named in the row. Positive cash-flow amounts are inflows and negative amounts are outflows. Follow the formula or source reference below for the classification.</x:t>
        </x:r>
      </x:text>
    </x:comment>
    <x:comment ref="E83" authorId="0">
      <x:text>
        <x:r>
          <x:t>Cash purchases of equity investments (FY:17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F83" authorId="0">
      <x:text>
        <x:r>
          <x:t>Cash purchases of equity investments (FY:18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G83" authorId="0">
      <x:text>
        <x:r>
          <x:t>Cash purchases of equity investments (FY:19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H83" authorId="0">
      <x:text>
        <x:r>
          <x:t>Cash purchases of equity investments (FY:20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I83" authorId="0">
      <x:text>
        <x:r>
          <x:t>Cash purchases of equity investments (FY:21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J83" authorId="0">
      <x:text>
        <x:r>
          <x:t>Cash purchases of equity investments (FY:22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K83" authorId="0">
      <x:text>
        <x:r>
          <x:t>Cash purchases of equity investments (FY:23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L83" authorId="0">
      <x:text>
        <x:r>
          <x:t>Cash purchases of equity investments (FY:24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M83" authorId="0">
      <x:text>
        <x:r>
          <x:t>Cash purchases of equity investments (FY:25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N83" authorId="0">
      <x:text>
        <x:r>
          <x:t>Cash purchases of equity investments (FY:26 A).
Cash balance or signed cash flow as named in the row. Positive cash-flow amounts are inflows and negative amounts are outflows. Follow the formula or source reference below for the classification. This period is unavailable or not applicable. Do not interpret it as zero.
Stored input or primary source observation. It is not calculated in this cell.</x:t>
        </x:r>
      </x:text>
    </x:comment>
    <x:comment ref="O83" authorId="0">
      <x:text>
        <x:r>
          <x:t>Cash purchases of equity investments (FY:27 E).
Cash balance or signed cash flow as named in the row. Positive cash-flow amounts are inflows and negative amounts are outflows. Follow the formula or source reference below for the classification.
Formula: ='Income Statement'!O8*'Assumptions'!O169
Cross-sheet references identify the owning schedule. Same-sheet references identify intermediate calculations.</x:t>
        </x:r>
      </x:text>
    </x:comment>
    <x:comment ref="P83" authorId="0">
      <x:text>
        <x:r>
          <x:t>Cash purchases of equity investments (FY:28 E).
Cash balance or signed cash flow as named in the row. Positive cash-flow amounts are inflows and negative amounts are outflows. Follow the formula or source reference below for the classification.
Formula: ='Income Statement'!P8*'Assumptions'!P169
Cross-sheet references identify the owning schedule. Same-sheet references identify intermediate calculations.</x:t>
        </x:r>
      </x:text>
    </x:comment>
    <x:comment ref="Q83" authorId="0">
      <x:text>
        <x:r>
          <x:t>Cash purchases of equity investments (FY:29 E).
Cash balance or signed cash flow as named in the row. Positive cash-flow amounts are inflows and negative amounts are outflows. Follow the formula or source reference below for the classification.
Formula: ='Income Statement'!Q8*'Assumptions'!Q169
Cross-sheet references identify the owning schedule. Same-sheet references identify intermediate calculations.</x:t>
        </x:r>
      </x:text>
    </x:comment>
    <x:comment ref="R83" authorId="0">
      <x:text>
        <x:r>
          <x:t>Cash purchases of equity investments (FY:30 E).
Cash balance or signed cash flow as named in the row. Positive cash-flow amounts are inflows and negative amounts are outflows. Follow the formula or source reference below for the classification.
Formula: ='Income Statement'!R8*'Assumptions'!R169
Cross-sheet references identify the owning schedule. Same-sheet references identify intermediate calculations.</x:t>
        </x:r>
      </x:text>
    </x:comment>
    <x:comment ref="S83" authorId="0">
      <x:text>
        <x:r>
          <x:t>Cash purchases of equity investments (FY:31 E).
Cash balance or signed cash flow as named in the row. Positive cash-flow amounts are inflows and negative amounts are outflows. Follow the formula or source reference below for the classification.
Formula: ='Income Statement'!S8*'Assumptions'!S169
Cross-sheet references identify the owning schedule. Same-sheet references identify intermediate calculations.</x:t>
        </x:r>
      </x:text>
    </x:comment>
    <x:comment ref="C84" authorId="0">
      <x:text>
        <x:r>
          <x:t>Year-end balance from the relevant roll-forward. Follow the formula to opening balances, additions, expenses, payments or other changes.</x:t>
        </x:r>
      </x:text>
    </x:comment>
    <x:comment ref="E84" authorId="0">
      <x:text>
        <x:r>
          <x:t>Closing equity investments (FY:17 A).
Year-end balance from the relevant roll-forward. Follow the formula to opening balances, additions, expenses, payments or other changes.
Formula: ='Historical Inputs'!E37
Cross-sheet references identify the owning schedule. Same-sheet references identify intermediate calculations.</x:t>
        </x:r>
      </x:text>
    </x:comment>
    <x:comment ref="F84" authorId="0">
      <x:text>
        <x:r>
          <x:t>Closing equity investments (FY:18 A).
Year-end balance from the relevant roll-forward. Follow the formula to opening balances, additions, expenses, payments or other changes.
Formula: ='Historical Inputs'!F37
Cross-sheet references identify the owning schedule. Same-sheet references identify intermediate calculations.</x:t>
        </x:r>
      </x:text>
    </x:comment>
    <x:comment ref="G84" authorId="0">
      <x:text>
        <x:r>
          <x:t>Closing equity investments (FY:19 A).
Year-end balance from the relevant roll-forward. Follow the formula to opening balances, additions, expenses, payments or other changes.
Formula: ='Historical Inputs'!G37
Cross-sheet references identify the owning schedule. Same-sheet references identify intermediate calculations.</x:t>
        </x:r>
      </x:text>
    </x:comment>
    <x:comment ref="H84" authorId="0">
      <x:text>
        <x:r>
          <x:t>Closing equity investments (FY:20 A).
Year-end balance from the relevant roll-forward. Follow the formula to opening balances, additions, expenses, payments or other changes.
Formula: ='Historical Inputs'!H37
Cross-sheet references identify the owning schedule. Same-sheet references identify intermediate calculations.</x:t>
        </x:r>
      </x:text>
    </x:comment>
    <x:comment ref="I84" authorId="0">
      <x:text>
        <x:r>
          <x:t>Closing equity investments (FY:21 A).
Year-end balance from the relevant roll-forward. Follow the formula to opening balances, additions, expenses, payments or other changes.
Formula: ='Historical Inputs'!I37
Cross-sheet references identify the owning schedule. Same-sheet references identify intermediate calculations.</x:t>
        </x:r>
      </x:text>
    </x:comment>
    <x:comment ref="J84" authorId="0">
      <x:text>
        <x:r>
          <x:t>Closing equity investments (FY:22 A).
Year-end balance from the relevant roll-forward. Follow the formula to opening balances, additions, expenses, payments or other changes.
Formula: ='Historical Inputs'!J37
Cross-sheet references identify the owning schedule. Same-sheet references identify intermediate calculations.</x:t>
        </x:r>
      </x:text>
    </x:comment>
    <x:comment ref="K84" authorId="0">
      <x:text>
        <x:r>
          <x:t>Closing equity investments (FY:23 A).
Year-end balance from the relevant roll-forward. Follow the formula to opening balances, additions, expenses, payments or other changes.
Formula: ='Historical Inputs'!K37
Cross-sheet references identify the owning schedule. Same-sheet references identify intermediate calculations.</x:t>
        </x:r>
      </x:text>
    </x:comment>
    <x:comment ref="L84" authorId="0">
      <x:text>
        <x:r>
          <x:t>Closing equity investments (FY:24 A).
Year-end balance from the relevant roll-forward. Follow the formula to opening balances, additions, expenses, payments or other changes.
Formula: ='Historical Inputs'!L37
Cross-sheet references identify the owning schedule. Same-sheet references identify intermediate calculations.</x:t>
        </x:r>
      </x:text>
    </x:comment>
    <x:comment ref="M84" authorId="0">
      <x:text>
        <x:r>
          <x:t>Closing equity investments (FY:25 A).
Year-end balance from the relevant roll-forward. Follow the formula to opening balances, additions, expenses, payments or other changes.
Formula: ='Historical Inputs'!M37
Cross-sheet references identify the owning schedule. Same-sheet references identify intermediate calculations.</x:t>
        </x:r>
      </x:text>
    </x:comment>
    <x:comment ref="N84" authorId="0">
      <x:text>
        <x:r>
          <x:t>Closing equity investments (FY:26 A).
Year-end balance from the relevant roll-forward. Follow the formula to opening balances, additions, expenses, payments or other changes.
Formula: ='Historical Inputs'!N37
Cross-sheet references identify the owning schedule. Same-sheet references identify intermediate calculations.</x:t>
        </x:r>
      </x:text>
    </x:comment>
    <x:comment ref="O84" authorId="0">
      <x:text>
        <x:r>
          <x:t>Closing equity investments (FY:27 E).
Year-end balance from the relevant roll-forward. Follow the formula to opening balances, additions, expenses, payments or other changes.
Formula: =O82+O83
Cross-sheet references identify the owning schedule. Same-sheet references identify intermediate calculations.</x:t>
        </x:r>
      </x:text>
    </x:comment>
    <x:comment ref="P84" authorId="0">
      <x:text>
        <x:r>
          <x:t>Closing equity investments (FY:28 E).
Year-end balance from the relevant roll-forward. Follow the formula to opening balances, additions, expenses, payments or other changes.
Formula: =P82+P83
Cross-sheet references identify the owning schedule. Same-sheet references identify intermediate calculations.</x:t>
        </x:r>
      </x:text>
    </x:comment>
    <x:comment ref="Q84" authorId="0">
      <x:text>
        <x:r>
          <x:t>Closing equity investments (FY:29 E).
Year-end balance from the relevant roll-forward. Follow the formula to opening balances, additions, expenses, payments or other changes.
Formula: =Q82+Q83
Cross-sheet references identify the owning schedule. Same-sheet references identify intermediate calculations.</x:t>
        </x:r>
      </x:text>
    </x:comment>
    <x:comment ref="R84" authorId="0">
      <x:text>
        <x:r>
          <x:t>Closing equity investments (FY:30 E).
Year-end balance from the relevant roll-forward. Follow the formula to opening balances, additions, expenses, payments or other changes.
Formula: =R82+R83
Cross-sheet references identify the owning schedule. Same-sheet references identify intermediate calculations.</x:t>
        </x:r>
      </x:text>
    </x:comment>
    <x:comment ref="S84" authorId="0">
      <x:text>
        <x:r>
          <x:t>Closing equity investments (FY:31 E).
Year-end balance from the relevant roll-forward. Follow the formula to opening balances, additions, expenses, payments or other changes.
Formula: =S82+S83
Cross-sheet references identify the owning schedule. Same-sheet references identify intermediate calculations.</x:t>
        </x:r>
      </x:text>
    </x:comment>
    <x:comment ref="C116" authorId="0">
      <x:text>
        <x:r>
          <x:t>Live analytical observation. This formula reads the existing statement or schedule and updates with the selected case. ="FY2031 debt face value: "&amp;FIXED(S12/1000,1,TRUE)&amp;"bn; carrying amount: "&amp;FIXED(S18/1000,1,TRUE)&amp;"bn."</x:t>
        </x:r>
      </x:text>
    </x:comment>
    <x:comment ref="C117" authorId="0">
      <x:text>
        <x:r>
          <x:t>Live analytical observation. This formula reads the existing statement or schedule and updates with the selected case. ="FY2031 finance lease liabilities: "&amp;FIXED(S42/1000,1,TRUE)&amp;"bn; operating lease liabilities: "&amp;FIXED(S63/1000,1,TRUE)&amp;"bn."</x:t>
        </x:r>
      </x:text>
    </x:comment>
    <x:comment ref="C118" authorId="0">
      <x:text>
        <x:r>
          <x:t>Live analytical observation. This formula reads the existing statement or schedule and updates with the selected case. ="FY2031 liquidity borrowing: "&amp;FIXED(S11/1000,1,TRUE)&amp;"bn. The funding sequence uses eligible investment reserves first."</x:t>
        </x:r>
      </x:text>
    </x:comment>
    <x:comment ref="C142" authorId="0">
      <x:text>
        <x:r>
          <x:t>Debt and lease obligations (USD billions). Formula-linked chart data. A means actual and E means the active-case estimate. Unavailable historical observations remain blank.</x:t>
        </x:r>
      </x:text>
    </x:comment>
    <x:comment ref="C161" authorId="0">
      <x:text>
        <x:r>
          <x:t>Liquid assets (USD billions). Formula-linked chart data. A means actual and E means the active-case estimate. Unavailable historical observations remain blank.</x:t>
        </x:r>
      </x:text>
    </x:comment>
  </x:commentList>
</x:comments>
</file>

<file path=xl/comments15.xml><?xml version="1.0" encoding="utf-8"?>
<x:comments xmlns:x="http://schemas.openxmlformats.org/spreadsheetml/2006/main">
  <x:authors>
    <x:author>Goran Brkich</x:author>
  </x:authors>
  <x:commentList>
    <x:comment ref="C2" authorId="0">
      <x:text>
        <x:r>
          <x:t>Tax and Equity.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Income before taxes. This line belongs to the Tax and Equity calculation. Read its formula to trace the referenced inputs and intermediate totals.</x:t>
        </x:r>
      </x:text>
    </x:comment>
    <x:comment ref="E8" authorId="0">
      <x:text>
        <x:r>
          <x:t>Income before taxes (FY:17 A).
Income before taxes. This line belongs to the Tax and Equity calculation. Read its formula to trace the referenced inputs and intermediate totals.
Formula: ='Income Statement'!E23
Cross-sheet references identify the owning schedule. Same-sheet references identify intermediate calculations.</x:t>
        </x:r>
      </x:text>
    </x:comment>
    <x:comment ref="F8" authorId="0">
      <x:text>
        <x:r>
          <x:t>Income before taxes (FY:18 A).
Income before taxes. This line belongs to the Tax and Equity calculation. Read its formula to trace the referenced inputs and intermediate totals.
Formula: ='Income Statement'!F23
Cross-sheet references identify the owning schedule. Same-sheet references identify intermediate calculations.</x:t>
        </x:r>
      </x:text>
    </x:comment>
    <x:comment ref="G8" authorId="0">
      <x:text>
        <x:r>
          <x:t>Income before taxes (FY:19 A).
Income before taxes. This line belongs to the Tax and Equity calculation. Read its formula to trace the referenced inputs and intermediate totals.
Formula: ='Income Statement'!G23
Cross-sheet references identify the owning schedule. Same-sheet references identify intermediate calculations.</x:t>
        </x:r>
      </x:text>
    </x:comment>
    <x:comment ref="H8" authorId="0">
      <x:text>
        <x:r>
          <x:t>Income before taxes (FY:20 A).
Income before taxes. This line belongs to the Tax and Equity calculation. Read its formula to trace the referenced inputs and intermediate totals.
Formula: ='Income Statement'!H23
Cross-sheet references identify the owning schedule. Same-sheet references identify intermediate calculations.</x:t>
        </x:r>
      </x:text>
    </x:comment>
    <x:comment ref="I8" authorId="0">
      <x:text>
        <x:r>
          <x:t>Income before taxes (FY:21 A).
Income before taxes. This line belongs to the Tax and Equity calculation. Read its formula to trace the referenced inputs and intermediate totals.
Formula: ='Income Statement'!I23
Cross-sheet references identify the owning schedule. Same-sheet references identify intermediate calculations.</x:t>
        </x:r>
      </x:text>
    </x:comment>
    <x:comment ref="J8" authorId="0">
      <x:text>
        <x:r>
          <x:t>Income before taxes (FY:22 A).
Income before taxes. This line belongs to the Tax and Equity calculation. Read its formula to trace the referenced inputs and intermediate totals.
Formula: ='Income Statement'!J23
Cross-sheet references identify the owning schedule. Same-sheet references identify intermediate calculations.</x:t>
        </x:r>
      </x:text>
    </x:comment>
    <x:comment ref="K8" authorId="0">
      <x:text>
        <x:r>
          <x:t>Income before taxes (FY:23 A).
Income before taxes. This line belongs to the Tax and Equity calculation. Read its formula to trace the referenced inputs and intermediate totals.
Formula: ='Income Statement'!K23
Cross-sheet references identify the owning schedule. Same-sheet references identify intermediate calculations.</x:t>
        </x:r>
      </x:text>
    </x:comment>
    <x:comment ref="L8" authorId="0">
      <x:text>
        <x:r>
          <x:t>Income before taxes (FY:24 A).
Income before taxes. This line belongs to the Tax and Equity calculation. Read its formula to trace the referenced inputs and intermediate totals.
Formula: ='Income Statement'!L23
Cross-sheet references identify the owning schedule. Same-sheet references identify intermediate calculations.</x:t>
        </x:r>
      </x:text>
    </x:comment>
    <x:comment ref="M8" authorId="0">
      <x:text>
        <x:r>
          <x:t>Income before taxes (FY:25 A).
Income before taxes. This line belongs to the Tax and Equity calculation. Read its formula to trace the referenced inputs and intermediate totals.
Formula: ='Income Statement'!M23
Cross-sheet references identify the owning schedule. Same-sheet references identify intermediate calculations.</x:t>
        </x:r>
      </x:text>
    </x:comment>
    <x:comment ref="N8" authorId="0">
      <x:text>
        <x:r>
          <x:t>Income before taxes (FY:26 A).
Income before taxes. This line belongs to the Tax and Equity calculation. Read its formula to trace the referenced inputs and intermediate totals.
Formula: ='Income Statement'!N23
Cross-sheet references identify the owning schedule. Same-sheet references identify intermediate calculations.</x:t>
        </x:r>
      </x:text>
    </x:comment>
    <x:comment ref="O8" authorId="0">
      <x:text>
        <x:r>
          <x:t>Income before taxes (FY:27 E).
Income before taxes. This line belongs to the Tax and Equity calculation. Read its formula to trace the referenced inputs and intermediate totals.
Formula: ='Income Statement'!O23
Cross-sheet references identify the owning schedule. Same-sheet references identify intermediate calculations.</x:t>
        </x:r>
      </x:text>
    </x:comment>
    <x:comment ref="P8" authorId="0">
      <x:text>
        <x:r>
          <x:t>Income before taxes (FY:28 E).
Income before taxes. This line belongs to the Tax and Equity calculation. Read its formula to trace the referenced inputs and intermediate totals.
Formula: ='Income Statement'!P23
Cross-sheet references identify the owning schedule. Same-sheet references identify intermediate calculations.</x:t>
        </x:r>
      </x:text>
    </x:comment>
    <x:comment ref="Q8" authorId="0">
      <x:text>
        <x:r>
          <x:t>Income before taxes (FY:29 E).
Income before taxes. This line belongs to the Tax and Equity calculation. Read its formula to trace the referenced inputs and intermediate totals.
Formula: ='Income Statement'!Q23
Cross-sheet references identify the owning schedule. Same-sheet references identify intermediate calculations.</x:t>
        </x:r>
      </x:text>
    </x:comment>
    <x:comment ref="R8" authorId="0">
      <x:text>
        <x:r>
          <x:t>Income before taxes (FY:30 E).
Income before taxes. This line belongs to the Tax and Equity calculation. Read its formula to trace the referenced inputs and intermediate totals.
Formula: ='Income Statement'!R23
Cross-sheet references identify the owning schedule. Same-sheet references identify intermediate calculations.</x:t>
        </x:r>
      </x:text>
    </x:comment>
    <x:comment ref="S8" authorId="0">
      <x:text>
        <x:r>
          <x:t>Income before taxes (FY:31 E).
Income before taxes. This line belongs to the Tax and Equity calculation. Read its formula to trace the referenced inputs and intermediate totals.
Formula: ='Income Statement'!S23
Cross-sheet references identify the owning schedule. Same-sheet references identify intermediate calculations.</x:t>
        </x:r>
      </x:text>
    </x:comment>
    <x:comment ref="C9" authorId="0">
      <x:text>
        <x:r>
          <x:t>Income tax expense divided by income before tax for the same period. The forecast is a planning assumption, not statutory tax advice.</x:t>
        </x:r>
      </x:text>
    </x:comment>
    <x:comment ref="E9" authorId="0">
      <x:text>
        <x:r>
          <x:t>Effective tax rate (FY:17 A).
Income tax expense divided by income before tax for the same period. The forecast is a planning assumption, not statutory tax advice.
Formula: =E10/E8
Cross-sheet references identify the owning schedule. Same-sheet references identify intermediate calculations.</x:t>
        </x:r>
      </x:text>
    </x:comment>
    <x:comment ref="F9" authorId="0">
      <x:text>
        <x:r>
          <x:t>Effective tax rate (FY:18 A).
Income tax expense divided by income before tax for the same period. The forecast is a planning assumption, not statutory tax advice.
Formula: =F10/F8
Cross-sheet references identify the owning schedule. Same-sheet references identify intermediate calculations.</x:t>
        </x:r>
      </x:text>
    </x:comment>
    <x:comment ref="G9" authorId="0">
      <x:text>
        <x:r>
          <x:t>Effective tax rate (FY:19 A).
Income tax expense divided by income before tax for the same period. The forecast is a planning assumption, not statutory tax advice.
Formula: =G10/G8
Cross-sheet references identify the owning schedule. Same-sheet references identify intermediate calculations.</x:t>
        </x:r>
      </x:text>
    </x:comment>
    <x:comment ref="H9" authorId="0">
      <x:text>
        <x:r>
          <x:t>Effective tax rate (FY:20 A).
Income tax expense divided by income before tax for the same period. The forecast is a planning assumption, not statutory tax advice.
Formula: =H10/H8
Cross-sheet references identify the owning schedule. Same-sheet references identify intermediate calculations.</x:t>
        </x:r>
      </x:text>
    </x:comment>
    <x:comment ref="I9" authorId="0">
      <x:text>
        <x:r>
          <x:t>Effective tax rate (FY:21 A).
Income tax expense divided by income before tax for the same period. The forecast is a planning assumption, not statutory tax advice.
Formula: =I10/I8
Cross-sheet references identify the owning schedule. Same-sheet references identify intermediate calculations.</x:t>
        </x:r>
      </x:text>
    </x:comment>
    <x:comment ref="J9" authorId="0">
      <x:text>
        <x:r>
          <x:t>Effective tax rate (FY:22 A).
Income tax expense divided by income before tax for the same period. The forecast is a planning assumption, not statutory tax advice.
Formula: =J10/J8
Cross-sheet references identify the owning schedule. Same-sheet references identify intermediate calculations.</x:t>
        </x:r>
      </x:text>
    </x:comment>
    <x:comment ref="K9" authorId="0">
      <x:text>
        <x:r>
          <x:t>Effective tax rate (FY:23 A).
Income tax expense divided by income before tax for the same period. The forecast is a planning assumption, not statutory tax advice.
Formula: =K10/K8
Cross-sheet references identify the owning schedule. Same-sheet references identify intermediate calculations.</x:t>
        </x:r>
      </x:text>
    </x:comment>
    <x:comment ref="L9" authorId="0">
      <x:text>
        <x:r>
          <x:t>Effective tax rate (FY:24 A).
Income tax expense divided by income before tax for the same period. The forecast is a planning assumption, not statutory tax advice.
Formula: =L10/L8
Cross-sheet references identify the owning schedule. Same-sheet references identify intermediate calculations.</x:t>
        </x:r>
      </x:text>
    </x:comment>
    <x:comment ref="M9" authorId="0">
      <x:text>
        <x:r>
          <x:t>Effective tax rate (FY:25 A).
Income tax expense divided by income before tax for the same period. The forecast is a planning assumption, not statutory tax advice.
Formula: =M10/M8
Cross-sheet references identify the owning schedule. Same-sheet references identify intermediate calculations.</x:t>
        </x:r>
      </x:text>
    </x:comment>
    <x:comment ref="N9" authorId="0">
      <x:text>
        <x:r>
          <x:t>Effective tax rate (FY:26 A).
Income tax expense divided by income before tax for the same period. The forecast is a planning assumption, not statutory tax advice.
Formula: =N10/N8
Cross-sheet references identify the owning schedule. Same-sheet references identify intermediate calculations.</x:t>
        </x:r>
      </x:text>
    </x:comment>
    <x:comment ref="O9" authorId="0">
      <x:text>
        <x:r>
          <x:t>Effective tax rate (FY:27 E).
Income tax expense divided by income before tax for the same period. The forecast is a planning assumption, not statutory tax advice.
Formula: ='Assumptions'!O189
Cross-sheet references identify the owning schedule. Same-sheet references identify intermediate calculations.</x:t>
        </x:r>
      </x:text>
    </x:comment>
    <x:comment ref="P9" authorId="0">
      <x:text>
        <x:r>
          <x:t>Effective tax rate (FY:28 E).
Income tax expense divided by income before tax for the same period. The forecast is a planning assumption, not statutory tax advice.
Formula: ='Assumptions'!P189
Cross-sheet references identify the owning schedule. Same-sheet references identify intermediate calculations.</x:t>
        </x:r>
      </x:text>
    </x:comment>
    <x:comment ref="Q9" authorId="0">
      <x:text>
        <x:r>
          <x:t>Effective tax rate (FY:29 E).
Income tax expense divided by income before tax for the same period. The forecast is a planning assumption, not statutory tax advice.
Formula: ='Assumptions'!Q189
Cross-sheet references identify the owning schedule. Same-sheet references identify intermediate calculations.</x:t>
        </x:r>
      </x:text>
    </x:comment>
    <x:comment ref="R9" authorId="0">
      <x:text>
        <x:r>
          <x:t>Effective tax rate (FY:30 E).
Income tax expense divided by income before tax for the same period. The forecast is a planning assumption, not statutory tax advice.
Formula: ='Assumptions'!R189
Cross-sheet references identify the owning schedule. Same-sheet references identify intermediate calculations.</x:t>
        </x:r>
      </x:text>
    </x:comment>
    <x:comment ref="S9" authorId="0">
      <x:text>
        <x:r>
          <x:t>Effective tax rate (FY:31 E).
Income tax expense divided by income before tax for the same period. The forecast is a planning assumption, not statutory tax advice.
Formula: ='Assumptions'!S189
Cross-sheet references identify the owning schedule. Same-sheet references identify intermediate calculations.</x:t>
        </x:r>
      </x:text>
    </x:comment>
    <x:comment ref="C10" authorId="0">
      <x:text>
        <x:r>
          <x:t>Historical reported tax expense. Forecast income before taxes multiplied by the effective tax-rate assumption.</x:t>
        </x:r>
      </x:text>
    </x:comment>
    <x:comment ref="E10" authorId="0">
      <x:text>
        <x:r>
          <x:t>Income tax expense (FY:17 A).
Historical reported tax expense. Forecast income before taxes multiplied by the effective tax-rate assumption.
Formula: ='Historical Inputs'!E18
Cross-sheet references identify the owning schedule. Same-sheet references identify intermediate calculations.</x:t>
        </x:r>
      </x:text>
    </x:comment>
    <x:comment ref="F10" authorId="0">
      <x:text>
        <x:r>
          <x:t>Income tax expense (FY:18 A).
Historical reported tax expense. Forecast income before taxes multiplied by the effective tax-rate assumption.
Formula: ='Historical Inputs'!F18
Cross-sheet references identify the owning schedule. Same-sheet references identify intermediate calculations.</x:t>
        </x:r>
      </x:text>
    </x:comment>
    <x:comment ref="G10" authorId="0">
      <x:text>
        <x:r>
          <x:t>Income tax expense (FY:19 A).
Historical reported tax expense. Forecast income before taxes multiplied by the effective tax-rate assumption.
Formula: ='Historical Inputs'!G18
Cross-sheet references identify the owning schedule. Same-sheet references identify intermediate calculations.</x:t>
        </x:r>
      </x:text>
    </x:comment>
    <x:comment ref="H10" authorId="0">
      <x:text>
        <x:r>
          <x:t>Income tax expense (FY:20 A).
Historical reported tax expense. Forecast income before taxes multiplied by the effective tax-rate assumption.
Formula: ='Historical Inputs'!H18
Cross-sheet references identify the owning schedule. Same-sheet references identify intermediate calculations.</x:t>
        </x:r>
      </x:text>
    </x:comment>
    <x:comment ref="I10" authorId="0">
      <x:text>
        <x:r>
          <x:t>Income tax expense (FY:21 A).
Historical reported tax expense. Forecast income before taxes multiplied by the effective tax-rate assumption.
Formula: ='Historical Inputs'!I18
Cross-sheet references identify the owning schedule. Same-sheet references identify intermediate calculations.</x:t>
        </x:r>
      </x:text>
    </x:comment>
    <x:comment ref="J10" authorId="0">
      <x:text>
        <x:r>
          <x:t>Income tax expense (FY:22 A).
Historical reported tax expense. Forecast income before taxes multiplied by the effective tax-rate assumption.
Formula: ='Historical Inputs'!J18
Cross-sheet references identify the owning schedule. Same-sheet references identify intermediate calculations.</x:t>
        </x:r>
      </x:text>
    </x:comment>
    <x:comment ref="K10" authorId="0">
      <x:text>
        <x:r>
          <x:t>Income tax expense (FY:23 A).
Historical reported tax expense. Forecast income before taxes multiplied by the effective tax-rate assumption.
Formula: ='Historical Inputs'!K18
Cross-sheet references identify the owning schedule. Same-sheet references identify intermediate calculations.</x:t>
        </x:r>
      </x:text>
    </x:comment>
    <x:comment ref="L10" authorId="0">
      <x:text>
        <x:r>
          <x:t>Income tax expense (FY:24 A).
Historical reported tax expense. Forecast income before taxes multiplied by the effective tax-rate assumption.
Formula: ='Historical Inputs'!L18
Cross-sheet references identify the owning schedule. Same-sheet references identify intermediate calculations.</x:t>
        </x:r>
      </x:text>
    </x:comment>
    <x:comment ref="M10" authorId="0">
      <x:text>
        <x:r>
          <x:t>Income tax expense (FY:25 A).
Historical reported tax expense. Forecast income before taxes multiplied by the effective tax-rate assumption.
Formula: ='Historical Inputs'!M18
Cross-sheet references identify the owning schedule. Same-sheet references identify intermediate calculations.</x:t>
        </x:r>
      </x:text>
    </x:comment>
    <x:comment ref="N10" authorId="0">
      <x:text>
        <x:r>
          <x:t>Income tax expense (FY:26 A).
Historical reported tax expense. Forecast income before taxes multiplied by the effective tax-rate assumption.
Formula: ='Historical Inputs'!N18
Cross-sheet references identify the owning schedule. Same-sheet references identify intermediate calculations.</x:t>
        </x:r>
      </x:text>
    </x:comment>
    <x:comment ref="O10" authorId="0">
      <x:text>
        <x:r>
          <x:t>Income tax expense (FY:27 E).
Historical reported tax expense. Forecast income before taxes multiplied by the effective tax-rate assumption.
Formula: =O8*O9
Cross-sheet references identify the owning schedule. Same-sheet references identify intermediate calculations.</x:t>
        </x:r>
      </x:text>
    </x:comment>
    <x:comment ref="P10" authorId="0">
      <x:text>
        <x:r>
          <x:t>Income tax expense (FY:28 E).
Historical reported tax expense. Forecast income before taxes multiplied by the effective tax-rate assumption.
Formula: =P8*P9
Cross-sheet references identify the owning schedule. Same-sheet references identify intermediate calculations.</x:t>
        </x:r>
      </x:text>
    </x:comment>
    <x:comment ref="Q10" authorId="0">
      <x:text>
        <x:r>
          <x:t>Income tax expense (FY:29 E).
Historical reported tax expense. Forecast income before taxes multiplied by the effective tax-rate assumption.
Formula: =Q8*Q9
Cross-sheet references identify the owning schedule. Same-sheet references identify intermediate calculations.</x:t>
        </x:r>
      </x:text>
    </x:comment>
    <x:comment ref="R10" authorId="0">
      <x:text>
        <x:r>
          <x:t>Income tax expense (FY:30 E).
Historical reported tax expense. Forecast income before taxes multiplied by the effective tax-rate assumption.
Formula: =R8*R9
Cross-sheet references identify the owning schedule. Same-sheet references identify intermediate calculations.</x:t>
        </x:r>
      </x:text>
    </x:comment>
    <x:comment ref="S10" authorId="0">
      <x:text>
        <x:r>
          <x:t>Income tax expense (FY:31 E).
Historical reported tax expense. Forecast income before taxes multiplied by the effective tax-rate assumption.
Formula: =S8*S9
Cross-sheet references identify the owning schedule. Same-sheet references identify intermediate calculations.</x:t>
        </x:r>
      </x:text>
    </x:comment>
    <x:comment ref="C11" authorId="0">
      <x:text>
        <x:r>
          <x:t>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x:t>
        </x:r>
      </x:text>
    </x:comment>
    <x:comment ref="E11" authorId="0">
      <x:text>
        <x:r>
          <x:t>Change in deferred tax liabilities (FY:17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F11" authorId="0">
      <x:text>
        <x:r>
          <x:t>Change in deferred tax liabilities (FY:18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G11" authorId="0">
      <x:text>
        <x:r>
          <x:t>Change in deferred tax liabilities (FY:19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H11" authorId="0">
      <x:text>
        <x:r>
          <x:t>Change in deferred tax liabilities (FY:20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I11" authorId="0">
      <x:text>
        <x:r>
          <x:t>Change in deferred tax liabilities (FY:21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J11" authorId="0">
      <x:text>
        <x:r>
          <x:t>Change in deferred tax liabilities (FY:22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K11" authorId="0">
      <x:text>
        <x:r>
          <x:t>Change in deferred tax liabilities (FY:23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L11" authorId="0">
      <x:text>
        <x:r>
          <x:t>Change in deferred tax liabilities (FY:24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M11" authorId="0">
      <x:text>
        <x:r>
          <x:t>Change in deferred tax liabilities (FY:25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N11" authorId="0">
      <x:text>
        <x:r>
          <x:t>Change in deferred tax liabilities (FY:26 A).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This period is unavailable or not applicable. Do not interpret it as zero.
Stored input or primary source observation. It is not calculated in this cell.</x:t>
        </x:r>
      </x:text>
    </x:comment>
    <x:comment ref="O11" authorId="0">
      <x:text>
        <x:r>
          <x:t>Change in deferred tax liabilities (FY:27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Capital'!O27-'Balance Sheet'!N37
Cross-sheet references identify the owning schedule. Same-sheet references identify intermediate calculations.</x:t>
        </x:r>
      </x:text>
    </x:comment>
    <x:comment ref="P11" authorId="0">
      <x:text>
        <x:r>
          <x:t>Change in deferred tax liabilities (FY:28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Capital'!P27-'Balance Sheet'!O37
Cross-sheet references identify the owning schedule. Same-sheet references identify intermediate calculations.</x:t>
        </x:r>
      </x:text>
    </x:comment>
    <x:comment ref="Q11" authorId="0">
      <x:text>
        <x:r>
          <x:t>Change in deferred tax liabilities (FY:29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Capital'!Q27-'Balance Sheet'!P37
Cross-sheet references identify the owning schedule. Same-sheet references identify intermediate calculations.</x:t>
        </x:r>
      </x:text>
    </x:comment>
    <x:comment ref="R11" authorId="0">
      <x:text>
        <x:r>
          <x:t>Change in deferred tax liabilities (FY:30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Capital'!R27-'Balance Sheet'!Q37
Cross-sheet references identify the owning schedule. Same-sheet references identify intermediate calculations.</x:t>
        </x:r>
      </x:text>
    </x:comment>
    <x:comment ref="S11" authorId="0">
      <x:text>
        <x:r>
          <x:t>Change in deferred tax liabilities (FY:31 E).
Signed operating cash adjustment. An increase in an operating asset consumes cash; an increase in an operating liability provides cash. Forecasts use the balance changes shown in the referenced schedule. Historical reported changes can include acquisition, FX and classification effects.
Formula: ='Working Capital'!S27-'Balance Sheet'!R37
Cross-sheet references identify the owning schedule. Same-sheet references identify intermediate calculations.</x:t>
        </x:r>
      </x:text>
    </x:comment>
    <x:comment ref="C14" authorId="0">
      <x:text>
        <x:r>
          <x:t>Income before taxes less income tax expense. It includes noncash items, so it differs from operating cash flow.</x:t>
        </x:r>
      </x:text>
    </x:comment>
    <x:comment ref="E14" authorId="0">
      <x:text>
        <x:r>
          <x:t>Net income (FY:17 A).
Income before taxes less income tax expense. It includes noncash items, so it differs from operating cash flow.
Formula: ='Historical Inputs'!E19
Cross-sheet references identify the owning schedule. Same-sheet references identify intermediate calculations.</x:t>
        </x:r>
      </x:text>
    </x:comment>
    <x:comment ref="F14" authorId="0">
      <x:text>
        <x:r>
          <x:t>Net income (FY:18 A).
Income before taxes less income tax expense. It includes noncash items, so it differs from operating cash flow.
Formula: ='Historical Inputs'!F19
Cross-sheet references identify the owning schedule. Same-sheet references identify intermediate calculations.</x:t>
        </x:r>
      </x:text>
    </x:comment>
    <x:comment ref="G14" authorId="0">
      <x:text>
        <x:r>
          <x:t>Net income (FY:19 A).
Income before taxes less income tax expense. It includes noncash items, so it differs from operating cash flow.
Formula: ='Historical Inputs'!G19
Cross-sheet references identify the owning schedule. Same-sheet references identify intermediate calculations.</x:t>
        </x:r>
      </x:text>
    </x:comment>
    <x:comment ref="H14" authorId="0">
      <x:text>
        <x:r>
          <x:t>Net income (FY:20 A).
Income before taxes less income tax expense. It includes noncash items, so it differs from operating cash flow.
Formula: ='Historical Inputs'!H19
Cross-sheet references identify the owning schedule. Same-sheet references identify intermediate calculations.</x:t>
        </x:r>
      </x:text>
    </x:comment>
    <x:comment ref="I14" authorId="0">
      <x:text>
        <x:r>
          <x:t>Net income (FY:21 A).
Income before taxes less income tax expense. It includes noncash items, so it differs from operating cash flow.
Formula: ='Historical Inputs'!I19
Cross-sheet references identify the owning schedule. Same-sheet references identify intermediate calculations.</x:t>
        </x:r>
      </x:text>
    </x:comment>
    <x:comment ref="J14" authorId="0">
      <x:text>
        <x:r>
          <x:t>Net income (FY:22 A).
Income before taxes less income tax expense. It includes noncash items, so it differs from operating cash flow.
Formula: ='Historical Inputs'!J19
Cross-sheet references identify the owning schedule. Same-sheet references identify intermediate calculations.</x:t>
        </x:r>
      </x:text>
    </x:comment>
    <x:comment ref="K14" authorId="0">
      <x:text>
        <x:r>
          <x:t>Net income (FY:23 A).
Income before taxes less income tax expense. It includes noncash items, so it differs from operating cash flow.
Formula: ='Historical Inputs'!K19
Cross-sheet references identify the owning schedule. Same-sheet references identify intermediate calculations.</x:t>
        </x:r>
      </x:text>
    </x:comment>
    <x:comment ref="L14" authorId="0">
      <x:text>
        <x:r>
          <x:t>Net income (FY:24 A).
Income before taxes less income tax expense. It includes noncash items, so it differs from operating cash flow.
Formula: ='Historical Inputs'!L19
Cross-sheet references identify the owning schedule. Same-sheet references identify intermediate calculations.</x:t>
        </x:r>
      </x:text>
    </x:comment>
    <x:comment ref="M14" authorId="0">
      <x:text>
        <x:r>
          <x:t>Net income (FY:25 A).
Income before taxes less income tax expense. It includes noncash items, so it differs from operating cash flow.
Formula: ='Historical Inputs'!M19
Cross-sheet references identify the owning schedule. Same-sheet references identify intermediate calculations.</x:t>
        </x:r>
      </x:text>
    </x:comment>
    <x:comment ref="N14" authorId="0">
      <x:text>
        <x:r>
          <x:t>Net income (FY:26 A).
Income before taxes less income tax expense. It includes noncash items, so it differs from operating cash flow.
Formula: ='Historical Inputs'!N19
Cross-sheet references identify the owning schedule. Same-sheet references identify intermediate calculations.</x:t>
        </x:r>
      </x:text>
    </x:comment>
    <x:comment ref="O14" authorId="0">
      <x:text>
        <x:r>
          <x:t>Net income (FY:27 E).
Income before taxes less income tax expense. It includes noncash items, so it differs from operating cash flow.
Formula: ='Income Statement'!O28
Cross-sheet references identify the owning schedule. Same-sheet references identify intermediate calculations.</x:t>
        </x:r>
      </x:text>
    </x:comment>
    <x:comment ref="P14" authorId="0">
      <x:text>
        <x:r>
          <x:t>Net income (FY:28 E).
Income before taxes less income tax expense. It includes noncash items, so it differs from operating cash flow.
Formula: ='Income Statement'!P28
Cross-sheet references identify the owning schedule. Same-sheet references identify intermediate calculations.</x:t>
        </x:r>
      </x:text>
    </x:comment>
    <x:comment ref="Q14" authorId="0">
      <x:text>
        <x:r>
          <x:t>Net income (FY:29 E).
Income before taxes less income tax expense. It includes noncash items, so it differs from operating cash flow.
Formula: ='Income Statement'!Q28
Cross-sheet references identify the owning schedule. Same-sheet references identify intermediate calculations.</x:t>
        </x:r>
      </x:text>
    </x:comment>
    <x:comment ref="R14" authorId="0">
      <x:text>
        <x:r>
          <x:t>Net income (FY:30 E).
Income before taxes less income tax expense. It includes noncash items, so it differs from operating cash flow.
Formula: ='Income Statement'!R28
Cross-sheet references identify the owning schedule. Same-sheet references identify intermediate calculations.</x:t>
        </x:r>
      </x:text>
    </x:comment>
    <x:comment ref="S14" authorId="0">
      <x:text>
        <x:r>
          <x:t>Net income (FY:31 E).
Income before taxes less income tax expense. It includes noncash items, so it differs from operating cash flow.
Formula: ='Income Statement'!S28
Cross-sheet references identify the owning schedule. Same-sheet references identify intermediate calculations.</x:t>
        </x:r>
      </x:text>
    </x:comment>
    <x:comment ref="C16" authorId="0">
      <x:text>
        <x:r>
          <x:t>Noncash employee equity compensation. It remains embedded in operating expenses, is added back once in CFO, and increases paid-in capital.</x:t>
        </x:r>
      </x:text>
    </x:comment>
    <x:comment ref="E16" authorId="0">
      <x:text>
        <x:r>
          <x:t>Stock-based compensation (FY:17 A).
Noncash employee equity compensation. It remains embedded in operating expenses, is added back once in CFO, and increases paid-in capital.
Formula: ='Historical Inputs'!E68
Cross-sheet references identify the owning schedule. Same-sheet references identify intermediate calculations.</x:t>
        </x:r>
      </x:text>
    </x:comment>
    <x:comment ref="F16" authorId="0">
      <x:text>
        <x:r>
          <x:t>Stock-based compensation (FY:18 A).
Noncash employee equity compensation. It remains embedded in operating expenses, is added back once in CFO, and increases paid-in capital.
Formula: ='Historical Inputs'!F68
Cross-sheet references identify the owning schedule. Same-sheet references identify intermediate calculations.</x:t>
        </x:r>
      </x:text>
    </x:comment>
    <x:comment ref="G16" authorId="0">
      <x:text>
        <x:r>
          <x:t>Stock-based compensation (FY:19 A).
Noncash employee equity compensation. It remains embedded in operating expenses, is added back once in CFO, and increases paid-in capital.
Formula: ='Historical Inputs'!G68
Cross-sheet references identify the owning schedule. Same-sheet references identify intermediate calculations.</x:t>
        </x:r>
      </x:text>
    </x:comment>
    <x:comment ref="H16" authorId="0">
      <x:text>
        <x:r>
          <x:t>Stock-based compensation (FY:20 A).
Noncash employee equity compensation. It remains embedded in operating expenses, is added back once in CFO, and increases paid-in capital.
Formula: ='Historical Inputs'!H68
Cross-sheet references identify the owning schedule. Same-sheet references identify intermediate calculations.</x:t>
        </x:r>
      </x:text>
    </x:comment>
    <x:comment ref="I16" authorId="0">
      <x:text>
        <x:r>
          <x:t>Stock-based compensation (FY:21 A).
Noncash employee equity compensation. It remains embedded in operating expenses, is added back once in CFO, and increases paid-in capital.
Formula: ='Historical Inputs'!I68
Cross-sheet references identify the owning schedule. Same-sheet references identify intermediate calculations.</x:t>
        </x:r>
      </x:text>
    </x:comment>
    <x:comment ref="J16" authorId="0">
      <x:text>
        <x:r>
          <x:t>Stock-based compensation (FY:22 A).
Noncash employee equity compensation. It remains embedded in operating expenses, is added back once in CFO, and increases paid-in capital.
Formula: ='Historical Inputs'!J68
Cross-sheet references identify the owning schedule. Same-sheet references identify intermediate calculations.</x:t>
        </x:r>
      </x:text>
    </x:comment>
    <x:comment ref="K16" authorId="0">
      <x:text>
        <x:r>
          <x:t>Stock-based compensation (FY:23 A).
Noncash employee equity compensation. It remains embedded in operating expenses, is added back once in CFO, and increases paid-in capital.
Formula: ='Historical Inputs'!K68
Cross-sheet references identify the owning schedule. Same-sheet references identify intermediate calculations.</x:t>
        </x:r>
      </x:text>
    </x:comment>
    <x:comment ref="L16" authorId="0">
      <x:text>
        <x:r>
          <x:t>Stock-based compensation (FY:24 A).
Noncash employee equity compensation. It remains embedded in operating expenses, is added back once in CFO, and increases paid-in capital.
Formula: ='Historical Inputs'!L68
Cross-sheet references identify the owning schedule. Same-sheet references identify intermediate calculations.</x:t>
        </x:r>
      </x:text>
    </x:comment>
    <x:comment ref="M16" authorId="0">
      <x:text>
        <x:r>
          <x:t>Stock-based compensation (FY:25 A).
Noncash employee equity compensation. It remains embedded in operating expenses, is added back once in CFO, and increases paid-in capital.
Formula: ='Historical Inputs'!M68
Cross-sheet references identify the owning schedule. Same-sheet references identify intermediate calculations.</x:t>
        </x:r>
      </x:text>
    </x:comment>
    <x:comment ref="N16" authorId="0">
      <x:text>
        <x:r>
          <x:t>Stock-based compensation (FY:26 A).
Noncash employee equity compensation. It remains embedded in operating expenses, is added back once in CFO, and increases paid-in capital.
Formula: ='Historical Inputs'!N68
Cross-sheet references identify the owning schedule. Same-sheet references identify intermediate calculations.</x:t>
        </x:r>
      </x:text>
    </x:comment>
    <x:comment ref="O16" authorId="0">
      <x:text>
        <x:r>
          <x:t>Stock-based compensation (FY:27 E).
Noncash employee equity compensation. It remains embedded in operating expenses, is added back once in CFO, and increases paid-in capital.
Formula: ='Income Statement'!O8*'Assumptions'!O177
Cross-sheet references identify the owning schedule. Same-sheet references identify intermediate calculations.</x:t>
        </x:r>
      </x:text>
    </x:comment>
    <x:comment ref="P16" authorId="0">
      <x:text>
        <x:r>
          <x:t>Stock-based compensation (FY:28 E).
Noncash employee equity compensation. It remains embedded in operating expenses, is added back once in CFO, and increases paid-in capital.
Formula: ='Income Statement'!P8*'Assumptions'!P177
Cross-sheet references identify the owning schedule. Same-sheet references identify intermediate calculations.</x:t>
        </x:r>
      </x:text>
    </x:comment>
    <x:comment ref="Q16" authorId="0">
      <x:text>
        <x:r>
          <x:t>Stock-based compensation (FY:29 E).
Noncash employee equity compensation. It remains embedded in operating expenses, is added back once in CFO, and increases paid-in capital.
Formula: ='Income Statement'!Q8*'Assumptions'!Q177
Cross-sheet references identify the owning schedule. Same-sheet references identify intermediate calculations.</x:t>
        </x:r>
      </x:text>
    </x:comment>
    <x:comment ref="R16" authorId="0">
      <x:text>
        <x:r>
          <x:t>Stock-based compensation (FY:30 E).
Noncash employee equity compensation. It remains embedded in operating expenses, is added back once in CFO, and increases paid-in capital.
Formula: ='Income Statement'!R8*'Assumptions'!R177
Cross-sheet references identify the owning schedule. Same-sheet references identify intermediate calculations.</x:t>
        </x:r>
      </x:text>
    </x:comment>
    <x:comment ref="S16" authorId="0">
      <x:text>
        <x:r>
          <x:t>Stock-based compensation (FY:31 E).
Noncash employee equity compensation. It remains embedded in operating expenses, is added back once in CFO, and increases paid-in capital.
Formula: ='Income Statement'!S8*'Assumptions'!S177
Cross-sheet references identify the owning schedule. Same-sheet references identify intermediate calculations.</x:t>
        </x:r>
      </x:text>
    </x:comment>
    <x:comment ref="C17" authorId="0">
      <x:text>
        <x:r>
          <x:t>Cash balance or signed cash flow as named in the row. Positive cash-flow amounts are inflows and negative amounts are outflows. Follow the formula or source reference below for the classification.</x:t>
        </x:r>
      </x:text>
    </x:comment>
    <x:comment ref="E17" authorId="0">
      <x:text>
        <x:r>
          <x:t>Cash share issuance proceeds (FY:17 A).
Cash balance or signed cash flow as named in the row. Positive cash-flow amounts are inflows and negative amounts are outflows. Follow the formula or source reference below for the classification.
Formula: ='Historical Inputs'!E84
Cross-sheet references identify the owning schedule. Same-sheet references identify intermediate calculations.</x:t>
        </x:r>
      </x:text>
    </x:comment>
    <x:comment ref="F17" authorId="0">
      <x:text>
        <x:r>
          <x:t>Cash share issuance proceeds (FY:18 A).
Cash balance or signed cash flow as named in the row. Positive cash-flow amounts are inflows and negative amounts are outflows. Follow the formula or source reference below for the classification.
Formula: ='Historical Inputs'!F84
Cross-sheet references identify the owning schedule. Same-sheet references identify intermediate calculations.</x:t>
        </x:r>
      </x:text>
    </x:comment>
    <x:comment ref="G17" authorId="0">
      <x:text>
        <x:r>
          <x:t>Cash share issuance proceeds (FY:19 A).
Cash balance or signed cash flow as named in the row. Positive cash-flow amounts are inflows and negative amounts are outflows. Follow the formula or source reference below for the classification.
Formula: ='Historical Inputs'!G84
Cross-sheet references identify the owning schedule. Same-sheet references identify intermediate calculations.</x:t>
        </x:r>
      </x:text>
    </x:comment>
    <x:comment ref="H17" authorId="0">
      <x:text>
        <x:r>
          <x:t>Cash share issuance proceeds (FY:20 A).
Cash balance or signed cash flow as named in the row. Positive cash-flow amounts are inflows and negative amounts are outflows. Follow the formula or source reference below for the classification.
Formula: ='Historical Inputs'!H84
Cross-sheet references identify the owning schedule. Same-sheet references identify intermediate calculations.</x:t>
        </x:r>
      </x:text>
    </x:comment>
    <x:comment ref="I17" authorId="0">
      <x:text>
        <x:r>
          <x:t>Cash share issuance proceeds (FY:21 A).
Cash balance or signed cash flow as named in the row. Positive cash-flow amounts are inflows and negative amounts are outflows. Follow the formula or source reference below for the classification.
Formula: ='Historical Inputs'!I84
Cross-sheet references identify the owning schedule. Same-sheet references identify intermediate calculations.</x:t>
        </x:r>
      </x:text>
    </x:comment>
    <x:comment ref="J17" authorId="0">
      <x:text>
        <x:r>
          <x:t>Cash share issuance proceeds (FY:22 A).
Cash balance or signed cash flow as named in the row. Positive cash-flow amounts are inflows and negative amounts are outflows. Follow the formula or source reference below for the classification.
Formula: ='Historical Inputs'!J84
Cross-sheet references identify the owning schedule. Same-sheet references identify intermediate calculations.</x:t>
        </x:r>
      </x:text>
    </x:comment>
    <x:comment ref="K17" authorId="0">
      <x:text>
        <x:r>
          <x:t>Cash share issuance proceeds (FY:23 A).
Cash balance or signed cash flow as named in the row. Positive cash-flow amounts are inflows and negative amounts are outflows. Follow the formula or source reference below for the classification.
Formula: ='Historical Inputs'!K84
Cross-sheet references identify the owning schedule. Same-sheet references identify intermediate calculations.</x:t>
        </x:r>
      </x:text>
    </x:comment>
    <x:comment ref="L17" authorId="0">
      <x:text>
        <x:r>
          <x:t>Cash share issuance proceeds (FY:24 A).
Cash balance or signed cash flow as named in the row. Positive cash-flow amounts are inflows and negative amounts are outflows. Follow the formula or source reference below for the classification.
Formula: ='Historical Inputs'!L84
Cross-sheet references identify the owning schedule. Same-sheet references identify intermediate calculations.</x:t>
        </x:r>
      </x:text>
    </x:comment>
    <x:comment ref="M17" authorId="0">
      <x:text>
        <x:r>
          <x:t>Cash share issuance proceeds (FY:25 A).
Cash balance or signed cash flow as named in the row. Positive cash-flow amounts are inflows and negative amounts are outflows. Follow the formula or source reference below for the classification.
Formula: ='Historical Inputs'!M84
Cross-sheet references identify the owning schedule. Same-sheet references identify intermediate calculations.</x:t>
        </x:r>
      </x:text>
    </x:comment>
    <x:comment ref="N17" authorId="0">
      <x:text>
        <x:r>
          <x:t>Cash share issuance proceeds (FY:26 A).
Cash balance or signed cash flow as named in the row. Positive cash-flow amounts are inflows and negative amounts are outflows. Follow the formula or source reference below for the classification.
Formula: ='Historical Inputs'!N84
Cross-sheet references identify the owning schedule. Same-sheet references identify intermediate calculations.</x:t>
        </x:r>
      </x:text>
    </x:comment>
    <x:comment ref="O17" authorId="0">
      <x:text>
        <x:r>
          <x:t>Cash share issuance proceeds (FY:27 E).
Cash balance or signed cash flow as named in the row. Positive cash-flow amounts are inflows and negative amounts are outflows. Follow the formula or source reference below for the classification.
Formula: ='Income Statement'!O8*'Assumptions'!O173
Cross-sheet references identify the owning schedule. Same-sheet references identify intermediate calculations.</x:t>
        </x:r>
      </x:text>
    </x:comment>
    <x:comment ref="P17" authorId="0">
      <x:text>
        <x:r>
          <x:t>Cash share issuance proceeds (FY:28 E).
Cash balance or signed cash flow as named in the row. Positive cash-flow amounts are inflows and negative amounts are outflows. Follow the formula or source reference below for the classification.
Formula: ='Income Statement'!P8*'Assumptions'!P173
Cross-sheet references identify the owning schedule. Same-sheet references identify intermediate calculations.</x:t>
        </x:r>
      </x:text>
    </x:comment>
    <x:comment ref="Q17" authorId="0">
      <x:text>
        <x:r>
          <x:t>Cash share issuance proceeds (FY:29 E).
Cash balance or signed cash flow as named in the row. Positive cash-flow amounts are inflows and negative amounts are outflows. Follow the formula or source reference below for the classification.
Formula: ='Income Statement'!Q8*'Assumptions'!Q173
Cross-sheet references identify the owning schedule. Same-sheet references identify intermediate calculations.</x:t>
        </x:r>
      </x:text>
    </x:comment>
    <x:comment ref="R17" authorId="0">
      <x:text>
        <x:r>
          <x:t>Cash share issuance proceeds (FY:30 E).
Cash balance or signed cash flow as named in the row. Positive cash-flow amounts are inflows and negative amounts are outflows. Follow the formula or source reference below for the classification.
Formula: ='Income Statement'!R8*'Assumptions'!R173
Cross-sheet references identify the owning schedule. Same-sheet references identify intermediate calculations.</x:t>
        </x:r>
      </x:text>
    </x:comment>
    <x:comment ref="S17" authorId="0">
      <x:text>
        <x:r>
          <x:t>Cash share issuance proceeds (FY:31 E).
Cash balance or signed cash flow as named in the row. Positive cash-flow amounts are inflows and negative amounts are outflows. Follow the formula or source reference below for the classification.
Formula: ='Income Statement'!S8*'Assumptions'!S173
Cross-sheet references identify the owning schedule. Same-sheet references identify intermediate calculations.</x:t>
        </x:r>
      </x:text>
    </x:comment>
    <x:comment ref="C18" authorId="0">
      <x:text>
        <x:r>
          <x:t>Cash balance or signed cash flow as named in the row. Positive cash-flow amounts are inflows and negative amounts are outflows. Follow the formula or source reference below for the classification.</x:t>
        </x:r>
      </x:text>
    </x:comment>
    <x:comment ref="E18" authorId="0">
      <x:text>
        <x:r>
          <x:t>Cash share repurchases (FY:17 A).
Cash balance or signed cash flow as named in the row. Positive cash-flow amounts are inflows and negative amounts are outflows. Follow the formula or source reference below for the classification.
Formula: =-'Historical Inputs'!E85
Cross-sheet references identify the owning schedule. Same-sheet references identify intermediate calculations.</x:t>
        </x:r>
      </x:text>
    </x:comment>
    <x:comment ref="F18" authorId="0">
      <x:text>
        <x:r>
          <x:t>Cash share repurchases (FY:18 A).
Cash balance or signed cash flow as named in the row. Positive cash-flow amounts are inflows and negative amounts are outflows. Follow the formula or source reference below for the classification.
Formula: =-'Historical Inputs'!F85
Cross-sheet references identify the owning schedule. Same-sheet references identify intermediate calculations.</x:t>
        </x:r>
      </x:text>
    </x:comment>
    <x:comment ref="G18" authorId="0">
      <x:text>
        <x:r>
          <x:t>Cash share repurchases (FY:19 A).
Cash balance or signed cash flow as named in the row. Positive cash-flow amounts are inflows and negative amounts are outflows. Follow the formula or source reference below for the classification.
Formula: =-'Historical Inputs'!G85
Cross-sheet references identify the owning schedule. Same-sheet references identify intermediate calculations.</x:t>
        </x:r>
      </x:text>
    </x:comment>
    <x:comment ref="H18" authorId="0">
      <x:text>
        <x:r>
          <x:t>Cash share repurchases (FY:20 A).
Cash balance or signed cash flow as named in the row. Positive cash-flow amounts are inflows and negative amounts are outflows. Follow the formula or source reference below for the classification.
Formula: =-'Historical Inputs'!H85
Cross-sheet references identify the owning schedule. Same-sheet references identify intermediate calculations.</x:t>
        </x:r>
      </x:text>
    </x:comment>
    <x:comment ref="I18" authorId="0">
      <x:text>
        <x:r>
          <x:t>Cash share repurchases (FY:21 A).
Cash balance or signed cash flow as named in the row. Positive cash-flow amounts are inflows and negative amounts are outflows. Follow the formula or source reference below for the classification.
Formula: =-'Historical Inputs'!I85
Cross-sheet references identify the owning schedule. Same-sheet references identify intermediate calculations.</x:t>
        </x:r>
      </x:text>
    </x:comment>
    <x:comment ref="J18" authorId="0">
      <x:text>
        <x:r>
          <x:t>Cash share repurchases (FY:22 A).
Cash balance or signed cash flow as named in the row. Positive cash-flow amounts are inflows and negative amounts are outflows. Follow the formula or source reference below for the classification.
Formula: =-'Historical Inputs'!J85
Cross-sheet references identify the owning schedule. Same-sheet references identify intermediate calculations.</x:t>
        </x:r>
      </x:text>
    </x:comment>
    <x:comment ref="K18" authorId="0">
      <x:text>
        <x:r>
          <x:t>Cash share repurchases (FY:23 A).
Cash balance or signed cash flow as named in the row. Positive cash-flow amounts are inflows and negative amounts are outflows. Follow the formula or source reference below for the classification.
Formula: =-'Historical Inputs'!K85
Cross-sheet references identify the owning schedule. Same-sheet references identify intermediate calculations.</x:t>
        </x:r>
      </x:text>
    </x:comment>
    <x:comment ref="L18" authorId="0">
      <x:text>
        <x:r>
          <x:t>Cash share repurchases (FY:24 A).
Cash balance or signed cash flow as named in the row. Positive cash-flow amounts are inflows and negative amounts are outflows. Follow the formula or source reference below for the classification.
Formula: =-'Historical Inputs'!L85
Cross-sheet references identify the owning schedule. Same-sheet references identify intermediate calculations.</x:t>
        </x:r>
      </x:text>
    </x:comment>
    <x:comment ref="M18" authorId="0">
      <x:text>
        <x:r>
          <x:t>Cash share repurchases (FY:25 A).
Cash balance or signed cash flow as named in the row. Positive cash-flow amounts are inflows and negative amounts are outflows. Follow the formula or source reference below for the classification.
Formula: =-'Historical Inputs'!M85
Cross-sheet references identify the owning schedule. Same-sheet references identify intermediate calculations.</x:t>
        </x:r>
      </x:text>
    </x:comment>
    <x:comment ref="N18" authorId="0">
      <x:text>
        <x:r>
          <x:t>Cash share repurchases (FY:26 A).
Cash balance or signed cash flow as named in the row. Positive cash-flow amounts are inflows and negative amounts are outflows. Follow the formula or source reference below for the classification.
Formula: =-'Historical Inputs'!N85
Cross-sheet references identify the owning schedule. Same-sheet references identify intermediate calculations.</x:t>
        </x:r>
      </x:text>
    </x:comment>
    <x:comment ref="O18" authorId="0">
      <x:text>
        <x:r>
          <x:t>Cash share repurchases (FY:27 E).
Cash balance or signed cash flow as named in the row. Positive cash-flow amounts are inflows and negative amounts are outflows. Follow the formula or source reference below for the classification.
Formula: ='Income Statement'!O8*'Assumptions'!O193
Cross-sheet references identify the owning schedule. Same-sheet references identify intermediate calculations.</x:t>
        </x:r>
      </x:text>
    </x:comment>
    <x:comment ref="P18" authorId="0">
      <x:text>
        <x:r>
          <x:t>Cash share repurchases (FY:28 E).
Cash balance or signed cash flow as named in the row. Positive cash-flow amounts are inflows and negative amounts are outflows. Follow the formula or source reference below for the classification.
Formula: ='Income Statement'!P8*'Assumptions'!P193
Cross-sheet references identify the owning schedule. Same-sheet references identify intermediate calculations.</x:t>
        </x:r>
      </x:text>
    </x:comment>
    <x:comment ref="Q18" authorId="0">
      <x:text>
        <x:r>
          <x:t>Cash share repurchases (FY:29 E).
Cash balance or signed cash flow as named in the row. Positive cash-flow amounts are inflows and negative amounts are outflows. Follow the formula or source reference below for the classification.
Formula: ='Income Statement'!Q8*'Assumptions'!Q193
Cross-sheet references identify the owning schedule. Same-sheet references identify intermediate calculations.</x:t>
        </x:r>
      </x:text>
    </x:comment>
    <x:comment ref="R18" authorId="0">
      <x:text>
        <x:r>
          <x:t>Cash share repurchases (FY:30 E).
Cash balance or signed cash flow as named in the row. Positive cash-flow amounts are inflows and negative amounts are outflows. Follow the formula or source reference below for the classification.
Formula: ='Income Statement'!R8*'Assumptions'!R193
Cross-sheet references identify the owning schedule. Same-sheet references identify intermediate calculations.</x:t>
        </x:r>
      </x:text>
    </x:comment>
    <x:comment ref="S18" authorId="0">
      <x:text>
        <x:r>
          <x:t>Cash share repurchases (FY:31 E).
Cash balance or signed cash flow as named in the row. Positive cash-flow amounts are inflows and negative amounts are outflows. Follow the formula or source reference below for the classification.
Formula: ='Income Statement'!S8*'Assumptions'!S193
Cross-sheet references identify the owning schedule. Same-sheet references identify intermediate calculations.</x:t>
        </x:r>
      </x:text>
    </x:comment>
    <x:comment ref="C19" authorId="0">
      <x:text>
        <x:r>
          <x:t>Cash balance or signed cash flow as named in the row. Positive cash-flow amounts are inflows and negative amounts are outflows. Follow the formula or source reference below for the classification.</x:t>
        </x:r>
      </x:text>
    </x:comment>
    <x:comment ref="E19" authorId="0">
      <x:text>
        <x:r>
          <x:t>Cash dividends (FY:17 A).
Cash balance or signed cash flow as named in the row. Positive cash-flow amounts are inflows and negative amounts are outflows. Follow the formula or source reference below for the classification.
Formula: =-'Historical Inputs'!E86
Cross-sheet references identify the owning schedule. Same-sheet references identify intermediate calculations.</x:t>
        </x:r>
      </x:text>
    </x:comment>
    <x:comment ref="F19" authorId="0">
      <x:text>
        <x:r>
          <x:t>Cash dividends (FY:18 A).
Cash balance or signed cash flow as named in the row. Positive cash-flow amounts are inflows and negative amounts are outflows. Follow the formula or source reference below for the classification.
Formula: =-'Historical Inputs'!F86
Cross-sheet references identify the owning schedule. Same-sheet references identify intermediate calculations.</x:t>
        </x:r>
      </x:text>
    </x:comment>
    <x:comment ref="G19" authorId="0">
      <x:text>
        <x:r>
          <x:t>Cash dividends (FY:19 A).
Cash balance or signed cash flow as named in the row. Positive cash-flow amounts are inflows and negative amounts are outflows. Follow the formula or source reference below for the classification.
Formula: =-'Historical Inputs'!G86
Cross-sheet references identify the owning schedule. Same-sheet references identify intermediate calculations.</x:t>
        </x:r>
      </x:text>
    </x:comment>
    <x:comment ref="H19" authorId="0">
      <x:text>
        <x:r>
          <x:t>Cash dividends (FY:20 A).
Cash balance or signed cash flow as named in the row. Positive cash-flow amounts are inflows and negative amounts are outflows. Follow the formula or source reference below for the classification.
Formula: =-'Historical Inputs'!H86
Cross-sheet references identify the owning schedule. Same-sheet references identify intermediate calculations.</x:t>
        </x:r>
      </x:text>
    </x:comment>
    <x:comment ref="I19" authorId="0">
      <x:text>
        <x:r>
          <x:t>Cash dividends (FY:21 A).
Cash balance or signed cash flow as named in the row. Positive cash-flow amounts are inflows and negative amounts are outflows. Follow the formula or source reference below for the classification.
Formula: =-'Historical Inputs'!I86
Cross-sheet references identify the owning schedule. Same-sheet references identify intermediate calculations.</x:t>
        </x:r>
      </x:text>
    </x:comment>
    <x:comment ref="J19" authorId="0">
      <x:text>
        <x:r>
          <x:t>Cash dividends (FY:22 A).
Cash balance or signed cash flow as named in the row. Positive cash-flow amounts are inflows and negative amounts are outflows. Follow the formula or source reference below for the classification.
Formula: =-'Historical Inputs'!J86
Cross-sheet references identify the owning schedule. Same-sheet references identify intermediate calculations.</x:t>
        </x:r>
      </x:text>
    </x:comment>
    <x:comment ref="K19" authorId="0">
      <x:text>
        <x:r>
          <x:t>Cash dividends (FY:23 A).
Cash balance or signed cash flow as named in the row. Positive cash-flow amounts are inflows and negative amounts are outflows. Follow the formula or source reference below for the classification.
Formula: =-'Historical Inputs'!K86
Cross-sheet references identify the owning schedule. Same-sheet references identify intermediate calculations.</x:t>
        </x:r>
      </x:text>
    </x:comment>
    <x:comment ref="L19" authorId="0">
      <x:text>
        <x:r>
          <x:t>Cash dividends (FY:24 A).
Cash balance or signed cash flow as named in the row. Positive cash-flow amounts are inflows and negative amounts are outflows. Follow the formula or source reference below for the classification.
Formula: =-'Historical Inputs'!L86
Cross-sheet references identify the owning schedule. Same-sheet references identify intermediate calculations.</x:t>
        </x:r>
      </x:text>
    </x:comment>
    <x:comment ref="M19" authorId="0">
      <x:text>
        <x:r>
          <x:t>Cash dividends (FY:25 A).
Cash balance or signed cash flow as named in the row. Positive cash-flow amounts are inflows and negative amounts are outflows. Follow the formula or source reference below for the classification.
Formula: =-'Historical Inputs'!M86
Cross-sheet references identify the owning schedule. Same-sheet references identify intermediate calculations.</x:t>
        </x:r>
      </x:text>
    </x:comment>
    <x:comment ref="N19" authorId="0">
      <x:text>
        <x:r>
          <x:t>Cash dividends (FY:26 A).
Cash balance or signed cash flow as named in the row. Positive cash-flow amounts are inflows and negative amounts are outflows. Follow the formula or source reference below for the classification.
Formula: =-'Historical Inputs'!N86
Cross-sheet references identify the owning schedule. Same-sheet references identify intermediate calculations.</x:t>
        </x:r>
      </x:text>
    </x:comment>
    <x:comment ref="O19" authorId="0">
      <x:text>
        <x:r>
          <x:t>Cash dividends (FY:27 E).
Cash balance or signed cash flow as named in the row. Positive cash-flow amounts are inflows and negative amounts are outflows. Follow the formula or source reference below for the classification.
Formula: =MAX(0,O14)*'Assumptions'!O185
Cross-sheet references identify the owning schedule. Same-sheet references identify intermediate calculations.</x:t>
        </x:r>
      </x:text>
    </x:comment>
    <x:comment ref="P19" authorId="0">
      <x:text>
        <x:r>
          <x:t>Cash dividends (FY:28 E).
Cash balance or signed cash flow as named in the row. Positive cash-flow amounts are inflows and negative amounts are outflows. Follow the formula or source reference below for the classification.
Formula: =MAX(0,P14)*'Assumptions'!P185
Cross-sheet references identify the owning schedule. Same-sheet references identify intermediate calculations.</x:t>
        </x:r>
      </x:text>
    </x:comment>
    <x:comment ref="Q19" authorId="0">
      <x:text>
        <x:r>
          <x:t>Cash dividends (FY:29 E).
Cash balance or signed cash flow as named in the row. Positive cash-flow amounts are inflows and negative amounts are outflows. Follow the formula or source reference below for the classification.
Formula: =MAX(0,Q14)*'Assumptions'!Q185
Cross-sheet references identify the owning schedule. Same-sheet references identify intermediate calculations.</x:t>
        </x:r>
      </x:text>
    </x:comment>
    <x:comment ref="R19" authorId="0">
      <x:text>
        <x:r>
          <x:t>Cash dividends (FY:30 E).
Cash balance or signed cash flow as named in the row. Positive cash-flow amounts are inflows and negative amounts are outflows. Follow the formula or source reference below for the classification.
Formula: =MAX(0,R14)*'Assumptions'!R185
Cross-sheet references identify the owning schedule. Same-sheet references identify intermediate calculations.</x:t>
        </x:r>
      </x:text>
    </x:comment>
    <x:comment ref="S19" authorId="0">
      <x:text>
        <x:r>
          <x:t>Cash dividends (FY:31 E).
Cash balance or signed cash flow as named in the row. Positive cash-flow amounts are inflows and negative amounts are outflows. Follow the formula or source reference below for the classification.
Formula: =MAX(0,S14)*'Assumptions'!S185
Cross-sheet references identify the owning schedule. Same-sheet references identify intermediate calculations.</x:t>
        </x:r>
      </x:text>
    </x:comment>
    <x:comment ref="C20" authorId="0">
      <x:text>
        <x:r>
          <x:t>Buybacks charged to retained earnings. This line belongs to the Tax and Equity calculation. Read its formula to trace the referenced inputs and intermediate totals.</x:t>
        </x:r>
      </x:text>
    </x:comment>
    <x:comment ref="E20" authorId="0">
      <x:text>
        <x:r>
          <x:t>Buybacks charged to retained earnings (FY:17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F20" authorId="0">
      <x:text>
        <x:r>
          <x:t>Buybacks charged to retained earnings (FY:18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G20" authorId="0">
      <x:text>
        <x:r>
          <x:t>Buybacks charged to retained earnings (FY:19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H20" authorId="0">
      <x:text>
        <x:r>
          <x:t>Buybacks charged to retained earnings (FY:20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I20" authorId="0">
      <x:text>
        <x:r>
          <x:t>Buybacks charged to retained earnings (FY:21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J20" authorId="0">
      <x:text>
        <x:r>
          <x:t>Buybacks charged to retained earnings (FY:22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K20" authorId="0">
      <x:text>
        <x:r>
          <x:t>Buybacks charged to retained earnings (FY:23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L20" authorId="0">
      <x:text>
        <x:r>
          <x:t>Buybacks charged to retained earnings (FY:24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M20" authorId="0">
      <x:text>
        <x:r>
          <x:t>Buybacks charged to retained earnings (FY:25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N20" authorId="0">
      <x:text>
        <x:r>
          <x:t>Buybacks charged to retained earnings (FY:26 A).
Buybacks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O20" authorId="0">
      <x:text>
        <x:r>
          <x:t>Buybacks charged to retained earnings (FY:27 E).
Buybacks charged to retained earnings. This line belongs to the Tax and Equity calculation. Read its formula to trace the referenced inputs and intermediate totals.
Formula: ='Assumptions'!O181
Cross-sheet references identify the owning schedule. Same-sheet references identify intermediate calculations.</x:t>
        </x:r>
      </x:text>
    </x:comment>
    <x:comment ref="P20" authorId="0">
      <x:text>
        <x:r>
          <x:t>Buybacks charged to retained earnings (FY:28 E).
Buybacks charged to retained earnings. This line belongs to the Tax and Equity calculation. Read its formula to trace the referenced inputs and intermediate totals.
Formula: ='Assumptions'!P181
Cross-sheet references identify the owning schedule. Same-sheet references identify intermediate calculations.</x:t>
        </x:r>
      </x:text>
    </x:comment>
    <x:comment ref="Q20" authorId="0">
      <x:text>
        <x:r>
          <x:t>Buybacks charged to retained earnings (FY:29 E).
Buybacks charged to retained earnings. This line belongs to the Tax and Equity calculation. Read its formula to trace the referenced inputs and intermediate totals.
Formula: ='Assumptions'!Q181
Cross-sheet references identify the owning schedule. Same-sheet references identify intermediate calculations.</x:t>
        </x:r>
      </x:text>
    </x:comment>
    <x:comment ref="R20" authorId="0">
      <x:text>
        <x:r>
          <x:t>Buybacks charged to retained earnings (FY:30 E).
Buybacks charged to retained earnings. This line belongs to the Tax and Equity calculation. Read its formula to trace the referenced inputs and intermediate totals.
Formula: ='Assumptions'!R181
Cross-sheet references identify the owning schedule. Same-sheet references identify intermediate calculations.</x:t>
        </x:r>
      </x:text>
    </x:comment>
    <x:comment ref="S20" authorId="0">
      <x:text>
        <x:r>
          <x:t>Buybacks charged to retained earnings (FY:31 E).
Buybacks charged to retained earnings. This line belongs to the Tax and Equity calculation. Read its formula to trace the referenced inputs and intermediate totals.
Formula: ='Assumptions'!S181
Cross-sheet references identify the owning schedule. Same-sheet references identify intermediate calculations.</x:t>
        </x:r>
      </x:text>
    </x:comment>
    <x:comment ref="C22" authorId="0">
      <x:text>
        <x:r>
          <x:t>Beginning-of-year balance. Forecast periods carry forward the prior closing balance, with FY2026 providing the first forecast opening balance.</x:t>
        </x:r>
      </x:text>
    </x:comment>
    <x:comment ref="E22" authorId="0">
      <x:text>
        <x:r>
          <x:t>Opening common stock and paid-in capital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22" authorId="0">
      <x:text>
        <x:r>
          <x:t>Opening common stock and paid-in capital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22" authorId="0">
      <x:text>
        <x:r>
          <x:t>Opening common stock and paid-in capital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22" authorId="0">
      <x:text>
        <x:r>
          <x:t>Opening common stock and paid-in capital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22" authorId="0">
      <x:text>
        <x:r>
          <x:t>Opening common stock and paid-in capital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22" authorId="0">
      <x:text>
        <x:r>
          <x:t>Opening common stock and paid-in capital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22" authorId="0">
      <x:text>
        <x:r>
          <x:t>Opening common stock and paid-in capital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22" authorId="0">
      <x:text>
        <x:r>
          <x:t>Opening common stock and paid-in capital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22" authorId="0">
      <x:text>
        <x:r>
          <x:t>Opening common stock and paid-in capital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22" authorId="0">
      <x:text>
        <x:r>
          <x:t>Opening common stock and paid-in capital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22" authorId="0">
      <x:text>
        <x:r>
          <x:t>Opening common stock and paid-in capital (FY:27 E).
Beginning-of-year balance. Forecast periods carry forward the prior closing balance, with FY2026 providing the first forecast opening balance.
Formula: ='Balance Sheet'!N42
Cross-sheet references identify the owning schedule. Same-sheet references identify intermediate calculations.</x:t>
        </x:r>
      </x:text>
    </x:comment>
    <x:comment ref="P22" authorId="0">
      <x:text>
        <x:r>
          <x:t>Opening common stock and paid-in capital (FY:28 E).
Beginning-of-year balance. Forecast periods carry forward the prior closing balance, with FY2026 providing the first forecast opening balance.
Formula: ='Balance Sheet'!O42
Cross-sheet references identify the owning schedule. Same-sheet references identify intermediate calculations.</x:t>
        </x:r>
      </x:text>
    </x:comment>
    <x:comment ref="Q22" authorId="0">
      <x:text>
        <x:r>
          <x:t>Opening common stock and paid-in capital (FY:29 E).
Beginning-of-year balance. Forecast periods carry forward the prior closing balance, with FY2026 providing the first forecast opening balance.
Formula: ='Balance Sheet'!P42
Cross-sheet references identify the owning schedule. Same-sheet references identify intermediate calculations.</x:t>
        </x:r>
      </x:text>
    </x:comment>
    <x:comment ref="R22" authorId="0">
      <x:text>
        <x:r>
          <x:t>Opening common stock and paid-in capital (FY:30 E).
Beginning-of-year balance. Forecast periods carry forward the prior closing balance, with FY2026 providing the first forecast opening balance.
Formula: ='Balance Sheet'!Q42
Cross-sheet references identify the owning schedule. Same-sheet references identify intermediate calculations.</x:t>
        </x:r>
      </x:text>
    </x:comment>
    <x:comment ref="S22" authorId="0">
      <x:text>
        <x:r>
          <x:t>Opening common stock and paid-in capital (FY:31 E).
Beginning-of-year balance. Forecast periods carry forward the prior closing balance, with FY2026 providing the first forecast opening balance.
Formula: ='Balance Sheet'!R42
Cross-sheet references identify the owning schedule. Same-sheet references identify intermediate calculations.</x:t>
        </x:r>
      </x:text>
    </x:comment>
    <x:comment ref="C23" authorId="0">
      <x:text>
        <x:r>
          <x:t>Year-end balance from the relevant roll-forward. Follow the formula to opening balances, additions, expenses, payments or other changes.</x:t>
        </x:r>
      </x:text>
    </x:comment>
    <x:comment ref="E23" authorId="0">
      <x:text>
        <x:r>
          <x:t>Closing common stock and paid-in capital (FY:17 A).
Year-end balance from the relevant roll-forward. Follow the formula to opening balances, additions, expenses, payments or other changes.
Formula: ='Historical Inputs'!E56
Cross-sheet references identify the owning schedule. Same-sheet references identify intermediate calculations.</x:t>
        </x:r>
      </x:text>
    </x:comment>
    <x:comment ref="F23" authorId="0">
      <x:text>
        <x:r>
          <x:t>Closing common stock and paid-in capital (FY:18 A).
Year-end balance from the relevant roll-forward. Follow the formula to opening balances, additions, expenses, payments or other changes.
Formula: ='Historical Inputs'!F56
Cross-sheet references identify the owning schedule. Same-sheet references identify intermediate calculations.</x:t>
        </x:r>
      </x:text>
    </x:comment>
    <x:comment ref="G23" authorId="0">
      <x:text>
        <x:r>
          <x:t>Closing common stock and paid-in capital (FY:19 A).
Year-end balance from the relevant roll-forward. Follow the formula to opening balances, additions, expenses, payments or other changes.
Formula: ='Historical Inputs'!G56
Cross-sheet references identify the owning schedule. Same-sheet references identify intermediate calculations.</x:t>
        </x:r>
      </x:text>
    </x:comment>
    <x:comment ref="H23" authorId="0">
      <x:text>
        <x:r>
          <x:t>Closing common stock and paid-in capital (FY:20 A).
Year-end balance from the relevant roll-forward. Follow the formula to opening balances, additions, expenses, payments or other changes.
Formula: ='Historical Inputs'!H56
Cross-sheet references identify the owning schedule. Same-sheet references identify intermediate calculations.</x:t>
        </x:r>
      </x:text>
    </x:comment>
    <x:comment ref="I23" authorId="0">
      <x:text>
        <x:r>
          <x:t>Closing common stock and paid-in capital (FY:21 A).
Year-end balance from the relevant roll-forward. Follow the formula to opening balances, additions, expenses, payments or other changes.
Formula: ='Historical Inputs'!I56
Cross-sheet references identify the owning schedule. Same-sheet references identify intermediate calculations.</x:t>
        </x:r>
      </x:text>
    </x:comment>
    <x:comment ref="J23" authorId="0">
      <x:text>
        <x:r>
          <x:t>Closing common stock and paid-in capital (FY:22 A).
Year-end balance from the relevant roll-forward. Follow the formula to opening balances, additions, expenses, payments or other changes.
Formula: ='Historical Inputs'!J56
Cross-sheet references identify the owning schedule. Same-sheet references identify intermediate calculations.</x:t>
        </x:r>
      </x:text>
    </x:comment>
    <x:comment ref="K23" authorId="0">
      <x:text>
        <x:r>
          <x:t>Closing common stock and paid-in capital (FY:23 A).
Year-end balance from the relevant roll-forward. Follow the formula to opening balances, additions, expenses, payments or other changes.
Formula: ='Historical Inputs'!K56
Cross-sheet references identify the owning schedule. Same-sheet references identify intermediate calculations.</x:t>
        </x:r>
      </x:text>
    </x:comment>
    <x:comment ref="L23" authorId="0">
      <x:text>
        <x:r>
          <x:t>Closing common stock and paid-in capital (FY:24 A).
Year-end balance from the relevant roll-forward. Follow the formula to opening balances, additions, expenses, payments or other changes.
Formula: ='Historical Inputs'!L56
Cross-sheet references identify the owning schedule. Same-sheet references identify intermediate calculations.</x:t>
        </x:r>
      </x:text>
    </x:comment>
    <x:comment ref="M23" authorId="0">
      <x:text>
        <x:r>
          <x:t>Closing common stock and paid-in capital (FY:25 A).
Year-end balance from the relevant roll-forward. Follow the formula to opening balances, additions, expenses, payments or other changes.
Formula: ='Historical Inputs'!M56
Cross-sheet references identify the owning schedule. Same-sheet references identify intermediate calculations.</x:t>
        </x:r>
      </x:text>
    </x:comment>
    <x:comment ref="N23" authorId="0">
      <x:text>
        <x:r>
          <x:t>Closing common stock and paid-in capital (FY:26 A).
Year-end balance from the relevant roll-forward. Follow the formula to opening balances, additions, expenses, payments or other changes.
Formula: ='Historical Inputs'!N56
Cross-sheet references identify the owning schedule. Same-sheet references identify intermediate calculations.</x:t>
        </x:r>
      </x:text>
    </x:comment>
    <x:comment ref="O23" authorId="0">
      <x:text>
        <x:r>
          <x:t>Closing common stock and paid-in capital (FY:27 E).
Year-end balance from the relevant roll-forward. Follow the formula to opening balances, additions, expenses, payments or other changes.
Formula: =O22+O16+O17-O18*(1-O20)
Cross-sheet references identify the owning schedule. Same-sheet references identify intermediate calculations.</x:t>
        </x:r>
      </x:text>
    </x:comment>
    <x:comment ref="P23" authorId="0">
      <x:text>
        <x:r>
          <x:t>Closing common stock and paid-in capital (FY:28 E).
Year-end balance from the relevant roll-forward. Follow the formula to opening balances, additions, expenses, payments or other changes.
Formula: =P22+P16+P17-P18*(1-P20)
Cross-sheet references identify the owning schedule. Same-sheet references identify intermediate calculations.</x:t>
        </x:r>
      </x:text>
    </x:comment>
    <x:comment ref="Q23" authorId="0">
      <x:text>
        <x:r>
          <x:t>Closing common stock and paid-in capital (FY:29 E).
Year-end balance from the relevant roll-forward. Follow the formula to opening balances, additions, expenses, payments or other changes.
Formula: =Q22+Q16+Q17-Q18*(1-Q20)
Cross-sheet references identify the owning schedule. Same-sheet references identify intermediate calculations.</x:t>
        </x:r>
      </x:text>
    </x:comment>
    <x:comment ref="R23" authorId="0">
      <x:text>
        <x:r>
          <x:t>Closing common stock and paid-in capital (FY:30 E).
Year-end balance from the relevant roll-forward. Follow the formula to opening balances, additions, expenses, payments or other changes.
Formula: =R22+R16+R17-R18*(1-R20)
Cross-sheet references identify the owning schedule. Same-sheet references identify intermediate calculations.</x:t>
        </x:r>
      </x:text>
    </x:comment>
    <x:comment ref="S23" authorId="0">
      <x:text>
        <x:r>
          <x:t>Closing common stock and paid-in capital (FY:31 E).
Year-end balance from the relevant roll-forward. Follow the formula to opening balances, additions, expenses, payments or other changes.
Formula: =S22+S16+S17-S18*(1-S20)
Cross-sheet references identify the owning schedule. Same-sheet references identify intermediate calculations.</x:t>
        </x:r>
      </x:text>
    </x:comment>
    <x:comment ref="C25" authorId="0">
      <x:text>
        <x:r>
          <x:t>Beginning-of-year balance. Forecast periods carry forward the prior closing balance, with FY2026 providing the first forecast opening balance.</x:t>
        </x:r>
      </x:text>
    </x:comment>
    <x:comment ref="E25" authorId="0">
      <x:text>
        <x:r>
          <x:t>Opening retained earnings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25" authorId="0">
      <x:text>
        <x:r>
          <x:t>Opening retained earnings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25" authorId="0">
      <x:text>
        <x:r>
          <x:t>Opening retained earnings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25" authorId="0">
      <x:text>
        <x:r>
          <x:t>Opening retained earnings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25" authorId="0">
      <x:text>
        <x:r>
          <x:t>Opening retained earnings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25" authorId="0">
      <x:text>
        <x:r>
          <x:t>Opening retained earnings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25" authorId="0">
      <x:text>
        <x:r>
          <x:t>Opening retained earnings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25" authorId="0">
      <x:text>
        <x:r>
          <x:t>Opening retained earnings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25" authorId="0">
      <x:text>
        <x:r>
          <x:t>Opening retained earnings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25" authorId="0">
      <x:text>
        <x:r>
          <x:t>Opening retained earnings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25" authorId="0">
      <x:text>
        <x:r>
          <x:t>Opening retained earnings (FY:27 E).
Beginning-of-year balance. Forecast periods carry forward the prior closing balance, with FY2026 providing the first forecast opening balance.
Formula: ='Balance Sheet'!N43
Cross-sheet references identify the owning schedule. Same-sheet references identify intermediate calculations.</x:t>
        </x:r>
      </x:text>
    </x:comment>
    <x:comment ref="P25" authorId="0">
      <x:text>
        <x:r>
          <x:t>Opening retained earnings (FY:28 E).
Beginning-of-year balance. Forecast periods carry forward the prior closing balance, with FY2026 providing the first forecast opening balance.
Formula: ='Balance Sheet'!O43
Cross-sheet references identify the owning schedule. Same-sheet references identify intermediate calculations.</x:t>
        </x:r>
      </x:text>
    </x:comment>
    <x:comment ref="Q25" authorId="0">
      <x:text>
        <x:r>
          <x:t>Opening retained earnings (FY:29 E).
Beginning-of-year balance. Forecast periods carry forward the prior closing balance, with FY2026 providing the first forecast opening balance.
Formula: ='Balance Sheet'!P43
Cross-sheet references identify the owning schedule. Same-sheet references identify intermediate calculations.</x:t>
        </x:r>
      </x:text>
    </x:comment>
    <x:comment ref="R25" authorId="0">
      <x:text>
        <x:r>
          <x:t>Opening retained earnings (FY:30 E).
Beginning-of-year balance. Forecast periods carry forward the prior closing balance, with FY2026 providing the first forecast opening balance.
Formula: ='Balance Sheet'!Q43
Cross-sheet references identify the owning schedule. Same-sheet references identify intermediate calculations.</x:t>
        </x:r>
      </x:text>
    </x:comment>
    <x:comment ref="S25" authorId="0">
      <x:text>
        <x:r>
          <x:t>Opening retained earnings (FY:31 E).
Beginning-of-year balance. Forecast periods carry forward the prior closing balance, with FY2026 providing the first forecast opening balance.
Formula: ='Balance Sheet'!R43
Cross-sheet references identify the owning schedule. Same-sheet references identify intermediate calculations.</x:t>
        </x:r>
      </x:text>
    </x:comment>
    <x:comment ref="C26" authorId="0">
      <x:text>
        <x:r>
          <x:t>Share repurchases charged to retained earnings. This line belongs to the Tax and Equity calculation. Read its formula to trace the referenced inputs and intermediate totals.</x:t>
        </x:r>
      </x:text>
    </x:comment>
    <x:comment ref="E26" authorId="0">
      <x:text>
        <x:r>
          <x:t>Share repurchases charged to retained earnings (FY:17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F26" authorId="0">
      <x:text>
        <x:r>
          <x:t>Share repurchases charged to retained earnings (FY:18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G26" authorId="0">
      <x:text>
        <x:r>
          <x:t>Share repurchases charged to retained earnings (FY:19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H26" authorId="0">
      <x:text>
        <x:r>
          <x:t>Share repurchases charged to retained earnings (FY:20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I26" authorId="0">
      <x:text>
        <x:r>
          <x:t>Share repurchases charged to retained earnings (FY:21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J26" authorId="0">
      <x:text>
        <x:r>
          <x:t>Share repurchases charged to retained earnings (FY:22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K26" authorId="0">
      <x:text>
        <x:r>
          <x:t>Share repurchases charged to retained earnings (FY:23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L26" authorId="0">
      <x:text>
        <x:r>
          <x:t>Share repurchases charged to retained earnings (FY:24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M26" authorId="0">
      <x:text>
        <x:r>
          <x:t>Share repurchases charged to retained earnings (FY:25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N26" authorId="0">
      <x:text>
        <x:r>
          <x:t>Share repurchases charged to retained earnings (FY:26 A).
Share repurchases charged to retained earnings.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O26" authorId="0">
      <x:text>
        <x:r>
          <x:t>Share repurchases charged to retained earnings (FY:27 E).
Share repurchases charged to retained earnings. This line belongs to the Tax and Equity calculation. Read its formula to trace the referenced inputs and intermediate totals.
Formula: =O18*O20
Cross-sheet references identify the owning schedule. Same-sheet references identify intermediate calculations.</x:t>
        </x:r>
      </x:text>
    </x:comment>
    <x:comment ref="P26" authorId="0">
      <x:text>
        <x:r>
          <x:t>Share repurchases charged to retained earnings (FY:28 E).
Share repurchases charged to retained earnings. This line belongs to the Tax and Equity calculation. Read its formula to trace the referenced inputs and intermediate totals.
Formula: =P18*P20
Cross-sheet references identify the owning schedule. Same-sheet references identify intermediate calculations.</x:t>
        </x:r>
      </x:text>
    </x:comment>
    <x:comment ref="Q26" authorId="0">
      <x:text>
        <x:r>
          <x:t>Share repurchases charged to retained earnings (FY:29 E).
Share repurchases charged to retained earnings. This line belongs to the Tax and Equity calculation. Read its formula to trace the referenced inputs and intermediate totals.
Formula: =Q18*Q20
Cross-sheet references identify the owning schedule. Same-sheet references identify intermediate calculations.</x:t>
        </x:r>
      </x:text>
    </x:comment>
    <x:comment ref="R26" authorId="0">
      <x:text>
        <x:r>
          <x:t>Share repurchases charged to retained earnings (FY:30 E).
Share repurchases charged to retained earnings. This line belongs to the Tax and Equity calculation. Read its formula to trace the referenced inputs and intermediate totals.
Formula: =R18*R20
Cross-sheet references identify the owning schedule. Same-sheet references identify intermediate calculations.</x:t>
        </x:r>
      </x:text>
    </x:comment>
    <x:comment ref="S26" authorId="0">
      <x:text>
        <x:r>
          <x:t>Share repurchases charged to retained earnings (FY:31 E).
Share repurchases charged to retained earnings. This line belongs to the Tax and Equity calculation. Read its formula to trace the referenced inputs and intermediate totals.
Formula: =S18*S20
Cross-sheet references identify the owning schedule. Same-sheet references identify intermediate calculations.</x:t>
        </x:r>
      </x:text>
    </x:comment>
    <x:comment ref="C27" authorId="0">
      <x:text>
        <x:r>
          <x:t>Year-end balance from the relevant roll-forward. Follow the formula to opening balances, additions, expenses, payments or other changes.</x:t>
        </x:r>
      </x:text>
    </x:comment>
    <x:comment ref="E27" authorId="0">
      <x:text>
        <x:r>
          <x:t>Closing retained earnings (FY:17 A).
Year-end balance from the relevant roll-forward. Follow the formula to opening balances, additions, expenses, payments or other changes.
Formula: ='Historical Inputs'!E57
Cross-sheet references identify the owning schedule. Same-sheet references identify intermediate calculations.</x:t>
        </x:r>
      </x:text>
    </x:comment>
    <x:comment ref="F27" authorId="0">
      <x:text>
        <x:r>
          <x:t>Closing retained earnings (FY:18 A).
Year-end balance from the relevant roll-forward. Follow the formula to opening balances, additions, expenses, payments or other changes.
Formula: ='Historical Inputs'!F57
Cross-sheet references identify the owning schedule. Same-sheet references identify intermediate calculations.</x:t>
        </x:r>
      </x:text>
    </x:comment>
    <x:comment ref="G27" authorId="0">
      <x:text>
        <x:r>
          <x:t>Closing retained earnings (FY:19 A).
Year-end balance from the relevant roll-forward. Follow the formula to opening balances, additions, expenses, payments or other changes.
Formula: ='Historical Inputs'!G57
Cross-sheet references identify the owning schedule. Same-sheet references identify intermediate calculations.</x:t>
        </x:r>
      </x:text>
    </x:comment>
    <x:comment ref="H27" authorId="0">
      <x:text>
        <x:r>
          <x:t>Closing retained earnings (FY:20 A).
Year-end balance from the relevant roll-forward. Follow the formula to opening balances, additions, expenses, payments or other changes.
Formula: ='Historical Inputs'!H57
Cross-sheet references identify the owning schedule. Same-sheet references identify intermediate calculations.</x:t>
        </x:r>
      </x:text>
    </x:comment>
    <x:comment ref="I27" authorId="0">
      <x:text>
        <x:r>
          <x:t>Closing retained earnings (FY:21 A).
Year-end balance from the relevant roll-forward. Follow the formula to opening balances, additions, expenses, payments or other changes.
Formula: ='Historical Inputs'!I57
Cross-sheet references identify the owning schedule. Same-sheet references identify intermediate calculations.</x:t>
        </x:r>
      </x:text>
    </x:comment>
    <x:comment ref="J27" authorId="0">
      <x:text>
        <x:r>
          <x:t>Closing retained earnings (FY:22 A).
Year-end balance from the relevant roll-forward. Follow the formula to opening balances, additions, expenses, payments or other changes.
Formula: ='Historical Inputs'!J57
Cross-sheet references identify the owning schedule. Same-sheet references identify intermediate calculations.</x:t>
        </x:r>
      </x:text>
    </x:comment>
    <x:comment ref="K27" authorId="0">
      <x:text>
        <x:r>
          <x:t>Closing retained earnings (FY:23 A).
Year-end balance from the relevant roll-forward. Follow the formula to opening balances, additions, expenses, payments or other changes.
Formula: ='Historical Inputs'!K57
Cross-sheet references identify the owning schedule. Same-sheet references identify intermediate calculations.</x:t>
        </x:r>
      </x:text>
    </x:comment>
    <x:comment ref="L27" authorId="0">
      <x:text>
        <x:r>
          <x:t>Closing retained earnings (FY:24 A).
Year-end balance from the relevant roll-forward. Follow the formula to opening balances, additions, expenses, payments or other changes.
Formula: ='Historical Inputs'!L57
Cross-sheet references identify the owning schedule. Same-sheet references identify intermediate calculations.</x:t>
        </x:r>
      </x:text>
    </x:comment>
    <x:comment ref="M27" authorId="0">
      <x:text>
        <x:r>
          <x:t>Closing retained earnings (FY:25 A).
Year-end balance from the relevant roll-forward. Follow the formula to opening balances, additions, expenses, payments or other changes.
Formula: ='Historical Inputs'!M57
Cross-sheet references identify the owning schedule. Same-sheet references identify intermediate calculations.</x:t>
        </x:r>
      </x:text>
    </x:comment>
    <x:comment ref="N27" authorId="0">
      <x:text>
        <x:r>
          <x:t>Closing retained earnings (FY:26 A).
Year-end balance from the relevant roll-forward. Follow the formula to opening balances, additions, expenses, payments or other changes.
Formula: ='Historical Inputs'!N57
Cross-sheet references identify the owning schedule. Same-sheet references identify intermediate calculations.</x:t>
        </x:r>
      </x:text>
    </x:comment>
    <x:comment ref="O27" authorId="0">
      <x:text>
        <x:r>
          <x:t>Closing retained earnings (FY:27 E).
Year-end balance from the relevant roll-forward. Follow the formula to opening balances, additions, expenses, payments or other changes.
Formula: =O25+O14-O19-O26
Cross-sheet references identify the owning schedule. Same-sheet references identify intermediate calculations.</x:t>
        </x:r>
      </x:text>
    </x:comment>
    <x:comment ref="P27" authorId="0">
      <x:text>
        <x:r>
          <x:t>Closing retained earnings (FY:28 E).
Year-end balance from the relevant roll-forward. Follow the formula to opening balances, additions, expenses, payments or other changes.
Formula: =P25+P14-P19-P26
Cross-sheet references identify the owning schedule. Same-sheet references identify intermediate calculations.</x:t>
        </x:r>
      </x:text>
    </x:comment>
    <x:comment ref="Q27" authorId="0">
      <x:text>
        <x:r>
          <x:t>Closing retained earnings (FY:29 E).
Year-end balance from the relevant roll-forward. Follow the formula to opening balances, additions, expenses, payments or other changes.
Formula: =Q25+Q14-Q19-Q26
Cross-sheet references identify the owning schedule. Same-sheet references identify intermediate calculations.</x:t>
        </x:r>
      </x:text>
    </x:comment>
    <x:comment ref="R27" authorId="0">
      <x:text>
        <x:r>
          <x:t>Closing retained earnings (FY:30 E).
Year-end balance from the relevant roll-forward. Follow the formula to opening balances, additions, expenses, payments or other changes.
Formula: =R25+R14-R19-R26
Cross-sheet references identify the owning schedule. Same-sheet references identify intermediate calculations.</x:t>
        </x:r>
      </x:text>
    </x:comment>
    <x:comment ref="S27" authorId="0">
      <x:text>
        <x:r>
          <x:t>Closing retained earnings (FY:31 E).
Year-end balance from the relevant roll-forward. Follow the formula to opening balances, additions, expenses, payments or other changes.
Formula: =S25+S14-S19-S26
Cross-sheet references identify the owning schedule. Same-sheet references identify intermediate calculations.</x:t>
        </x:r>
      </x:text>
    </x:comment>
    <x:comment ref="C29" authorId="0">
      <x:text>
        <x:r>
          <x:t>Equity items recognized outside net income. The forecast holds the FY2026 balance constant.</x:t>
        </x:r>
      </x:text>
    </x:comment>
    <x:comment ref="E29" authorId="0">
      <x:text>
        <x:r>
          <x:t>Accumulated other comprehensive income (FY:17 A).
Equity items recognized outside net income. The forecast holds the FY2026 balance constant.
Formula: ='Historical Inputs'!E58
Cross-sheet references identify the owning schedule. Same-sheet references identify intermediate calculations.</x:t>
        </x:r>
      </x:text>
    </x:comment>
    <x:comment ref="F29" authorId="0">
      <x:text>
        <x:r>
          <x:t>Accumulated other comprehensive income (FY:18 A).
Equity items recognized outside net income. The forecast holds the FY2026 balance constant.
Formula: ='Historical Inputs'!F58
Cross-sheet references identify the owning schedule. Same-sheet references identify intermediate calculations.</x:t>
        </x:r>
      </x:text>
    </x:comment>
    <x:comment ref="G29" authorId="0">
      <x:text>
        <x:r>
          <x:t>Accumulated other comprehensive income (FY:19 A).
Equity items recognized outside net income. The forecast holds the FY2026 balance constant.
Formula: ='Historical Inputs'!G58
Cross-sheet references identify the owning schedule. Same-sheet references identify intermediate calculations.</x:t>
        </x:r>
      </x:text>
    </x:comment>
    <x:comment ref="H29" authorId="0">
      <x:text>
        <x:r>
          <x:t>Accumulated other comprehensive income (FY:20 A).
Equity items recognized outside net income. The forecast holds the FY2026 balance constant.
Formula: ='Historical Inputs'!H58
Cross-sheet references identify the owning schedule. Same-sheet references identify intermediate calculations.</x:t>
        </x:r>
      </x:text>
    </x:comment>
    <x:comment ref="I29" authorId="0">
      <x:text>
        <x:r>
          <x:t>Accumulated other comprehensive income (FY:21 A).
Equity items recognized outside net income. The forecast holds the FY2026 balance constant.
Formula: ='Historical Inputs'!I58
Cross-sheet references identify the owning schedule. Same-sheet references identify intermediate calculations.</x:t>
        </x:r>
      </x:text>
    </x:comment>
    <x:comment ref="J29" authorId="0">
      <x:text>
        <x:r>
          <x:t>Accumulated other comprehensive income (FY:22 A).
Equity items recognized outside net income. The forecast holds the FY2026 balance constant.
Formula: ='Historical Inputs'!J58
Cross-sheet references identify the owning schedule. Same-sheet references identify intermediate calculations.</x:t>
        </x:r>
      </x:text>
    </x:comment>
    <x:comment ref="K29" authorId="0">
      <x:text>
        <x:r>
          <x:t>Accumulated other comprehensive income (FY:23 A).
Equity items recognized outside net income. The forecast holds the FY2026 balance constant.
Formula: ='Historical Inputs'!K58
Cross-sheet references identify the owning schedule. Same-sheet references identify intermediate calculations.</x:t>
        </x:r>
      </x:text>
    </x:comment>
    <x:comment ref="L29" authorId="0">
      <x:text>
        <x:r>
          <x:t>Accumulated other comprehensive income (FY:24 A).
Equity items recognized outside net income. The forecast holds the FY2026 balance constant.
Formula: ='Historical Inputs'!L58
Cross-sheet references identify the owning schedule. Same-sheet references identify intermediate calculations.</x:t>
        </x:r>
      </x:text>
    </x:comment>
    <x:comment ref="M29" authorId="0">
      <x:text>
        <x:r>
          <x:t>Accumulated other comprehensive income (FY:25 A).
Equity items recognized outside net income. The forecast holds the FY2026 balance constant.
Formula: ='Historical Inputs'!M58
Cross-sheet references identify the owning schedule. Same-sheet references identify intermediate calculations.</x:t>
        </x:r>
      </x:text>
    </x:comment>
    <x:comment ref="N29" authorId="0">
      <x:text>
        <x:r>
          <x:t>Accumulated other comprehensive income (FY:26 A).
Equity items recognized outside net income. The forecast holds the FY2026 balance constant.
Formula: ='Historical Inputs'!N58
Cross-sheet references identify the owning schedule. Same-sheet references identify intermediate calculations.</x:t>
        </x:r>
      </x:text>
    </x:comment>
    <x:comment ref="O29" authorId="0">
      <x:text>
        <x:r>
          <x:t>Accumulated other comprehensive income (FY:27 E).
Equity items recognized outside net income. The forecast holds the FY2026 balance constant.
Formula: ='Balance Sheet'!N44
Cross-sheet references identify the owning schedule. Same-sheet references identify intermediate calculations.</x:t>
        </x:r>
      </x:text>
    </x:comment>
    <x:comment ref="P29" authorId="0">
      <x:text>
        <x:r>
          <x:t>Accumulated other comprehensive income (FY:28 E).
Equity items recognized outside net income. The forecast holds the FY2026 balance constant.
Formula: ='Balance Sheet'!O44
Cross-sheet references identify the owning schedule. Same-sheet references identify intermediate calculations.</x:t>
        </x:r>
      </x:text>
    </x:comment>
    <x:comment ref="Q29" authorId="0">
      <x:text>
        <x:r>
          <x:t>Accumulated other comprehensive income (FY:29 E).
Equity items recognized outside net income. The forecast holds the FY2026 balance constant.
Formula: ='Balance Sheet'!P44
Cross-sheet references identify the owning schedule. Same-sheet references identify intermediate calculations.</x:t>
        </x:r>
      </x:text>
    </x:comment>
    <x:comment ref="R29" authorId="0">
      <x:text>
        <x:r>
          <x:t>Accumulated other comprehensive income (FY:30 E).
Equity items recognized outside net income. The forecast holds the FY2026 balance constant.
Formula: ='Balance Sheet'!Q44
Cross-sheet references identify the owning schedule. Same-sheet references identify intermediate calculations.</x:t>
        </x:r>
      </x:text>
    </x:comment>
    <x:comment ref="S29" authorId="0">
      <x:text>
        <x:r>
          <x:t>Accumulated other comprehensive income (FY:31 E).
Equity items recognized outside net income. The forecast holds the FY2026 balance constant.
Formula: ='Balance Sheet'!R44
Cross-sheet references identify the owning schedule. Same-sheet references identify intermediate calculations.</x:t>
        </x:r>
      </x:text>
    </x:comment>
    <x:comment ref="C30" authorId="0">
      <x:text>
        <x:r>
          <x:t>Common stock and paid-in capital plus retained earnings and accumulated other comprehensive income.</x:t>
        </x:r>
      </x:text>
    </x:comment>
    <x:comment ref="E30" authorId="0">
      <x:text>
        <x:r>
          <x:t>Total stockholders equity (FY:17 A).
Common stock and paid-in capital plus retained earnings and accumulated other comprehensive income.
Formula: =E23+E27+E29
Cross-sheet references identify the owning schedule. Same-sheet references identify intermediate calculations.</x:t>
        </x:r>
      </x:text>
    </x:comment>
    <x:comment ref="F30" authorId="0">
      <x:text>
        <x:r>
          <x:t>Total stockholders equity (FY:18 A).
Common stock and paid-in capital plus retained earnings and accumulated other comprehensive income.
Formula: =F23+F27+F29
Cross-sheet references identify the owning schedule. Same-sheet references identify intermediate calculations.</x:t>
        </x:r>
      </x:text>
    </x:comment>
    <x:comment ref="G30" authorId="0">
      <x:text>
        <x:r>
          <x:t>Total stockholders equity (FY:19 A).
Common stock and paid-in capital plus retained earnings and accumulated other comprehensive income.
Formula: =G23+G27+G29
Cross-sheet references identify the owning schedule. Same-sheet references identify intermediate calculations.</x:t>
        </x:r>
      </x:text>
    </x:comment>
    <x:comment ref="H30" authorId="0">
      <x:text>
        <x:r>
          <x:t>Total stockholders equity (FY:20 A).
Common stock and paid-in capital plus retained earnings and accumulated other comprehensive income.
Formula: =H23+H27+H29
Cross-sheet references identify the owning schedule. Same-sheet references identify intermediate calculations.</x:t>
        </x:r>
      </x:text>
    </x:comment>
    <x:comment ref="I30" authorId="0">
      <x:text>
        <x:r>
          <x:t>Total stockholders equity (FY:21 A).
Common stock and paid-in capital plus retained earnings and accumulated other comprehensive income.
Formula: =I23+I27+I29
Cross-sheet references identify the owning schedule. Same-sheet references identify intermediate calculations.</x:t>
        </x:r>
      </x:text>
    </x:comment>
    <x:comment ref="J30" authorId="0">
      <x:text>
        <x:r>
          <x:t>Total stockholders equity (FY:22 A).
Common stock and paid-in capital plus retained earnings and accumulated other comprehensive income.
Formula: =J23+J27+J29
Cross-sheet references identify the owning schedule. Same-sheet references identify intermediate calculations.</x:t>
        </x:r>
      </x:text>
    </x:comment>
    <x:comment ref="K30" authorId="0">
      <x:text>
        <x:r>
          <x:t>Total stockholders equity (FY:23 A).
Common stock and paid-in capital plus retained earnings and accumulated other comprehensive income.
Formula: =K23+K27+K29
Cross-sheet references identify the owning schedule. Same-sheet references identify intermediate calculations.</x:t>
        </x:r>
      </x:text>
    </x:comment>
    <x:comment ref="L30" authorId="0">
      <x:text>
        <x:r>
          <x:t>Total stockholders equity (FY:24 A).
Common stock and paid-in capital plus retained earnings and accumulated other comprehensive income.
Formula: =L23+L27+L29
Cross-sheet references identify the owning schedule. Same-sheet references identify intermediate calculations.</x:t>
        </x:r>
      </x:text>
    </x:comment>
    <x:comment ref="M30" authorId="0">
      <x:text>
        <x:r>
          <x:t>Total stockholders equity (FY:25 A).
Common stock and paid-in capital plus retained earnings and accumulated other comprehensive income.
Formula: =M23+M27+M29
Cross-sheet references identify the owning schedule. Same-sheet references identify intermediate calculations.</x:t>
        </x:r>
      </x:text>
    </x:comment>
    <x:comment ref="N30" authorId="0">
      <x:text>
        <x:r>
          <x:t>Total stockholders equity (FY:26 A).
Common stock and paid-in capital plus retained earnings and accumulated other comprehensive income.
Formula: =N23+N27+N29
Cross-sheet references identify the owning schedule. Same-sheet references identify intermediate calculations.</x:t>
        </x:r>
      </x:text>
    </x:comment>
    <x:comment ref="O30" authorId="0">
      <x:text>
        <x:r>
          <x:t>Total stockholders equity (FY:27 E).
Common stock and paid-in capital plus retained earnings and accumulated other comprehensive income.
Formula: =O23+O27+O29
Cross-sheet references identify the owning schedule. Same-sheet references identify intermediate calculations.</x:t>
        </x:r>
      </x:text>
    </x:comment>
    <x:comment ref="P30" authorId="0">
      <x:text>
        <x:r>
          <x:t>Total stockholders equity (FY:28 E).
Common stock and paid-in capital plus retained earnings and accumulated other comprehensive income.
Formula: =P23+P27+P29
Cross-sheet references identify the owning schedule. Same-sheet references identify intermediate calculations.</x:t>
        </x:r>
      </x:text>
    </x:comment>
    <x:comment ref="Q30" authorId="0">
      <x:text>
        <x:r>
          <x:t>Total stockholders equity (FY:29 E).
Common stock and paid-in capital plus retained earnings and accumulated other comprehensive income.
Formula: =Q23+Q27+Q29
Cross-sheet references identify the owning schedule. Same-sheet references identify intermediate calculations.</x:t>
        </x:r>
      </x:text>
    </x:comment>
    <x:comment ref="R30" authorId="0">
      <x:text>
        <x:r>
          <x:t>Total stockholders equity (FY:30 E).
Common stock and paid-in capital plus retained earnings and accumulated other comprehensive income.
Formula: =R23+R27+R29
Cross-sheet references identify the owning schedule. Same-sheet references identify intermediate calculations.</x:t>
        </x:r>
      </x:text>
    </x:comment>
    <x:comment ref="S30" authorId="0">
      <x:text>
        <x:r>
          <x:t>Total stockholders equity (FY:31 E).
Common stock and paid-in capital plus retained earnings and accumulated other comprehensive income.
Formula: =S23+S27+S29
Cross-sheet references identify the owning schedule. Same-sheet references identify intermediate calculations.</x:t>
        </x:r>
      </x:text>
    </x:comment>
    <x:comment ref="C32" authorId="0">
      <x:text>
        <x:r>
          <x:t>Beginning-of-year balance. Forecast periods carry forward the prior closing balance, with FY2026 providing the first forecast opening balance.</x:t>
        </x:r>
      </x:text>
    </x:comment>
    <x:comment ref="E32" authorId="0">
      <x:text>
        <x:r>
          <x:t>Opening diluted weighted average shares (FY:17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F32" authorId="0">
      <x:text>
        <x:r>
          <x:t>Opening diluted weighted average shares (FY:18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G32" authorId="0">
      <x:text>
        <x:r>
          <x:t>Opening diluted weighted average shares (FY:19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H32" authorId="0">
      <x:text>
        <x:r>
          <x:t>Opening diluted weighted average shares (FY:20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I32" authorId="0">
      <x:text>
        <x:r>
          <x:t>Opening diluted weighted average shares (FY:21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J32" authorId="0">
      <x:text>
        <x:r>
          <x:t>Opening diluted weighted average shares (FY:22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K32" authorId="0">
      <x:text>
        <x:r>
          <x:t>Opening diluted weighted average shares (FY:23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L32" authorId="0">
      <x:text>
        <x:r>
          <x:t>Opening diluted weighted average shares (FY:24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M32" authorId="0">
      <x:text>
        <x:r>
          <x:t>Opening diluted weighted average shares (FY:25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N32" authorId="0">
      <x:text>
        <x:r>
          <x:t>Opening diluted weighted average shares (FY:26 A).
Beginning-of-year balance. Forecast periods carry forward the prior closing balance, with FY2026 providing the first forecast opening balance. This period is unavailable or not applicable. Do not interpret it as zero.
Stored input or primary source observation. It is not calculated in this cell.</x:t>
        </x:r>
      </x:text>
    </x:comment>
    <x:comment ref="O32" authorId="0">
      <x:text>
        <x:r>
          <x:t>Opening diluted weighted average shares (FY:27 E).
Beginning-of-year balance. Forecast periods carry forward the prior closing balance, with FY2026 providing the first forecast opening balance.
Formula: ='Income Statement'!N32
Cross-sheet references identify the owning schedule. Same-sheet references identify intermediate calculations.</x:t>
        </x:r>
      </x:text>
    </x:comment>
    <x:comment ref="P32" authorId="0">
      <x:text>
        <x:r>
          <x:t>Opening diluted weighted average shares (FY:28 E).
Beginning-of-year balance. Forecast periods carry forward the prior closing balance, with FY2026 providing the first forecast opening balance.
Formula: ='Income Statement'!O32
Cross-sheet references identify the owning schedule. Same-sheet references identify intermediate calculations.</x:t>
        </x:r>
      </x:text>
    </x:comment>
    <x:comment ref="Q32" authorId="0">
      <x:text>
        <x:r>
          <x:t>Opening diluted weighted average shares (FY:29 E).
Beginning-of-year balance. Forecast periods carry forward the prior closing balance, with FY2026 providing the first forecast opening balance.
Formula: ='Income Statement'!P32
Cross-sheet references identify the owning schedule. Same-sheet references identify intermediate calculations.</x:t>
        </x:r>
      </x:text>
    </x:comment>
    <x:comment ref="R32" authorId="0">
      <x:text>
        <x:r>
          <x:t>Opening diluted weighted average shares (FY:30 E).
Beginning-of-year balance. Forecast periods carry forward the prior closing balance, with FY2026 providing the first forecast opening balance.
Formula: ='Income Statement'!Q32
Cross-sheet references identify the owning schedule. Same-sheet references identify intermediate calculations.</x:t>
        </x:r>
      </x:text>
    </x:comment>
    <x:comment ref="S32" authorId="0">
      <x:text>
        <x:r>
          <x:t>Opening diluted weighted average shares (FY:31 E).
Beginning-of-year balance. Forecast periods carry forward the prior closing balance, with FY2026 providing the first forecast opening balance.
Formula: ='Income Statement'!R32
Cross-sheet references identify the owning schedule. Same-sheet references identify intermediate calculations.</x:t>
        </x:r>
      </x:text>
    </x:comment>
    <x:comment ref="C33" authorId="0">
      <x:text>
        <x:r>
          <x:t>Net diluted share change. This line belongs to the Tax and Equity calculation. Read its formula to trace the referenced inputs and intermediate totals.</x:t>
        </x:r>
      </x:text>
    </x:comment>
    <x:comment ref="E33" authorId="0">
      <x:text>
        <x:r>
          <x:t>Net diluted share change (FY:17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F33" authorId="0">
      <x:text>
        <x:r>
          <x:t>Net diluted share change (FY:18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G33" authorId="0">
      <x:text>
        <x:r>
          <x:t>Net diluted share change (FY:19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H33" authorId="0">
      <x:text>
        <x:r>
          <x:t>Net diluted share change (FY:20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I33" authorId="0">
      <x:text>
        <x:r>
          <x:t>Net diluted share change (FY:21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J33" authorId="0">
      <x:text>
        <x:r>
          <x:t>Net diluted share change (FY:22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K33" authorId="0">
      <x:text>
        <x:r>
          <x:t>Net diluted share change (FY:23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L33" authorId="0">
      <x:text>
        <x:r>
          <x:t>Net diluted share change (FY:24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M33" authorId="0">
      <x:text>
        <x:r>
          <x:t>Net diluted share change (FY:25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N33" authorId="0">
      <x:text>
        <x:r>
          <x:t>Net diluted share change (FY:26 A).
Net diluted share change. This line belongs to the Tax and Equity calculation. Read its formula to trace the referenced inputs and intermediate totals. This period is unavailable or not applicable. Do not interpret it as zero.
Stored input or primary source observation. It is not calculated in this cell.</x:t>
        </x:r>
      </x:text>
    </x:comment>
    <x:comment ref="O33" authorId="0">
      <x:text>
        <x:r>
          <x:t>Net diluted share change (FY:27 E).
Net diluted share change. This line belongs to the Tax and Equity calculation. Read its formula to trace the referenced inputs and intermediate totals.
Formula: ='Assumptions'!O197
Cross-sheet references identify the owning schedule. Same-sheet references identify intermediate calculations.</x:t>
        </x:r>
      </x:text>
    </x:comment>
    <x:comment ref="P33" authorId="0">
      <x:text>
        <x:r>
          <x:t>Net diluted share change (FY:28 E).
Net diluted share change. This line belongs to the Tax and Equity calculation. Read its formula to trace the referenced inputs and intermediate totals.
Formula: ='Assumptions'!P197
Cross-sheet references identify the owning schedule. Same-sheet references identify intermediate calculations.</x:t>
        </x:r>
      </x:text>
    </x:comment>
    <x:comment ref="Q33" authorId="0">
      <x:text>
        <x:r>
          <x:t>Net diluted share change (FY:29 E).
Net diluted share change. This line belongs to the Tax and Equity calculation. Read its formula to trace the referenced inputs and intermediate totals.
Formula: ='Assumptions'!Q197
Cross-sheet references identify the owning schedule. Same-sheet references identify intermediate calculations.</x:t>
        </x:r>
      </x:text>
    </x:comment>
    <x:comment ref="R33" authorId="0">
      <x:text>
        <x:r>
          <x:t>Net diluted share change (FY:30 E).
Net diluted share change. This line belongs to the Tax and Equity calculation. Read its formula to trace the referenced inputs and intermediate totals.
Formula: ='Assumptions'!R197
Cross-sheet references identify the owning schedule. Same-sheet references identify intermediate calculations.</x:t>
        </x:r>
      </x:text>
    </x:comment>
    <x:comment ref="S33" authorId="0">
      <x:text>
        <x:r>
          <x:t>Net diluted share change (FY:31 E).
Net diluted share change. This line belongs to the Tax and Equity calculation. Read its formula to trace the referenced inputs and intermediate totals.
Formula: ='Assumptions'!S197
Cross-sheet references identify the owning schedule. Same-sheet references identify intermediate calculations.</x:t>
        </x:r>
      </x:text>
    </x:comment>
    <x:comment ref="C34" authorId="0">
      <x:text>
        <x:r>
          <x:t>Weighted average shares including potential dilution, in millions. The forecast uses a separate net-change assumption.</x:t>
        </x:r>
      </x:text>
    </x:comment>
    <x:comment ref="E34" authorId="0">
      <x:text>
        <x:r>
          <x:t>Diluted weighted average shares (FY:17 A).
Weighted average shares including potential dilution, in millions. The forecast uses a separate net-change assumption.
Formula: ='Historical Inputs'!E23
Cross-sheet references identify the owning schedule. Same-sheet references identify intermediate calculations.</x:t>
        </x:r>
      </x:text>
    </x:comment>
    <x:comment ref="F34" authorId="0">
      <x:text>
        <x:r>
          <x:t>Diluted weighted average shares (FY:18 A).
Weighted average shares including potential dilution, in millions. The forecast uses a separate net-change assumption.
Formula: ='Historical Inputs'!F23
Cross-sheet references identify the owning schedule. Same-sheet references identify intermediate calculations.</x:t>
        </x:r>
      </x:text>
    </x:comment>
    <x:comment ref="G34" authorId="0">
      <x:text>
        <x:r>
          <x:t>Diluted weighted average shares (FY:19 A).
Weighted average shares including potential dilution, in millions. The forecast uses a separate net-change assumption.
Formula: ='Historical Inputs'!G23
Cross-sheet references identify the owning schedule. Same-sheet references identify intermediate calculations.</x:t>
        </x:r>
      </x:text>
    </x:comment>
    <x:comment ref="H34" authorId="0">
      <x:text>
        <x:r>
          <x:t>Diluted weighted average shares (FY:20 A).
Weighted average shares including potential dilution, in millions. The forecast uses a separate net-change assumption.
Formula: ='Historical Inputs'!H23
Cross-sheet references identify the owning schedule. Same-sheet references identify intermediate calculations.</x:t>
        </x:r>
      </x:text>
    </x:comment>
    <x:comment ref="I34" authorId="0">
      <x:text>
        <x:r>
          <x:t>Diluted weighted average shares (FY:21 A).
Weighted average shares including potential dilution, in millions. The forecast uses a separate net-change assumption.
Formula: ='Historical Inputs'!I23
Cross-sheet references identify the owning schedule. Same-sheet references identify intermediate calculations.</x:t>
        </x:r>
      </x:text>
    </x:comment>
    <x:comment ref="J34" authorId="0">
      <x:text>
        <x:r>
          <x:t>Diluted weighted average shares (FY:22 A).
Weighted average shares including potential dilution, in millions. The forecast uses a separate net-change assumption.
Formula: ='Historical Inputs'!J23
Cross-sheet references identify the owning schedule. Same-sheet references identify intermediate calculations.</x:t>
        </x:r>
      </x:text>
    </x:comment>
    <x:comment ref="K34" authorId="0">
      <x:text>
        <x:r>
          <x:t>Diluted weighted average shares (FY:23 A).
Weighted average shares including potential dilution, in millions. The forecast uses a separate net-change assumption.
Formula: ='Historical Inputs'!K23
Cross-sheet references identify the owning schedule. Same-sheet references identify intermediate calculations.</x:t>
        </x:r>
      </x:text>
    </x:comment>
    <x:comment ref="L34" authorId="0">
      <x:text>
        <x:r>
          <x:t>Diluted weighted average shares (FY:24 A).
Weighted average shares including potential dilution, in millions. The forecast uses a separate net-change assumption.
Formula: ='Historical Inputs'!L23
Cross-sheet references identify the owning schedule. Same-sheet references identify intermediate calculations.</x:t>
        </x:r>
      </x:text>
    </x:comment>
    <x:comment ref="M34" authorId="0">
      <x:text>
        <x:r>
          <x:t>Diluted weighted average shares (FY:25 A).
Weighted average shares including potential dilution, in millions. The forecast uses a separate net-change assumption.
Formula: ='Historical Inputs'!M23
Cross-sheet references identify the owning schedule. Same-sheet references identify intermediate calculations.</x:t>
        </x:r>
      </x:text>
    </x:comment>
    <x:comment ref="N34" authorId="0">
      <x:text>
        <x:r>
          <x:t>Diluted weighted average shares (FY:26 A).
Weighted average shares including potential dilution, in millions. The forecast uses a separate net-change assumption.
Formula: ='Historical Inputs'!N23
Cross-sheet references identify the owning schedule. Same-sheet references identify intermediate calculations.</x:t>
        </x:r>
      </x:text>
    </x:comment>
    <x:comment ref="O34" authorId="0">
      <x:text>
        <x:r>
          <x:t>Diluted weighted average shares (FY:27 E).
Weighted average shares including potential dilution, in millions. The forecast uses a separate net-change assumption.
Formula: =O32*(1+O33)
Cross-sheet references identify the owning schedule. Same-sheet references identify intermediate calculations.</x:t>
        </x:r>
      </x:text>
    </x:comment>
    <x:comment ref="P34" authorId="0">
      <x:text>
        <x:r>
          <x:t>Diluted weighted average shares (FY:28 E).
Weighted average shares including potential dilution, in millions. The forecast uses a separate net-change assumption.
Formula: =P32*(1+P33)
Cross-sheet references identify the owning schedule. Same-sheet references identify intermediate calculations.</x:t>
        </x:r>
      </x:text>
    </x:comment>
    <x:comment ref="Q34" authorId="0">
      <x:text>
        <x:r>
          <x:t>Diluted weighted average shares (FY:29 E).
Weighted average shares including potential dilution, in millions. The forecast uses a separate net-change assumption.
Formula: =Q32*(1+Q33)
Cross-sheet references identify the owning schedule. Same-sheet references identify intermediate calculations.</x:t>
        </x:r>
      </x:text>
    </x:comment>
    <x:comment ref="R34" authorId="0">
      <x:text>
        <x:r>
          <x:t>Diluted weighted average shares (FY:30 E).
Weighted average shares including potential dilution, in millions. The forecast uses a separate net-change assumption.
Formula: =R32*(1+R33)
Cross-sheet references identify the owning schedule. Same-sheet references identify intermediate calculations.</x:t>
        </x:r>
      </x:text>
    </x:comment>
    <x:comment ref="S34" authorId="0">
      <x:text>
        <x:r>
          <x:t>Diluted weighted average shares (FY:31 E).
Weighted average shares including potential dilution, in millions. The forecast uses a separate net-change assumption.
Formula: =S32*(1+S33)
Cross-sheet references identify the owning schedule. Same-sheet references identify intermediate calculations.</x:t>
        </x:r>
      </x:text>
    </x:comment>
    <x:comment ref="C35" authorId="0">
      <x:text>
        <x:r>
          <x:t>Average shares outstanding during the fiscal year, in millions. This is not the year-end share count.</x:t>
        </x:r>
      </x:text>
    </x:comment>
    <x:comment ref="E35" authorId="0">
      <x:text>
        <x:r>
          <x:t>Basic weighted average shares (FY:17 A).
Average shares outstanding during the fiscal year, in millions. This is not the year-end share count.
Formula: ='Historical Inputs'!E22
Cross-sheet references identify the owning schedule. Same-sheet references identify intermediate calculations.</x:t>
        </x:r>
      </x:text>
    </x:comment>
    <x:comment ref="F35" authorId="0">
      <x:text>
        <x:r>
          <x:t>Basic weighted average shares (FY:18 A).
Average shares outstanding during the fiscal year, in millions. This is not the year-end share count.
Formula: ='Historical Inputs'!F22
Cross-sheet references identify the owning schedule. Same-sheet references identify intermediate calculations.</x:t>
        </x:r>
      </x:text>
    </x:comment>
    <x:comment ref="G35" authorId="0">
      <x:text>
        <x:r>
          <x:t>Basic weighted average shares (FY:19 A).
Average shares outstanding during the fiscal year, in millions. This is not the year-end share count.
Formula: ='Historical Inputs'!G22
Cross-sheet references identify the owning schedule. Same-sheet references identify intermediate calculations.</x:t>
        </x:r>
      </x:text>
    </x:comment>
    <x:comment ref="H35" authorId="0">
      <x:text>
        <x:r>
          <x:t>Basic weighted average shares (FY:20 A).
Average shares outstanding during the fiscal year, in millions. This is not the year-end share count.
Formula: ='Historical Inputs'!H22
Cross-sheet references identify the owning schedule. Same-sheet references identify intermediate calculations.</x:t>
        </x:r>
      </x:text>
    </x:comment>
    <x:comment ref="I35" authorId="0">
      <x:text>
        <x:r>
          <x:t>Basic weighted average shares (FY:21 A).
Average shares outstanding during the fiscal year, in millions. This is not the year-end share count.
Formula: ='Historical Inputs'!I22
Cross-sheet references identify the owning schedule. Same-sheet references identify intermediate calculations.</x:t>
        </x:r>
      </x:text>
    </x:comment>
    <x:comment ref="J35" authorId="0">
      <x:text>
        <x:r>
          <x:t>Basic weighted average shares (FY:22 A).
Average shares outstanding during the fiscal year, in millions. This is not the year-end share count.
Formula: ='Historical Inputs'!J22
Cross-sheet references identify the owning schedule. Same-sheet references identify intermediate calculations.</x:t>
        </x:r>
      </x:text>
    </x:comment>
    <x:comment ref="K35" authorId="0">
      <x:text>
        <x:r>
          <x:t>Basic weighted average shares (FY:23 A).
Average shares outstanding during the fiscal year, in millions. This is not the year-end share count.
Formula: ='Historical Inputs'!K22
Cross-sheet references identify the owning schedule. Same-sheet references identify intermediate calculations.</x:t>
        </x:r>
      </x:text>
    </x:comment>
    <x:comment ref="L35" authorId="0">
      <x:text>
        <x:r>
          <x:t>Basic weighted average shares (FY:24 A).
Average shares outstanding during the fiscal year, in millions. This is not the year-end share count.
Formula: ='Historical Inputs'!L22
Cross-sheet references identify the owning schedule. Same-sheet references identify intermediate calculations.</x:t>
        </x:r>
      </x:text>
    </x:comment>
    <x:comment ref="M35" authorId="0">
      <x:text>
        <x:r>
          <x:t>Basic weighted average shares (FY:25 A).
Average shares outstanding during the fiscal year, in millions. This is not the year-end share count.
Formula: ='Historical Inputs'!M22
Cross-sheet references identify the owning schedule. Same-sheet references identify intermediate calculations.</x:t>
        </x:r>
      </x:text>
    </x:comment>
    <x:comment ref="N35" authorId="0">
      <x:text>
        <x:r>
          <x:t>Basic weighted average shares (FY:26 A).
Average shares outstanding during the fiscal year, in millions. This is not the year-end share count.
Formula: ='Historical Inputs'!N22
Cross-sheet references identify the owning schedule. Same-sheet references identify intermediate calculations.</x:t>
        </x:r>
      </x:text>
    </x:comment>
    <x:comment ref="O35" authorId="0">
      <x:text>
        <x:r>
          <x:t>Basic weighted average shares (FY:27 E).
Average shares outstanding during the fiscal year, in millions. This is not the year-end share count.
Formula: =O34*'Historical Inputs'!N22/'Historical Inputs'!N23
Cross-sheet references identify the owning schedule. Same-sheet references identify intermediate calculations.</x:t>
        </x:r>
      </x:text>
    </x:comment>
    <x:comment ref="P35" authorId="0">
      <x:text>
        <x:r>
          <x:t>Basic weighted average shares (FY:28 E).
Average shares outstanding during the fiscal year, in millions. This is not the year-end share count.
Formula: =P34*'Historical Inputs'!N22/'Historical Inputs'!N23
Cross-sheet references identify the owning schedule. Same-sheet references identify intermediate calculations.</x:t>
        </x:r>
      </x:text>
    </x:comment>
    <x:comment ref="Q35" authorId="0">
      <x:text>
        <x:r>
          <x:t>Basic weighted average shares (FY:29 E).
Average shares outstanding during the fiscal year, in millions. This is not the year-end share count.
Formula: =Q34*'Historical Inputs'!N22/'Historical Inputs'!N23
Cross-sheet references identify the owning schedule. Same-sheet references identify intermediate calculations.</x:t>
        </x:r>
      </x:text>
    </x:comment>
    <x:comment ref="R35" authorId="0">
      <x:text>
        <x:r>
          <x:t>Basic weighted average shares (FY:30 E).
Average shares outstanding during the fiscal year, in millions. This is not the year-end share count.
Formula: =R34*'Historical Inputs'!N22/'Historical Inputs'!N23
Cross-sheet references identify the owning schedule. Same-sheet references identify intermediate calculations.</x:t>
        </x:r>
      </x:text>
    </x:comment>
    <x:comment ref="S35" authorId="0">
      <x:text>
        <x:r>
          <x:t>Basic weighted average shares (FY:31 E).
Average shares outstanding during the fiscal year, in millions. This is not the year-end share count.
Formula: =S34*'Historical Inputs'!N22/'Historical Inputs'!N23
Cross-sheet references identify the owning schedule. Same-sheet references identify intermediate calculations.</x:t>
        </x:r>
      </x:text>
    </x:comment>
    <x:comment ref="C55" authorId="0">
      <x:text>
        <x:r>
          <x:t>Live analytical observation. This formula reads the existing statement or schedule and updates with the selected case. ="FY2031 effective tax rate: "&amp;(FIXED((S9)*100,1,TRUE)&amp;"%")&amp;". Income tax expense: "&amp;FIXED(S10/1000,1,TRUE)&amp;"bn."</x:t>
        </x:r>
      </x:text>
    </x:comment>
    <x:comment ref="C56" authorId="0">
      <x:text>
        <x:r>
          <x:t>Live analytical observation. This formula reads the existing statement or schedule and updates with the selected case. ="FY2031 dividends and repurchases: "&amp;FIXED(SUM(S18:S19)/1000,1,TRUE)&amp;"bn, compared with net income of "&amp;FIXED(S14/1000,1,TRUE)&amp;"bn."</x:t>
        </x:r>
      </x:text>
    </x:comment>
    <x:comment ref="C57" authorId="0">
      <x:text>
        <x:r>
          <x:t>Live analytical observation. This formula reads the existing statement or schedule and updates with the selected case. ="FY2031 equity: "&amp;FIXED(S30/1000,1,TRUE)&amp;"bn. Diluted shares: "&amp;FIXED(S34,0,FALSE)&amp;"m."</x:t>
        </x:r>
      </x:text>
    </x:comment>
    <x:comment ref="C81" authorId="0">
      <x:text>
        <x:r>
          <x:t>Income and tax expense (USD billions). Formula-linked chart data. A means actual and E means the active-case estimate. Unavailable historical observations remain blank.</x:t>
        </x:r>
      </x:text>
    </x:comment>
    <x:comment ref="C100" authorId="0">
      <x:text>
        <x:r>
          <x:t>Shareholder cash distributions (USD billions). Formula-linked chart data. A means actual and E means the active-case estimate. Unavailable historical observations remain blank.</x:t>
        </x:r>
      </x:text>
    </x:comment>
  </x:commentList>
</x:comments>
</file>

<file path=xl/comments16.xml><?xml version="1.0" encoding="utf-8"?>
<x:comments xmlns:x="http://schemas.openxmlformats.org/spreadsheetml/2006/main">
  <x:authors>
    <x:author>Goran Brkich</x:author>
  </x:authors>
  <x:commentList>
    <x:comment ref="C2" authorId="0">
      <x:text>
        <x:r>
          <x:t>Data &gt;&gt;. Amounts are USD millions unless the row states a ratio, days, years or per-share value. Hover over annotated labels or values for definitions and formula references.</x:t>
        </x:r>
      </x:text>
    </x:comment>
    <x:comment ref="C7" authorId="0">
      <x:text>
        <x:r>
          <x:t>Historical Inputs contains the audited statements, Filing Notes contains supporting disclosures, and Audit checks the resulting model. The primary source and fiscal-year cutoff remain unchanged in this revision. Source rows preserve reported meanings and signs. The regression worksheet reads revenue and CFO from historical cells and never feeds back into those inputs. Notes explain the key source and calculation cells. Use the source report year and URLs to trace an observation before updating it. Charts display the existing data and formula-linked forecast rather than an additional dataset.</x:t>
        </x:r>
      </x:text>
    </x:comment>
  </x:commentList>
</x:comments>
</file>

<file path=xl/comments17.xml><?xml version="1.0" encoding="utf-8"?>
<x:comments xmlns:x="http://schemas.openxmlformats.org/spreadsheetml/2006/main">
  <x:authors>
    <x:author>Goran Brkich</x:author>
  </x:authors>
  <x:commentList>
    <x:comment ref="C2" authorId="0">
      <x:text>
        <x:r>
          <x:t>Historical Inputs. Amounts are USD millions unless the row states a ratio, days, years or per-share value. Hover over annotated labels or values for definitions and formula references.</x:t>
        </x:r>
      </x:text>
    </x:comment>
    <x:comment ref="C9" authorId="0">
      <x:text>
        <x:r>
          <x:t>Recognized sales from products and services. Consolidated forecast revenue is the sum of the three segment forecasts. Revenue is different from cash collected. Primary filing value. The original reporting sign and fiscal year are preserved.</x:t>
        </x:r>
      </x:text>
    </x:comment>
    <x:comment ref="E9" authorId="0">
      <x:text>
        <x:r>
          <x:t>revenue (FY:17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F9" authorId="0">
      <x:text>
        <x:r>
          <x:t>revenue (FY:18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G9" authorId="0">
      <x:text>
        <x:r>
          <x:t>revenue (FY:19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H9" authorId="0">
      <x:text>
        <x:r>
          <x:t>revenue (FY:20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I9" authorId="0">
      <x:text>
        <x:r>
          <x:t>revenue (FY:21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J9" authorId="0">
      <x:text>
        <x:r>
          <x:t>revenue (FY:22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K9" authorId="0">
      <x:text>
        <x:r>
          <x:t>revenue (FY:23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L9" authorId="0">
      <x:text>
        <x:r>
          <x:t>revenue (FY:24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M9" authorId="0">
      <x:text>
        <x:r>
          <x:t>revenue (FY:25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N9" authorId="0">
      <x:text>
        <x:r>
          <x:t>revenue (FY:26 A).
Recognized sales from products and services. Consolidated forecast revenue is the sum of the three segment forecasts. Revenue is different from cash collected. Primary filing value. The original reporting sign and fiscal year are preserved.
Stored input or primary source observation. It is not calculated in this cell.</x:t>
        </x:r>
      </x:text>
    </x:comment>
    <x:comment ref="C10" authorId="0">
      <x:text>
        <x:r>
          <x:t>Expenses assigned to delivering products and services. Forecast amounts include allocated depreciation, amortization and operating lease expense. Primary filing value. The original reporting sign and fiscal year are preserved.</x:t>
        </x:r>
      </x:text>
    </x:comment>
    <x:comment ref="E10" authorId="0">
      <x:text>
        <x:r>
          <x:t>cogs (FY:17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F10" authorId="0">
      <x:text>
        <x:r>
          <x:t>cogs (FY:18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G10" authorId="0">
      <x:text>
        <x:r>
          <x:t>cogs (FY:19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H10" authorId="0">
      <x:text>
        <x:r>
          <x:t>cogs (FY:20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I10" authorId="0">
      <x:text>
        <x:r>
          <x:t>cogs (FY:21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J10" authorId="0">
      <x:text>
        <x:r>
          <x:t>cogs (FY:22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K10" authorId="0">
      <x:text>
        <x:r>
          <x:t>cogs (FY:23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L10" authorId="0">
      <x:text>
        <x:r>
          <x:t>cogs (FY:24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M10" authorId="0">
      <x:text>
        <x:r>
          <x:t>cogs (FY:25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N10" authorId="0">
      <x:text>
        <x:r>
          <x:t>cogs (FY:26 A).
Expenses assigned to delivering products and services. Forecast amounts include allocated depreciation, amortization and operating lease expense. Primary filing value. The original reporting sign and fiscal year are preserved.
Stored input or primary source observation. It is not calculated in this cell.</x:t>
        </x:r>
      </x:text>
    </x:comment>
    <x:comment ref="C11" authorId="0">
      <x:text>
        <x:r>
          <x:t>Revenue less cost of revenue. It measures profit before operating expenses. Primary filing value. The original reporting sign and fiscal year are preserved.</x:t>
        </x:r>
      </x:text>
    </x:comment>
    <x:comment ref="E11" authorId="0">
      <x:text>
        <x:r>
          <x:t>gross profit (FY:17 A).
Revenue less cost of revenue. It measures profit before operating expenses. Primary filing value. The original reporting sign and fiscal year are preserved.
Stored input or primary source observation. It is not calculated in this cell.</x:t>
        </x:r>
      </x:text>
    </x:comment>
    <x:comment ref="F11" authorId="0">
      <x:text>
        <x:r>
          <x:t>gross profit (FY:18 A).
Revenue less cost of revenue. It measures profit before operating expenses. Primary filing value. The original reporting sign and fiscal year are preserved.
Stored input or primary source observation. It is not calculated in this cell.</x:t>
        </x:r>
      </x:text>
    </x:comment>
    <x:comment ref="G11" authorId="0">
      <x:text>
        <x:r>
          <x:t>gross profit (FY:19 A).
Revenue less cost of revenue. It measures profit before operating expenses. Primary filing value. The original reporting sign and fiscal year are preserved.
Stored input or primary source observation. It is not calculated in this cell.</x:t>
        </x:r>
      </x:text>
    </x:comment>
    <x:comment ref="H11" authorId="0">
      <x:text>
        <x:r>
          <x:t>gross profit (FY:20 A).
Revenue less cost of revenue. It measures profit before operating expenses. Primary filing value. The original reporting sign and fiscal year are preserved.
Stored input or primary source observation. It is not calculated in this cell.</x:t>
        </x:r>
      </x:text>
    </x:comment>
    <x:comment ref="I11" authorId="0">
      <x:text>
        <x:r>
          <x:t>gross profit (FY:21 A).
Revenue less cost of revenue. It measures profit before operating expenses. Primary filing value. The original reporting sign and fiscal year are preserved.
Stored input or primary source observation. It is not calculated in this cell.</x:t>
        </x:r>
      </x:text>
    </x:comment>
    <x:comment ref="J11" authorId="0">
      <x:text>
        <x:r>
          <x:t>gross profit (FY:22 A).
Revenue less cost of revenue. It measures profit before operating expenses. Primary filing value. The original reporting sign and fiscal year are preserved.
Stored input or primary source observation. It is not calculated in this cell.</x:t>
        </x:r>
      </x:text>
    </x:comment>
    <x:comment ref="K11" authorId="0">
      <x:text>
        <x:r>
          <x:t>gross profit (FY:23 A).
Revenue less cost of revenue. It measures profit before operating expenses. Primary filing value. The original reporting sign and fiscal year are preserved.
Stored input or primary source observation. It is not calculated in this cell.</x:t>
        </x:r>
      </x:text>
    </x:comment>
    <x:comment ref="L11" authorId="0">
      <x:text>
        <x:r>
          <x:t>gross profit (FY:24 A).
Revenue less cost of revenue. It measures profit before operating expenses. Primary filing value. The original reporting sign and fiscal year are preserved.
Stored input or primary source observation. It is not calculated in this cell.</x:t>
        </x:r>
      </x:text>
    </x:comment>
    <x:comment ref="M11" authorId="0">
      <x:text>
        <x:r>
          <x:t>gross profit (FY:25 A).
Revenue less cost of revenue. It measures profit before operating expenses. Primary filing value. The original reporting sign and fiscal year are preserved.
Stored input or primary source observation. It is not calculated in this cell.</x:t>
        </x:r>
      </x:text>
    </x:comment>
    <x:comment ref="N11" authorId="0">
      <x:text>
        <x:r>
          <x:t>gross profit (FY:26 A).
Revenue less cost of revenue. It measures profit before operating expenses. Primary filing value. The original reporting sign and fiscal year are preserved.
Stored input or primary source observation. It is not calculated in this cell.</x:t>
        </x:r>
      </x:text>
    </x:comment>
    <x:comment ref="C12" authorId="0">
      <x:text>
        <x:r>
          <x:t>Research and product development expense. Forecast base costs are driven by revenue and then receive allocated D&amp;A and lease expense. Primary filing value. The original reporting sign and fiscal year are preserved.</x:t>
        </x:r>
      </x:text>
    </x:comment>
    <x:comment ref="E12" authorId="0">
      <x:text>
        <x:r>
          <x:t>rd (FY:17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F12" authorId="0">
      <x:text>
        <x:r>
          <x:t>rd (FY:18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G12" authorId="0">
      <x:text>
        <x:r>
          <x:t>rd (FY:19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H12" authorId="0">
      <x:text>
        <x:r>
          <x:t>rd (FY:20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I12" authorId="0">
      <x:text>
        <x:r>
          <x:t>rd (FY:21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J12" authorId="0">
      <x:text>
        <x:r>
          <x:t>rd (FY:22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K12" authorId="0">
      <x:text>
        <x:r>
          <x:t>rd (FY:23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L12" authorId="0">
      <x:text>
        <x:r>
          <x:t>rd (FY:24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M12" authorId="0">
      <x:text>
        <x:r>
          <x:t>rd (FY:25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N12" authorId="0">
      <x:text>
        <x:r>
          <x:t>rd (FY:26 A).
Research and product development expense. Forecast base costs are driven by revenue and then receive allocated D&amp;A and lease expense. Primary filing value. The original reporting sign and fiscal year are preserved.
Stored input or primary source observation. It is not calculated in this cell.</x:t>
        </x:r>
      </x:text>
    </x:comment>
    <x:comment ref="C13" authorId="0">
      <x:text>
        <x:r>
          <x:t>Selling and marketing expense driven by its revenue-based forecast assumption. Primary filing value. The original reporting sign and fiscal year are preserved.</x:t>
        </x:r>
      </x:text>
    </x:comment>
    <x:comment ref="E13" authorId="0">
      <x:text>
        <x:r>
          <x:t>sales marketing (FY:17 A).
Selling and marketing expense driven by its revenue-based forecast assumption. Primary filing value. The original reporting sign and fiscal year are preserved.
Stored input or primary source observation. It is not calculated in this cell.</x:t>
        </x:r>
      </x:text>
    </x:comment>
    <x:comment ref="F13" authorId="0">
      <x:text>
        <x:r>
          <x:t>sales marketing (FY:18 A).
Selling and marketing expense driven by its revenue-based forecast assumption. Primary filing value. The original reporting sign and fiscal year are preserved.
Stored input or primary source observation. It is not calculated in this cell.</x:t>
        </x:r>
      </x:text>
    </x:comment>
    <x:comment ref="G13" authorId="0">
      <x:text>
        <x:r>
          <x:t>sales marketing (FY:19 A).
Selling and marketing expense driven by its revenue-based forecast assumption. Primary filing value. The original reporting sign and fiscal year are preserved.
Stored input or primary source observation. It is not calculated in this cell.</x:t>
        </x:r>
      </x:text>
    </x:comment>
    <x:comment ref="H13" authorId="0">
      <x:text>
        <x:r>
          <x:t>sales marketing (FY:20 A).
Selling and marketing expense driven by its revenue-based forecast assumption. Primary filing value. The original reporting sign and fiscal year are preserved.
Stored input or primary source observation. It is not calculated in this cell.</x:t>
        </x:r>
      </x:text>
    </x:comment>
    <x:comment ref="I13" authorId="0">
      <x:text>
        <x:r>
          <x:t>sales marketing (FY:21 A).
Selling and marketing expense driven by its revenue-based forecast assumption. Primary filing value. The original reporting sign and fiscal year are preserved.
Stored input or primary source observation. It is not calculated in this cell.</x:t>
        </x:r>
      </x:text>
    </x:comment>
    <x:comment ref="J13" authorId="0">
      <x:text>
        <x:r>
          <x:t>sales marketing (FY:22 A).
Selling and marketing expense driven by its revenue-based forecast assumption. Primary filing value. The original reporting sign and fiscal year are preserved.
Stored input or primary source observation. It is not calculated in this cell.</x:t>
        </x:r>
      </x:text>
    </x:comment>
    <x:comment ref="K13" authorId="0">
      <x:text>
        <x:r>
          <x:t>sales marketing (FY:23 A).
Selling and marketing expense driven by its revenue-based forecast assumption. Primary filing value. The original reporting sign and fiscal year are preserved.
Stored input or primary source observation. It is not calculated in this cell.</x:t>
        </x:r>
      </x:text>
    </x:comment>
    <x:comment ref="L13" authorId="0">
      <x:text>
        <x:r>
          <x:t>sales marketing (FY:24 A).
Selling and marketing expense driven by its revenue-based forecast assumption. Primary filing value. The original reporting sign and fiscal year are preserved.
Stored input or primary source observation. It is not calculated in this cell.</x:t>
        </x:r>
      </x:text>
    </x:comment>
    <x:comment ref="M13" authorId="0">
      <x:text>
        <x:r>
          <x:t>sales marketing (FY:25 A).
Selling and marketing expense driven by its revenue-based forecast assumption. Primary filing value. The original reporting sign and fiscal year are preserved.
Stored input or primary source observation. It is not calculated in this cell.</x:t>
        </x:r>
      </x:text>
    </x:comment>
    <x:comment ref="N13" authorId="0">
      <x:text>
        <x:r>
          <x:t>sales marketing (FY:26 A).
Selling and marketing expense driven by its revenue-based forecast assumption. Primary filing value. The original reporting sign and fiscal year are preserved.
Stored input or primary source observation. It is not calculated in this cell.</x:t>
        </x:r>
      </x:text>
    </x:comment>
    <x:comment ref="C14" authorId="0">
      <x:text>
        <x:r>
          <x:t>Corporate administration expense driven by its revenue-based forecast assumption. Primary filing value. The original reporting sign and fiscal year are preserved.</x:t>
        </x:r>
      </x:text>
    </x:comment>
    <x:comment ref="E14" authorId="0">
      <x:text>
        <x:r>
          <x:t>ga (FY:17 A).
Corporate administration expense driven by its revenue-based forecast assumption. Primary filing value. The original reporting sign and fiscal year are preserved.
Stored input or primary source observation. It is not calculated in this cell.</x:t>
        </x:r>
      </x:text>
    </x:comment>
    <x:comment ref="F14" authorId="0">
      <x:text>
        <x:r>
          <x:t>ga (FY:18 A).
Corporate administration expense driven by its revenue-based forecast assumption. Primary filing value. The original reporting sign and fiscal year are preserved.
Stored input or primary source observation. It is not calculated in this cell.</x:t>
        </x:r>
      </x:text>
    </x:comment>
    <x:comment ref="G14" authorId="0">
      <x:text>
        <x:r>
          <x:t>ga (FY:19 A).
Corporate administration expense driven by its revenue-based forecast assumption. Primary filing value. The original reporting sign and fiscal year are preserved.
Stored input or primary source observation. It is not calculated in this cell.</x:t>
        </x:r>
      </x:text>
    </x:comment>
    <x:comment ref="H14" authorId="0">
      <x:text>
        <x:r>
          <x:t>ga (FY:20 A).
Corporate administration expense driven by its revenue-based forecast assumption. Primary filing value. The original reporting sign and fiscal year are preserved.
Stored input or primary source observation. It is not calculated in this cell.</x:t>
        </x:r>
      </x:text>
    </x:comment>
    <x:comment ref="I14" authorId="0">
      <x:text>
        <x:r>
          <x:t>ga (FY:21 A).
Corporate administration expense driven by its revenue-based forecast assumption. Primary filing value. The original reporting sign and fiscal year are preserved.
Stored input or primary source observation. It is not calculated in this cell.</x:t>
        </x:r>
      </x:text>
    </x:comment>
    <x:comment ref="J14" authorId="0">
      <x:text>
        <x:r>
          <x:t>ga (FY:22 A).
Corporate administration expense driven by its revenue-based forecast assumption. Primary filing value. The original reporting sign and fiscal year are preserved.
Stored input or primary source observation. It is not calculated in this cell.</x:t>
        </x:r>
      </x:text>
    </x:comment>
    <x:comment ref="K14" authorId="0">
      <x:text>
        <x:r>
          <x:t>ga (FY:23 A).
Corporate administration expense driven by its revenue-based forecast assumption. Primary filing value. The original reporting sign and fiscal year are preserved.
Stored input or primary source observation. It is not calculated in this cell.</x:t>
        </x:r>
      </x:text>
    </x:comment>
    <x:comment ref="L14" authorId="0">
      <x:text>
        <x:r>
          <x:t>ga (FY:24 A).
Corporate administration expense driven by its revenue-based forecast assumption. Primary filing value. The original reporting sign and fiscal year are preserved.
Stored input or primary source observation. It is not calculated in this cell.</x:t>
        </x:r>
      </x:text>
    </x:comment>
    <x:comment ref="M14" authorId="0">
      <x:text>
        <x:r>
          <x:t>ga (FY:25 A).
Corporate administration expense driven by its revenue-based forecast assumption. Primary filing value. The original reporting sign and fiscal year are preserved.
Stored input or primary source observation. It is not calculated in this cell.</x:t>
        </x:r>
      </x:text>
    </x:comment>
    <x:comment ref="N14" authorId="0">
      <x:text>
        <x:r>
          <x:t>ga (FY:26 A).
Corporate administration expense driven by its revenue-based forecast assumption. Primary filing value. The original reporting sign and fiscal year are preserved.
Stored input or primary source observation. It is not calculated in this cell.</x:t>
        </x:r>
      </x:text>
    </x:comment>
    <x:comment ref="C15" authorId="0">
      <x:text>
        <x:r>
          <x:t>Gross profit less research and development, sales and marketing, general and administrative costs, and other operating expenses. It excludes nonoperating items and income tax. Primary filing value. The original reporting sign and fiscal year are preserved.</x:t>
        </x:r>
      </x:text>
    </x:comment>
    <x:comment ref="E15" authorId="0">
      <x:text>
        <x:r>
          <x:t>operating income (FY:17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F15" authorId="0">
      <x:text>
        <x:r>
          <x:t>operating income (FY:18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G15" authorId="0">
      <x:text>
        <x:r>
          <x:t>operating income (FY:19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H15" authorId="0">
      <x:text>
        <x:r>
          <x:t>operating income (FY:20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I15" authorId="0">
      <x:text>
        <x:r>
          <x:t>operating income (FY:21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J15" authorId="0">
      <x:text>
        <x:r>
          <x:t>operating income (FY:22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K15" authorId="0">
      <x:text>
        <x:r>
          <x:t>operating income (FY:23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L15" authorId="0">
      <x:text>
        <x:r>
          <x:t>operating income (FY:24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M15" authorId="0">
      <x:text>
        <x:r>
          <x:t>operating income (FY:25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N15" authorId="0">
      <x:text>
        <x:r>
          <x:t>operating income (FY:26 A).
Gross profit less research and development, sales and marketing, general and administrative costs, and other operating expenses. It excludes nonoperating items and income tax. Primary filing value. The original reporting sign and fiscal year are preserved.
Stored input or primary source observation. It is not calculated in this cell.</x:t>
        </x:r>
      </x:text>
    </x:comment>
    <x:comment ref="C16" authorId="0">
      <x:text>
        <x:r>
          <x:t>Net nonoperating items. The forecast uses investment income less recognized interest expense and does not extrapolate FY2026 investment gains. Primary filing value. The original reporting sign and fiscal year are preserved.</x:t>
        </x:r>
      </x:text>
    </x:comment>
    <x:comment ref="E16" authorId="0">
      <x:text>
        <x:r>
          <x:t>other income (FY:17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F16" authorId="0">
      <x:text>
        <x:r>
          <x:t>other income (FY:18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G16" authorId="0">
      <x:text>
        <x:r>
          <x:t>other income (FY:19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H16" authorId="0">
      <x:text>
        <x:r>
          <x:t>other income (FY:20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I16" authorId="0">
      <x:text>
        <x:r>
          <x:t>other income (FY:21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J16" authorId="0">
      <x:text>
        <x:r>
          <x:t>other income (FY:22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K16" authorId="0">
      <x:text>
        <x:r>
          <x:t>other income (FY:23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L16" authorId="0">
      <x:text>
        <x:r>
          <x:t>other income (FY:24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M16" authorId="0">
      <x:text>
        <x:r>
          <x:t>other income (FY:25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N16" authorId="0">
      <x:text>
        <x:r>
          <x:t>other income (FY:26 A).
Net nonoperating items. The forecast uses investment income less recognized interest expense and does not extrapolate FY2026 investment gains. Primary filing value. The original reporting sign and fiscal year are preserved.
Stored input or primary source observation. It is not calculated in this cell.</x:t>
        </x:r>
      </x:text>
    </x:comment>
    <x:comment ref="C17" authorId="0">
      <x:text>
        <x:r>
          <x:t>pretax income. Primary filing observation or disclosed schedule. Keep its original fiscal year, units and reported sign.</x:t>
        </x:r>
      </x:text>
    </x:comment>
    <x:comment ref="E17" authorId="0">
      <x:text>
        <x:r>
          <x:t>pretax income (FY:17 A).
pretax income. Primary filing observation or disclosed schedule. Keep its original fiscal year, units and reported sign.
Stored input or primary source observation. It is not calculated in this cell.</x:t>
        </x:r>
      </x:text>
    </x:comment>
    <x:comment ref="F17" authorId="0">
      <x:text>
        <x:r>
          <x:t>pretax income (FY:18 A).
pretax income. Primary filing observation or disclosed schedule. Keep its original fiscal year, units and reported sign.
Stored input or primary source observation. It is not calculated in this cell.</x:t>
        </x:r>
      </x:text>
    </x:comment>
    <x:comment ref="G17" authorId="0">
      <x:text>
        <x:r>
          <x:t>pretax income (FY:19 A).
pretax income. Primary filing observation or disclosed schedule. Keep its original fiscal year, units and reported sign.
Stored input or primary source observation. It is not calculated in this cell.</x:t>
        </x:r>
      </x:text>
    </x:comment>
    <x:comment ref="H17" authorId="0">
      <x:text>
        <x:r>
          <x:t>pretax income (FY:20 A).
pretax income. Primary filing observation or disclosed schedule. Keep its original fiscal year, units and reported sign.
Stored input or primary source observation. It is not calculated in this cell.</x:t>
        </x:r>
      </x:text>
    </x:comment>
    <x:comment ref="I17" authorId="0">
      <x:text>
        <x:r>
          <x:t>pretax income (FY:21 A).
pretax income. Primary filing observation or disclosed schedule. Keep its original fiscal year, units and reported sign.
Stored input or primary source observation. It is not calculated in this cell.</x:t>
        </x:r>
      </x:text>
    </x:comment>
    <x:comment ref="J17" authorId="0">
      <x:text>
        <x:r>
          <x:t>pretax income (FY:22 A).
pretax income. Primary filing observation or disclosed schedule. Keep its original fiscal year, units and reported sign.
Stored input or primary source observation. It is not calculated in this cell.</x:t>
        </x:r>
      </x:text>
    </x:comment>
    <x:comment ref="K17" authorId="0">
      <x:text>
        <x:r>
          <x:t>pretax income (FY:23 A).
pretax income. Primary filing observation or disclosed schedule. Keep its original fiscal year, units and reported sign.
Stored input or primary source observation. It is not calculated in this cell.</x:t>
        </x:r>
      </x:text>
    </x:comment>
    <x:comment ref="L17" authorId="0">
      <x:text>
        <x:r>
          <x:t>pretax income (FY:24 A).
pretax income. Primary filing observation or disclosed schedule. Keep its original fiscal year, units and reported sign.
Stored input or primary source observation. It is not calculated in this cell.</x:t>
        </x:r>
      </x:text>
    </x:comment>
    <x:comment ref="M17" authorId="0">
      <x:text>
        <x:r>
          <x:t>pretax income (FY:25 A).
pretax income. Primary filing observation or disclosed schedule. Keep its original fiscal year, units and reported sign.
Stored input or primary source observation. It is not calculated in this cell.</x:t>
        </x:r>
      </x:text>
    </x:comment>
    <x:comment ref="N17" authorId="0">
      <x:text>
        <x:r>
          <x:t>pretax income (FY:26 A).
pretax income. Primary filing observation or disclosed schedule. Keep its original fiscal year, units and reported sign.
Stored input or primary source observation. It is not calculated in this cell.</x:t>
        </x:r>
      </x:text>
    </x:comment>
    <x:comment ref="C18" authorId="0">
      <x:text>
        <x:r>
          <x:t>Historical reported tax expense. Forecast income before taxes multiplied by the effective tax-rate assumption. Primary filing value. The original reporting sign and fiscal year are preserved.</x:t>
        </x:r>
      </x:text>
    </x:comment>
    <x:comment ref="E18" authorId="0">
      <x:text>
        <x:r>
          <x:t>income tax (FY:17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F18" authorId="0">
      <x:text>
        <x:r>
          <x:t>income tax (FY:18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G18" authorId="0">
      <x:text>
        <x:r>
          <x:t>income tax (FY:19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H18" authorId="0">
      <x:text>
        <x:r>
          <x:t>income tax (FY:20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I18" authorId="0">
      <x:text>
        <x:r>
          <x:t>income tax (FY:21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J18" authorId="0">
      <x:text>
        <x:r>
          <x:t>income tax (FY:22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K18" authorId="0">
      <x:text>
        <x:r>
          <x:t>income tax (FY:23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L18" authorId="0">
      <x:text>
        <x:r>
          <x:t>income tax (FY:24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M18" authorId="0">
      <x:text>
        <x:r>
          <x:t>income tax (FY:25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N18" authorId="0">
      <x:text>
        <x:r>
          <x:t>income tax (FY:26 A).
Historical reported tax expense. Forecast income before taxes multiplied by the effective tax-rate assumption. Primary filing value. The original reporting sign and fiscal year are preserved.
Stored input or primary source observation. It is not calculated in this cell.</x:t>
        </x:r>
      </x:text>
    </x:comment>
    <x:comment ref="C19" authorId="0">
      <x:text>
        <x:r>
          <x:t>Income before taxes less income tax expense. It includes noncash items, so it differs from operating cash flow. Primary filing value. The original reporting sign and fiscal year are preserved.</x:t>
        </x:r>
      </x:text>
    </x:comment>
    <x:comment ref="E19" authorId="0">
      <x:text>
        <x:r>
          <x:t>net income (FY:17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F19" authorId="0">
      <x:text>
        <x:r>
          <x:t>net income (FY:18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G19" authorId="0">
      <x:text>
        <x:r>
          <x:t>net income (FY:19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H19" authorId="0">
      <x:text>
        <x:r>
          <x:t>net income (FY:20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I19" authorId="0">
      <x:text>
        <x:r>
          <x:t>net income (FY:21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J19" authorId="0">
      <x:text>
        <x:r>
          <x:t>net income (FY:22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K19" authorId="0">
      <x:text>
        <x:r>
          <x:t>net income (FY:23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L19" authorId="0">
      <x:text>
        <x:r>
          <x:t>net income (FY:24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M19" authorId="0">
      <x:text>
        <x:r>
          <x:t>net income (FY:25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N19" authorId="0">
      <x:text>
        <x:r>
          <x:t>net income (FY:26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C20" authorId="0">
      <x:text>
        <x:r>
          <x:t>Net income divided by basic weighted average shares, before dilution from potentially dilutive securities. Primary filing value. The original reporting sign and fiscal year are preserved.</x:t>
        </x:r>
      </x:text>
    </x:comment>
    <x:comment ref="E20" authorId="0">
      <x:text>
        <x:r>
          <x:t>eps basic (FY:17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F20" authorId="0">
      <x:text>
        <x:r>
          <x:t>eps basic (FY:18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G20" authorId="0">
      <x:text>
        <x:r>
          <x:t>eps basic (FY:19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H20" authorId="0">
      <x:text>
        <x:r>
          <x:t>eps basic (FY:20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I20" authorId="0">
      <x:text>
        <x:r>
          <x:t>eps basic (FY:21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J20" authorId="0">
      <x:text>
        <x:r>
          <x:t>eps basic (FY:22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K20" authorId="0">
      <x:text>
        <x:r>
          <x:t>eps basic (FY:23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L20" authorId="0">
      <x:text>
        <x:r>
          <x:t>eps basic (FY:24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M20" authorId="0">
      <x:text>
        <x:r>
          <x:t>eps basic (FY:25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N20" authorId="0">
      <x:text>
        <x:r>
          <x:t>eps basic (FY:26 A).
Net income divided by basic weighted average shares, before dilution from potentially dilutive securities. Primary filing value. The original reporting sign and fiscal year are preserved.
Stored input or primary source observation. It is not calculated in this cell.</x:t>
        </x:r>
      </x:text>
    </x:comment>
    <x:comment ref="C21" authorId="0">
      <x:text>
        <x:r>
          <x:t>Net income divided by diluted weighted average shares. Both numerator and shares are in millions, producing dollars per share. Primary filing value. The original reporting sign and fiscal year are preserved.</x:t>
        </x:r>
      </x:text>
    </x:comment>
    <x:comment ref="E21" authorId="0">
      <x:text>
        <x:r>
          <x:t>eps diluted (FY:17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F21" authorId="0">
      <x:text>
        <x:r>
          <x:t>eps diluted (FY:18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G21" authorId="0">
      <x:text>
        <x:r>
          <x:t>eps diluted (FY:19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H21" authorId="0">
      <x:text>
        <x:r>
          <x:t>eps diluted (FY:20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I21" authorId="0">
      <x:text>
        <x:r>
          <x:t>eps diluted (FY:21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J21" authorId="0">
      <x:text>
        <x:r>
          <x:t>eps diluted (FY:22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K21" authorId="0">
      <x:text>
        <x:r>
          <x:t>eps diluted (FY:23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L21" authorId="0">
      <x:text>
        <x:r>
          <x:t>eps diluted (FY:24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M21" authorId="0">
      <x:text>
        <x:r>
          <x:t>eps diluted (FY:25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N21" authorId="0">
      <x:text>
        <x:r>
          <x:t>eps diluted (FY:26 A).
Net income divided by diluted weighted average shares. Both numerator and shares are in millions, producing dollars per share. Primary filing value. The original reporting sign and fiscal year are preserved.
Stored input or primary source observation. It is not calculated in this cell.</x:t>
        </x:r>
      </x:text>
    </x:comment>
    <x:comment ref="C22" authorId="0">
      <x:text>
        <x:r>
          <x:t>Average shares outstanding during the fiscal year, in millions. This is not the year-end share count. Primary filing value. The original reporting sign and fiscal year are preserved.</x:t>
        </x:r>
      </x:text>
    </x:comment>
    <x:comment ref="E22" authorId="0">
      <x:text>
        <x:r>
          <x:t>shares basic (FY:17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F22" authorId="0">
      <x:text>
        <x:r>
          <x:t>shares basic (FY:18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G22" authorId="0">
      <x:text>
        <x:r>
          <x:t>shares basic (FY:19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H22" authorId="0">
      <x:text>
        <x:r>
          <x:t>shares basic (FY:20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I22" authorId="0">
      <x:text>
        <x:r>
          <x:t>shares basic (FY:21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J22" authorId="0">
      <x:text>
        <x:r>
          <x:t>shares basic (FY:22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K22" authorId="0">
      <x:text>
        <x:r>
          <x:t>shares basic (FY:23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L22" authorId="0">
      <x:text>
        <x:r>
          <x:t>shares basic (FY:24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M22" authorId="0">
      <x:text>
        <x:r>
          <x:t>shares basic (FY:25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N22" authorId="0">
      <x:text>
        <x:r>
          <x:t>shares basic (FY:26 A).
Average shares outstanding during the fiscal year, in millions. This is not the year-end share count. Primary filing value. The original reporting sign and fiscal year are preserved.
Stored input or primary source observation. It is not calculated in this cell.</x:t>
        </x:r>
      </x:text>
    </x:comment>
    <x:comment ref="C23" authorId="0">
      <x:text>
        <x:r>
          <x:t>Weighted average shares including potential dilution, in millions. The forecast uses a separate net-change assumption. Primary filing value. The original reporting sign and fiscal year are preserved.</x:t>
        </x:r>
      </x:text>
    </x:comment>
    <x:comment ref="E23" authorId="0">
      <x:text>
        <x:r>
          <x:t>shares diluted (FY:17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F23" authorId="0">
      <x:text>
        <x:r>
          <x:t>shares diluted (FY:18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G23" authorId="0">
      <x:text>
        <x:r>
          <x:t>shares diluted (FY:19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H23" authorId="0">
      <x:text>
        <x:r>
          <x:t>shares diluted (FY:20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I23" authorId="0">
      <x:text>
        <x:r>
          <x:t>shares diluted (FY:21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J23" authorId="0">
      <x:text>
        <x:r>
          <x:t>shares diluted (FY:22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K23" authorId="0">
      <x:text>
        <x:r>
          <x:t>shares diluted (FY:23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L23" authorId="0">
      <x:text>
        <x:r>
          <x:t>shares diluted (FY:24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M23" authorId="0">
      <x:text>
        <x:r>
          <x:t>shares diluted (FY:25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N23" authorId="0">
      <x:text>
        <x:r>
          <x:t>shares diluted (FY:26 A).
Weighted average shares including potential dilution, in millions. The forecast uses a separate net-change assumption. Primary filing value. The original reporting sign and fiscal year are preserved.
Stored input or primary source observation. It is not calculated in this cell.</x:t>
        </x:r>
      </x:text>
    </x:comment>
    <x:comment ref="C24" authorId="0">
      <x:text>
        <x:r>
          <x:t>Historical reported other operating expenses. No unannounced impairment, integration or restructuring events are forecast. Primary filing value. The original reporting sign and fiscal year are preserved.</x:t>
        </x:r>
      </x:text>
    </x:comment>
    <x:comment ref="E24" authorId="0">
      <x:text>
        <x:r>
          <x:t>other opex (FY:17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F24" authorId="0">
      <x:text>
        <x:r>
          <x:t>other opex (FY:18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G24" authorId="0">
      <x:text>
        <x:r>
          <x:t>other opex (FY:19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H24" authorId="0">
      <x:text>
        <x:r>
          <x:t>other opex (FY:20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I24" authorId="0">
      <x:text>
        <x:r>
          <x:t>other opex (FY:21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J24" authorId="0">
      <x:text>
        <x:r>
          <x:t>other opex (FY:22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K24" authorId="0">
      <x:text>
        <x:r>
          <x:t>other opex (FY:23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L24" authorId="0">
      <x:text>
        <x:r>
          <x:t>other opex (FY:24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M24" authorId="0">
      <x:text>
        <x:r>
          <x:t>other opex (FY:25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N24" authorId="0">
      <x:text>
        <x:r>
          <x:t>other opex (FY:26 A).
Historical reported other operating expenses. No unannounced impairment, integration or restructuring events are forecast. Primary filing value. The original reporting sign and fiscal year are preserved.
Stored input or primary source observation. It is not calculated in this cell.</x:t>
        </x:r>
      </x:text>
    </x:comment>
    <x:comment ref="C28" authorId="0">
      <x:text>
        <x:r>
          <x:t>Cash balance or signed cash flow as named in the row. Positive cash-flow amounts are inflows and negative amounts are outflows. Follow the formula or source reference below for the classification.</x:t>
        </x:r>
      </x:text>
    </x:comment>
    <x:comment ref="E28" authorId="0">
      <x:text>
        <x:r>
          <x:t>cash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28" authorId="0">
      <x:text>
        <x:r>
          <x:t>cash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28" authorId="0">
      <x:text>
        <x:r>
          <x:t>cash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28" authorId="0">
      <x:text>
        <x:r>
          <x:t>cash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28" authorId="0">
      <x:text>
        <x:r>
          <x:t>cash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28" authorId="0">
      <x:text>
        <x:r>
          <x:t>cash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28" authorId="0">
      <x:text>
        <x:r>
          <x:t>cash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28" authorId="0">
      <x:text>
        <x:r>
          <x:t>cash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28" authorId="0">
      <x:text>
        <x:r>
          <x:t>cash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28" authorId="0">
      <x:text>
        <x:r>
          <x:t>cash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29" authorId="0">
      <x:text>
        <x:r>
          <x:t>Investment reserve separate from cash. The forecast follows planned growth and the minimum reserve, liquidating eligible balances before liquidity borrowing. Primary filing value. The original reporting sign and fiscal year are preserved.</x:t>
        </x:r>
      </x:text>
    </x:comment>
    <x:comment ref="E29" authorId="0">
      <x:text>
        <x:r>
          <x:t>st investments (FY:17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F29" authorId="0">
      <x:text>
        <x:r>
          <x:t>st investments (FY:18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G29" authorId="0">
      <x:text>
        <x:r>
          <x:t>st investments (FY:19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H29" authorId="0">
      <x:text>
        <x:r>
          <x:t>st investments (FY:20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I29" authorId="0">
      <x:text>
        <x:r>
          <x:t>st investments (FY:21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J29" authorId="0">
      <x:text>
        <x:r>
          <x:t>st investments (FY:22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K29" authorId="0">
      <x:text>
        <x:r>
          <x:t>st investments (FY:23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L29" authorId="0">
      <x:text>
        <x:r>
          <x:t>st investments (FY:24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M29" authorId="0">
      <x:text>
        <x:r>
          <x:t>st investments (FY:25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N29" authorId="0">
      <x:text>
        <x:r>
          <x:t>st investments (FY:26 A).
Investment reserve separate from cash. The forecast follows planned growth and the minimum reserve, liquidating eligible balances before liquidity borrowing. Primary filing value. The original reporting sign and fiscal year are preserved.
Stored input or primary source observation. It is not calculated in this cell.</x:t>
        </x:r>
      </x:text>
    </x:comment>
    <x:comment ref="C30" authorId="0">
      <x:text>
        <x:r>
          <x:t>Cash and cash equivalents plus short-term investments. This is a liquidity measure, not total corporate cash resources. Primary filing value. The original reporting sign and fiscal year are preserved.</x:t>
        </x:r>
      </x:text>
    </x:comment>
    <x:comment ref="E30" authorId="0">
      <x:text>
        <x:r>
          <x:t>liquid assets (FY:17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F30" authorId="0">
      <x:text>
        <x:r>
          <x:t>liquid assets (FY:18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G30" authorId="0">
      <x:text>
        <x:r>
          <x:t>liquid assets (FY:19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H30" authorId="0">
      <x:text>
        <x:r>
          <x:t>liquid assets (FY:20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I30" authorId="0">
      <x:text>
        <x:r>
          <x:t>liquid assets (FY:21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J30" authorId="0">
      <x:text>
        <x:r>
          <x:t>liquid assets (FY:22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K30" authorId="0">
      <x:text>
        <x:r>
          <x:t>liquid assets (FY:23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L30" authorId="0">
      <x:text>
        <x:r>
          <x:t>liquid assets (FY:24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M30" authorId="0">
      <x:text>
        <x:r>
          <x:t>liquid assets (FY:25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N30" authorId="0">
      <x:text>
        <x:r>
          <x:t>liquid assets (FY:26 A).
Cash and cash equivalents plus short-term investments. This is a liquidity measure, not total corporate cash resources. Primary filing value. The original reporting sign and fiscal year are preserved.
Stored input or primary source observation. It is not calculated in this cell.</x:t>
        </x:r>
      </x:text>
    </x:comment>
    <x:comment ref="C31" authorId="0">
      <x:text>
        <x:r>
          <x:t>Amounts owed by customers after allowances. Forecast receivables equal annual revenue times receivable days divided by 365. Higher balances consume operating cash. Primary filing value. The original reporting sign and fiscal year are preserved.</x:t>
        </x:r>
      </x:text>
    </x:comment>
    <x:comment ref="E31" authorId="0">
      <x:text>
        <x:r>
          <x:t>receivables (FY:17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F31" authorId="0">
      <x:text>
        <x:r>
          <x:t>receivables (FY:18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G31" authorId="0">
      <x:text>
        <x:r>
          <x:t>receivables (FY:19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H31" authorId="0">
      <x:text>
        <x:r>
          <x:t>receivables (FY:20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I31" authorId="0">
      <x:text>
        <x:r>
          <x:t>receivables (FY:21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J31" authorId="0">
      <x:text>
        <x:r>
          <x:t>receivables (FY:22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K31" authorId="0">
      <x:text>
        <x:r>
          <x:t>receivables (FY:23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L31" authorId="0">
      <x:text>
        <x:r>
          <x:t>receivables (FY:24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M31" authorId="0">
      <x:text>
        <x:r>
          <x:t>receivables (FY:25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N31" authorId="0">
      <x:text>
        <x:r>
          <x:t>receivables (FY:26 A).
Amounts owed by customers after allowances. Forecast receivables equal annual revenue times receivable days divided by 365. Higher balances consume operating cash. Primary filing value. The original reporting sign and fiscal year are preserved.
Stored input or primary source observation. It is not calculated in this cell.</x:t>
        </x:r>
      </x:text>
    </x:comment>
    <x:comment ref="C32" authorId="0">
      <x:text>
        <x:r>
          <x:t>Products and materials held for sale or use. Forecast inventory equals cost of revenue times inventory days divided by 365. Primary filing value. The original reporting sign and fiscal year are preserved.</x:t>
        </x:r>
      </x:text>
    </x:comment>
    <x:comment ref="E32" authorId="0">
      <x:text>
        <x:r>
          <x:t>inventory (FY:17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F32" authorId="0">
      <x:text>
        <x:r>
          <x:t>inventory (FY:18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G32" authorId="0">
      <x:text>
        <x:r>
          <x:t>inventory (FY:19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H32" authorId="0">
      <x:text>
        <x:r>
          <x:t>inventory (FY:20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I32" authorId="0">
      <x:text>
        <x:r>
          <x:t>inventory (FY:21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J32" authorId="0">
      <x:text>
        <x:r>
          <x:t>inventory (FY:22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K32" authorId="0">
      <x:text>
        <x:r>
          <x:t>inventory (FY:23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L32" authorId="0">
      <x:text>
        <x:r>
          <x:t>inventory (FY:24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M32" authorId="0">
      <x:text>
        <x:r>
          <x:t>inventory (FY:25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N32" authorId="0">
      <x:text>
        <x:r>
          <x:t>inventory (FY:26 A).
Products and materials held for sale or use. Forecast inventory equals cost of revenue times inventory days divided by 365. Primary filing value. The original reporting sign and fiscal year are preserved.
Stored input or primary source observation. It is not calculated in this cell.</x:t>
        </x:r>
      </x:text>
    </x:comment>
    <x:comment ref="C33" authorId="0">
      <x:text>
        <x:r>
          <x:t>Other short-term operating assets as reported. Forecast balances use a revenue-based planning ratio and their increases consume operating cash. Primary filing value. The original reporting sign and fiscal year are preserved.</x:t>
        </x:r>
      </x:text>
    </x:comment>
    <x:comment ref="E33" authorId="0">
      <x:text>
        <x:r>
          <x:t>other current assets (FY:17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F33" authorId="0">
      <x:text>
        <x:r>
          <x:t>other current assets (FY:18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G33" authorId="0">
      <x:text>
        <x:r>
          <x:t>other current assets (FY:19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H33" authorId="0">
      <x:text>
        <x:r>
          <x:t>other current assets (FY:20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I33" authorId="0">
      <x:text>
        <x:r>
          <x:t>other current assets (FY:21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J33" authorId="0">
      <x:text>
        <x:r>
          <x:t>other current assets (FY:22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K33" authorId="0">
      <x:text>
        <x:r>
          <x:t>other current assets (FY:23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L33" authorId="0">
      <x:text>
        <x:r>
          <x:t>other current assets (FY:24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M33" authorId="0">
      <x:text>
        <x:r>
          <x:t>other current assets (FY:25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N33" authorId="0">
      <x:text>
        <x:r>
          <x:t>other current assets (FY:26 A).
Other short-term operating assets as reported. Forecast balances use a revenue-based planning ratio and their increases consume operating cash. Primary filing value. The original reporting sign and fiscal year are preserved.
Stored input or primary source observation. It is not calculated in this cell.</x:t>
        </x:r>
      </x:text>
    </x:comment>
    <x:comment ref="C34" authorId="0">
      <x:text>
        <x:r>
          <x:t>Cash, short-term investments, receivables, inventory and other current assets. Amounts expected to be available or used within the operating cycle. Primary filing value. The original reporting sign and fiscal year are preserved.</x:t>
        </x:r>
      </x:text>
    </x:comment>
    <x:comment ref="E34" authorId="0">
      <x:text>
        <x:r>
          <x:t>current assets (FY:17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F34" authorId="0">
      <x:text>
        <x:r>
          <x:t>current assets (FY:18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G34" authorId="0">
      <x:text>
        <x:r>
          <x:t>current assets (FY:19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H34" authorId="0">
      <x:text>
        <x:r>
          <x:t>current assets (FY:20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I34" authorId="0">
      <x:text>
        <x:r>
          <x:t>current assets (FY:21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J34" authorId="0">
      <x:text>
        <x:r>
          <x:t>current assets (FY:22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K34" authorId="0">
      <x:text>
        <x:r>
          <x:t>current assets (FY:23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L34" authorId="0">
      <x:text>
        <x:r>
          <x:t>current assets (FY:24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M34" authorId="0">
      <x:text>
        <x:r>
          <x:t>current assets (FY:25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N34" authorId="0">
      <x:text>
        <x:r>
          <x:t>current assets (FY:26 A).
Cash, short-term investments, receivables, inventory and other current assets. Amounts expected to be available or used within the operating cycle. Primary filing value. The original reporting sign and fiscal year are preserved.
Stored input or primary source observation. It is not calculated in this cell.</x:t>
        </x:r>
      </x:text>
    </x:comment>
    <x:comment ref="C35" authorId="0">
      <x:text>
        <x:r>
          <x:t>Gross PPE less accumulated depreciation. Forecast net PPE follows additions and annual depreciation cohorts. Primary filing value. The original reporting sign and fiscal year are preserved.</x:t>
        </x:r>
      </x:text>
    </x:comment>
    <x:comment ref="E35" authorId="0">
      <x:text>
        <x:r>
          <x:t>ppe (FY:17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F35" authorId="0">
      <x:text>
        <x:r>
          <x:t>ppe (FY:18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G35" authorId="0">
      <x:text>
        <x:r>
          <x:t>ppe (FY:19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H35" authorId="0">
      <x:text>
        <x:r>
          <x:t>ppe (FY:20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I35" authorId="0">
      <x:text>
        <x:r>
          <x:t>ppe (FY:21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J35" authorId="0">
      <x:text>
        <x:r>
          <x:t>ppe (FY:22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K35" authorId="0">
      <x:text>
        <x:r>
          <x:t>ppe (FY:23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L35" authorId="0">
      <x:text>
        <x:r>
          <x:t>ppe (FY:24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M35" authorId="0">
      <x:text>
        <x:r>
          <x:t>ppe (FY:25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N35" authorId="0">
      <x:text>
        <x:r>
          <x:t>ppe (FY:26 A).
Gross PPE less accumulated depreciation. Forecast net PPE follows additions and annual depreciation cohorts. Primary filing value. The original reporting sign and fiscal year are preserved.
Stored input or primary source observation. It is not calculated in this cell.</x:t>
        </x:r>
      </x:text>
    </x:comment>
    <x:comment ref="C36" authorId="0">
      <x:text>
        <x:r>
          <x:t>Assets representing rights to use property under operating leases. Forecast carrying amounts follow legacy amortization and new lease additions. Primary filing value. The original reporting sign and fiscal year are preserved.</x:t>
        </x:r>
      </x:text>
    </x:comment>
    <x:comment ref="E36" authorId="0">
      <x:text>
        <x:r>
          <x:t>op rou (FY:17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F36" authorId="0">
      <x:text>
        <x:r>
          <x:t>op rou (FY:18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G36" authorId="0">
      <x:text>
        <x:r>
          <x:t>op rou (FY:19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H36" authorId="0">
      <x:text>
        <x:r>
          <x:t>op rou (FY:20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I36" authorId="0">
      <x:text>
        <x:r>
          <x:t>op rou (FY:21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J36" authorId="0">
      <x:text>
        <x:r>
          <x:t>op rou (FY:22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K36" authorId="0">
      <x:text>
        <x:r>
          <x:t>op rou (FY:23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L36" authorId="0">
      <x:text>
        <x:r>
          <x:t>op rou (FY:24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M36" authorId="0">
      <x:text>
        <x:r>
          <x:t>op rou (FY:25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N36" authorId="0">
      <x:text>
        <x:r>
          <x:t>op rou (FY:26 A).
Assets representing rights to use property under operating leases. Forecast carrying amounts follow legacy amortization and new lease additions. Primary filing value. The original reporting sign and fiscal year are preserved.
Stored input or primary source observation. It is not calculated in this cell.</x:t>
        </x:r>
      </x:text>
    </x:comment>
    <x:comment ref="C37" authorId="0">
      <x:text>
        <x:r>
          <x:t>Noncurrent equity and other investments. The forecast increases the opening balance by the assumed cash purchases without unrealized valuation gains. Primary filing value. The original reporting sign and fiscal year are preserved.</x:t>
        </x:r>
      </x:text>
    </x:comment>
    <x:comment ref="E37" authorId="0">
      <x:text>
        <x:r>
          <x:t>equity investments (FY:17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F37" authorId="0">
      <x:text>
        <x:r>
          <x:t>equity investments (FY:18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G37" authorId="0">
      <x:text>
        <x:r>
          <x:t>equity investments (FY:19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H37" authorId="0">
      <x:text>
        <x:r>
          <x:t>equity investments (FY:20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I37" authorId="0">
      <x:text>
        <x:r>
          <x:t>equity investments (FY:21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J37" authorId="0">
      <x:text>
        <x:r>
          <x:t>equity investments (FY:22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K37" authorId="0">
      <x:text>
        <x:r>
          <x:t>equity investments (FY:23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L37" authorId="0">
      <x:text>
        <x:r>
          <x:t>equity investments (FY:24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M37" authorId="0">
      <x:text>
        <x:r>
          <x:t>equity investments (FY:25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N37" authorId="0">
      <x:text>
        <x:r>
          <x:t>equity investments (FY:26 A).
Noncurrent equity and other investments. The forecast increases the opening balance by the assumed cash purchases without unrealized valuation gains. Primary filing value. The original reporting sign and fiscal year are preserved.
Stored input or primary source observation. It is not calculated in this cell.</x:t>
        </x:r>
      </x:text>
    </x:comment>
    <x:comment ref="C38" authorId="0">
      <x:text>
        <x:r>
          <x:t>Acquisition-related asset recognized when purchase consideration exceeds identifiable net assets. Held constant in the forecast because no unannounced acquisitions or impairments are assumed. Primary filing value. The original reporting sign and fiscal year are preserved.</x:t>
        </x:r>
      </x:text>
    </x:comment>
    <x:comment ref="E38" authorId="0">
      <x:text>
        <x:r>
          <x:t>goodwill (FY:17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F38" authorId="0">
      <x:text>
        <x:r>
          <x:t>goodwill (FY:18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G38" authorId="0">
      <x:text>
        <x:r>
          <x:t>goodwill (FY:19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H38" authorId="0">
      <x:text>
        <x:r>
          <x:t>goodwill (FY:20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I38" authorId="0">
      <x:text>
        <x:r>
          <x:t>goodwill (FY:21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J38" authorId="0">
      <x:text>
        <x:r>
          <x:t>goodwill (FY:22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K38" authorId="0">
      <x:text>
        <x:r>
          <x:t>goodwill (FY:23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L38" authorId="0">
      <x:text>
        <x:r>
          <x:t>goodwill (FY:24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M38" authorId="0">
      <x:text>
        <x:r>
          <x:t>goodwill (FY:25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N38" authorId="0">
      <x:text>
        <x:r>
          <x:t>goodwill (FY:26 A).
Acquisition-related asset recognized when purchase consideration exceeds identifiable net assets. Held constant in the forecast because no unannounced acquisitions or impairments are assumed. Primary filing value. The original reporting sign and fiscal year are preserved.
Stored input or primary source observation. It is not calculated in this cell.</x:t>
        </x:r>
      </x:text>
    </x:comment>
    <x:comment ref="C39" authorId="0">
      <x:text>
        <x:r>
          <x:t>Identifiable intangible assets after accumulated amortization. The forecast follows the disclosed amortization schedule without unannounced acquisitions. Primary filing value. The original reporting sign and fiscal year are preserved.</x:t>
        </x:r>
      </x:text>
    </x:comment>
    <x:comment ref="E39" authorId="0">
      <x:text>
        <x:r>
          <x:t>intangibles (FY:17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F39" authorId="0">
      <x:text>
        <x:r>
          <x:t>intangibles (FY:18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G39" authorId="0">
      <x:text>
        <x:r>
          <x:t>intangibles (FY:19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H39" authorId="0">
      <x:text>
        <x:r>
          <x:t>intangibles (FY:20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I39" authorId="0">
      <x:text>
        <x:r>
          <x:t>intangibles (FY:21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J39" authorId="0">
      <x:text>
        <x:r>
          <x:t>intangibles (FY:22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K39" authorId="0">
      <x:text>
        <x:r>
          <x:t>intangibles (FY:23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L39" authorId="0">
      <x:text>
        <x:r>
          <x:t>intangibles (FY:24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M39" authorId="0">
      <x:text>
        <x:r>
          <x:t>intangibles (FY:25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N39" authorId="0">
      <x:text>
        <x:r>
          <x:t>intangibles (FY:26 A).
Identifiable intangible assets after accumulated amortization. The forecast follows the disclosed amortization schedule without unannounced acquisitions. Primary filing value. The original reporting sign and fiscal year are preserved.
Stored input or primary source observation. It is not calculated in this cell.</x:t>
        </x:r>
      </x:text>
    </x:comment>
    <x:comment ref="C40" authorId="0">
      <x:text>
        <x:r>
          <x:t>Other noncurrent assets as reported. Forecast balances use a revenue-based planning ratio and their changes affect the operating cash reconciliation. Primary filing value. The original reporting sign and fiscal year are preserved.</x:t>
        </x:r>
      </x:text>
    </x:comment>
    <x:comment ref="E40" authorId="0">
      <x:text>
        <x:r>
          <x:t>other lt assets (FY:17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F40" authorId="0">
      <x:text>
        <x:r>
          <x:t>other lt assets (FY:18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G40" authorId="0">
      <x:text>
        <x:r>
          <x:t>other lt assets (FY:19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H40" authorId="0">
      <x:text>
        <x:r>
          <x:t>other lt assets (FY:20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I40" authorId="0">
      <x:text>
        <x:r>
          <x:t>other lt assets (FY:21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J40" authorId="0">
      <x:text>
        <x:r>
          <x:t>other lt assets (FY:22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K40" authorId="0">
      <x:text>
        <x:r>
          <x:t>other lt assets (FY:23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L40" authorId="0">
      <x:text>
        <x:r>
          <x:t>other lt assets (FY:24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M40" authorId="0">
      <x:text>
        <x:r>
          <x:t>other lt assets (FY:25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N40" authorId="0">
      <x:text>
        <x:r>
          <x:t>other lt assets (FY:26 A).
Other noncurrent assets as reported. Forecast balances use a revenue-based planning ratio and their changes affect the operating cash reconciliation. Primary filing value. The original reporting sign and fiscal year are preserved.
Stored input or primary source observation. It is not calculated in this cell.</x:t>
        </x:r>
      </x:text>
    </x:comment>
    <x:comment ref="C41" authorId="0">
      <x:text>
        <x:r>
          <x:t>Current assets plus PPE, lease assets, investments, goodwill, intangibles and other long-term assets. A year-end balance, not an annual cash-flow amount. Primary filing value. The original reporting sign and fiscal year are preserved.</x:t>
        </x:r>
      </x:text>
    </x:comment>
    <x:comment ref="E41" authorId="0">
      <x:text>
        <x:r>
          <x:t>total assets (FY:17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F41" authorId="0">
      <x:text>
        <x:r>
          <x:t>total assets (FY:18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G41" authorId="0">
      <x:text>
        <x:r>
          <x:t>total assets (FY:19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H41" authorId="0">
      <x:text>
        <x:r>
          <x:t>total assets (FY:20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I41" authorId="0">
      <x:text>
        <x:r>
          <x:t>total assets (FY:21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J41" authorId="0">
      <x:text>
        <x:r>
          <x:t>total assets (FY:22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K41" authorId="0">
      <x:text>
        <x:r>
          <x:t>total assets (FY:23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L41" authorId="0">
      <x:text>
        <x:r>
          <x:t>total assets (FY:24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M41" authorId="0">
      <x:text>
        <x:r>
          <x:t>total assets (FY:25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N41" authorId="0">
      <x:text>
        <x:r>
          <x:t>total assets (FY:26 A).
Current assets plus PPE, lease assets, investments, goodwill, intangibles and other long-term assets. A year-end balance, not an annual cash-flow amount. Primary filing value. The original reporting sign and fiscal year are preserved.
Stored input or primary source observation. It is not calculated in this cell.</x:t>
        </x:r>
      </x:text>
    </x:comment>
    <x:comment ref="C42" authorId="0">
      <x:text>
        <x:r>
          <x:t>Amounts owed to suppliers, including disclosed capital expenditure payables. The forecast separates operating payables from capital payables before deriving CFO. Primary filing value. The original reporting sign and fiscal year are preserved.</x:t>
        </x:r>
      </x:text>
    </x:comment>
    <x:comment ref="E42" authorId="0">
      <x:text>
        <x:r>
          <x:t>payables (FY:17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F42" authorId="0">
      <x:text>
        <x:r>
          <x:t>payables (FY:18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G42" authorId="0">
      <x:text>
        <x:r>
          <x:t>payables (FY:19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H42" authorId="0">
      <x:text>
        <x:r>
          <x:t>payables (FY:20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I42" authorId="0">
      <x:text>
        <x:r>
          <x:t>payables (FY:21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J42" authorId="0">
      <x:text>
        <x:r>
          <x:t>payables (FY:22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K42" authorId="0">
      <x:text>
        <x:r>
          <x:t>payables (FY:23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L42" authorId="0">
      <x:text>
        <x:r>
          <x:t>payables (FY:24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M42" authorId="0">
      <x:text>
        <x:r>
          <x:t>payables (FY:25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N42" authorId="0">
      <x:text>
        <x:r>
          <x:t>payables (FY:26 A).
Amounts owed to suppliers, including disclosed capital expenditure payables. The forecast separates operating payables from capital payables before deriving CFO. Primary filing value. The original reporting sign and fiscal year are preserved.
Stored input or primary source observation. It is not calculated in this cell.</x:t>
        </x:r>
      </x:text>
    </x:comment>
    <x:comment ref="C43" authorId="0">
      <x:text>
        <x:r>
          <x:t>Debt carrying amount classified as due within the next year. The schedule applies contractual principal timing and the relevant book adjustments. Primary filing value. The original reporting sign and fiscal year are preserved.</x:t>
        </x:r>
      </x:text>
    </x:comment>
    <x:comment ref="E43" authorId="0">
      <x:text>
        <x:r>
          <x:t>current debt (FY:17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F43" authorId="0">
      <x:text>
        <x:r>
          <x:t>current debt (FY:18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G43" authorId="0">
      <x:text>
        <x:r>
          <x:t>current debt (FY:19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H43" authorId="0">
      <x:text>
        <x:r>
          <x:t>current debt (FY:20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I43" authorId="0">
      <x:text>
        <x:r>
          <x:t>current debt (FY:21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J43" authorId="0">
      <x:text>
        <x:r>
          <x:t>current debt (FY:22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K43" authorId="0">
      <x:text>
        <x:r>
          <x:t>current debt (FY:23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L43" authorId="0">
      <x:text>
        <x:r>
          <x:t>current debt (FY:24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M43" authorId="0">
      <x:text>
        <x:r>
          <x:t>current debt (FY:25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N43" authorId="0">
      <x:text>
        <x:r>
          <x:t>current debt (FY:26 A).
Debt carrying amount classified as due within the next year. The schedule applies contractual principal timing and the relevant book adjustments. Primary filing value. The original reporting sign and fiscal year are preserved.
Stored input or primary source observation. It is not calculated in this cell.</x:t>
        </x:r>
      </x:text>
    </x:comment>
    <x:comment ref="C44" authorId="0">
      <x:text>
        <x:r>
          <x:t>Employee compensation owed but not yet paid. The forecast uses a revenue-based planning ratio; increases can provide an operating cash timing benefit. Primary filing value. The original reporting sign and fiscal year are preserved.</x:t>
        </x:r>
      </x:text>
    </x:comment>
    <x:comment ref="E44" authorId="0">
      <x:text>
        <x:r>
          <x:t>compensation (FY:17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F44" authorId="0">
      <x:text>
        <x:r>
          <x:t>compensation (FY:18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G44" authorId="0">
      <x:text>
        <x:r>
          <x:t>compensation (FY:19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H44" authorId="0">
      <x:text>
        <x:r>
          <x:t>compensation (FY:20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I44" authorId="0">
      <x:text>
        <x:r>
          <x:t>compensation (FY:21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J44" authorId="0">
      <x:text>
        <x:r>
          <x:t>compensation (FY:22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K44" authorId="0">
      <x:text>
        <x:r>
          <x:t>compensation (FY:23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L44" authorId="0">
      <x:text>
        <x:r>
          <x:t>compensation (FY:24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M44" authorId="0">
      <x:text>
        <x:r>
          <x:t>compensation (FY:25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N44" authorId="0">
      <x:text>
        <x:r>
          <x:t>compensation (FY:26 A).
Employee compensation owed but not yet paid. The forecast uses a revenue-based planning ratio; increases can provide an operating cash timing benefit. Primary filing value. The original reporting sign and fiscal year are preserved.
Stored input or primary source observation. It is not calculated in this cell.</x:t>
        </x:r>
      </x:text>
    </x:comment>
    <x:comment ref="C45" authorId="0">
      <x:text>
        <x:r>
          <x:t>current tax. Primary filing observation or disclosed schedule. Keep its original fiscal year, units and reported sign.</x:t>
        </x:r>
      </x:text>
    </x:comment>
    <x:comment ref="E45" authorId="0">
      <x:text>
        <x:r>
          <x:t>current tax (FY:17 A).
current tax. Primary filing observation or disclosed schedule. Keep its original fiscal year, units and reported sign.
Stored input or primary source observation. It is not calculated in this cell.</x:t>
        </x:r>
      </x:text>
    </x:comment>
    <x:comment ref="F45" authorId="0">
      <x:text>
        <x:r>
          <x:t>current tax (FY:18 A).
current tax. Primary filing observation or disclosed schedule. Keep its original fiscal year, units and reported sign.
Stored input or primary source observation. It is not calculated in this cell.</x:t>
        </x:r>
      </x:text>
    </x:comment>
    <x:comment ref="G45" authorId="0">
      <x:text>
        <x:r>
          <x:t>current tax (FY:19 A).
current tax. Primary filing observation or disclosed schedule. Keep its original fiscal year, units and reported sign.
Stored input or primary source observation. It is not calculated in this cell.</x:t>
        </x:r>
      </x:text>
    </x:comment>
    <x:comment ref="H45" authorId="0">
      <x:text>
        <x:r>
          <x:t>current tax (FY:20 A).
current tax. Primary filing observation or disclosed schedule. Keep its original fiscal year, units and reported sign.
Stored input or primary source observation. It is not calculated in this cell.</x:t>
        </x:r>
      </x:text>
    </x:comment>
    <x:comment ref="I45" authorId="0">
      <x:text>
        <x:r>
          <x:t>current tax (FY:21 A).
current tax. Primary filing observation or disclosed schedule. Keep its original fiscal year, units and reported sign.
Stored input or primary source observation. It is not calculated in this cell.</x:t>
        </x:r>
      </x:text>
    </x:comment>
    <x:comment ref="J45" authorId="0">
      <x:text>
        <x:r>
          <x:t>current tax (FY:22 A).
current tax. Primary filing observation or disclosed schedule. Keep its original fiscal year, units and reported sign.
Stored input or primary source observation. It is not calculated in this cell.</x:t>
        </x:r>
      </x:text>
    </x:comment>
    <x:comment ref="K45" authorId="0">
      <x:text>
        <x:r>
          <x:t>current tax (FY:23 A).
current tax. Primary filing observation or disclosed schedule. Keep its original fiscal year, units and reported sign.
Stored input or primary source observation. It is not calculated in this cell.</x:t>
        </x:r>
      </x:text>
    </x:comment>
    <x:comment ref="L45" authorId="0">
      <x:text>
        <x:r>
          <x:t>current tax (FY:24 A).
current tax. Primary filing observation or disclosed schedule. Keep its original fiscal year, units and reported sign.
Stored input or primary source observation. It is not calculated in this cell.</x:t>
        </x:r>
      </x:text>
    </x:comment>
    <x:comment ref="M45" authorId="0">
      <x:text>
        <x:r>
          <x:t>current tax (FY:25 A).
current tax. Primary filing observation or disclosed schedule. Keep its original fiscal year, units and reported sign.
Stored input or primary source observation. It is not calculated in this cell.</x:t>
        </x:r>
      </x:text>
    </x:comment>
    <x:comment ref="N45" authorId="0">
      <x:text>
        <x:r>
          <x:t>current tax (FY:26 A).
current tax. Primary filing observation or disclosed schedule. Keep its original fiscal year, units and reported sign.
Stored input or primary source observation. It is not calculated in this cell.</x:t>
        </x:r>
      </x:text>
    </x:comment>
    <x:comment ref="C46" authorId="0">
      <x:text>
        <x:r>
          <x:t>Customer payments billed or received before revenue recognition. Forecast balances use revenue-based planning ratios. Increases in the operating liability can provide operating cash.</x:t>
        </x:r>
      </x:text>
    </x:comment>
    <x:comment ref="E46" authorId="0">
      <x:text>
        <x:r>
          <x:t>current deferred rev (FY:17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F46" authorId="0">
      <x:text>
        <x:r>
          <x:t>current deferred rev (FY:18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G46" authorId="0">
      <x:text>
        <x:r>
          <x:t>current deferred rev (FY:19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H46" authorId="0">
      <x:text>
        <x:r>
          <x:t>current deferred rev (FY:20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I46" authorId="0">
      <x:text>
        <x:r>
          <x:t>current deferred rev (FY:21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J46" authorId="0">
      <x:text>
        <x:r>
          <x:t>current deferred rev (FY:22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K46" authorId="0">
      <x:text>
        <x:r>
          <x:t>current deferred rev (FY:23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L46" authorId="0">
      <x:text>
        <x:r>
          <x:t>current deferred rev (FY:24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M46" authorId="0">
      <x:text>
        <x:r>
          <x:t>current deferred rev (FY:25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N46" authorId="0">
      <x:text>
        <x:r>
          <x:t>current deferred rev (FY:26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C47" authorId="0">
      <x:text>
        <x:r>
          <x:t>other current liab. Primary filing observation or disclosed schedule. Keep its original fiscal year, units and reported sign.</x:t>
        </x:r>
      </x:text>
    </x:comment>
    <x:comment ref="E47" authorId="0">
      <x:text>
        <x:r>
          <x:t>other current liab (FY:17 A).
other current liab. Primary filing observation or disclosed schedule. Keep its original fiscal year, units and reported sign.
Stored input or primary source observation. It is not calculated in this cell.</x:t>
        </x:r>
      </x:text>
    </x:comment>
    <x:comment ref="F47" authorId="0">
      <x:text>
        <x:r>
          <x:t>other current liab (FY:18 A).
other current liab. Primary filing observation or disclosed schedule. Keep its original fiscal year, units and reported sign.
Stored input or primary source observation. It is not calculated in this cell.</x:t>
        </x:r>
      </x:text>
    </x:comment>
    <x:comment ref="G47" authorId="0">
      <x:text>
        <x:r>
          <x:t>other current liab (FY:19 A).
other current liab. Primary filing observation or disclosed schedule. Keep its original fiscal year, units and reported sign.
Stored input or primary source observation. It is not calculated in this cell.</x:t>
        </x:r>
      </x:text>
    </x:comment>
    <x:comment ref="H47" authorId="0">
      <x:text>
        <x:r>
          <x:t>other current liab (FY:20 A).
other current liab. Primary filing observation or disclosed schedule. Keep its original fiscal year, units and reported sign.
Stored input or primary source observation. It is not calculated in this cell.</x:t>
        </x:r>
      </x:text>
    </x:comment>
    <x:comment ref="I47" authorId="0">
      <x:text>
        <x:r>
          <x:t>other current liab (FY:21 A).
other current liab. Primary filing observation or disclosed schedule. Keep its original fiscal year, units and reported sign.
Stored input or primary source observation. It is not calculated in this cell.</x:t>
        </x:r>
      </x:text>
    </x:comment>
    <x:comment ref="J47" authorId="0">
      <x:text>
        <x:r>
          <x:t>other current liab (FY:22 A).
other current liab. Primary filing observation or disclosed schedule. Keep its original fiscal year, units and reported sign.
Stored input or primary source observation. It is not calculated in this cell.</x:t>
        </x:r>
      </x:text>
    </x:comment>
    <x:comment ref="K47" authorId="0">
      <x:text>
        <x:r>
          <x:t>other current liab (FY:23 A).
other current liab. Primary filing observation or disclosed schedule. Keep its original fiscal year, units and reported sign.
Stored input or primary source observation. It is not calculated in this cell.</x:t>
        </x:r>
      </x:text>
    </x:comment>
    <x:comment ref="L47" authorId="0">
      <x:text>
        <x:r>
          <x:t>other current liab (FY:24 A).
other current liab. Primary filing observation or disclosed schedule. Keep its original fiscal year, units and reported sign.
Stored input or primary source observation. It is not calculated in this cell.</x:t>
        </x:r>
      </x:text>
    </x:comment>
    <x:comment ref="M47" authorId="0">
      <x:text>
        <x:r>
          <x:t>other current liab (FY:25 A).
other current liab. Primary filing observation or disclosed schedule. Keep its original fiscal year, units and reported sign.
Stored input or primary source observation. It is not calculated in this cell.</x:t>
        </x:r>
      </x:text>
    </x:comment>
    <x:comment ref="N47" authorId="0">
      <x:text>
        <x:r>
          <x:t>other current liab (FY:26 A).
other current liab. Primary filing observation or disclosed schedule. Keep its original fiscal year, units and reported sign.
Stored input or primary source observation. It is not calculated in this cell.</x:t>
        </x:r>
      </x:text>
    </x:comment>
    <x:comment ref="C48" authorId="0">
      <x:text>
        <x:r>
          <x:t>Obligations classified as current, including payables, current debt, compensation, taxes, unearned revenue and other current liabilities. Primary filing value. The original reporting sign and fiscal year are preserved.</x:t>
        </x:r>
      </x:text>
    </x:comment>
    <x:comment ref="E48" authorId="0">
      <x:text>
        <x:r>
          <x:t>current liabilities (FY:17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F48" authorId="0">
      <x:text>
        <x:r>
          <x:t>current liabilities (FY:18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G48" authorId="0">
      <x:text>
        <x:r>
          <x:t>current liabilities (FY:19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H48" authorId="0">
      <x:text>
        <x:r>
          <x:t>current liabilities (FY:20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I48" authorId="0">
      <x:text>
        <x:r>
          <x:t>current liabilities (FY:21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J48" authorId="0">
      <x:text>
        <x:r>
          <x:t>current liabilities (FY:22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K48" authorId="0">
      <x:text>
        <x:r>
          <x:t>current liabilities (FY:23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L48" authorId="0">
      <x:text>
        <x:r>
          <x:t>current liabilities (FY:24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M48" authorId="0">
      <x:text>
        <x:r>
          <x:t>current liabilities (FY:25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N48" authorId="0">
      <x:text>
        <x:r>
          <x:t>current liabilities (FY:26 A).
Obligations classified as current, including payables, current debt, compensation, taxes, unearned revenue and other current liabilities. Primary filing value. The original reporting sign and fiscal year are preserved.
Stored input or primary source observation. It is not calculated in this cell.</x:t>
        </x:r>
      </x:text>
    </x:comment>
    <x:comment ref="C49" authorId="0">
      <x:text>
        <x:r>
          <x:t>Debt carrying amount classified beyond the next year. It excludes separately modeled lease liabilities. Primary filing value. The original reporting sign and fiscal year are preserved.</x:t>
        </x:r>
      </x:text>
    </x:comment>
    <x:comment ref="E49" authorId="0">
      <x:text>
        <x:r>
          <x:t>long debt (FY:17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F49" authorId="0">
      <x:text>
        <x:r>
          <x:t>long debt (FY:18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G49" authorId="0">
      <x:text>
        <x:r>
          <x:t>long debt (FY:19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H49" authorId="0">
      <x:text>
        <x:r>
          <x:t>long debt (FY:20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I49" authorId="0">
      <x:text>
        <x:r>
          <x:t>long debt (FY:21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J49" authorId="0">
      <x:text>
        <x:r>
          <x:t>long debt (FY:22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K49" authorId="0">
      <x:text>
        <x:r>
          <x:t>long debt (FY:23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L49" authorId="0">
      <x:text>
        <x:r>
          <x:t>long debt (FY:24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M49" authorId="0">
      <x:text>
        <x:r>
          <x:t>long debt (FY:25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N49" authorId="0">
      <x:text>
        <x:r>
          <x:t>long debt (FY:26 A).
Debt carrying amount classified beyond the next year. It excludes separately modeled lease liabilities. Primary filing value. The original reporting sign and fiscal year are preserved.
Stored input or primary source observation. It is not calculated in this cell.</x:t>
        </x:r>
      </x:text>
    </x:comment>
    <x:comment ref="C50" authorId="0">
      <x:text>
        <x:r>
          <x:t>long tax. Primary filing observation or disclosed schedule. Keep its original fiscal year, units and reported sign.</x:t>
        </x:r>
      </x:text>
    </x:comment>
    <x:comment ref="E50" authorId="0">
      <x:text>
        <x:r>
          <x:t>long tax (FY:17 A).
long tax. Primary filing observation or disclosed schedule. Keep its original fiscal year, units and reported sign.
Stored input or primary source observation. It is not calculated in this cell.</x:t>
        </x:r>
      </x:text>
    </x:comment>
    <x:comment ref="F50" authorId="0">
      <x:text>
        <x:r>
          <x:t>long tax (FY:18 A).
long tax. Primary filing observation or disclosed schedule. Keep its original fiscal year, units and reported sign.
Stored input or primary source observation. It is not calculated in this cell.</x:t>
        </x:r>
      </x:text>
    </x:comment>
    <x:comment ref="G50" authorId="0">
      <x:text>
        <x:r>
          <x:t>long tax (FY:19 A).
long tax. Primary filing observation or disclosed schedule. Keep its original fiscal year, units and reported sign.
Stored input or primary source observation. It is not calculated in this cell.</x:t>
        </x:r>
      </x:text>
    </x:comment>
    <x:comment ref="H50" authorId="0">
      <x:text>
        <x:r>
          <x:t>long tax (FY:20 A).
long tax. Primary filing observation or disclosed schedule. Keep its original fiscal year, units and reported sign.
Stored input or primary source observation. It is not calculated in this cell.</x:t>
        </x:r>
      </x:text>
    </x:comment>
    <x:comment ref="I50" authorId="0">
      <x:text>
        <x:r>
          <x:t>long tax (FY:21 A).
long tax. Primary filing observation or disclosed schedule. Keep its original fiscal year, units and reported sign.
Stored input or primary source observation. It is not calculated in this cell.</x:t>
        </x:r>
      </x:text>
    </x:comment>
    <x:comment ref="J50" authorId="0">
      <x:text>
        <x:r>
          <x:t>long tax (FY:22 A).
long tax. Primary filing observation or disclosed schedule. Keep its original fiscal year, units and reported sign.
Stored input or primary source observation. It is not calculated in this cell.</x:t>
        </x:r>
      </x:text>
    </x:comment>
    <x:comment ref="K50" authorId="0">
      <x:text>
        <x:r>
          <x:t>long tax (FY:23 A).
long tax. Primary filing observation or disclosed schedule. Keep its original fiscal year, units and reported sign.
Stored input or primary source observation. It is not calculated in this cell.</x:t>
        </x:r>
      </x:text>
    </x:comment>
    <x:comment ref="L50" authorId="0">
      <x:text>
        <x:r>
          <x:t>long tax (FY:24 A).
long tax. Primary filing observation or disclosed schedule. Keep its original fiscal year, units and reported sign.
Stored input or primary source observation. It is not calculated in this cell.</x:t>
        </x:r>
      </x:text>
    </x:comment>
    <x:comment ref="M50" authorId="0">
      <x:text>
        <x:r>
          <x:t>long tax (FY:25 A).
long tax. Primary filing observation or disclosed schedule. Keep its original fiscal year, units and reported sign.
Stored input or primary source observation. It is not calculated in this cell.</x:t>
        </x:r>
      </x:text>
    </x:comment>
    <x:comment ref="N50" authorId="0">
      <x:text>
        <x:r>
          <x:t>long tax (FY:26 A).
long tax. Primary filing observation or disclosed schedule. Keep its original fiscal year, units and reported sign.
Stored input or primary source observation. It is not calculated in this cell.</x:t>
        </x:r>
      </x:text>
    </x:comment>
    <x:comment ref="C51" authorId="0">
      <x:text>
        <x:r>
          <x:t>Customer payments billed or received before revenue recognition. Forecast balances use revenue-based planning ratios. Increases in the operating liability can provide operating cash.</x:t>
        </x:r>
      </x:text>
    </x:comment>
    <x:comment ref="E51" authorId="0">
      <x:text>
        <x:r>
          <x:t>long deferred rev (FY:17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F51" authorId="0">
      <x:text>
        <x:r>
          <x:t>long deferred rev (FY:18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G51" authorId="0">
      <x:text>
        <x:r>
          <x:t>long deferred rev (FY:19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H51" authorId="0">
      <x:text>
        <x:r>
          <x:t>long deferred rev (FY:20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I51" authorId="0">
      <x:text>
        <x:r>
          <x:t>long deferred rev (FY:21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J51" authorId="0">
      <x:text>
        <x:r>
          <x:t>long deferred rev (FY:22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K51" authorId="0">
      <x:text>
        <x:r>
          <x:t>long deferred rev (FY:23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L51" authorId="0">
      <x:text>
        <x:r>
          <x:t>long deferred rev (FY:24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M51" authorId="0">
      <x:text>
        <x:r>
          <x:t>long deferred rev (FY:25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N51" authorId="0">
      <x:text>
        <x:r>
          <x:t>long deferred rev (FY:26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C52" authorId="0">
      <x:text>
        <x:r>
          <x:t>deferred tax liab. Primary filing observation or disclosed schedule. Keep its original fiscal year, units and reported sign.</x:t>
        </x:r>
      </x:text>
    </x:comment>
    <x:comment ref="E52" authorId="0">
      <x:text>
        <x:r>
          <x:t>deferred tax liab (FY:17 A).
deferred tax liab. Primary filing observation or disclosed schedule. Keep its original fiscal year, units and reported sign.
Stored input or primary source observation. It is not calculated in this cell.</x:t>
        </x:r>
      </x:text>
    </x:comment>
    <x:comment ref="F52" authorId="0">
      <x:text>
        <x:r>
          <x:t>deferred tax liab (FY:18 A).
deferred tax liab. Primary filing observation or disclosed schedule. Keep its original fiscal year, units and reported sign.
Stored input or primary source observation. It is not calculated in this cell.</x:t>
        </x:r>
      </x:text>
    </x:comment>
    <x:comment ref="G52" authorId="0">
      <x:text>
        <x:r>
          <x:t>deferred tax liab (FY:19 A).
deferred tax liab. Primary filing observation or disclosed schedule. Keep its original fiscal year, units and reported sign.
Stored input or primary source observation. It is not calculated in this cell.</x:t>
        </x:r>
      </x:text>
    </x:comment>
    <x:comment ref="H52" authorId="0">
      <x:text>
        <x:r>
          <x:t>deferred tax liab (FY:20 A).
deferred tax liab. Primary filing observation or disclosed schedule. Keep its original fiscal year, units and reported sign.
Stored input or primary source observation. It is not calculated in this cell.</x:t>
        </x:r>
      </x:text>
    </x:comment>
    <x:comment ref="I52" authorId="0">
      <x:text>
        <x:r>
          <x:t>deferred tax liab (FY:21 A).
deferred tax liab. Primary filing observation or disclosed schedule. Keep its original fiscal year, units and reported sign.
Stored input or primary source observation. It is not calculated in this cell.</x:t>
        </x:r>
      </x:text>
    </x:comment>
    <x:comment ref="J52" authorId="0">
      <x:text>
        <x:r>
          <x:t>deferred tax liab (FY:22 A).
deferred tax liab. Primary filing observation or disclosed schedule. Keep its original fiscal year, units and reported sign.
Stored input or primary source observation. It is not calculated in this cell.</x:t>
        </x:r>
      </x:text>
    </x:comment>
    <x:comment ref="K52" authorId="0">
      <x:text>
        <x:r>
          <x:t>deferred tax liab (FY:23 A).
deferred tax liab. Primary filing observation or disclosed schedule. Keep its original fiscal year, units and reported sign.
Stored input or primary source observation. It is not calculated in this cell.</x:t>
        </x:r>
      </x:text>
    </x:comment>
    <x:comment ref="L52" authorId="0">
      <x:text>
        <x:r>
          <x:t>deferred tax liab (FY:24 A).
deferred tax liab. Primary filing observation or disclosed schedule. Keep its original fiscal year, units and reported sign.
Stored input or primary source observation. It is not calculated in this cell.</x:t>
        </x:r>
      </x:text>
    </x:comment>
    <x:comment ref="M52" authorId="0">
      <x:text>
        <x:r>
          <x:t>deferred tax liab (FY:25 A).
deferred tax liab. Primary filing observation or disclosed schedule. Keep its original fiscal year, units and reported sign.
Stored input or primary source observation. It is not calculated in this cell.</x:t>
        </x:r>
      </x:text>
    </x:comment>
    <x:comment ref="N52" authorId="0">
      <x:text>
        <x:r>
          <x:t>deferred tax liab (FY:26 A).
deferred tax liab. Primary filing observation or disclosed schedule. Keep its original fiscal year, units and reported sign.
Stored input or primary source observation. It is not calculated in this cell.</x:t>
        </x:r>
      </x:text>
    </x:comment>
    <x:comment ref="C53" authorId="0">
      <x:text>
        <x:r>
          <x:t>op lease long. Primary filing observation or disclosed schedule. Keep its original fiscal year, units and reported sign.</x:t>
        </x:r>
      </x:text>
    </x:comment>
    <x:comment ref="E53" authorId="0">
      <x:text>
        <x:r>
          <x:t>op lease long (FY:17 A).
op lease long. Primary filing observation or disclosed schedule. Keep its original fiscal year, units and reported sign.
Stored input or primary source observation. It is not calculated in this cell.</x:t>
        </x:r>
      </x:text>
    </x:comment>
    <x:comment ref="F53" authorId="0">
      <x:text>
        <x:r>
          <x:t>op lease long (FY:18 A).
op lease long. Primary filing observation or disclosed schedule. Keep its original fiscal year, units and reported sign.
Stored input or primary source observation. It is not calculated in this cell.</x:t>
        </x:r>
      </x:text>
    </x:comment>
    <x:comment ref="G53" authorId="0">
      <x:text>
        <x:r>
          <x:t>op lease long (FY:19 A).
op lease long. Primary filing observation or disclosed schedule. Keep its original fiscal year, units and reported sign.
Stored input or primary source observation. It is not calculated in this cell.</x:t>
        </x:r>
      </x:text>
    </x:comment>
    <x:comment ref="H53" authorId="0">
      <x:text>
        <x:r>
          <x:t>op lease long (FY:20 A).
op lease long. Primary filing observation or disclosed schedule. Keep its original fiscal year, units and reported sign.
Stored input or primary source observation. It is not calculated in this cell.</x:t>
        </x:r>
      </x:text>
    </x:comment>
    <x:comment ref="I53" authorId="0">
      <x:text>
        <x:r>
          <x:t>op lease long (FY:21 A).
op lease long. Primary filing observation or disclosed schedule. Keep its original fiscal year, units and reported sign.
Stored input or primary source observation. It is not calculated in this cell.</x:t>
        </x:r>
      </x:text>
    </x:comment>
    <x:comment ref="J53" authorId="0">
      <x:text>
        <x:r>
          <x:t>op lease long (FY:22 A).
op lease long. Primary filing observation or disclosed schedule. Keep its original fiscal year, units and reported sign.
Stored input or primary source observation. It is not calculated in this cell.</x:t>
        </x:r>
      </x:text>
    </x:comment>
    <x:comment ref="K53" authorId="0">
      <x:text>
        <x:r>
          <x:t>op lease long (FY:23 A).
op lease long. Primary filing observation or disclosed schedule. Keep its original fiscal year, units and reported sign.
Stored input or primary source observation. It is not calculated in this cell.</x:t>
        </x:r>
      </x:text>
    </x:comment>
    <x:comment ref="L53" authorId="0">
      <x:text>
        <x:r>
          <x:t>op lease long (FY:24 A).
op lease long. Primary filing observation or disclosed schedule. Keep its original fiscal year, units and reported sign.
Stored input or primary source observation. It is not calculated in this cell.</x:t>
        </x:r>
      </x:text>
    </x:comment>
    <x:comment ref="M53" authorId="0">
      <x:text>
        <x:r>
          <x:t>op lease long (FY:25 A).
op lease long. Primary filing observation or disclosed schedule. Keep its original fiscal year, units and reported sign.
Stored input or primary source observation. It is not calculated in this cell.</x:t>
        </x:r>
      </x:text>
    </x:comment>
    <x:comment ref="N53" authorId="0">
      <x:text>
        <x:r>
          <x:t>op lease long (FY:26 A).
op lease long. Primary filing observation or disclosed schedule. Keep its original fiscal year, units and reported sign.
Stored input or primary source observation. It is not calculated in this cell.</x:t>
        </x:r>
      </x:text>
    </x:comment>
    <x:comment ref="C54" authorId="0">
      <x:text>
        <x:r>
          <x:t>other lt liab. Primary filing observation or disclosed schedule. Keep its original fiscal year, units and reported sign.</x:t>
        </x:r>
      </x:text>
    </x:comment>
    <x:comment ref="E54" authorId="0">
      <x:text>
        <x:r>
          <x:t>other lt liab (FY:17 A).
other lt liab. Primary filing observation or disclosed schedule. Keep its original fiscal year, units and reported sign.
Stored input or primary source observation. It is not calculated in this cell.</x:t>
        </x:r>
      </x:text>
    </x:comment>
    <x:comment ref="F54" authorId="0">
      <x:text>
        <x:r>
          <x:t>other lt liab (FY:18 A).
other lt liab. Primary filing observation or disclosed schedule. Keep its original fiscal year, units and reported sign.
Stored input or primary source observation. It is not calculated in this cell.</x:t>
        </x:r>
      </x:text>
    </x:comment>
    <x:comment ref="G54" authorId="0">
      <x:text>
        <x:r>
          <x:t>other lt liab (FY:19 A).
other lt liab. Primary filing observation or disclosed schedule. Keep its original fiscal year, units and reported sign.
Stored input or primary source observation. It is not calculated in this cell.</x:t>
        </x:r>
      </x:text>
    </x:comment>
    <x:comment ref="H54" authorId="0">
      <x:text>
        <x:r>
          <x:t>other lt liab (FY:20 A).
other lt liab. Primary filing observation or disclosed schedule. Keep its original fiscal year, units and reported sign.
Stored input or primary source observation. It is not calculated in this cell.</x:t>
        </x:r>
      </x:text>
    </x:comment>
    <x:comment ref="I54" authorId="0">
      <x:text>
        <x:r>
          <x:t>other lt liab (FY:21 A).
other lt liab. Primary filing observation or disclosed schedule. Keep its original fiscal year, units and reported sign.
Stored input or primary source observation. It is not calculated in this cell.</x:t>
        </x:r>
      </x:text>
    </x:comment>
    <x:comment ref="J54" authorId="0">
      <x:text>
        <x:r>
          <x:t>other lt liab (FY:22 A).
other lt liab. Primary filing observation or disclosed schedule. Keep its original fiscal year, units and reported sign.
Stored input or primary source observation. It is not calculated in this cell.</x:t>
        </x:r>
      </x:text>
    </x:comment>
    <x:comment ref="K54" authorId="0">
      <x:text>
        <x:r>
          <x:t>other lt liab (FY:23 A).
other lt liab. Primary filing observation or disclosed schedule. Keep its original fiscal year, units and reported sign.
Stored input or primary source observation. It is not calculated in this cell.</x:t>
        </x:r>
      </x:text>
    </x:comment>
    <x:comment ref="L54" authorId="0">
      <x:text>
        <x:r>
          <x:t>other lt liab (FY:24 A).
other lt liab. Primary filing observation or disclosed schedule. Keep its original fiscal year, units and reported sign.
Stored input or primary source observation. It is not calculated in this cell.</x:t>
        </x:r>
      </x:text>
    </x:comment>
    <x:comment ref="M54" authorId="0">
      <x:text>
        <x:r>
          <x:t>other lt liab (FY:25 A).
other lt liab. Primary filing observation or disclosed schedule. Keep its original fiscal year, units and reported sign.
Stored input or primary source observation. It is not calculated in this cell.</x:t>
        </x:r>
      </x:text>
    </x:comment>
    <x:comment ref="N54" authorId="0">
      <x:text>
        <x:r>
          <x:t>other lt liab (FY:26 A).
other lt liab. Primary filing observation or disclosed schedule. Keep its original fiscal year, units and reported sign.
Stored input or primary source observation. It is not calculated in this cell.</x:t>
        </x:r>
      </x:text>
    </x:comment>
    <x:comment ref="C55" authorId="0">
      <x:text>
        <x:r>
          <x:t>Current and long-term obligations, including debt, tax, unearned revenue and lease liabilities. Finance leases are included in the relevant other-liability categories. Primary filing value. The original reporting sign and fiscal year are preserved.</x:t>
        </x:r>
      </x:text>
    </x:comment>
    <x:comment ref="E55" authorId="0">
      <x:text>
        <x:r>
          <x:t>total liabilities (FY:17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F55" authorId="0">
      <x:text>
        <x:r>
          <x:t>total liabilities (FY:18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G55" authorId="0">
      <x:text>
        <x:r>
          <x:t>total liabilities (FY:19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H55" authorId="0">
      <x:text>
        <x:r>
          <x:t>total liabilities (FY:20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I55" authorId="0">
      <x:text>
        <x:r>
          <x:t>total liabilities (FY:21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J55" authorId="0">
      <x:text>
        <x:r>
          <x:t>total liabilities (FY:22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K55" authorId="0">
      <x:text>
        <x:r>
          <x:t>total liabilities (FY:23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L55" authorId="0">
      <x:text>
        <x:r>
          <x:t>total liabilities (FY:24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M55" authorId="0">
      <x:text>
        <x:r>
          <x:t>total liabilities (FY:25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N55" authorId="0">
      <x:text>
        <x:r>
          <x:t>total liabilities (FY:26 A).
Current and long-term obligations, including debt, tax, unearned revenue and lease liabilities. Finance leases are included in the relevant other-liability categories. Primary filing value. The original reporting sign and fiscal year are preserved.
Stored input or primary source observation. It is not calculated in this cell.</x:t>
        </x:r>
      </x:text>
    </x:comment>
    <x:comment ref="C56" authorId="0">
      <x:text>
        <x:r>
          <x:t>Equity contributed through shares and compensation. Forecast opening balance plus SBC and cash issuance less the allocated paid-in-capital portion of repurchases. Primary filing value. The original reporting sign and fiscal year are preserved.</x:t>
        </x:r>
      </x:text>
    </x:comment>
    <x:comment ref="E56" authorId="0">
      <x:text>
        <x:r>
          <x:t>paid in capital (FY:17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F56" authorId="0">
      <x:text>
        <x:r>
          <x:t>paid in capital (FY:18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G56" authorId="0">
      <x:text>
        <x:r>
          <x:t>paid in capital (FY:19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H56" authorId="0">
      <x:text>
        <x:r>
          <x:t>paid in capital (FY:20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I56" authorId="0">
      <x:text>
        <x:r>
          <x:t>paid in capital (FY:21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J56" authorId="0">
      <x:text>
        <x:r>
          <x:t>paid in capital (FY:22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K56" authorId="0">
      <x:text>
        <x:r>
          <x:t>paid in capital (FY:23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L56" authorId="0">
      <x:text>
        <x:r>
          <x:t>paid in capital (FY:24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M56" authorId="0">
      <x:text>
        <x:r>
          <x:t>paid in capital (FY:25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N56" authorId="0">
      <x:text>
        <x:r>
          <x:t>paid in capital (FY:26 A).
Equity contributed through shares and compensation. Forecast opening balance plus SBC and cash issuance less the allocated paid-in-capital portion of repurchases. Primary filing value. The original reporting sign and fiscal year are preserved.
Stored input or primary source observation. It is not calculated in this cell.</x:t>
        </x:r>
      </x:text>
    </x:comment>
    <x:comment ref="C57" authorId="0">
      <x:text>
        <x:r>
          <x:t>Accumulated earnings after dividends and the retained-earnings share of repurchases. Forecast closing balance is opening retained earnings plus net income less these distributions. Primary filing value. The original reporting sign and fiscal year are preserved.</x:t>
        </x:r>
      </x:text>
    </x:comment>
    <x:comment ref="E57" authorId="0">
      <x:text>
        <x:r>
          <x:t>retained earnings (FY:17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F57" authorId="0">
      <x:text>
        <x:r>
          <x:t>retained earnings (FY:18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G57" authorId="0">
      <x:text>
        <x:r>
          <x:t>retained earnings (FY:19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H57" authorId="0">
      <x:text>
        <x:r>
          <x:t>retained earnings (FY:20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I57" authorId="0">
      <x:text>
        <x:r>
          <x:t>retained earnings (FY:21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J57" authorId="0">
      <x:text>
        <x:r>
          <x:t>retained earnings (FY:22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K57" authorId="0">
      <x:text>
        <x:r>
          <x:t>retained earnings (FY:23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L57" authorId="0">
      <x:text>
        <x:r>
          <x:t>retained earnings (FY:24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M57" authorId="0">
      <x:text>
        <x:r>
          <x:t>retained earnings (FY:25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N57" authorId="0">
      <x:text>
        <x:r>
          <x:t>retained earnings (FY:26 A).
Accumulated earnings after dividends and the retained-earnings share of repurchases. Forecast closing balance is opening retained earnings plus net income less these distributions. Primary filing value. The original reporting sign and fiscal year are preserved.
Stored input or primary source observation. It is not calculated in this cell.</x:t>
        </x:r>
      </x:text>
    </x:comment>
    <x:comment ref="C58" authorId="0">
      <x:text>
        <x:r>
          <x:t>Equity items recognized outside net income. The forecast holds the FY2026 balance constant. Primary filing value. The original reporting sign and fiscal year are preserved.</x:t>
        </x:r>
      </x:text>
    </x:comment>
    <x:comment ref="E58" authorId="0">
      <x:text>
        <x:r>
          <x:t>aoci (FY:17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F58" authorId="0">
      <x:text>
        <x:r>
          <x:t>aoci (FY:18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G58" authorId="0">
      <x:text>
        <x:r>
          <x:t>aoci (FY:19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H58" authorId="0">
      <x:text>
        <x:r>
          <x:t>aoci (FY:20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I58" authorId="0">
      <x:text>
        <x:r>
          <x:t>aoci (FY:21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J58" authorId="0">
      <x:text>
        <x:r>
          <x:t>aoci (FY:22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K58" authorId="0">
      <x:text>
        <x:r>
          <x:t>aoci (FY:23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L58" authorId="0">
      <x:text>
        <x:r>
          <x:t>aoci (FY:24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M58" authorId="0">
      <x:text>
        <x:r>
          <x:t>aoci (FY:25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N58" authorId="0">
      <x:text>
        <x:r>
          <x:t>aoci (FY:26 A).
Equity items recognized outside net income. The forecast holds the FY2026 balance constant. Primary filing value. The original reporting sign and fiscal year are preserved.
Stored input or primary source observation. It is not calculated in this cell.</x:t>
        </x:r>
      </x:text>
    </x:comment>
    <x:comment ref="C59" authorId="0">
      <x:text>
        <x:r>
          <x:t>Common stock and paid-in capital plus retained earnings and accumulated other comprehensive income. Primary filing value. The original reporting sign and fiscal year are preserved.</x:t>
        </x:r>
      </x:text>
    </x:comment>
    <x:comment ref="E59" authorId="0">
      <x:text>
        <x:r>
          <x:t>total equity (FY:17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F59" authorId="0">
      <x:text>
        <x:r>
          <x:t>total equity (FY:18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G59" authorId="0">
      <x:text>
        <x:r>
          <x:t>total equity (FY:19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H59" authorId="0">
      <x:text>
        <x:r>
          <x:t>total equity (FY:20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I59" authorId="0">
      <x:text>
        <x:r>
          <x:t>total equity (FY:21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J59" authorId="0">
      <x:text>
        <x:r>
          <x:t>total equity (FY:22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K59" authorId="0">
      <x:text>
        <x:r>
          <x:t>total equity (FY:23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L59" authorId="0">
      <x:text>
        <x:r>
          <x:t>total equity (FY:24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M59" authorId="0">
      <x:text>
        <x:r>
          <x:t>total equity (FY:25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N59" authorId="0">
      <x:text>
        <x:r>
          <x:t>total equity (FY:26 A).
Common stock and paid-in capital plus retained earnings and accumulated other comprehensive income. Primary filing value. The original reporting sign and fiscal year are preserved.
Stored input or primary source observation. It is not calculated in this cell.</x:t>
        </x:r>
      </x:text>
    </x:comment>
    <x:comment ref="C60" authorId="0">
      <x:text>
        <x:r>
          <x:t>Total liabilities plus stockholders equity. It must equal total assets under the independent balance-sheet check. Primary filing value. The original reporting sign and fiscal year are preserved.</x:t>
        </x:r>
      </x:text>
    </x:comment>
    <x:comment ref="E60" authorId="0">
      <x:text>
        <x:r>
          <x:t>total le (FY:17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F60" authorId="0">
      <x:text>
        <x:r>
          <x:t>total le (FY:18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G60" authorId="0">
      <x:text>
        <x:r>
          <x:t>total le (FY:19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H60" authorId="0">
      <x:text>
        <x:r>
          <x:t>total le (FY:20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I60" authorId="0">
      <x:text>
        <x:r>
          <x:t>total le (FY:21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J60" authorId="0">
      <x:text>
        <x:r>
          <x:t>total le (FY:22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K60" authorId="0">
      <x:text>
        <x:r>
          <x:t>total le (FY:23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L60" authorId="0">
      <x:text>
        <x:r>
          <x:t>total le (FY:24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M60" authorId="0">
      <x:text>
        <x:r>
          <x:t>total le (FY:25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N60" authorId="0">
      <x:text>
        <x:r>
          <x:t>total le (FY:26 A).
Total liabilities plus stockholders equity. It must equal total assets under the independent balance-sheet check. Primary filing value. The original reporting sign and fiscal year are preserved.
Stored input or primary source observation. It is not calculated in this cell.</x:t>
        </x:r>
      </x:text>
    </x:comment>
    <x:comment ref="C61" authorId="0">
      <x:text>
        <x:r>
          <x:t>Reported short-term borrowing. The forecast funding schedule determines incremental liquidity borrowing and its classification. Primary filing value. The original reporting sign and fiscal year are preserved.</x:t>
        </x:r>
      </x:text>
    </x:comment>
    <x:comment ref="E61" authorId="0">
      <x:text>
        <x:r>
          <x:t>st debt (FY:17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F61" authorId="0">
      <x:text>
        <x:r>
          <x:t>st debt (FY:18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G61" authorId="0">
      <x:text>
        <x:r>
          <x:t>st debt (FY:19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H61" authorId="0">
      <x:text>
        <x:r>
          <x:t>st debt (FY:20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I61" authorId="0">
      <x:text>
        <x:r>
          <x:t>st debt (FY:21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J61" authorId="0">
      <x:text>
        <x:r>
          <x:t>st debt (FY:22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K61" authorId="0">
      <x:text>
        <x:r>
          <x:t>st debt (FY:23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L61" authorId="0">
      <x:text>
        <x:r>
          <x:t>st debt (FY:24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M61" authorId="0">
      <x:text>
        <x:r>
          <x:t>st debt (FY:25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N61" authorId="0">
      <x:text>
        <x:r>
          <x:t>st debt (FY:26 A).
Reported short-term borrowing. The forecast funding schedule determines incremental liquidity borrowing and its classification. Primary filing value. The original reporting sign and fiscal year are preserved.
Stored input or primary source observation. It is not calculated in this cell.</x:t>
        </x:r>
      </x:text>
    </x:comment>
    <x:comment ref="C62" authorId="0">
      <x:text>
        <x:r>
          <x:t>securities lending. Primary filing observation or disclosed schedule. Keep its original fiscal year, units and reported sign.</x:t>
        </x:r>
      </x:text>
    </x:comment>
    <x:comment ref="E62" authorId="0">
      <x:text>
        <x:r>
          <x:t>securities lending (FY:17 A).
securities lending. Primary filing observation or disclosed schedule. Keep its original fiscal year, units and reported sign.
Stored input or primary source observation. It is not calculated in this cell.</x:t>
        </x:r>
      </x:text>
    </x:comment>
    <x:comment ref="F62" authorId="0">
      <x:text>
        <x:r>
          <x:t>securities lending (FY:18 A).
securities lending. Primary filing observation or disclosed schedule. Keep its original fiscal year, units and reported sign.
Stored input or primary source observation. It is not calculated in this cell.</x:t>
        </x:r>
      </x:text>
    </x:comment>
    <x:comment ref="G62" authorId="0">
      <x:text>
        <x:r>
          <x:t>securities lending (FY:19 A).
securities lending. Primary filing observation or disclosed schedule. Keep its original fiscal year, units and reported sign.
Stored input or primary source observation. It is not calculated in this cell.</x:t>
        </x:r>
      </x:text>
    </x:comment>
    <x:comment ref="H62" authorId="0">
      <x:text>
        <x:r>
          <x:t>securities lending (FY:20 A).
securities lending. Primary filing observation or disclosed schedule. Keep its original fiscal year, units and reported sign.
Stored input or primary source observation. It is not calculated in this cell.</x:t>
        </x:r>
      </x:text>
    </x:comment>
    <x:comment ref="I62" authorId="0">
      <x:text>
        <x:r>
          <x:t>securities lending (FY:21 A).
securities lending. Primary filing observation or disclosed schedule. Keep its original fiscal year, units and reported sign.
Stored input or primary source observation. It is not calculated in this cell.</x:t>
        </x:r>
      </x:text>
    </x:comment>
    <x:comment ref="J62" authorId="0">
      <x:text>
        <x:r>
          <x:t>securities lending (FY:22 A).
securities lending. Primary filing observation or disclosed schedule. Keep its original fiscal year, units and reported sign.
Stored input or primary source observation. It is not calculated in this cell.</x:t>
        </x:r>
      </x:text>
    </x:comment>
    <x:comment ref="K62" authorId="0">
      <x:text>
        <x:r>
          <x:t>securities lending (FY:23 A).
securities lending. Primary filing observation or disclosed schedule. Keep its original fiscal year, units and reported sign.
Stored input or primary source observation. It is not calculated in this cell.</x:t>
        </x:r>
      </x:text>
    </x:comment>
    <x:comment ref="L62" authorId="0">
      <x:text>
        <x:r>
          <x:t>securities lending (FY:24 A).
securities lending. Primary filing observation or disclosed schedule. Keep its original fiscal year, units and reported sign.
Stored input or primary source observation. It is not calculated in this cell.</x:t>
        </x:r>
      </x:text>
    </x:comment>
    <x:comment ref="M62" authorId="0">
      <x:text>
        <x:r>
          <x:t>securities lending (FY:25 A).
securities lending. Primary filing observation or disclosed schedule. Keep its original fiscal year, units and reported sign.
Stored input or primary source observation. It is not calculated in this cell.</x:t>
        </x:r>
      </x:text>
    </x:comment>
    <x:comment ref="N62" authorId="0">
      <x:text>
        <x:r>
          <x:t>securities lending (FY:26 A).
securities lending. Primary filing observation or disclosed schedule. Keep its original fiscal year, units and reported sign.
Stored input or primary source observation. It is not calculated in this cell.</x:t>
        </x:r>
      </x:text>
    </x:comment>
    <x:comment ref="C66" authorId="0">
      <x:text>
        <x:r>
          <x:t>Income before taxes less income tax expense. It includes noncash items, so it differs from operating cash flow. Primary filing value. The original reporting sign and fiscal year are preserved.</x:t>
        </x:r>
      </x:text>
    </x:comment>
    <x:comment ref="E66" authorId="0">
      <x:text>
        <x:r>
          <x:t>net income (FY:17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F66" authorId="0">
      <x:text>
        <x:r>
          <x:t>net income (FY:18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G66" authorId="0">
      <x:text>
        <x:r>
          <x:t>net income (FY:19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H66" authorId="0">
      <x:text>
        <x:r>
          <x:t>net income (FY:20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I66" authorId="0">
      <x:text>
        <x:r>
          <x:t>net income (FY:21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J66" authorId="0">
      <x:text>
        <x:r>
          <x:t>net income (FY:22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K66" authorId="0">
      <x:text>
        <x:r>
          <x:t>net income (FY:23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L66" authorId="0">
      <x:text>
        <x:r>
          <x:t>net income (FY:24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M66" authorId="0">
      <x:text>
        <x:r>
          <x:t>net income (FY:25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N66" authorId="0">
      <x:text>
        <x:r>
          <x:t>net income (FY:26 A).
Income before taxes less income tax expense. It includes noncash items, so it differs from operating cash flow. Primary filing value. The original reporting sign and fiscal year are preserved.
Stored input or primary source observation. It is not calculated in this cell.</x:t>
        </x:r>
      </x:text>
    </x:comment>
    <x:comment ref="C67" authorId="0">
      <x:text>
        <x:r>
          <x:t>Reported depreciation, amortization and other noncash adjustments. This aggregate can include impairments and need not equal the sum of separate note disclosures.</x:t>
        </x:r>
      </x:text>
    </x:comment>
    <x:comment ref="E67" authorId="0">
      <x:text>
        <x:r>
          <x:t>da other (FY:17 A).
Reported depreciation, amortization and other noncash adjustments. This aggregate can include impairments and need not equal the sum of separate note disclosures.
Stored input or primary source observation. It is not calculated in this cell.</x:t>
        </x:r>
      </x:text>
    </x:comment>
    <x:comment ref="F67" authorId="0">
      <x:text>
        <x:r>
          <x:t>da other (FY:18 A).
Reported depreciation, amortization and other noncash adjustments. This aggregate can include impairments and need not equal the sum of separate note disclosures.
Stored input or primary source observation. It is not calculated in this cell.</x:t>
        </x:r>
      </x:text>
    </x:comment>
    <x:comment ref="G67" authorId="0">
      <x:text>
        <x:r>
          <x:t>da other (FY:19 A).
Reported depreciation, amortization and other noncash adjustments. This aggregate can include impairments and need not equal the sum of separate note disclosures.
Stored input or primary source observation. It is not calculated in this cell.</x:t>
        </x:r>
      </x:text>
    </x:comment>
    <x:comment ref="H67" authorId="0">
      <x:text>
        <x:r>
          <x:t>da other (FY:20 A).
Reported depreciation, amortization and other noncash adjustments. This aggregate can include impairments and need not equal the sum of separate note disclosures.
Stored input or primary source observation. It is not calculated in this cell.</x:t>
        </x:r>
      </x:text>
    </x:comment>
    <x:comment ref="I67" authorId="0">
      <x:text>
        <x:r>
          <x:t>da other (FY:21 A).
Reported depreciation, amortization and other noncash adjustments. This aggregate can include impairments and need not equal the sum of separate note disclosures.
Stored input or primary source observation. It is not calculated in this cell.</x:t>
        </x:r>
      </x:text>
    </x:comment>
    <x:comment ref="J67" authorId="0">
      <x:text>
        <x:r>
          <x:t>da other (FY:22 A).
Reported depreciation, amortization and other noncash adjustments. This aggregate can include impairments and need not equal the sum of separate note disclosures.
Stored input or primary source observation. It is not calculated in this cell.</x:t>
        </x:r>
      </x:text>
    </x:comment>
    <x:comment ref="K67" authorId="0">
      <x:text>
        <x:r>
          <x:t>da other (FY:23 A).
Reported depreciation, amortization and other noncash adjustments. This aggregate can include impairments and need not equal the sum of separate note disclosures.
Stored input or primary source observation. It is not calculated in this cell.</x:t>
        </x:r>
      </x:text>
    </x:comment>
    <x:comment ref="L67" authorId="0">
      <x:text>
        <x:r>
          <x:t>da other (FY:24 A).
Reported depreciation, amortization and other noncash adjustments. This aggregate can include impairments and need not equal the sum of separate note disclosures.
Stored input or primary source observation. It is not calculated in this cell.</x:t>
        </x:r>
      </x:text>
    </x:comment>
    <x:comment ref="M67" authorId="0">
      <x:text>
        <x:r>
          <x:t>da other (FY:25 A).
Reported depreciation, amortization and other noncash adjustments. This aggregate can include impairments and need not equal the sum of separate note disclosures.
Stored input or primary source observation. It is not calculated in this cell.</x:t>
        </x:r>
      </x:text>
    </x:comment>
    <x:comment ref="N67" authorId="0">
      <x:text>
        <x:r>
          <x:t>da other (FY:26 A).
Reported depreciation, amortization and other noncash adjustments. This aggregate can include impairments and need not equal the sum of separate note disclosures.
Stored input or primary source observation. It is not calculated in this cell.</x:t>
        </x:r>
      </x:text>
    </x:comment>
    <x:comment ref="C68" authorId="0">
      <x:text>
        <x:r>
          <x:t>Noncash employee equity compensation. It remains embedded in operating expenses, is added back once in CFO, and increases paid-in capital. Primary filing value. The original reporting sign and fiscal year are preserved.</x:t>
        </x:r>
      </x:text>
    </x:comment>
    <x:comment ref="E68" authorId="0">
      <x:text>
        <x:r>
          <x:t>sbc (FY:17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F68" authorId="0">
      <x:text>
        <x:r>
          <x:t>sbc (FY:18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G68" authorId="0">
      <x:text>
        <x:r>
          <x:t>sbc (FY:19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H68" authorId="0">
      <x:text>
        <x:r>
          <x:t>sbc (FY:20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I68" authorId="0">
      <x:text>
        <x:r>
          <x:t>sbc (FY:21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J68" authorId="0">
      <x:text>
        <x:r>
          <x:t>sbc (FY:22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K68" authorId="0">
      <x:text>
        <x:r>
          <x:t>sbc (FY:23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L68" authorId="0">
      <x:text>
        <x:r>
          <x:t>sbc (FY:24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M68" authorId="0">
      <x:text>
        <x:r>
          <x:t>sbc (FY:25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N68" authorId="0">
      <x:text>
        <x:r>
          <x:t>sbc (FY:26 A).
Noncash employee equity compensation. It remains embedded in operating expenses, is added back once in CFO, and increases paid-in capital. Primary filing value. The original reporting sign and fiscal year are preserved.
Stored input or primary source observation. It is not calculated in this cell.</x:t>
        </x:r>
      </x:text>
    </x:comment>
    <x:comment ref="C69" authorId="0">
      <x:text>
        <x:r>
          <x:t>investment adjustment. Primary filing observation or disclosed schedule. Keep its original fiscal year, units and reported sign.</x:t>
        </x:r>
      </x:text>
    </x:comment>
    <x:comment ref="E69" authorId="0">
      <x:text>
        <x:r>
          <x:t>investment adjustment (FY:17 A).
investment adjustment. Primary filing observation or disclosed schedule. Keep its original fiscal year, units and reported sign.
Stored input or primary source observation. It is not calculated in this cell.</x:t>
        </x:r>
      </x:text>
    </x:comment>
    <x:comment ref="F69" authorId="0">
      <x:text>
        <x:r>
          <x:t>investment adjustment (FY:18 A).
investment adjustment. Primary filing observation or disclosed schedule. Keep its original fiscal year, units and reported sign.
Stored input or primary source observation. It is not calculated in this cell.</x:t>
        </x:r>
      </x:text>
    </x:comment>
    <x:comment ref="G69" authorId="0">
      <x:text>
        <x:r>
          <x:t>investment adjustment (FY:19 A).
investment adjustment. Primary filing observation or disclosed schedule. Keep its original fiscal year, units and reported sign.
Stored input or primary source observation. It is not calculated in this cell.</x:t>
        </x:r>
      </x:text>
    </x:comment>
    <x:comment ref="H69" authorId="0">
      <x:text>
        <x:r>
          <x:t>investment adjustment (FY:20 A).
investment adjustment. Primary filing observation or disclosed schedule. Keep its original fiscal year, units and reported sign.
Stored input or primary source observation. It is not calculated in this cell.</x:t>
        </x:r>
      </x:text>
    </x:comment>
    <x:comment ref="I69" authorId="0">
      <x:text>
        <x:r>
          <x:t>investment adjustment (FY:21 A).
investment adjustment. Primary filing observation or disclosed schedule. Keep its original fiscal year, units and reported sign.
Stored input or primary source observation. It is not calculated in this cell.</x:t>
        </x:r>
      </x:text>
    </x:comment>
    <x:comment ref="J69" authorId="0">
      <x:text>
        <x:r>
          <x:t>investment adjustment (FY:22 A).
investment adjustment. Primary filing observation or disclosed schedule. Keep its original fiscal year, units and reported sign.
Stored input or primary source observation. It is not calculated in this cell.</x:t>
        </x:r>
      </x:text>
    </x:comment>
    <x:comment ref="K69" authorId="0">
      <x:text>
        <x:r>
          <x:t>investment adjustment (FY:23 A).
investment adjustment. Primary filing observation or disclosed schedule. Keep its original fiscal year, units and reported sign.
Stored input or primary source observation. It is not calculated in this cell.</x:t>
        </x:r>
      </x:text>
    </x:comment>
    <x:comment ref="L69" authorId="0">
      <x:text>
        <x:r>
          <x:t>investment adjustment (FY:24 A).
investment adjustment. Primary filing observation or disclosed schedule. Keep its original fiscal year, units and reported sign.
Stored input or primary source observation. It is not calculated in this cell.</x:t>
        </x:r>
      </x:text>
    </x:comment>
    <x:comment ref="M69" authorId="0">
      <x:text>
        <x:r>
          <x:t>investment adjustment (FY:25 A).
investment adjustment. Primary filing observation or disclosed schedule. Keep its original fiscal year, units and reported sign.
Stored input or primary source observation. It is not calculated in this cell.</x:t>
        </x:r>
      </x:text>
    </x:comment>
    <x:comment ref="N69" authorId="0">
      <x:text>
        <x:r>
          <x:t>investment adjustment (FY:26 A).
investment adjustment. Primary filing observation or disclosed schedule. Keep its original fiscal year, units and reported sign.
Stored input or primary source observation. It is not calculated in this cell.</x:t>
        </x:r>
      </x:text>
    </x:comment>
    <x:comment ref="C70" authorId="0">
      <x:text>
        <x:r>
          <x:t>deferred taxes. Primary filing observation or disclosed schedule. Keep its original fiscal year, units and reported sign.</x:t>
        </x:r>
      </x:text>
    </x:comment>
    <x:comment ref="E70" authorId="0">
      <x:text>
        <x:r>
          <x:t>deferred taxes (FY:17 A).
deferred taxes. Primary filing observation or disclosed schedule. Keep its original fiscal year, units and reported sign.
Stored input or primary source observation. It is not calculated in this cell.</x:t>
        </x:r>
      </x:text>
    </x:comment>
    <x:comment ref="F70" authorId="0">
      <x:text>
        <x:r>
          <x:t>deferred taxes (FY:18 A).
deferred taxes. Primary filing observation or disclosed schedule. Keep its original fiscal year, units and reported sign.
Stored input or primary source observation. It is not calculated in this cell.</x:t>
        </x:r>
      </x:text>
    </x:comment>
    <x:comment ref="G70" authorId="0">
      <x:text>
        <x:r>
          <x:t>deferred taxes (FY:19 A).
deferred taxes. Primary filing observation or disclosed schedule. Keep its original fiscal year, units and reported sign.
Stored input or primary source observation. It is not calculated in this cell.</x:t>
        </x:r>
      </x:text>
    </x:comment>
    <x:comment ref="H70" authorId="0">
      <x:text>
        <x:r>
          <x:t>deferred taxes (FY:20 A).
deferred taxes. Primary filing observation or disclosed schedule. Keep its original fiscal year, units and reported sign.
Stored input or primary source observation. It is not calculated in this cell.</x:t>
        </x:r>
      </x:text>
    </x:comment>
    <x:comment ref="I70" authorId="0">
      <x:text>
        <x:r>
          <x:t>deferred taxes (FY:21 A).
deferred taxes. Primary filing observation or disclosed schedule. Keep its original fiscal year, units and reported sign.
Stored input or primary source observation. It is not calculated in this cell.</x:t>
        </x:r>
      </x:text>
    </x:comment>
    <x:comment ref="J70" authorId="0">
      <x:text>
        <x:r>
          <x:t>deferred taxes (FY:22 A).
deferred taxes. Primary filing observation or disclosed schedule. Keep its original fiscal year, units and reported sign.
Stored input or primary source observation. It is not calculated in this cell.</x:t>
        </x:r>
      </x:text>
    </x:comment>
    <x:comment ref="K70" authorId="0">
      <x:text>
        <x:r>
          <x:t>deferred taxes (FY:23 A).
deferred taxes. Primary filing observation or disclosed schedule. Keep its original fiscal year, units and reported sign.
Stored input or primary source observation. It is not calculated in this cell.</x:t>
        </x:r>
      </x:text>
    </x:comment>
    <x:comment ref="L70" authorId="0">
      <x:text>
        <x:r>
          <x:t>deferred taxes (FY:24 A).
deferred taxes. Primary filing observation or disclosed schedule. Keep its original fiscal year, units and reported sign.
Stored input or primary source observation. It is not calculated in this cell.</x:t>
        </x:r>
      </x:text>
    </x:comment>
    <x:comment ref="M70" authorId="0">
      <x:text>
        <x:r>
          <x:t>deferred taxes (FY:25 A).
deferred taxes. Primary filing observation or disclosed schedule. Keep its original fiscal year, units and reported sign.
Stored input or primary source observation. It is not calculated in this cell.</x:t>
        </x:r>
      </x:text>
    </x:comment>
    <x:comment ref="N70" authorId="0">
      <x:text>
        <x:r>
          <x:t>deferred taxes (FY:26 A).
deferred taxes. Primary filing observation or disclosed schedule. Keep its original fiscal year, units and reported sign.
Stored input or primary source observation. It is not calculated in this cell.</x:t>
        </x:r>
      </x:text>
    </x:comment>
    <x:comment ref="C71" authorId="0">
      <x:text>
        <x:r>
          <x:t>ar change. Primary filing observation or disclosed schedule. Keep its original fiscal year, units and reported sign.</x:t>
        </x:r>
      </x:text>
    </x:comment>
    <x:comment ref="E71" authorId="0">
      <x:text>
        <x:r>
          <x:t>ar change (FY:17 A).
ar change. Primary filing observation or disclosed schedule. Keep its original fiscal year, units and reported sign.
Stored input or primary source observation. It is not calculated in this cell.</x:t>
        </x:r>
      </x:text>
    </x:comment>
    <x:comment ref="F71" authorId="0">
      <x:text>
        <x:r>
          <x:t>ar change (FY:18 A).
ar change. Primary filing observation or disclosed schedule. Keep its original fiscal year, units and reported sign.
Stored input or primary source observation. It is not calculated in this cell.</x:t>
        </x:r>
      </x:text>
    </x:comment>
    <x:comment ref="G71" authorId="0">
      <x:text>
        <x:r>
          <x:t>ar change (FY:19 A).
ar change. Primary filing observation or disclosed schedule. Keep its original fiscal year, units and reported sign.
Stored input or primary source observation. It is not calculated in this cell.</x:t>
        </x:r>
      </x:text>
    </x:comment>
    <x:comment ref="H71" authorId="0">
      <x:text>
        <x:r>
          <x:t>ar change (FY:20 A).
ar change. Primary filing observation or disclosed schedule. Keep its original fiscal year, units and reported sign.
Stored input or primary source observation. It is not calculated in this cell.</x:t>
        </x:r>
      </x:text>
    </x:comment>
    <x:comment ref="I71" authorId="0">
      <x:text>
        <x:r>
          <x:t>ar change (FY:21 A).
ar change. Primary filing observation or disclosed schedule. Keep its original fiscal year, units and reported sign.
Stored input or primary source observation. It is not calculated in this cell.</x:t>
        </x:r>
      </x:text>
    </x:comment>
    <x:comment ref="J71" authorId="0">
      <x:text>
        <x:r>
          <x:t>ar change (FY:22 A).
ar change. Primary filing observation or disclosed schedule. Keep its original fiscal year, units and reported sign.
Stored input or primary source observation. It is not calculated in this cell.</x:t>
        </x:r>
      </x:text>
    </x:comment>
    <x:comment ref="K71" authorId="0">
      <x:text>
        <x:r>
          <x:t>ar change (FY:23 A).
ar change. Primary filing observation or disclosed schedule. Keep its original fiscal year, units and reported sign.
Stored input or primary source observation. It is not calculated in this cell.</x:t>
        </x:r>
      </x:text>
    </x:comment>
    <x:comment ref="L71" authorId="0">
      <x:text>
        <x:r>
          <x:t>ar change (FY:24 A).
ar change. Primary filing observation or disclosed schedule. Keep its original fiscal year, units and reported sign.
Stored input or primary source observation. It is not calculated in this cell.</x:t>
        </x:r>
      </x:text>
    </x:comment>
    <x:comment ref="M71" authorId="0">
      <x:text>
        <x:r>
          <x:t>ar change (FY:25 A).
ar change. Primary filing observation or disclosed schedule. Keep its original fiscal year, units and reported sign.
Stored input or primary source observation. It is not calculated in this cell.</x:t>
        </x:r>
      </x:text>
    </x:comment>
    <x:comment ref="N71" authorId="0">
      <x:text>
        <x:r>
          <x:t>ar change (FY:26 A).
ar change. Primary filing observation or disclosed schedule. Keep its original fiscal year, units and reported sign.
Stored input or primary source observation. It is not calculated in this cell.</x:t>
        </x:r>
      </x:text>
    </x:comment>
    <x:comment ref="C72" authorId="0">
      <x:text>
        <x:r>
          <x:t>inventory change. Primary filing observation or disclosed schedule. Keep its original fiscal year, units and reported sign.</x:t>
        </x:r>
      </x:text>
    </x:comment>
    <x:comment ref="E72" authorId="0">
      <x:text>
        <x:r>
          <x:t>inventory change (FY:17 A).
inventory change. Primary filing observation or disclosed schedule. Keep its original fiscal year, units and reported sign.
Stored input or primary source observation. It is not calculated in this cell.</x:t>
        </x:r>
      </x:text>
    </x:comment>
    <x:comment ref="F72" authorId="0">
      <x:text>
        <x:r>
          <x:t>inventory change (FY:18 A).
inventory change. Primary filing observation or disclosed schedule. Keep its original fiscal year, units and reported sign.
Stored input or primary source observation. It is not calculated in this cell.</x:t>
        </x:r>
      </x:text>
    </x:comment>
    <x:comment ref="G72" authorId="0">
      <x:text>
        <x:r>
          <x:t>inventory change (FY:19 A).
inventory change. Primary filing observation or disclosed schedule. Keep its original fiscal year, units and reported sign.
Stored input or primary source observation. It is not calculated in this cell.</x:t>
        </x:r>
      </x:text>
    </x:comment>
    <x:comment ref="H72" authorId="0">
      <x:text>
        <x:r>
          <x:t>inventory change (FY:20 A).
inventory change. Primary filing observation or disclosed schedule. Keep its original fiscal year, units and reported sign.
Stored input or primary source observation. It is not calculated in this cell.</x:t>
        </x:r>
      </x:text>
    </x:comment>
    <x:comment ref="I72" authorId="0">
      <x:text>
        <x:r>
          <x:t>inventory change (FY:21 A).
inventory change. Primary filing observation or disclosed schedule. Keep its original fiscal year, units and reported sign.
Stored input or primary source observation. It is not calculated in this cell.</x:t>
        </x:r>
      </x:text>
    </x:comment>
    <x:comment ref="J72" authorId="0">
      <x:text>
        <x:r>
          <x:t>inventory change (FY:22 A).
inventory change. Primary filing observation or disclosed schedule. Keep its original fiscal year, units and reported sign.
Stored input or primary source observation. It is not calculated in this cell.</x:t>
        </x:r>
      </x:text>
    </x:comment>
    <x:comment ref="K72" authorId="0">
      <x:text>
        <x:r>
          <x:t>inventory change (FY:23 A).
inventory change. Primary filing observation or disclosed schedule. Keep its original fiscal year, units and reported sign.
Stored input or primary source observation. It is not calculated in this cell.</x:t>
        </x:r>
      </x:text>
    </x:comment>
    <x:comment ref="L72" authorId="0">
      <x:text>
        <x:r>
          <x:t>inventory change (FY:24 A).
inventory change. Primary filing observation or disclosed schedule. Keep its original fiscal year, units and reported sign.
Stored input or primary source observation. It is not calculated in this cell.</x:t>
        </x:r>
      </x:text>
    </x:comment>
    <x:comment ref="M72" authorId="0">
      <x:text>
        <x:r>
          <x:t>inventory change (FY:25 A).
inventory change. Primary filing observation or disclosed schedule. Keep its original fiscal year, units and reported sign.
Stored input or primary source observation. It is not calculated in this cell.</x:t>
        </x:r>
      </x:text>
    </x:comment>
    <x:comment ref="N72" authorId="0">
      <x:text>
        <x:r>
          <x:t>inventory change (FY:26 A).
inventory change. Primary filing observation or disclosed schedule. Keep its original fiscal year, units and reported sign.
Stored input or primary source observation. It is not calculated in this cell.</x:t>
        </x:r>
      </x:text>
    </x:comment>
    <x:comment ref="C73" authorId="0">
      <x:text>
        <x:r>
          <x:t>other ca change. Primary filing observation or disclosed schedule. Keep its original fiscal year, units and reported sign.</x:t>
        </x:r>
      </x:text>
    </x:comment>
    <x:comment ref="E73" authorId="0">
      <x:text>
        <x:r>
          <x:t>other ca change (FY:17 A).
other ca change. Primary filing observation or disclosed schedule. Keep its original fiscal year, units and reported sign.
Stored input or primary source observation. It is not calculated in this cell.</x:t>
        </x:r>
      </x:text>
    </x:comment>
    <x:comment ref="F73" authorId="0">
      <x:text>
        <x:r>
          <x:t>other ca change (FY:18 A).
other ca change. Primary filing observation or disclosed schedule. Keep its original fiscal year, units and reported sign.
Stored input or primary source observation. It is not calculated in this cell.</x:t>
        </x:r>
      </x:text>
    </x:comment>
    <x:comment ref="G73" authorId="0">
      <x:text>
        <x:r>
          <x:t>other ca change (FY:19 A).
other ca change. Primary filing observation or disclosed schedule. Keep its original fiscal year, units and reported sign.
Stored input or primary source observation. It is not calculated in this cell.</x:t>
        </x:r>
      </x:text>
    </x:comment>
    <x:comment ref="H73" authorId="0">
      <x:text>
        <x:r>
          <x:t>other ca change (FY:20 A).
other ca change. Primary filing observation or disclosed schedule. Keep its original fiscal year, units and reported sign.
Stored input or primary source observation. It is not calculated in this cell.</x:t>
        </x:r>
      </x:text>
    </x:comment>
    <x:comment ref="I73" authorId="0">
      <x:text>
        <x:r>
          <x:t>other ca change (FY:21 A).
other ca change. Primary filing observation or disclosed schedule. Keep its original fiscal year, units and reported sign.
Stored input or primary source observation. It is not calculated in this cell.</x:t>
        </x:r>
      </x:text>
    </x:comment>
    <x:comment ref="J73" authorId="0">
      <x:text>
        <x:r>
          <x:t>other ca change (FY:22 A).
other ca change. Primary filing observation or disclosed schedule. Keep its original fiscal year, units and reported sign.
Stored input or primary source observation. It is not calculated in this cell.</x:t>
        </x:r>
      </x:text>
    </x:comment>
    <x:comment ref="K73" authorId="0">
      <x:text>
        <x:r>
          <x:t>other ca change (FY:23 A).
other ca change. Primary filing observation or disclosed schedule. Keep its original fiscal year, units and reported sign.
Stored input or primary source observation. It is not calculated in this cell.</x:t>
        </x:r>
      </x:text>
    </x:comment>
    <x:comment ref="L73" authorId="0">
      <x:text>
        <x:r>
          <x:t>other ca change (FY:24 A).
other ca change. Primary filing observation or disclosed schedule. Keep its original fiscal year, units and reported sign.
Stored input or primary source observation. It is not calculated in this cell.</x:t>
        </x:r>
      </x:text>
    </x:comment>
    <x:comment ref="M73" authorId="0">
      <x:text>
        <x:r>
          <x:t>other ca change (FY:25 A).
other ca change. Primary filing observation or disclosed schedule. Keep its original fiscal year, units and reported sign.
Stored input or primary source observation. It is not calculated in this cell.</x:t>
        </x:r>
      </x:text>
    </x:comment>
    <x:comment ref="N73" authorId="0">
      <x:text>
        <x:r>
          <x:t>other ca change (FY:26 A).
other ca change. Primary filing observation or disclosed schedule. Keep its original fiscal year, units and reported sign.
Stored input or primary source observation. It is not calculated in this cell.</x:t>
        </x:r>
      </x:text>
    </x:comment>
    <x:comment ref="C74" authorId="0">
      <x:text>
        <x:r>
          <x:t>other lta change. Primary filing observation or disclosed schedule. Keep its original fiscal year, units and reported sign.</x:t>
        </x:r>
      </x:text>
    </x:comment>
    <x:comment ref="E74" authorId="0">
      <x:text>
        <x:r>
          <x:t>other lta change (FY:17 A).
other lta change. Primary filing observation or disclosed schedule. Keep its original fiscal year, units and reported sign.
Stored input or primary source observation. It is not calculated in this cell.</x:t>
        </x:r>
      </x:text>
    </x:comment>
    <x:comment ref="F74" authorId="0">
      <x:text>
        <x:r>
          <x:t>other lta change (FY:18 A).
other lta change. Primary filing observation or disclosed schedule. Keep its original fiscal year, units and reported sign.
Stored input or primary source observation. It is not calculated in this cell.</x:t>
        </x:r>
      </x:text>
    </x:comment>
    <x:comment ref="G74" authorId="0">
      <x:text>
        <x:r>
          <x:t>other lta change (FY:19 A).
other lta change. Primary filing observation or disclosed schedule. Keep its original fiscal year, units and reported sign.
Stored input or primary source observation. It is not calculated in this cell.</x:t>
        </x:r>
      </x:text>
    </x:comment>
    <x:comment ref="H74" authorId="0">
      <x:text>
        <x:r>
          <x:t>other lta change (FY:20 A).
other lta change. Primary filing observation or disclosed schedule. Keep its original fiscal year, units and reported sign.
Stored input or primary source observation. It is not calculated in this cell.</x:t>
        </x:r>
      </x:text>
    </x:comment>
    <x:comment ref="I74" authorId="0">
      <x:text>
        <x:r>
          <x:t>other lta change (FY:21 A).
other lta change. Primary filing observation or disclosed schedule. Keep its original fiscal year, units and reported sign.
Stored input or primary source observation. It is not calculated in this cell.</x:t>
        </x:r>
      </x:text>
    </x:comment>
    <x:comment ref="J74" authorId="0">
      <x:text>
        <x:r>
          <x:t>other lta change (FY:22 A).
other lta change. Primary filing observation or disclosed schedule. Keep its original fiscal year, units and reported sign.
Stored input or primary source observation. It is not calculated in this cell.</x:t>
        </x:r>
      </x:text>
    </x:comment>
    <x:comment ref="K74" authorId="0">
      <x:text>
        <x:r>
          <x:t>other lta change (FY:23 A).
other lta change. Primary filing observation or disclosed schedule. Keep its original fiscal year, units and reported sign.
Stored input or primary source observation. It is not calculated in this cell.</x:t>
        </x:r>
      </x:text>
    </x:comment>
    <x:comment ref="L74" authorId="0">
      <x:text>
        <x:r>
          <x:t>other lta change (FY:24 A).
other lta change. Primary filing observation or disclosed schedule. Keep its original fiscal year, units and reported sign.
Stored input or primary source observation. It is not calculated in this cell.</x:t>
        </x:r>
      </x:text>
    </x:comment>
    <x:comment ref="M74" authorId="0">
      <x:text>
        <x:r>
          <x:t>other lta change (FY:25 A).
other lta change. Primary filing observation or disclosed schedule. Keep its original fiscal year, units and reported sign.
Stored input or primary source observation. It is not calculated in this cell.</x:t>
        </x:r>
      </x:text>
    </x:comment>
    <x:comment ref="N74" authorId="0">
      <x:text>
        <x:r>
          <x:t>other lta change (FY:26 A).
other lta change. Primary filing observation or disclosed schedule. Keep its original fiscal year, units and reported sign.
Stored input or primary source observation. It is not calculated in this cell.</x:t>
        </x:r>
      </x:text>
    </x:comment>
    <x:comment ref="C75" authorId="0">
      <x:text>
        <x:r>
          <x:t>ap change. Primary filing observation or disclosed schedule. Keep its original fiscal year, units and reported sign.</x:t>
        </x:r>
      </x:text>
    </x:comment>
    <x:comment ref="E75" authorId="0">
      <x:text>
        <x:r>
          <x:t>ap change (FY:17 A).
ap change. Primary filing observation or disclosed schedule. Keep its original fiscal year, units and reported sign.
Stored input or primary source observation. It is not calculated in this cell.</x:t>
        </x:r>
      </x:text>
    </x:comment>
    <x:comment ref="F75" authorId="0">
      <x:text>
        <x:r>
          <x:t>ap change (FY:18 A).
ap change. Primary filing observation or disclosed schedule. Keep its original fiscal year, units and reported sign.
Stored input or primary source observation. It is not calculated in this cell.</x:t>
        </x:r>
      </x:text>
    </x:comment>
    <x:comment ref="G75" authorId="0">
      <x:text>
        <x:r>
          <x:t>ap change (FY:19 A).
ap change. Primary filing observation or disclosed schedule. Keep its original fiscal year, units and reported sign.
Stored input or primary source observation. It is not calculated in this cell.</x:t>
        </x:r>
      </x:text>
    </x:comment>
    <x:comment ref="H75" authorId="0">
      <x:text>
        <x:r>
          <x:t>ap change (FY:20 A).
ap change. Primary filing observation or disclosed schedule. Keep its original fiscal year, units and reported sign.
Stored input or primary source observation. It is not calculated in this cell.</x:t>
        </x:r>
      </x:text>
    </x:comment>
    <x:comment ref="I75" authorId="0">
      <x:text>
        <x:r>
          <x:t>ap change (FY:21 A).
ap change. Primary filing observation or disclosed schedule. Keep its original fiscal year, units and reported sign.
Stored input or primary source observation. It is not calculated in this cell.</x:t>
        </x:r>
      </x:text>
    </x:comment>
    <x:comment ref="J75" authorId="0">
      <x:text>
        <x:r>
          <x:t>ap change (FY:22 A).
ap change. Primary filing observation or disclosed schedule. Keep its original fiscal year, units and reported sign.
Stored input or primary source observation. It is not calculated in this cell.</x:t>
        </x:r>
      </x:text>
    </x:comment>
    <x:comment ref="K75" authorId="0">
      <x:text>
        <x:r>
          <x:t>ap change (FY:23 A).
ap change. Primary filing observation or disclosed schedule. Keep its original fiscal year, units and reported sign.
Stored input or primary source observation. It is not calculated in this cell.</x:t>
        </x:r>
      </x:text>
    </x:comment>
    <x:comment ref="L75" authorId="0">
      <x:text>
        <x:r>
          <x:t>ap change (FY:24 A).
ap change. Primary filing observation or disclosed schedule. Keep its original fiscal year, units and reported sign.
Stored input or primary source observation. It is not calculated in this cell.</x:t>
        </x:r>
      </x:text>
    </x:comment>
    <x:comment ref="M75" authorId="0">
      <x:text>
        <x:r>
          <x:t>ap change (FY:25 A).
ap change. Primary filing observation or disclosed schedule. Keep its original fiscal year, units and reported sign.
Stored input or primary source observation. It is not calculated in this cell.</x:t>
        </x:r>
      </x:text>
    </x:comment>
    <x:comment ref="N75" authorId="0">
      <x:text>
        <x:r>
          <x:t>ap change (FY:26 A).
ap change. Primary filing observation or disclosed schedule. Keep its original fiscal year, units and reported sign.
Stored input or primary source observation. It is not calculated in this cell.</x:t>
        </x:r>
      </x:text>
    </x:comment>
    <x:comment ref="C76" authorId="0">
      <x:text>
        <x:r>
          <x:t>Customer payments billed or received before revenue recognition. Forecast balances use revenue-based planning ratios. Increases in the operating liability can provide operating cash.</x:t>
        </x:r>
      </x:text>
    </x:comment>
    <x:comment ref="E76" authorId="0">
      <x:text>
        <x:r>
          <x:t>deferred rev change (FY:17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F76" authorId="0">
      <x:text>
        <x:r>
          <x:t>deferred rev change (FY:18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G76" authorId="0">
      <x:text>
        <x:r>
          <x:t>deferred rev change (FY:19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H76" authorId="0">
      <x:text>
        <x:r>
          <x:t>deferred rev change (FY:20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I76" authorId="0">
      <x:text>
        <x:r>
          <x:t>deferred rev change (FY:21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J76" authorId="0">
      <x:text>
        <x:r>
          <x:t>deferred rev change (FY:22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K76" authorId="0">
      <x:text>
        <x:r>
          <x:t>deferred rev change (FY:23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L76" authorId="0">
      <x:text>
        <x:r>
          <x:t>deferred rev change (FY:24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M76" authorId="0">
      <x:text>
        <x:r>
          <x:t>deferred rev change (FY:25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N76" authorId="0">
      <x:text>
        <x:r>
          <x:t>deferred rev change (FY:26 A).
Customer payments billed or received before revenue recognition. Forecast balances use revenue-based planning ratios. Increases in the operating liability can provide operating cash.
Stored input or primary source observation. It is not calculated in this cell.</x:t>
        </x:r>
      </x:text>
    </x:comment>
    <x:comment ref="C77" authorId="0">
      <x:text>
        <x:r>
          <x:t>tax change. Primary filing observation or disclosed schedule. Keep its original fiscal year, units and reported sign.</x:t>
        </x:r>
      </x:text>
    </x:comment>
    <x:comment ref="E77" authorId="0">
      <x:text>
        <x:r>
          <x:t>tax change (FY:17 A).
tax change. Primary filing observation or disclosed schedule. Keep its original fiscal year, units and reported sign.
Stored input or primary source observation. It is not calculated in this cell.</x:t>
        </x:r>
      </x:text>
    </x:comment>
    <x:comment ref="F77" authorId="0">
      <x:text>
        <x:r>
          <x:t>tax change (FY:18 A).
tax change. Primary filing observation or disclosed schedule. Keep its original fiscal year, units and reported sign.
Stored input or primary source observation. It is not calculated in this cell.</x:t>
        </x:r>
      </x:text>
    </x:comment>
    <x:comment ref="G77" authorId="0">
      <x:text>
        <x:r>
          <x:t>tax change (FY:19 A).
tax change. Primary filing observation or disclosed schedule. Keep its original fiscal year, units and reported sign.
Stored input or primary source observation. It is not calculated in this cell.</x:t>
        </x:r>
      </x:text>
    </x:comment>
    <x:comment ref="H77" authorId="0">
      <x:text>
        <x:r>
          <x:t>tax change (FY:20 A).
tax change. Primary filing observation or disclosed schedule. Keep its original fiscal year, units and reported sign.
Stored input or primary source observation. It is not calculated in this cell.</x:t>
        </x:r>
      </x:text>
    </x:comment>
    <x:comment ref="I77" authorId="0">
      <x:text>
        <x:r>
          <x:t>tax change (FY:21 A).
tax change. Primary filing observation or disclosed schedule. Keep its original fiscal year, units and reported sign.
Stored input or primary source observation. It is not calculated in this cell.</x:t>
        </x:r>
      </x:text>
    </x:comment>
    <x:comment ref="J77" authorId="0">
      <x:text>
        <x:r>
          <x:t>tax change (FY:22 A).
tax change. Primary filing observation or disclosed schedule. Keep its original fiscal year, units and reported sign.
Stored input or primary source observation. It is not calculated in this cell.</x:t>
        </x:r>
      </x:text>
    </x:comment>
    <x:comment ref="K77" authorId="0">
      <x:text>
        <x:r>
          <x:t>tax change (FY:23 A).
tax change. Primary filing observation or disclosed schedule. Keep its original fiscal year, units and reported sign.
Stored input or primary source observation. It is not calculated in this cell.</x:t>
        </x:r>
      </x:text>
    </x:comment>
    <x:comment ref="L77" authorId="0">
      <x:text>
        <x:r>
          <x:t>tax change (FY:24 A).
tax change. Primary filing observation or disclosed schedule. Keep its original fiscal year, units and reported sign.
Stored input or primary source observation. It is not calculated in this cell.</x:t>
        </x:r>
      </x:text>
    </x:comment>
    <x:comment ref="M77" authorId="0">
      <x:text>
        <x:r>
          <x:t>tax change (FY:25 A).
tax change. Primary filing observation or disclosed schedule. Keep its original fiscal year, units and reported sign.
Stored input or primary source observation. It is not calculated in this cell.</x:t>
        </x:r>
      </x:text>
    </x:comment>
    <x:comment ref="N77" authorId="0">
      <x:text>
        <x:r>
          <x:t>tax change (FY:26 A).
tax change. Primary filing observation or disclosed schedule. Keep its original fiscal year, units and reported sign.
Stored input or primary source observation. It is not calculated in this cell.</x:t>
        </x:r>
      </x:text>
    </x:comment>
    <x:comment ref="C78" authorId="0">
      <x:text>
        <x:r>
          <x:t>other cl change. Primary filing observation or disclosed schedule. Keep its original fiscal year, units and reported sign.</x:t>
        </x:r>
      </x:text>
    </x:comment>
    <x:comment ref="E78" authorId="0">
      <x:text>
        <x:r>
          <x:t>other cl change (FY:17 A).
other cl change. Primary filing observation or disclosed schedule. Keep its original fiscal year, units and reported sign.
Stored input or primary source observation. It is not calculated in this cell.</x:t>
        </x:r>
      </x:text>
    </x:comment>
    <x:comment ref="F78" authorId="0">
      <x:text>
        <x:r>
          <x:t>other cl change (FY:18 A).
other cl change. Primary filing observation or disclosed schedule. Keep its original fiscal year, units and reported sign.
Stored input or primary source observation. It is not calculated in this cell.</x:t>
        </x:r>
      </x:text>
    </x:comment>
    <x:comment ref="G78" authorId="0">
      <x:text>
        <x:r>
          <x:t>other cl change (FY:19 A).
other cl change. Primary filing observation or disclosed schedule. Keep its original fiscal year, units and reported sign.
Stored input or primary source observation. It is not calculated in this cell.</x:t>
        </x:r>
      </x:text>
    </x:comment>
    <x:comment ref="H78" authorId="0">
      <x:text>
        <x:r>
          <x:t>other cl change (FY:20 A).
other cl change. Primary filing observation or disclosed schedule. Keep its original fiscal year, units and reported sign.
Stored input or primary source observation. It is not calculated in this cell.</x:t>
        </x:r>
      </x:text>
    </x:comment>
    <x:comment ref="I78" authorId="0">
      <x:text>
        <x:r>
          <x:t>other cl change (FY:21 A).
other cl change. Primary filing observation or disclosed schedule. Keep its original fiscal year, units and reported sign.
Stored input or primary source observation. It is not calculated in this cell.</x:t>
        </x:r>
      </x:text>
    </x:comment>
    <x:comment ref="J78" authorId="0">
      <x:text>
        <x:r>
          <x:t>other cl change (FY:22 A).
other cl change. Primary filing observation or disclosed schedule. Keep its original fiscal year, units and reported sign.
Stored input or primary source observation. It is not calculated in this cell.</x:t>
        </x:r>
      </x:text>
    </x:comment>
    <x:comment ref="K78" authorId="0">
      <x:text>
        <x:r>
          <x:t>other cl change (FY:23 A).
other cl change. Primary filing observation or disclosed schedule. Keep its original fiscal year, units and reported sign.
Stored input or primary source observation. It is not calculated in this cell.</x:t>
        </x:r>
      </x:text>
    </x:comment>
    <x:comment ref="L78" authorId="0">
      <x:text>
        <x:r>
          <x:t>other cl change (FY:24 A).
other cl change. Primary filing observation or disclosed schedule. Keep its original fiscal year, units and reported sign.
Stored input or primary source observation. It is not calculated in this cell.</x:t>
        </x:r>
      </x:text>
    </x:comment>
    <x:comment ref="M78" authorId="0">
      <x:text>
        <x:r>
          <x:t>other cl change (FY:25 A).
other cl change. Primary filing observation or disclosed schedule. Keep its original fiscal year, units and reported sign.
Stored input or primary source observation. It is not calculated in this cell.</x:t>
        </x:r>
      </x:text>
    </x:comment>
    <x:comment ref="N78" authorId="0">
      <x:text>
        <x:r>
          <x:t>other cl change (FY:26 A).
other cl change. Primary filing observation or disclosed schedule. Keep its original fiscal year, units and reported sign.
Stored input or primary source observation. It is not calculated in this cell.</x:t>
        </x:r>
      </x:text>
    </x:comment>
    <x:comment ref="C79" authorId="0">
      <x:text>
        <x:r>
          <x:t>other ltl change. Primary filing observation or disclosed schedule. Keep its original fiscal year, units and reported sign.</x:t>
        </x:r>
      </x:text>
    </x:comment>
    <x:comment ref="E79" authorId="0">
      <x:text>
        <x:r>
          <x:t>other ltl change (FY:17 A).
other ltl change. Primary filing observation or disclosed schedule. Keep its original fiscal year, units and reported sign.
Stored input or primary source observation. It is not calculated in this cell.</x:t>
        </x:r>
      </x:text>
    </x:comment>
    <x:comment ref="F79" authorId="0">
      <x:text>
        <x:r>
          <x:t>other ltl change (FY:18 A).
other ltl change. Primary filing observation or disclosed schedule. Keep its original fiscal year, units and reported sign.
Stored input or primary source observation. It is not calculated in this cell.</x:t>
        </x:r>
      </x:text>
    </x:comment>
    <x:comment ref="G79" authorId="0">
      <x:text>
        <x:r>
          <x:t>other ltl change (FY:19 A).
other ltl change. Primary filing observation or disclosed schedule. Keep its original fiscal year, units and reported sign.
Stored input or primary source observation. It is not calculated in this cell.</x:t>
        </x:r>
      </x:text>
    </x:comment>
    <x:comment ref="H79" authorId="0">
      <x:text>
        <x:r>
          <x:t>other ltl change (FY:20 A).
other ltl change. Primary filing observation or disclosed schedule. Keep its original fiscal year, units and reported sign.
Stored input or primary source observation. It is not calculated in this cell.</x:t>
        </x:r>
      </x:text>
    </x:comment>
    <x:comment ref="I79" authorId="0">
      <x:text>
        <x:r>
          <x:t>other ltl change (FY:21 A).
other ltl change. Primary filing observation or disclosed schedule. Keep its original fiscal year, units and reported sign.
Stored input or primary source observation. It is not calculated in this cell.</x:t>
        </x:r>
      </x:text>
    </x:comment>
    <x:comment ref="J79" authorId="0">
      <x:text>
        <x:r>
          <x:t>other ltl change (FY:22 A).
other ltl change. Primary filing observation or disclosed schedule. Keep its original fiscal year, units and reported sign.
Stored input or primary source observation. It is not calculated in this cell.</x:t>
        </x:r>
      </x:text>
    </x:comment>
    <x:comment ref="K79" authorId="0">
      <x:text>
        <x:r>
          <x:t>other ltl change (FY:23 A).
other ltl change. Primary filing observation or disclosed schedule. Keep its original fiscal year, units and reported sign.
Stored input or primary source observation. It is not calculated in this cell.</x:t>
        </x:r>
      </x:text>
    </x:comment>
    <x:comment ref="L79" authorId="0">
      <x:text>
        <x:r>
          <x:t>other ltl change (FY:24 A).
other ltl change. Primary filing observation or disclosed schedule. Keep its original fiscal year, units and reported sign.
Stored input or primary source observation. It is not calculated in this cell.</x:t>
        </x:r>
      </x:text>
    </x:comment>
    <x:comment ref="M79" authorId="0">
      <x:text>
        <x:r>
          <x:t>other ltl change (FY:25 A).
other ltl change. Primary filing observation or disclosed schedule. Keep its original fiscal year, units and reported sign.
Stored input or primary source observation. It is not calculated in this cell.</x:t>
        </x:r>
      </x:text>
    </x:comment>
    <x:comment ref="N79" authorId="0">
      <x:text>
        <x:r>
          <x:t>other ltl change (FY:26 A).
other ltl change. Primary filing observation or disclosed schedule. Keep its original fiscal year, units and reported sign.
Stored input or primary source observation. It is not calculated in this cell.</x:t>
        </x:r>
      </x:text>
    </x:comment>
    <x:comment ref="C80" authorId="0">
      <x:text>
        <x:r>
          <x:t>Net income plus noncash adjustments and signed operating balance changes. Depreciation and stock-based compensation are added back once. Primary filing value. The original reporting sign and fiscal year are preserved.</x:t>
        </x:r>
      </x:text>
    </x:comment>
    <x:comment ref="E80" authorId="0">
      <x:text>
        <x:r>
          <x:t>cfo (FY:17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F80" authorId="0">
      <x:text>
        <x:r>
          <x:t>cfo (FY:18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G80" authorId="0">
      <x:text>
        <x:r>
          <x:t>cfo (FY:19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H80" authorId="0">
      <x:text>
        <x:r>
          <x:t>cfo (FY:20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I80" authorId="0">
      <x:text>
        <x:r>
          <x:t>cfo (FY:21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J80" authorId="0">
      <x:text>
        <x:r>
          <x:t>cfo (FY:22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K80" authorId="0">
      <x:text>
        <x:r>
          <x:t>cfo (FY:23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L80" authorId="0">
      <x:text>
        <x:r>
          <x:t>cfo (FY:24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M80" authorId="0">
      <x:text>
        <x:r>
          <x:t>cfo (FY:25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N80" authorId="0">
      <x:text>
        <x:r>
          <x:t>cfo (FY:26 A).
Net income plus noncash adjustments and signed operating balance changes. Depreciation and stock-based compensation are added back once. Primary filing value. The original reporting sign and fiscal year are preserved.
Stored input or primary source observation. It is not calculated in this cell.</x:t>
        </x:r>
      </x:text>
    </x:comment>
    <x:comment ref="C81" authorId="0">
      <x:text>
        <x:r>
          <x:t>net st debt. Primary filing observation or disclosed schedule. Keep its original fiscal year, units and reported sign.</x:t>
        </x:r>
      </x:text>
    </x:comment>
    <x:comment ref="E81" authorId="0">
      <x:text>
        <x:r>
          <x:t>net st debt (FY:17 A).
net st debt. Primary filing observation or disclosed schedule. Keep its original fiscal year, units and reported sign.
Stored input or primary source observation. It is not calculated in this cell.</x:t>
        </x:r>
      </x:text>
    </x:comment>
    <x:comment ref="F81" authorId="0">
      <x:text>
        <x:r>
          <x:t>net st debt (FY:18 A).
net st debt. Primary filing observation or disclosed schedule. Keep its original fiscal year, units and reported sign.
Stored input or primary source observation. It is not calculated in this cell.</x:t>
        </x:r>
      </x:text>
    </x:comment>
    <x:comment ref="G81" authorId="0">
      <x:text>
        <x:r>
          <x:t>net st debt (FY:19 A).
net st debt. Primary filing observation or disclosed schedule. Keep its original fiscal year, units and reported sign.
Stored input or primary source observation. It is not calculated in this cell.</x:t>
        </x:r>
      </x:text>
    </x:comment>
    <x:comment ref="H81" authorId="0">
      <x:text>
        <x:r>
          <x:t>net st debt (FY:20 A).
net st debt. Primary filing observation or disclosed schedule. Keep its original fiscal year, units and reported sign.
Stored input or primary source observation. It is not calculated in this cell.</x:t>
        </x:r>
      </x:text>
    </x:comment>
    <x:comment ref="I81" authorId="0">
      <x:text>
        <x:r>
          <x:t>net st debt (FY:21 A).
net st debt. Primary filing observation or disclosed schedule. Keep its original fiscal year, units and reported sign.
Stored input or primary source observation. It is not calculated in this cell.</x:t>
        </x:r>
      </x:text>
    </x:comment>
    <x:comment ref="J81" authorId="0">
      <x:text>
        <x:r>
          <x:t>net st debt (FY:22 A).
net st debt. Primary filing observation or disclosed schedule. Keep its original fiscal year, units and reported sign.
Stored input or primary source observation. It is not calculated in this cell.</x:t>
        </x:r>
      </x:text>
    </x:comment>
    <x:comment ref="K81" authorId="0">
      <x:text>
        <x:r>
          <x:t>net st debt (FY:23 A).
net st debt. Primary filing observation or disclosed schedule. Keep its original fiscal year, units and reported sign.
Stored input or primary source observation. It is not calculated in this cell.</x:t>
        </x:r>
      </x:text>
    </x:comment>
    <x:comment ref="L81" authorId="0">
      <x:text>
        <x:r>
          <x:t>net st debt (FY:24 A).
net st debt. Primary filing observation or disclosed schedule. Keep its original fiscal year, units and reported sign.
Stored input or primary source observation. It is not calculated in this cell.</x:t>
        </x:r>
      </x:text>
    </x:comment>
    <x:comment ref="M81" authorId="0">
      <x:text>
        <x:r>
          <x:t>net st debt (FY:25 A).
net st debt. Primary filing observation or disclosed schedule. Keep its original fiscal year, units and reported sign.
Stored input or primary source observation. It is not calculated in this cell.</x:t>
        </x:r>
      </x:text>
    </x:comment>
    <x:comment ref="N81" authorId="0">
      <x:text>
        <x:r>
          <x:t>net st debt (FY:26 A).
net st debt. Primary filing observation or disclosed schedule. Keep its original fiscal year, units and reported sign.
Stored input or primary source observation. It is not calculated in this cell.</x:t>
        </x:r>
      </x:text>
    </x:comment>
    <x:comment ref="C82" authorId="0">
      <x:text>
        <x:r>
          <x:t>debt issued. Primary filing observation or disclosed schedule. Keep its original fiscal year, units and reported sign.</x:t>
        </x:r>
      </x:text>
    </x:comment>
    <x:comment ref="E82" authorId="0">
      <x:text>
        <x:r>
          <x:t>debt issued (FY:17 A).
debt issued. Primary filing observation or disclosed schedule. Keep its original fiscal year, units and reported sign.
Stored input or primary source observation. It is not calculated in this cell.</x:t>
        </x:r>
      </x:text>
    </x:comment>
    <x:comment ref="F82" authorId="0">
      <x:text>
        <x:r>
          <x:t>debt issued (FY:18 A).
debt issued. Primary filing observation or disclosed schedule. Keep its original fiscal year, units and reported sign.
Stored input or primary source observation. It is not calculated in this cell.</x:t>
        </x:r>
      </x:text>
    </x:comment>
    <x:comment ref="G82" authorId="0">
      <x:text>
        <x:r>
          <x:t>debt issued (FY:19 A).
debt issued. Primary filing observation or disclosed schedule. Keep its original fiscal year, units and reported sign.
Stored input or primary source observation. It is not calculated in this cell.</x:t>
        </x:r>
      </x:text>
    </x:comment>
    <x:comment ref="H82" authorId="0">
      <x:text>
        <x:r>
          <x:t>debt issued (FY:20 A).
debt issued. Primary filing observation or disclosed schedule. Keep its original fiscal year, units and reported sign.
Stored input or primary source observation. It is not calculated in this cell.</x:t>
        </x:r>
      </x:text>
    </x:comment>
    <x:comment ref="I82" authorId="0">
      <x:text>
        <x:r>
          <x:t>debt issued (FY:21 A).
debt issued. Primary filing observation or disclosed schedule. Keep its original fiscal year, units and reported sign.
Stored input or primary source observation. It is not calculated in this cell.</x:t>
        </x:r>
      </x:text>
    </x:comment>
    <x:comment ref="J82" authorId="0">
      <x:text>
        <x:r>
          <x:t>debt issued (FY:22 A).
debt issued. Primary filing observation or disclosed schedule. Keep its original fiscal year, units and reported sign.
Stored input or primary source observation. It is not calculated in this cell.</x:t>
        </x:r>
      </x:text>
    </x:comment>
    <x:comment ref="K82" authorId="0">
      <x:text>
        <x:r>
          <x:t>debt issued (FY:23 A).
debt issued. Primary filing observation or disclosed schedule. Keep its original fiscal year, units and reported sign.
Stored input or primary source observation. It is not calculated in this cell.</x:t>
        </x:r>
      </x:text>
    </x:comment>
    <x:comment ref="L82" authorId="0">
      <x:text>
        <x:r>
          <x:t>debt issued (FY:24 A).
debt issued. Primary filing observation or disclosed schedule. Keep its original fiscal year, units and reported sign.
Stored input or primary source observation. It is not calculated in this cell.</x:t>
        </x:r>
      </x:text>
    </x:comment>
    <x:comment ref="M82" authorId="0">
      <x:text>
        <x:r>
          <x:t>debt issued (FY:25 A).
debt issued. Primary filing observation or disclosed schedule. Keep its original fiscal year, units and reported sign.
Stored input or primary source observation. It is not calculated in this cell.</x:t>
        </x:r>
      </x:text>
    </x:comment>
    <x:comment ref="N82" authorId="0">
      <x:text>
        <x:r>
          <x:t>debt issued (FY:26 A).
debt issued. Primary filing observation or disclosed schedule. Keep its original fiscal year, units and reported sign.
Stored input or primary source observation. It is not calculated in this cell.</x:t>
        </x:r>
      </x:text>
    </x:comment>
    <x:comment ref="C83" authorId="0">
      <x:text>
        <x:r>
          <x:t>debt repaid. Primary filing observation or disclosed schedule. Keep its original fiscal year, units and reported sign.</x:t>
        </x:r>
      </x:text>
    </x:comment>
    <x:comment ref="E83" authorId="0">
      <x:text>
        <x:r>
          <x:t>debt repaid (FY:17 A).
debt repaid. Primary filing observation or disclosed schedule. Keep its original fiscal year, units and reported sign.
Stored input or primary source observation. It is not calculated in this cell.</x:t>
        </x:r>
      </x:text>
    </x:comment>
    <x:comment ref="F83" authorId="0">
      <x:text>
        <x:r>
          <x:t>debt repaid (FY:18 A).
debt repaid. Primary filing observation or disclosed schedule. Keep its original fiscal year, units and reported sign.
Stored input or primary source observation. It is not calculated in this cell.</x:t>
        </x:r>
      </x:text>
    </x:comment>
    <x:comment ref="G83" authorId="0">
      <x:text>
        <x:r>
          <x:t>debt repaid (FY:19 A).
debt repaid. Primary filing observation or disclosed schedule. Keep its original fiscal year, units and reported sign.
Stored input or primary source observation. It is not calculated in this cell.</x:t>
        </x:r>
      </x:text>
    </x:comment>
    <x:comment ref="H83" authorId="0">
      <x:text>
        <x:r>
          <x:t>debt repaid (FY:20 A).
debt repaid. Primary filing observation or disclosed schedule. Keep its original fiscal year, units and reported sign.
Stored input or primary source observation. It is not calculated in this cell.</x:t>
        </x:r>
      </x:text>
    </x:comment>
    <x:comment ref="I83" authorId="0">
      <x:text>
        <x:r>
          <x:t>debt repaid (FY:21 A).
debt repaid. Primary filing observation or disclosed schedule. Keep its original fiscal year, units and reported sign.
Stored input or primary source observation. It is not calculated in this cell.</x:t>
        </x:r>
      </x:text>
    </x:comment>
    <x:comment ref="J83" authorId="0">
      <x:text>
        <x:r>
          <x:t>debt repaid (FY:22 A).
debt repaid. Primary filing observation or disclosed schedule. Keep its original fiscal year, units and reported sign.
Stored input or primary source observation. It is not calculated in this cell.</x:t>
        </x:r>
      </x:text>
    </x:comment>
    <x:comment ref="K83" authorId="0">
      <x:text>
        <x:r>
          <x:t>debt repaid (FY:23 A).
debt repaid. Primary filing observation or disclosed schedule. Keep its original fiscal year, units and reported sign.
Stored input or primary source observation. It is not calculated in this cell.</x:t>
        </x:r>
      </x:text>
    </x:comment>
    <x:comment ref="L83" authorId="0">
      <x:text>
        <x:r>
          <x:t>debt repaid (FY:24 A).
debt repaid. Primary filing observation or disclosed schedule. Keep its original fiscal year, units and reported sign.
Stored input or primary source observation. It is not calculated in this cell.</x:t>
        </x:r>
      </x:text>
    </x:comment>
    <x:comment ref="M83" authorId="0">
      <x:text>
        <x:r>
          <x:t>debt repaid (FY:25 A).
debt repaid. Primary filing observation or disclosed schedule. Keep its original fiscal year, units and reported sign.
Stored input or primary source observation. It is not calculated in this cell.</x:t>
        </x:r>
      </x:text>
    </x:comment>
    <x:comment ref="N83" authorId="0">
      <x:text>
        <x:r>
          <x:t>debt repaid (FY:26 A).
debt repaid. Primary filing observation or disclosed schedule. Keep its original fiscal year, units and reported sign.
Stored input or primary source observation. It is not calculated in this cell.</x:t>
        </x:r>
      </x:text>
    </x:comment>
    <x:comment ref="C84" authorId="0">
      <x:text>
        <x:r>
          <x:t>stock issued. Primary filing observation or disclosed schedule. Keep its original fiscal year, units and reported sign.</x:t>
        </x:r>
      </x:text>
    </x:comment>
    <x:comment ref="E84" authorId="0">
      <x:text>
        <x:r>
          <x:t>stock issued (FY:17 A).
stock issued. Primary filing observation or disclosed schedule. Keep its original fiscal year, units and reported sign.
Stored input or primary source observation. It is not calculated in this cell.</x:t>
        </x:r>
      </x:text>
    </x:comment>
    <x:comment ref="F84" authorId="0">
      <x:text>
        <x:r>
          <x:t>stock issued (FY:18 A).
stock issued. Primary filing observation or disclosed schedule. Keep its original fiscal year, units and reported sign.
Stored input or primary source observation. It is not calculated in this cell.</x:t>
        </x:r>
      </x:text>
    </x:comment>
    <x:comment ref="G84" authorId="0">
      <x:text>
        <x:r>
          <x:t>stock issued (FY:19 A).
stock issued. Primary filing observation or disclosed schedule. Keep its original fiscal year, units and reported sign.
Stored input or primary source observation. It is not calculated in this cell.</x:t>
        </x:r>
      </x:text>
    </x:comment>
    <x:comment ref="H84" authorId="0">
      <x:text>
        <x:r>
          <x:t>stock issued (FY:20 A).
stock issued. Primary filing observation or disclosed schedule. Keep its original fiscal year, units and reported sign.
Stored input or primary source observation. It is not calculated in this cell.</x:t>
        </x:r>
      </x:text>
    </x:comment>
    <x:comment ref="I84" authorId="0">
      <x:text>
        <x:r>
          <x:t>stock issued (FY:21 A).
stock issued. Primary filing observation or disclosed schedule. Keep its original fiscal year, units and reported sign.
Stored input or primary source observation. It is not calculated in this cell.</x:t>
        </x:r>
      </x:text>
    </x:comment>
    <x:comment ref="J84" authorId="0">
      <x:text>
        <x:r>
          <x:t>stock issued (FY:22 A).
stock issued. Primary filing observation or disclosed schedule. Keep its original fiscal year, units and reported sign.
Stored input or primary source observation. It is not calculated in this cell.</x:t>
        </x:r>
      </x:text>
    </x:comment>
    <x:comment ref="K84" authorId="0">
      <x:text>
        <x:r>
          <x:t>stock issued (FY:23 A).
stock issued. Primary filing observation or disclosed schedule. Keep its original fiscal year, units and reported sign.
Stored input or primary source observation. It is not calculated in this cell.</x:t>
        </x:r>
      </x:text>
    </x:comment>
    <x:comment ref="L84" authorId="0">
      <x:text>
        <x:r>
          <x:t>stock issued (FY:24 A).
stock issued. Primary filing observation or disclosed schedule. Keep its original fiscal year, units and reported sign.
Stored input or primary source observation. It is not calculated in this cell.</x:t>
        </x:r>
      </x:text>
    </x:comment>
    <x:comment ref="M84" authorId="0">
      <x:text>
        <x:r>
          <x:t>stock issued (FY:25 A).
stock issued. Primary filing observation or disclosed schedule. Keep its original fiscal year, units and reported sign.
Stored input or primary source observation. It is not calculated in this cell.</x:t>
        </x:r>
      </x:text>
    </x:comment>
    <x:comment ref="N84" authorId="0">
      <x:text>
        <x:r>
          <x:t>stock issued (FY:26 A).
stock issued. Primary filing observation or disclosed schedule. Keep its original fiscal year, units and reported sign.
Stored input or primary source observation. It is not calculated in this cell.</x:t>
        </x:r>
      </x:text>
    </x:comment>
    <x:comment ref="C85" authorId="0">
      <x:text>
        <x:r>
          <x:t>buybacks. Primary filing observation or disclosed schedule. Keep its original fiscal year, units and reported sign.</x:t>
        </x:r>
      </x:text>
    </x:comment>
    <x:comment ref="E85" authorId="0">
      <x:text>
        <x:r>
          <x:t>buybacks (FY:17 A).
buybacks. Primary filing observation or disclosed schedule. Keep its original fiscal year, units and reported sign.
Stored input or primary source observation. It is not calculated in this cell.</x:t>
        </x:r>
      </x:text>
    </x:comment>
    <x:comment ref="F85" authorId="0">
      <x:text>
        <x:r>
          <x:t>buybacks (FY:18 A).
buybacks. Primary filing observation or disclosed schedule. Keep its original fiscal year, units and reported sign.
Stored input or primary source observation. It is not calculated in this cell.</x:t>
        </x:r>
      </x:text>
    </x:comment>
    <x:comment ref="G85" authorId="0">
      <x:text>
        <x:r>
          <x:t>buybacks (FY:19 A).
buybacks. Primary filing observation or disclosed schedule. Keep its original fiscal year, units and reported sign.
Stored input or primary source observation. It is not calculated in this cell.</x:t>
        </x:r>
      </x:text>
    </x:comment>
    <x:comment ref="H85" authorId="0">
      <x:text>
        <x:r>
          <x:t>buybacks (FY:20 A).
buybacks. Primary filing observation or disclosed schedule. Keep its original fiscal year, units and reported sign.
Stored input or primary source observation. It is not calculated in this cell.</x:t>
        </x:r>
      </x:text>
    </x:comment>
    <x:comment ref="I85" authorId="0">
      <x:text>
        <x:r>
          <x:t>buybacks (FY:21 A).
buybacks. Primary filing observation or disclosed schedule. Keep its original fiscal year, units and reported sign.
Stored input or primary source observation. It is not calculated in this cell.</x:t>
        </x:r>
      </x:text>
    </x:comment>
    <x:comment ref="J85" authorId="0">
      <x:text>
        <x:r>
          <x:t>buybacks (FY:22 A).
buybacks. Primary filing observation or disclosed schedule. Keep its original fiscal year, units and reported sign.
Stored input or primary source observation. It is not calculated in this cell.</x:t>
        </x:r>
      </x:text>
    </x:comment>
    <x:comment ref="K85" authorId="0">
      <x:text>
        <x:r>
          <x:t>buybacks (FY:23 A).
buybacks. Primary filing observation or disclosed schedule. Keep its original fiscal year, units and reported sign.
Stored input or primary source observation. It is not calculated in this cell.</x:t>
        </x:r>
      </x:text>
    </x:comment>
    <x:comment ref="L85" authorId="0">
      <x:text>
        <x:r>
          <x:t>buybacks (FY:24 A).
buybacks. Primary filing observation or disclosed schedule. Keep its original fiscal year, units and reported sign.
Stored input or primary source observation. It is not calculated in this cell.</x:t>
        </x:r>
      </x:text>
    </x:comment>
    <x:comment ref="M85" authorId="0">
      <x:text>
        <x:r>
          <x:t>buybacks (FY:25 A).
buybacks. Primary filing observation or disclosed schedule. Keep its original fiscal year, units and reported sign.
Stored input or primary source observation. It is not calculated in this cell.</x:t>
        </x:r>
      </x:text>
    </x:comment>
    <x:comment ref="N85" authorId="0">
      <x:text>
        <x:r>
          <x:t>buybacks (FY:26 A).
buybacks. Primary filing observation or disclosed schedule. Keep its original fiscal year, units and reported sign.
Stored input or primary source observation. It is not calculated in this cell.</x:t>
        </x:r>
      </x:text>
    </x:comment>
    <x:comment ref="C86" authorId="0">
      <x:text>
        <x:r>
          <x:t>dividends. Primary filing observation or disclosed schedule. Keep its original fiscal year, units and reported sign.</x:t>
        </x:r>
      </x:text>
    </x:comment>
    <x:comment ref="E86" authorId="0">
      <x:text>
        <x:r>
          <x:t>dividends (FY:17 A).
dividends. Primary filing observation or disclosed schedule. Keep its original fiscal year, units and reported sign.
Stored input or primary source observation. It is not calculated in this cell.</x:t>
        </x:r>
      </x:text>
    </x:comment>
    <x:comment ref="F86" authorId="0">
      <x:text>
        <x:r>
          <x:t>dividends (FY:18 A).
dividends. Primary filing observation or disclosed schedule. Keep its original fiscal year, units and reported sign.
Stored input or primary source observation. It is not calculated in this cell.</x:t>
        </x:r>
      </x:text>
    </x:comment>
    <x:comment ref="G86" authorId="0">
      <x:text>
        <x:r>
          <x:t>dividends (FY:19 A).
dividends. Primary filing observation or disclosed schedule. Keep its original fiscal year, units and reported sign.
Stored input or primary source observation. It is not calculated in this cell.</x:t>
        </x:r>
      </x:text>
    </x:comment>
    <x:comment ref="H86" authorId="0">
      <x:text>
        <x:r>
          <x:t>dividends (FY:20 A).
dividends. Primary filing observation or disclosed schedule. Keep its original fiscal year, units and reported sign.
Stored input or primary source observation. It is not calculated in this cell.</x:t>
        </x:r>
      </x:text>
    </x:comment>
    <x:comment ref="I86" authorId="0">
      <x:text>
        <x:r>
          <x:t>dividends (FY:21 A).
dividends. Primary filing observation or disclosed schedule. Keep its original fiscal year, units and reported sign.
Stored input or primary source observation. It is not calculated in this cell.</x:t>
        </x:r>
      </x:text>
    </x:comment>
    <x:comment ref="J86" authorId="0">
      <x:text>
        <x:r>
          <x:t>dividends (FY:22 A).
dividends. Primary filing observation or disclosed schedule. Keep its original fiscal year, units and reported sign.
Stored input or primary source observation. It is not calculated in this cell.</x:t>
        </x:r>
      </x:text>
    </x:comment>
    <x:comment ref="K86" authorId="0">
      <x:text>
        <x:r>
          <x:t>dividends (FY:23 A).
dividends. Primary filing observation or disclosed schedule. Keep its original fiscal year, units and reported sign.
Stored input or primary source observation. It is not calculated in this cell.</x:t>
        </x:r>
      </x:text>
    </x:comment>
    <x:comment ref="L86" authorId="0">
      <x:text>
        <x:r>
          <x:t>dividends (FY:24 A).
dividends. Primary filing observation or disclosed schedule. Keep its original fiscal year, units and reported sign.
Stored input or primary source observation. It is not calculated in this cell.</x:t>
        </x:r>
      </x:text>
    </x:comment>
    <x:comment ref="M86" authorId="0">
      <x:text>
        <x:r>
          <x:t>dividends (FY:25 A).
dividends. Primary filing observation or disclosed schedule. Keep its original fiscal year, units and reported sign.
Stored input or primary source observation. It is not calculated in this cell.</x:t>
        </x:r>
      </x:text>
    </x:comment>
    <x:comment ref="N86" authorId="0">
      <x:text>
        <x:r>
          <x:t>dividends (FY:26 A).
dividends. Primary filing observation or disclosed schedule. Keep its original fiscal year, units and reported sign.
Stored input or primary source observation. It is not calculated in this cell.</x:t>
        </x:r>
      </x:text>
    </x:comment>
    <x:comment ref="C87" authorId="0">
      <x:text>
        <x:r>
          <x:t>Reported aggregate other financing cash flow. Historical finance lease principal is separated in the presented Cash Flow sheet where note data permit.</x:t>
        </x:r>
      </x:text>
    </x:comment>
    <x:comment ref="E87" authorId="0">
      <x:text>
        <x:r>
          <x:t>other financing (FY:17 A).
Reported aggregate other financing cash flow. Historical finance lease principal is separated in the presented Cash Flow sheet where note data permit.
Stored input or primary source observation. It is not calculated in this cell.</x:t>
        </x:r>
      </x:text>
    </x:comment>
    <x:comment ref="F87" authorId="0">
      <x:text>
        <x:r>
          <x:t>other financing (FY:18 A).
Reported aggregate other financing cash flow. Historical finance lease principal is separated in the presented Cash Flow sheet where note data permit.
Stored input or primary source observation. It is not calculated in this cell.</x:t>
        </x:r>
      </x:text>
    </x:comment>
    <x:comment ref="G87" authorId="0">
      <x:text>
        <x:r>
          <x:t>other financing (FY:19 A).
Reported aggregate other financing cash flow. Historical finance lease principal is separated in the presented Cash Flow sheet where note data permit.
Stored input or primary source observation. It is not calculated in this cell.</x:t>
        </x:r>
      </x:text>
    </x:comment>
    <x:comment ref="H87" authorId="0">
      <x:text>
        <x:r>
          <x:t>other financing (FY:20 A).
Reported aggregate other financing cash flow. Historical finance lease principal is separated in the presented Cash Flow sheet where note data permit.
Stored input or primary source observation. It is not calculated in this cell.</x:t>
        </x:r>
      </x:text>
    </x:comment>
    <x:comment ref="I87" authorId="0">
      <x:text>
        <x:r>
          <x:t>other financing (FY:21 A).
Reported aggregate other financing cash flow. Historical finance lease principal is separated in the presented Cash Flow sheet where note data permit.
Stored input or primary source observation. It is not calculated in this cell.</x:t>
        </x:r>
      </x:text>
    </x:comment>
    <x:comment ref="J87" authorId="0">
      <x:text>
        <x:r>
          <x:t>other financing (FY:22 A).
Reported aggregate other financing cash flow. Historical finance lease principal is separated in the presented Cash Flow sheet where note data permit.
Stored input or primary source observation. It is not calculated in this cell.</x:t>
        </x:r>
      </x:text>
    </x:comment>
    <x:comment ref="K87" authorId="0">
      <x:text>
        <x:r>
          <x:t>other financing (FY:23 A).
Reported aggregate other financing cash flow. Historical finance lease principal is separated in the presented Cash Flow sheet where note data permit.
Stored input or primary source observation. It is not calculated in this cell.</x:t>
        </x:r>
      </x:text>
    </x:comment>
    <x:comment ref="L87" authorId="0">
      <x:text>
        <x:r>
          <x:t>other financing (FY:24 A).
Reported aggregate other financing cash flow. Historical finance lease principal is separated in the presented Cash Flow sheet where note data permit.
Stored input or primary source observation. It is not calculated in this cell.</x:t>
        </x:r>
      </x:text>
    </x:comment>
    <x:comment ref="M87" authorId="0">
      <x:text>
        <x:r>
          <x:t>other financing (FY:25 A).
Reported aggregate other financing cash flow. Historical finance lease principal is separated in the presented Cash Flow sheet where note data permit.
Stored input or primary source observation. It is not calculated in this cell.</x:t>
        </x:r>
      </x:text>
    </x:comment>
    <x:comment ref="N87" authorId="0">
      <x:text>
        <x:r>
          <x:t>other financing (FY:26 A).
Reported aggregate other financing cash flow. Historical finance lease principal is separated in the presented Cash Flow sheet where note data permit.
Stored input or primary source observation. It is not calculated in this cell.</x:t>
        </x:r>
      </x:text>
    </x:comment>
    <x:comment ref="C88" authorId="0">
      <x:text>
        <x:r>
          <x:t>Cash balance or signed cash flow as named in the row. Positive cash-flow amounts are inflows and negative amounts are outflows. Follow the formula or source reference below for the classification.</x:t>
        </x:r>
      </x:text>
    </x:comment>
    <x:comment ref="E88" authorId="0">
      <x:text>
        <x:r>
          <x:t>cff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88" authorId="0">
      <x:text>
        <x:r>
          <x:t>cff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88" authorId="0">
      <x:text>
        <x:r>
          <x:t>cff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88" authorId="0">
      <x:text>
        <x:r>
          <x:t>cff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88" authorId="0">
      <x:text>
        <x:r>
          <x:t>cff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88" authorId="0">
      <x:text>
        <x:r>
          <x:t>cff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88" authorId="0">
      <x:text>
        <x:r>
          <x:t>cff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88" authorId="0">
      <x:text>
        <x:r>
          <x:t>cff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88" authorId="0">
      <x:text>
        <x:r>
          <x:t>cff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88" authorId="0">
      <x:text>
        <x:r>
          <x:t>cff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89" authorId="0">
      <x:text>
        <x:r>
          <x:t>Signed cash outflow for capital investment. Its absolute amount includes capitalized cash interest. New finance lease assets are noncash and excluded. Primary filing value. The original reporting sign and fiscal year are preserved.</x:t>
        </x:r>
      </x:text>
    </x:comment>
    <x:comment ref="E89" authorId="0">
      <x:text>
        <x:r>
          <x:t>capex (FY:17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F89" authorId="0">
      <x:text>
        <x:r>
          <x:t>capex (FY:18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G89" authorId="0">
      <x:text>
        <x:r>
          <x:t>capex (FY:19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H89" authorId="0">
      <x:text>
        <x:r>
          <x:t>capex (FY:20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I89" authorId="0">
      <x:text>
        <x:r>
          <x:t>capex (FY:21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J89" authorId="0">
      <x:text>
        <x:r>
          <x:t>capex (FY:22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K89" authorId="0">
      <x:text>
        <x:r>
          <x:t>capex (FY:23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L89" authorId="0">
      <x:text>
        <x:r>
          <x:t>capex (FY:24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M89" authorId="0">
      <x:text>
        <x:r>
          <x:t>capex (FY:25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N89" authorId="0">
      <x:text>
        <x:r>
          <x:t>capex (FY:26 A).
Signed cash outflow for capital investment. Its absolute amount includes capitalized cash interest. New finance lease assets are noncash and excluded. Primary filing value. The original reporting sign and fiscal year are preserved.
Stored input or primary source observation. It is not calculated in this cell.</x:t>
        </x:r>
      </x:text>
    </x:comment>
    <x:comment ref="C90" authorId="0">
      <x:text>
        <x:r>
          <x:t>acquisitions. Primary filing observation or disclosed schedule. Keep its original fiscal year, units and reported sign.</x:t>
        </x:r>
      </x:text>
    </x:comment>
    <x:comment ref="E90" authorId="0">
      <x:text>
        <x:r>
          <x:t>acquisitions (FY:17 A).
acquisitions. Primary filing observation or disclosed schedule. Keep its original fiscal year, units and reported sign.
Stored input or primary source observation. It is not calculated in this cell.</x:t>
        </x:r>
      </x:text>
    </x:comment>
    <x:comment ref="F90" authorId="0">
      <x:text>
        <x:r>
          <x:t>acquisitions (FY:18 A).
acquisitions. Primary filing observation or disclosed schedule. Keep its original fiscal year, units and reported sign.
Stored input or primary source observation. It is not calculated in this cell.</x:t>
        </x:r>
      </x:text>
    </x:comment>
    <x:comment ref="G90" authorId="0">
      <x:text>
        <x:r>
          <x:t>acquisitions (FY:19 A).
acquisitions. Primary filing observation or disclosed schedule. Keep its original fiscal year, units and reported sign.
Stored input or primary source observation. It is not calculated in this cell.</x:t>
        </x:r>
      </x:text>
    </x:comment>
    <x:comment ref="H90" authorId="0">
      <x:text>
        <x:r>
          <x:t>acquisitions (FY:20 A).
acquisitions. Primary filing observation or disclosed schedule. Keep its original fiscal year, units and reported sign.
Stored input or primary source observation. It is not calculated in this cell.</x:t>
        </x:r>
      </x:text>
    </x:comment>
    <x:comment ref="I90" authorId="0">
      <x:text>
        <x:r>
          <x:t>acquisitions (FY:21 A).
acquisitions. Primary filing observation or disclosed schedule. Keep its original fiscal year, units and reported sign.
Stored input or primary source observation. It is not calculated in this cell.</x:t>
        </x:r>
      </x:text>
    </x:comment>
    <x:comment ref="J90" authorId="0">
      <x:text>
        <x:r>
          <x:t>acquisitions (FY:22 A).
acquisitions. Primary filing observation or disclosed schedule. Keep its original fiscal year, units and reported sign.
Stored input or primary source observation. It is not calculated in this cell.</x:t>
        </x:r>
      </x:text>
    </x:comment>
    <x:comment ref="K90" authorId="0">
      <x:text>
        <x:r>
          <x:t>acquisitions (FY:23 A).
acquisitions. Primary filing observation or disclosed schedule. Keep its original fiscal year, units and reported sign.
Stored input or primary source observation. It is not calculated in this cell.</x:t>
        </x:r>
      </x:text>
    </x:comment>
    <x:comment ref="L90" authorId="0">
      <x:text>
        <x:r>
          <x:t>acquisitions (FY:24 A).
acquisitions. Primary filing observation or disclosed schedule. Keep its original fiscal year, units and reported sign.
Stored input or primary source observation. It is not calculated in this cell.</x:t>
        </x:r>
      </x:text>
    </x:comment>
    <x:comment ref="M90" authorId="0">
      <x:text>
        <x:r>
          <x:t>acquisitions (FY:25 A).
acquisitions. Primary filing observation or disclosed schedule. Keep its original fiscal year, units and reported sign.
Stored input or primary source observation. It is not calculated in this cell.</x:t>
        </x:r>
      </x:text>
    </x:comment>
    <x:comment ref="N90" authorId="0">
      <x:text>
        <x:r>
          <x:t>acquisitions (FY:26 A).
acquisitions. Primary filing observation or disclosed schedule. Keep its original fiscal year, units and reported sign.
Stored input or primary source observation. It is not calculated in this cell.</x:t>
        </x:r>
      </x:text>
    </x:comment>
    <x:comment ref="C91" authorId="0">
      <x:text>
        <x:r>
          <x:t>investments purchased. Primary filing observation or disclosed schedule. Keep its original fiscal year, units and reported sign.</x:t>
        </x:r>
      </x:text>
    </x:comment>
    <x:comment ref="E91" authorId="0">
      <x:text>
        <x:r>
          <x:t>investments purchased (FY:17 A).
investments purchased. Primary filing observation or disclosed schedule. Keep its original fiscal year, units and reported sign.
Stored input or primary source observation. It is not calculated in this cell.</x:t>
        </x:r>
      </x:text>
    </x:comment>
    <x:comment ref="F91" authorId="0">
      <x:text>
        <x:r>
          <x:t>investments purchased (FY:18 A).
investments purchased. Primary filing observation or disclosed schedule. Keep its original fiscal year, units and reported sign.
Stored input or primary source observation. It is not calculated in this cell.</x:t>
        </x:r>
      </x:text>
    </x:comment>
    <x:comment ref="G91" authorId="0">
      <x:text>
        <x:r>
          <x:t>investments purchased (FY:19 A).
investments purchased. Primary filing observation or disclosed schedule. Keep its original fiscal year, units and reported sign.
Stored input or primary source observation. It is not calculated in this cell.</x:t>
        </x:r>
      </x:text>
    </x:comment>
    <x:comment ref="H91" authorId="0">
      <x:text>
        <x:r>
          <x:t>investments purchased (FY:20 A).
investments purchased. Primary filing observation or disclosed schedule. Keep its original fiscal year, units and reported sign.
Stored input or primary source observation. It is not calculated in this cell.</x:t>
        </x:r>
      </x:text>
    </x:comment>
    <x:comment ref="I91" authorId="0">
      <x:text>
        <x:r>
          <x:t>investments purchased (FY:21 A).
investments purchased. Primary filing observation or disclosed schedule. Keep its original fiscal year, units and reported sign.
Stored input or primary source observation. It is not calculated in this cell.</x:t>
        </x:r>
      </x:text>
    </x:comment>
    <x:comment ref="J91" authorId="0">
      <x:text>
        <x:r>
          <x:t>investments purchased (FY:22 A).
investments purchased. Primary filing observation or disclosed schedule. Keep its original fiscal year, units and reported sign.
Stored input or primary source observation. It is not calculated in this cell.</x:t>
        </x:r>
      </x:text>
    </x:comment>
    <x:comment ref="K91" authorId="0">
      <x:text>
        <x:r>
          <x:t>investments purchased (FY:23 A).
investments purchased. Primary filing observation or disclosed schedule. Keep its original fiscal year, units and reported sign.
Stored input or primary source observation. It is not calculated in this cell.</x:t>
        </x:r>
      </x:text>
    </x:comment>
    <x:comment ref="L91" authorId="0">
      <x:text>
        <x:r>
          <x:t>investments purchased (FY:24 A).
investments purchased. Primary filing observation or disclosed schedule. Keep its original fiscal year, units and reported sign.
Stored input or primary source observation. It is not calculated in this cell.</x:t>
        </x:r>
      </x:text>
    </x:comment>
    <x:comment ref="M91" authorId="0">
      <x:text>
        <x:r>
          <x:t>investments purchased (FY:25 A).
investments purchased. Primary filing observation or disclosed schedule. Keep its original fiscal year, units and reported sign.
Stored input or primary source observation. It is not calculated in this cell.</x:t>
        </x:r>
      </x:text>
    </x:comment>
    <x:comment ref="N91" authorId="0">
      <x:text>
        <x:r>
          <x:t>investments purchased (FY:26 A).
investments purchased. Primary filing observation or disclosed schedule. Keep its original fiscal year, units and reported sign.
Stored input or primary source observation. It is not calculated in this cell.</x:t>
        </x:r>
      </x:text>
    </x:comment>
    <x:comment ref="C92" authorId="0">
      <x:text>
        <x:r>
          <x:t>investments matured. Primary filing observation or disclosed schedule. Keep its original fiscal year, units and reported sign.</x:t>
        </x:r>
      </x:text>
    </x:comment>
    <x:comment ref="E92" authorId="0">
      <x:text>
        <x:r>
          <x:t>investments matured (FY:17 A).
investments matured. Primary filing observation or disclosed schedule. Keep its original fiscal year, units and reported sign.
Stored input or primary source observation. It is not calculated in this cell.</x:t>
        </x:r>
      </x:text>
    </x:comment>
    <x:comment ref="F92" authorId="0">
      <x:text>
        <x:r>
          <x:t>investments matured (FY:18 A).
investments matured. Primary filing observation or disclosed schedule. Keep its original fiscal year, units and reported sign.
Stored input or primary source observation. It is not calculated in this cell.</x:t>
        </x:r>
      </x:text>
    </x:comment>
    <x:comment ref="G92" authorId="0">
      <x:text>
        <x:r>
          <x:t>investments matured (FY:19 A).
investments matured. Primary filing observation or disclosed schedule. Keep its original fiscal year, units and reported sign.
Stored input or primary source observation. It is not calculated in this cell.</x:t>
        </x:r>
      </x:text>
    </x:comment>
    <x:comment ref="H92" authorId="0">
      <x:text>
        <x:r>
          <x:t>investments matured (FY:20 A).
investments matured. Primary filing observation or disclosed schedule. Keep its original fiscal year, units and reported sign.
Stored input or primary source observation. It is not calculated in this cell.</x:t>
        </x:r>
      </x:text>
    </x:comment>
    <x:comment ref="I92" authorId="0">
      <x:text>
        <x:r>
          <x:t>investments matured (FY:21 A).
investments matured. Primary filing observation or disclosed schedule. Keep its original fiscal year, units and reported sign.
Stored input or primary source observation. It is not calculated in this cell.</x:t>
        </x:r>
      </x:text>
    </x:comment>
    <x:comment ref="J92" authorId="0">
      <x:text>
        <x:r>
          <x:t>investments matured (FY:22 A).
investments matured. Primary filing observation or disclosed schedule. Keep its original fiscal year, units and reported sign.
Stored input or primary source observation. It is not calculated in this cell.</x:t>
        </x:r>
      </x:text>
    </x:comment>
    <x:comment ref="K92" authorId="0">
      <x:text>
        <x:r>
          <x:t>investments matured (FY:23 A).
investments matured. Primary filing observation or disclosed schedule. Keep its original fiscal year, units and reported sign.
Stored input or primary source observation. It is not calculated in this cell.</x:t>
        </x:r>
      </x:text>
    </x:comment>
    <x:comment ref="L92" authorId="0">
      <x:text>
        <x:r>
          <x:t>investments matured (FY:24 A).
investments matured. Primary filing observation or disclosed schedule. Keep its original fiscal year, units and reported sign.
Stored input or primary source observation. It is not calculated in this cell.</x:t>
        </x:r>
      </x:text>
    </x:comment>
    <x:comment ref="M92" authorId="0">
      <x:text>
        <x:r>
          <x:t>investments matured (FY:25 A).
investments matured. Primary filing observation or disclosed schedule. Keep its original fiscal year, units and reported sign.
Stored input or primary source observation. It is not calculated in this cell.</x:t>
        </x:r>
      </x:text>
    </x:comment>
    <x:comment ref="N92" authorId="0">
      <x:text>
        <x:r>
          <x:t>investments matured (FY:26 A).
investments matured. Primary filing observation or disclosed schedule. Keep its original fiscal year, units and reported sign.
Stored input or primary source observation. It is not calculated in this cell.</x:t>
        </x:r>
      </x:text>
    </x:comment>
    <x:comment ref="C93" authorId="0">
      <x:text>
        <x:r>
          <x:t>investments sold. Primary filing observation or disclosed schedule. Keep its original fiscal year, units and reported sign.</x:t>
        </x:r>
      </x:text>
    </x:comment>
    <x:comment ref="E93" authorId="0">
      <x:text>
        <x:r>
          <x:t>investments sold (FY:17 A).
investments sold. Primary filing observation or disclosed schedule. Keep its original fiscal year, units and reported sign.
Stored input or primary source observation. It is not calculated in this cell.</x:t>
        </x:r>
      </x:text>
    </x:comment>
    <x:comment ref="F93" authorId="0">
      <x:text>
        <x:r>
          <x:t>investments sold (FY:18 A).
investments sold. Primary filing observation or disclosed schedule. Keep its original fiscal year, units and reported sign.
Stored input or primary source observation. It is not calculated in this cell.</x:t>
        </x:r>
      </x:text>
    </x:comment>
    <x:comment ref="G93" authorId="0">
      <x:text>
        <x:r>
          <x:t>investments sold (FY:19 A).
investments sold. Primary filing observation or disclosed schedule. Keep its original fiscal year, units and reported sign.
Stored input or primary source observation. It is not calculated in this cell.</x:t>
        </x:r>
      </x:text>
    </x:comment>
    <x:comment ref="H93" authorId="0">
      <x:text>
        <x:r>
          <x:t>investments sold (FY:20 A).
investments sold. Primary filing observation or disclosed schedule. Keep its original fiscal year, units and reported sign.
Stored input or primary source observation. It is not calculated in this cell.</x:t>
        </x:r>
      </x:text>
    </x:comment>
    <x:comment ref="I93" authorId="0">
      <x:text>
        <x:r>
          <x:t>investments sold (FY:21 A).
investments sold. Primary filing observation or disclosed schedule. Keep its original fiscal year, units and reported sign.
Stored input or primary source observation. It is not calculated in this cell.</x:t>
        </x:r>
      </x:text>
    </x:comment>
    <x:comment ref="J93" authorId="0">
      <x:text>
        <x:r>
          <x:t>investments sold (FY:22 A).
investments sold. Primary filing observation or disclosed schedule. Keep its original fiscal year, units and reported sign.
Stored input or primary source observation. It is not calculated in this cell.</x:t>
        </x:r>
      </x:text>
    </x:comment>
    <x:comment ref="K93" authorId="0">
      <x:text>
        <x:r>
          <x:t>investments sold (FY:23 A).
investments sold. Primary filing observation or disclosed schedule. Keep its original fiscal year, units and reported sign.
Stored input or primary source observation. It is not calculated in this cell.</x:t>
        </x:r>
      </x:text>
    </x:comment>
    <x:comment ref="L93" authorId="0">
      <x:text>
        <x:r>
          <x:t>investments sold (FY:24 A).
investments sold. Primary filing observation or disclosed schedule. Keep its original fiscal year, units and reported sign.
Stored input or primary source observation. It is not calculated in this cell.</x:t>
        </x:r>
      </x:text>
    </x:comment>
    <x:comment ref="M93" authorId="0">
      <x:text>
        <x:r>
          <x:t>investments sold (FY:25 A).
investments sold. Primary filing observation or disclosed schedule. Keep its original fiscal year, units and reported sign.
Stored input or primary source observation. It is not calculated in this cell.</x:t>
        </x:r>
      </x:text>
    </x:comment>
    <x:comment ref="N93" authorId="0">
      <x:text>
        <x:r>
          <x:t>investments sold (FY:26 A).
investments sold. Primary filing observation or disclosed schedule. Keep its original fiscal year, units and reported sign.
Stored input or primary source observation. It is not calculated in this cell.</x:t>
        </x:r>
      </x:text>
    </x:comment>
    <x:comment ref="C94" authorId="0">
      <x:text>
        <x:r>
          <x:t>other investing. Primary filing observation or disclosed schedule. Keep its original fiscal year, units and reported sign.</x:t>
        </x:r>
      </x:text>
    </x:comment>
    <x:comment ref="E94" authorId="0">
      <x:text>
        <x:r>
          <x:t>other investing (FY:17 A).
other investing. Primary filing observation or disclosed schedule. Keep its original fiscal year, units and reported sign.
Stored input or primary source observation. It is not calculated in this cell.</x:t>
        </x:r>
      </x:text>
    </x:comment>
    <x:comment ref="F94" authorId="0">
      <x:text>
        <x:r>
          <x:t>other investing (FY:18 A).
other investing. Primary filing observation or disclosed schedule. Keep its original fiscal year, units and reported sign.
Stored input or primary source observation. It is not calculated in this cell.</x:t>
        </x:r>
      </x:text>
    </x:comment>
    <x:comment ref="G94" authorId="0">
      <x:text>
        <x:r>
          <x:t>other investing (FY:19 A).
other investing. Primary filing observation or disclosed schedule. Keep its original fiscal year, units and reported sign.
Stored input or primary source observation. It is not calculated in this cell.</x:t>
        </x:r>
      </x:text>
    </x:comment>
    <x:comment ref="H94" authorId="0">
      <x:text>
        <x:r>
          <x:t>other investing (FY:20 A).
other investing. Primary filing observation or disclosed schedule. Keep its original fiscal year, units and reported sign.
Stored input or primary source observation. It is not calculated in this cell.</x:t>
        </x:r>
      </x:text>
    </x:comment>
    <x:comment ref="I94" authorId="0">
      <x:text>
        <x:r>
          <x:t>other investing (FY:21 A).
other investing. Primary filing observation or disclosed schedule. Keep its original fiscal year, units and reported sign.
Stored input or primary source observation. It is not calculated in this cell.</x:t>
        </x:r>
      </x:text>
    </x:comment>
    <x:comment ref="J94" authorId="0">
      <x:text>
        <x:r>
          <x:t>other investing (FY:22 A).
other investing. Primary filing observation or disclosed schedule. Keep its original fiscal year, units and reported sign.
Stored input or primary source observation. It is not calculated in this cell.</x:t>
        </x:r>
      </x:text>
    </x:comment>
    <x:comment ref="K94" authorId="0">
      <x:text>
        <x:r>
          <x:t>other investing (FY:23 A).
other investing. Primary filing observation or disclosed schedule. Keep its original fiscal year, units and reported sign.
Stored input or primary source observation. It is not calculated in this cell.</x:t>
        </x:r>
      </x:text>
    </x:comment>
    <x:comment ref="L94" authorId="0">
      <x:text>
        <x:r>
          <x:t>other investing (FY:24 A).
other investing. Primary filing observation or disclosed schedule. Keep its original fiscal year, units and reported sign.
Stored input or primary source observation. It is not calculated in this cell.</x:t>
        </x:r>
      </x:text>
    </x:comment>
    <x:comment ref="M94" authorId="0">
      <x:text>
        <x:r>
          <x:t>other investing (FY:25 A).
other investing. Primary filing observation or disclosed schedule. Keep its original fiscal year, units and reported sign.
Stored input or primary source observation. It is not calculated in this cell.</x:t>
        </x:r>
      </x:text>
    </x:comment>
    <x:comment ref="N94" authorId="0">
      <x:text>
        <x:r>
          <x:t>other investing (FY:26 A).
other investing. Primary filing observation or disclosed schedule. Keep its original fiscal year, units and reported sign.
Stored input or primary source observation. It is not calculated in this cell.</x:t>
        </x:r>
      </x:text>
    </x:comment>
    <x:comment ref="C95" authorId="0">
      <x:text>
        <x:r>
          <x:t>Cash balance or signed cash flow as named in the row. Positive cash-flow amounts are inflows and negative amounts are outflows. Follow the formula or source reference below for the classification.</x:t>
        </x:r>
      </x:text>
    </x:comment>
    <x:comment ref="E95" authorId="0">
      <x:text>
        <x:r>
          <x:t>cfi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95" authorId="0">
      <x:text>
        <x:r>
          <x:t>cfi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95" authorId="0">
      <x:text>
        <x:r>
          <x:t>cfi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95" authorId="0">
      <x:text>
        <x:r>
          <x:t>cfi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95" authorId="0">
      <x:text>
        <x:r>
          <x:t>cfi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95" authorId="0">
      <x:text>
        <x:r>
          <x:t>cfi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95" authorId="0">
      <x:text>
        <x:r>
          <x:t>cfi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95" authorId="0">
      <x:text>
        <x:r>
          <x:t>cfi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95" authorId="0">
      <x:text>
        <x:r>
          <x:t>cfi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95" authorId="0">
      <x:text>
        <x:r>
          <x:t>cfi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96" authorId="0">
      <x:text>
        <x:r>
          <x:t>Cash balance or signed cash flow as named in the row. Positive cash-flow amounts are inflows and negative amounts are outflows. Follow the formula or source reference below for the classification.</x:t>
        </x:r>
      </x:text>
    </x:comment>
    <x:comment ref="E96" authorId="0">
      <x:text>
        <x:r>
          <x:t>fx cash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96" authorId="0">
      <x:text>
        <x:r>
          <x:t>fx cash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96" authorId="0">
      <x:text>
        <x:r>
          <x:t>fx cash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96" authorId="0">
      <x:text>
        <x:r>
          <x:t>fx cash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96" authorId="0">
      <x:text>
        <x:r>
          <x:t>fx cash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96" authorId="0">
      <x:text>
        <x:r>
          <x:t>fx cash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96" authorId="0">
      <x:text>
        <x:r>
          <x:t>fx cash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96" authorId="0">
      <x:text>
        <x:r>
          <x:t>fx cash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96" authorId="0">
      <x:text>
        <x:r>
          <x:t>fx cash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96" authorId="0">
      <x:text>
        <x:r>
          <x:t>fx cash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97" authorId="0">
      <x:text>
        <x:r>
          <x:t>Cash balance or signed cash flow as named in the row. Positive cash-flow amounts are inflows and negative amounts are outflows. Follow the formula or source reference below for the classification.</x:t>
        </x:r>
      </x:text>
    </x:comment>
    <x:comment ref="E97" authorId="0">
      <x:text>
        <x:r>
          <x:t>cash change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97" authorId="0">
      <x:text>
        <x:r>
          <x:t>cash change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97" authorId="0">
      <x:text>
        <x:r>
          <x:t>cash change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97" authorId="0">
      <x:text>
        <x:r>
          <x:t>cash change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97" authorId="0">
      <x:text>
        <x:r>
          <x:t>cash change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97" authorId="0">
      <x:text>
        <x:r>
          <x:t>cash change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97" authorId="0">
      <x:text>
        <x:r>
          <x:t>cash change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97" authorId="0">
      <x:text>
        <x:r>
          <x:t>cash change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97" authorId="0">
      <x:text>
        <x:r>
          <x:t>cash change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97" authorId="0">
      <x:text>
        <x:r>
          <x:t>cash change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98" authorId="0">
      <x:text>
        <x:r>
          <x:t>Beginning-of-year balance. Forecast periods carry forward the prior closing balance, with FY2026 providing the first forecast opening balance.</x:t>
        </x:r>
      </x:text>
    </x:comment>
    <x:comment ref="E98" authorId="0">
      <x:text>
        <x:r>
          <x:t>opening cash (FY:17 A).
Beginning-of-year balance. Forecast periods carry forward the prior closing balance, with FY2026 providing the first forecast opening balance.
Stored input or primary source observation. It is not calculated in this cell.</x:t>
        </x:r>
      </x:text>
    </x:comment>
    <x:comment ref="F98" authorId="0">
      <x:text>
        <x:r>
          <x:t>opening cash (FY:18 A).
Beginning-of-year balance. Forecast periods carry forward the prior closing balance, with FY2026 providing the first forecast opening balance.
Stored input or primary source observation. It is not calculated in this cell.</x:t>
        </x:r>
      </x:text>
    </x:comment>
    <x:comment ref="G98" authorId="0">
      <x:text>
        <x:r>
          <x:t>opening cash (FY:19 A).
Beginning-of-year balance. Forecast periods carry forward the prior closing balance, with FY2026 providing the first forecast opening balance.
Stored input or primary source observation. It is not calculated in this cell.</x:t>
        </x:r>
      </x:text>
    </x:comment>
    <x:comment ref="H98" authorId="0">
      <x:text>
        <x:r>
          <x:t>opening cash (FY:20 A).
Beginning-of-year balance. Forecast periods carry forward the prior closing balance, with FY2026 providing the first forecast opening balance.
Stored input or primary source observation. It is not calculated in this cell.</x:t>
        </x:r>
      </x:text>
    </x:comment>
    <x:comment ref="I98" authorId="0">
      <x:text>
        <x:r>
          <x:t>opening cash (FY:21 A).
Beginning-of-year balance. Forecast periods carry forward the prior closing balance, with FY2026 providing the first forecast opening balance.
Stored input or primary source observation. It is not calculated in this cell.</x:t>
        </x:r>
      </x:text>
    </x:comment>
    <x:comment ref="J98" authorId="0">
      <x:text>
        <x:r>
          <x:t>opening cash (FY:22 A).
Beginning-of-year balance. Forecast periods carry forward the prior closing balance, with FY2026 providing the first forecast opening balance.
Stored input or primary source observation. It is not calculated in this cell.</x:t>
        </x:r>
      </x:text>
    </x:comment>
    <x:comment ref="K98" authorId="0">
      <x:text>
        <x:r>
          <x:t>opening cash (FY:23 A).
Beginning-of-year balance. Forecast periods carry forward the prior closing balance, with FY2026 providing the first forecast opening balance.
Stored input or primary source observation. It is not calculated in this cell.</x:t>
        </x:r>
      </x:text>
    </x:comment>
    <x:comment ref="L98" authorId="0">
      <x:text>
        <x:r>
          <x:t>opening cash (FY:24 A).
Beginning-of-year balance. Forecast periods carry forward the prior closing balance, with FY2026 providing the first forecast opening balance.
Stored input or primary source observation. It is not calculated in this cell.</x:t>
        </x:r>
      </x:text>
    </x:comment>
    <x:comment ref="M98" authorId="0">
      <x:text>
        <x:r>
          <x:t>opening cash (FY:25 A).
Beginning-of-year balance. Forecast periods carry forward the prior closing balance, with FY2026 providing the first forecast opening balance.
Stored input or primary source observation. It is not calculated in this cell.</x:t>
        </x:r>
      </x:text>
    </x:comment>
    <x:comment ref="N98" authorId="0">
      <x:text>
        <x:r>
          <x:t>opening cash (FY:26 A).
Beginning-of-year balance. Forecast periods carry forward the prior closing balance, with FY2026 providing the first forecast opening balance.
Stored input or primary source observation. It is not calculated in this cell.</x:t>
        </x:r>
      </x:text>
    </x:comment>
    <x:comment ref="C99" authorId="0">
      <x:text>
        <x:r>
          <x:t>Opening cash plus operating, investing and financing cash flows and the FX cash effect. This closing balance links to the balance sheet. Primary filing value. The original reporting sign and fiscal year are preserved.</x:t>
        </x:r>
      </x:text>
    </x:comment>
    <x:comment ref="E99" authorId="0">
      <x:text>
        <x:r>
          <x:t>closing cash (FY:17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F99" authorId="0">
      <x:text>
        <x:r>
          <x:t>closing cash (FY:18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G99" authorId="0">
      <x:text>
        <x:r>
          <x:t>closing cash (FY:19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H99" authorId="0">
      <x:text>
        <x:r>
          <x:t>closing cash (FY:20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I99" authorId="0">
      <x:text>
        <x:r>
          <x:t>closing cash (FY:21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J99" authorId="0">
      <x:text>
        <x:r>
          <x:t>closing cash (FY:22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K99" authorId="0">
      <x:text>
        <x:r>
          <x:t>closing cash (FY:23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L99" authorId="0">
      <x:text>
        <x:r>
          <x:t>closing cash (FY:24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M99" authorId="0">
      <x:text>
        <x:r>
          <x:t>closing cash (FY:25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N99" authorId="0">
      <x:text>
        <x:r>
          <x:t>closing cash (FY:26 A).
Opening cash plus operating, investing and financing cash flows and the FX cash effect. This closing balance links to the balance sheet. Primary filing value. The original reporting sign and fiscal year are preserved.
Stored input or primary source observation. It is not calculated in this cell.</x:t>
        </x:r>
      </x:text>
    </x:comment>
    <x:comment ref="C100" authorId="0">
      <x:text>
        <x:r>
          <x:t>impairments. Primary filing observation or disclosed schedule. Keep its original fiscal year, units and reported sign.</x:t>
        </x:r>
      </x:text>
    </x:comment>
    <x:comment ref="E100" authorId="0">
      <x:text>
        <x:r>
          <x:t>impairments (FY:17 A).
impairments. Primary filing observation or disclosed schedule. Keep its original fiscal year, units and reported sign.
Stored input or primary source observation. It is not calculated in this cell.</x:t>
        </x:r>
      </x:text>
    </x:comment>
    <x:comment ref="F100" authorId="0">
      <x:text>
        <x:r>
          <x:t>impairments (FY:18 A).
impairments. Primary filing observation or disclosed schedule. Keep its original fiscal year, units and reported sign.
Stored input or primary source observation. It is not calculated in this cell.</x:t>
        </x:r>
      </x:text>
    </x:comment>
    <x:comment ref="G100" authorId="0">
      <x:text>
        <x:r>
          <x:t>impairments (FY:19 A).
impairments. Primary filing observation or disclosed schedule. Keep its original fiscal year, units and reported sign.
Stored input or primary source observation. It is not calculated in this cell.</x:t>
        </x:r>
      </x:text>
    </x:comment>
    <x:comment ref="H100" authorId="0">
      <x:text>
        <x:r>
          <x:t>impairments (FY:20 A).
impairments. Primary filing observation or disclosed schedule. Keep its original fiscal year, units and reported sign.
Stored input or primary source observation. It is not calculated in this cell.</x:t>
        </x:r>
      </x:text>
    </x:comment>
    <x:comment ref="I100" authorId="0">
      <x:text>
        <x:r>
          <x:t>impairments (FY:21 A).
impairments. Primary filing observation or disclosed schedule. Keep its original fiscal year, units and reported sign.
Stored input or primary source observation. It is not calculated in this cell.</x:t>
        </x:r>
      </x:text>
    </x:comment>
    <x:comment ref="J100" authorId="0">
      <x:text>
        <x:r>
          <x:t>impairments (FY:22 A).
impairments. Primary filing observation or disclosed schedule. Keep its original fiscal year, units and reported sign.
Stored input or primary source observation. It is not calculated in this cell.</x:t>
        </x:r>
      </x:text>
    </x:comment>
    <x:comment ref="K100" authorId="0">
      <x:text>
        <x:r>
          <x:t>impairments (FY:23 A).
impairments. Primary filing observation or disclosed schedule. Keep its original fiscal year, units and reported sign.
Stored input or primary source observation. It is not calculated in this cell.</x:t>
        </x:r>
      </x:text>
    </x:comment>
    <x:comment ref="L100" authorId="0">
      <x:text>
        <x:r>
          <x:t>impairments (FY:24 A).
impairments. Primary filing observation or disclosed schedule. Keep its original fiscal year, units and reported sign.
Stored input or primary source observation. It is not calculated in this cell.</x:t>
        </x:r>
      </x:text>
    </x:comment>
    <x:comment ref="M100" authorId="0">
      <x:text>
        <x:r>
          <x:t>impairments (FY:25 A).
impairments. Primary filing observation or disclosed schedule. Keep its original fiscal year, units and reported sign.
Stored input or primary source observation. It is not calculated in this cell.</x:t>
        </x:r>
      </x:text>
    </x:comment>
    <x:comment ref="N100" authorId="0">
      <x:text>
        <x:r>
          <x:t>impairments (FY:26 A).
impairments. Primary filing observation or disclosed schedule. Keep its original fiscal year, units and reported sign.
Stored input or primary source observation. It is not calculated in this cell.</x:t>
        </x:r>
      </x:text>
    </x:comment>
    <x:comment ref="C101" authorId="0">
      <x:text>
        <x:r>
          <x:t>securities lending cf. Primary filing observation or disclosed schedule. Keep its original fiscal year, units and reported sign.</x:t>
        </x:r>
      </x:text>
    </x:comment>
    <x:comment ref="E101" authorId="0">
      <x:text>
        <x:r>
          <x:t>securities lending cf (FY:17 A).
securities lending cf. Primary filing observation or disclosed schedule. Keep its original fiscal year, units and reported sign.
Stored input or primary source observation. It is not calculated in this cell.</x:t>
        </x:r>
      </x:text>
    </x:comment>
    <x:comment ref="F101" authorId="0">
      <x:text>
        <x:r>
          <x:t>securities lending cf (FY:18 A).
securities lending cf. Primary filing observation or disclosed schedule. Keep its original fiscal year, units and reported sign.
Stored input or primary source observation. It is not calculated in this cell.</x:t>
        </x:r>
      </x:text>
    </x:comment>
    <x:comment ref="G101" authorId="0">
      <x:text>
        <x:r>
          <x:t>securities lending cf (FY:19 A).
securities lending cf. Primary filing observation or disclosed schedule. Keep its original fiscal year, units and reported sign.
Stored input or primary source observation. It is not calculated in this cell.</x:t>
        </x:r>
      </x:text>
    </x:comment>
    <x:comment ref="H101" authorId="0">
      <x:text>
        <x:r>
          <x:t>securities lending cf (FY:20 A).
securities lending cf. Primary filing observation or disclosed schedule. Keep its original fiscal year, units and reported sign.
Stored input or primary source observation. It is not calculated in this cell.</x:t>
        </x:r>
      </x:text>
    </x:comment>
    <x:comment ref="I101" authorId="0">
      <x:text>
        <x:r>
          <x:t>securities lending cf (FY:21 A).
securities lending cf. Primary filing observation or disclosed schedule. Keep its original fiscal year, units and reported sign.
Stored input or primary source observation. It is not calculated in this cell.</x:t>
        </x:r>
      </x:text>
    </x:comment>
    <x:comment ref="J101" authorId="0">
      <x:text>
        <x:r>
          <x:t>securities lending cf (FY:22 A).
securities lending cf. Primary filing observation or disclosed schedule. Keep its original fiscal year, units and reported sign.
Stored input or primary source observation. It is not calculated in this cell.</x:t>
        </x:r>
      </x:text>
    </x:comment>
    <x:comment ref="K101" authorId="0">
      <x:text>
        <x:r>
          <x:t>securities lending cf (FY:23 A).
securities lending cf. Primary filing observation or disclosed schedule. Keep its original fiscal year, units and reported sign.
Stored input or primary source observation. It is not calculated in this cell.</x:t>
        </x:r>
      </x:text>
    </x:comment>
    <x:comment ref="L101" authorId="0">
      <x:text>
        <x:r>
          <x:t>securities lending cf (FY:24 A).
securities lending cf. Primary filing observation or disclosed schedule. Keep its original fiscal year, units and reported sign.
Stored input or primary source observation. It is not calculated in this cell.</x:t>
        </x:r>
      </x:text>
    </x:comment>
    <x:comment ref="M101" authorId="0">
      <x:text>
        <x:r>
          <x:t>securities lending cf (FY:25 A).
securities lending cf. Primary filing observation or disclosed schedule. Keep its original fiscal year, units and reported sign.
Stored input or primary source observation. It is not calculated in this cell.</x:t>
        </x:r>
      </x:text>
    </x:comment>
    <x:comment ref="N101" authorId="0">
      <x:text>
        <x:r>
          <x:t>securities lending cf (FY:26 A).
securities lending cf. Primary filing observation or disclosed schedule. Keep its original fiscal year, units and reported sign.
Stored input or primary source observation. It is not calculated in this cell.</x:t>
        </x:r>
      </x:text>
    </x:comment>
    <x:comment ref="C102" authorId="0">
      <x:text>
        <x:r>
          <x:t>Cash balance or signed cash flow as named in the row. Positive cash-flow amounts are inflows and negative amounts are outflows. Follow the formula or source reference below for the classification.</x:t>
        </x:r>
      </x:text>
    </x:comment>
    <x:comment ref="E102" authorId="0">
      <x:text>
        <x:r>
          <x:t>debt exchange cash premium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102" authorId="0">
      <x:text>
        <x:r>
          <x:t>debt exchange cash premium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102" authorId="0">
      <x:text>
        <x:r>
          <x:t>debt exchange cash premium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102" authorId="0">
      <x:text>
        <x:r>
          <x:t>debt exchange cash premium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102" authorId="0">
      <x:text>
        <x:r>
          <x:t>debt exchange cash premium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102" authorId="0">
      <x:text>
        <x:r>
          <x:t>debt exchange cash premium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102" authorId="0">
      <x:text>
        <x:r>
          <x:t>debt exchange cash premium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102" authorId="0">
      <x:text>
        <x:r>
          <x:t>debt exchange cash premium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102" authorId="0">
      <x:text>
        <x:r>
          <x:t>debt exchange cash premium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102" authorId="0">
      <x:text>
        <x:r>
          <x:t>debt exchange cash premium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103" authorId="0">
      <x:text>
        <x:r>
          <x:t>other operating adjustments. Primary filing observation or disclosed schedule. Keep its original fiscal year, units and reported sign.</x:t>
        </x:r>
      </x:text>
    </x:comment>
    <x:comment ref="E103" authorId="0">
      <x:text>
        <x:r>
          <x:t>other operating adjustments (FY:17 A).
other operating adjustments. Primary filing observation or disclosed schedule. Keep its original fiscal year, units and reported sign.
Stored input or primary source observation. It is not calculated in this cell.</x:t>
        </x:r>
      </x:text>
    </x:comment>
    <x:comment ref="F103" authorId="0">
      <x:text>
        <x:r>
          <x:t>other operating adjustments (FY:18 A).
other operating adjustments. Primary filing observation or disclosed schedule. Keep its original fiscal year, units and reported sign.
Stored input or primary source observation. It is not calculated in this cell.</x:t>
        </x:r>
      </x:text>
    </x:comment>
    <x:comment ref="G103" authorId="0">
      <x:text>
        <x:r>
          <x:t>other operating adjustments (FY:19 A).
other operating adjustments. Primary filing observation or disclosed schedule. Keep its original fiscal year, units and reported sign.
Stored input or primary source observation. It is not calculated in this cell.</x:t>
        </x:r>
      </x:text>
    </x:comment>
    <x:comment ref="H103" authorId="0">
      <x:text>
        <x:r>
          <x:t>other operating adjustments (FY:20 A).
other operating adjustments. Primary filing observation or disclosed schedule. Keep its original fiscal year, units and reported sign.
Stored input or primary source observation. It is not calculated in this cell.</x:t>
        </x:r>
      </x:text>
    </x:comment>
    <x:comment ref="I103" authorId="0">
      <x:text>
        <x:r>
          <x:t>other operating adjustments (FY:21 A).
other operating adjustments. Primary filing observation or disclosed schedule. Keep its original fiscal year, units and reported sign.
Stored input or primary source observation. It is not calculated in this cell.</x:t>
        </x:r>
      </x:text>
    </x:comment>
    <x:comment ref="J103" authorId="0">
      <x:text>
        <x:r>
          <x:t>other operating adjustments (FY:22 A).
other operating adjustments. Primary filing observation or disclosed schedule. Keep its original fiscal year, units and reported sign.
Stored input or primary source observation. It is not calculated in this cell.</x:t>
        </x:r>
      </x:text>
    </x:comment>
    <x:comment ref="K103" authorId="0">
      <x:text>
        <x:r>
          <x:t>other operating adjustments (FY:23 A).
other operating adjustments. Primary filing observation or disclosed schedule. Keep its original fiscal year, units and reported sign.
Stored input or primary source observation. It is not calculated in this cell.</x:t>
        </x:r>
      </x:text>
    </x:comment>
    <x:comment ref="L103" authorId="0">
      <x:text>
        <x:r>
          <x:t>other operating adjustments (FY:24 A).
other operating adjustments. Primary filing observation or disclosed schedule. Keep its original fiscal year, units and reported sign.
Stored input or primary source observation. It is not calculated in this cell.</x:t>
        </x:r>
      </x:text>
    </x:comment>
    <x:comment ref="M103" authorId="0">
      <x:text>
        <x:r>
          <x:t>other operating adjustments (FY:25 A).
other operating adjustments. Primary filing observation or disclosed schedule. Keep its original fiscal year, units and reported sign.
Stored input or primary source observation. It is not calculated in this cell.</x:t>
        </x:r>
      </x:text>
    </x:comment>
    <x:comment ref="N103" authorId="0">
      <x:text>
        <x:r>
          <x:t>other operating adjustments (FY:26 A).
other operating adjustments. Primary filing observation or disclosed schedule. Keep its original fiscal year, units and reported sign.
Stored input or primary source observation. It is not calculated in this cell.</x:t>
        </x:r>
      </x:text>
    </x:comment>
    <x:comment ref="C106" authorId="0">
      <x:text>
        <x:r>
          <x:t>income source report year. Primary filing observation or disclosed schedule. Keep its original fiscal year, units and reported sign.</x:t>
        </x:r>
      </x:text>
    </x:comment>
    <x:comment ref="E106" authorId="0">
      <x:text>
        <x:r>
          <x:t>income source report year (FY:17 A).
income source report year. Primary filing observation or disclosed schedule. Keep its original fiscal year, units and reported sign.
Stored input or primary source observation. It is not calculated in this cell.</x:t>
        </x:r>
      </x:text>
    </x:comment>
    <x:comment ref="F106" authorId="0">
      <x:text>
        <x:r>
          <x:t>income source report year (FY:18 A).
income source report year. Primary filing observation or disclosed schedule. Keep its original fiscal year, units and reported sign.
Stored input or primary source observation. It is not calculated in this cell.</x:t>
        </x:r>
      </x:text>
    </x:comment>
    <x:comment ref="G106" authorId="0">
      <x:text>
        <x:r>
          <x:t>income source report year (FY:19 A).
income source report year. Primary filing observation or disclosed schedule. Keep its original fiscal year, units and reported sign.
Stored input or primary source observation. It is not calculated in this cell.</x:t>
        </x:r>
      </x:text>
    </x:comment>
    <x:comment ref="H106" authorId="0">
      <x:text>
        <x:r>
          <x:t>income source report year (FY:20 A).
income source report year. Primary filing observation or disclosed schedule. Keep its original fiscal year, units and reported sign.
Stored input or primary source observation. It is not calculated in this cell.</x:t>
        </x:r>
      </x:text>
    </x:comment>
    <x:comment ref="I106" authorId="0">
      <x:text>
        <x:r>
          <x:t>income source report year (FY:21 A).
income source report year. Primary filing observation or disclosed schedule. Keep its original fiscal year, units and reported sign.
Stored input or primary source observation. It is not calculated in this cell.</x:t>
        </x:r>
      </x:text>
    </x:comment>
    <x:comment ref="J106" authorId="0">
      <x:text>
        <x:r>
          <x:t>income source report year (FY:22 A).
income source report year. Primary filing observation or disclosed schedule. Keep its original fiscal year, units and reported sign.
Stored input or primary source observation. It is not calculated in this cell.</x:t>
        </x:r>
      </x:text>
    </x:comment>
    <x:comment ref="K106" authorId="0">
      <x:text>
        <x:r>
          <x:t>income source report year (FY:23 A).
income source report year. Primary filing observation or disclosed schedule. Keep its original fiscal year, units and reported sign.
Stored input or primary source observation. It is not calculated in this cell.</x:t>
        </x:r>
      </x:text>
    </x:comment>
    <x:comment ref="L106" authorId="0">
      <x:text>
        <x:r>
          <x:t>income source report year (FY:24 A).
income source report year. Primary filing observation or disclosed schedule. Keep its original fiscal year, units and reported sign.
Stored input or primary source observation. It is not calculated in this cell.</x:t>
        </x:r>
      </x:text>
    </x:comment>
    <x:comment ref="M106" authorId="0">
      <x:text>
        <x:r>
          <x:t>income source report year (FY:25 A).
income source report year. Primary filing observation or disclosed schedule. Keep its original fiscal year, units and reported sign.
Stored input or primary source observation. It is not calculated in this cell.</x:t>
        </x:r>
      </x:text>
    </x:comment>
    <x:comment ref="N106" authorId="0">
      <x:text>
        <x:r>
          <x:t>income source report year (FY:26 A).
income source report year. Primary filing observation or disclosed schedule. Keep its original fiscal year, units and reported sign.
Stored input or primary source observation. It is not calculated in this cell.</x:t>
        </x:r>
      </x:text>
    </x:comment>
    <x:comment ref="C107" authorId="0">
      <x:text>
        <x:r>
          <x:t>balance source report year. Primary filing observation or disclosed schedule. Keep its original fiscal year, units and reported sign.</x:t>
        </x:r>
      </x:text>
    </x:comment>
    <x:comment ref="E107" authorId="0">
      <x:text>
        <x:r>
          <x:t>balance source report year (FY:17 A).
balance source report year. Primary filing observation or disclosed schedule. Keep its original fiscal year, units and reported sign.
Stored input or primary source observation. It is not calculated in this cell.</x:t>
        </x:r>
      </x:text>
    </x:comment>
    <x:comment ref="F107" authorId="0">
      <x:text>
        <x:r>
          <x:t>balance source report year (FY:18 A).
balance source report year. Primary filing observation or disclosed schedule. Keep its original fiscal year, units and reported sign.
Stored input or primary source observation. It is not calculated in this cell.</x:t>
        </x:r>
      </x:text>
    </x:comment>
    <x:comment ref="G107" authorId="0">
      <x:text>
        <x:r>
          <x:t>balance source report year (FY:19 A).
balance source report year. Primary filing observation or disclosed schedule. Keep its original fiscal year, units and reported sign.
Stored input or primary source observation. It is not calculated in this cell.</x:t>
        </x:r>
      </x:text>
    </x:comment>
    <x:comment ref="H107" authorId="0">
      <x:text>
        <x:r>
          <x:t>balance source report year (FY:20 A).
balance source report year. Primary filing observation or disclosed schedule. Keep its original fiscal year, units and reported sign.
Stored input or primary source observation. It is not calculated in this cell.</x:t>
        </x:r>
      </x:text>
    </x:comment>
    <x:comment ref="I107" authorId="0">
      <x:text>
        <x:r>
          <x:t>balance source report year (FY:21 A).
balance source report year. Primary filing observation or disclosed schedule. Keep its original fiscal year, units and reported sign.
Stored input or primary source observation. It is not calculated in this cell.</x:t>
        </x:r>
      </x:text>
    </x:comment>
    <x:comment ref="J107" authorId="0">
      <x:text>
        <x:r>
          <x:t>balance source report year (FY:22 A).
balance source report year. Primary filing observation or disclosed schedule. Keep its original fiscal year, units and reported sign.
Stored input or primary source observation. It is not calculated in this cell.</x:t>
        </x:r>
      </x:text>
    </x:comment>
    <x:comment ref="K107" authorId="0">
      <x:text>
        <x:r>
          <x:t>balance source report year (FY:23 A).
balance source report year. Primary filing observation or disclosed schedule. Keep its original fiscal year, units and reported sign.
Stored input or primary source observation. It is not calculated in this cell.</x:t>
        </x:r>
      </x:text>
    </x:comment>
    <x:comment ref="L107" authorId="0">
      <x:text>
        <x:r>
          <x:t>balance source report year (FY:24 A).
balance source report year. Primary filing observation or disclosed schedule. Keep its original fiscal year, units and reported sign.
Stored input or primary source observation. It is not calculated in this cell.</x:t>
        </x:r>
      </x:text>
    </x:comment>
    <x:comment ref="M107" authorId="0">
      <x:text>
        <x:r>
          <x:t>balance source report year (FY:25 A).
balance source report year. Primary filing observation or disclosed schedule. Keep its original fiscal year, units and reported sign.
Stored input or primary source observation. It is not calculated in this cell.</x:t>
        </x:r>
      </x:text>
    </x:comment>
    <x:comment ref="N107" authorId="0">
      <x:text>
        <x:r>
          <x:t>balance source report year (FY:26 A).
balance source report year. Primary filing observation or disclosed schedule. Keep its original fiscal year, units and reported sign.
Stored input or primary source observation. It is not calculated in this cell.</x:t>
        </x:r>
      </x:text>
    </x:comment>
    <x:comment ref="C108" authorId="0">
      <x:text>
        <x:r>
          <x:t>Cash balance or signed cash flow as named in the row. Positive cash-flow amounts are inflows and negative amounts are outflows. Follow the formula or source reference below for the classification.</x:t>
        </x:r>
      </x:text>
    </x:comment>
    <x:comment ref="E108" authorId="0">
      <x:text>
        <x:r>
          <x:t>cashflow source report year (FY:17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F108" authorId="0">
      <x:text>
        <x:r>
          <x:t>cashflow source report year (FY:18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G108" authorId="0">
      <x:text>
        <x:r>
          <x:t>cashflow source report year (FY:19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H108" authorId="0">
      <x:text>
        <x:r>
          <x:t>cashflow source report year (FY:20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I108" authorId="0">
      <x:text>
        <x:r>
          <x:t>cashflow source report year (FY:21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J108" authorId="0">
      <x:text>
        <x:r>
          <x:t>cashflow source report year (FY:22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K108" authorId="0">
      <x:text>
        <x:r>
          <x:t>cashflow source report year (FY:23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L108" authorId="0">
      <x:text>
        <x:r>
          <x:t>cashflow source report year (FY:24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M108" authorId="0">
      <x:text>
        <x:r>
          <x:t>cashflow source report year (FY:25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N108" authorId="0">
      <x:text>
        <x:r>
          <x:t>cashflow source report year (FY:26 A).
Cash balance or signed cash flow as named in the row. Positive cash-flow amounts are inflows and negative amounts are outflows. Follow the formula or source reference below for the classification.
Stored input or primary source observation. It is not calculated in this cell.</x:t>
        </x:r>
      </x:text>
    </x:comment>
    <x:comment ref="C112" authorId="0">
      <x:text>
        <x:r>
          <x:t>FY2017 annual report. Primary filing observation or disclosed schedule. Keep its original fiscal year, units and reported sign.</x:t>
        </x:r>
      </x:text>
    </x:comment>
    <x:comment ref="E112" authorId="0">
      <x:text>
        <x:r>
          <x:t>FY2017 annual report (FY:17 A).
FY2017 annual report. Primary filing observation or disclosed schedule. Keep its original fiscal year, units and reported sign.
Stored input or primary source observation. It is not calculated in this cell.</x:t>
        </x:r>
      </x:text>
    </x:comment>
    <x:comment ref="C113" authorId="0">
      <x:text>
        <x:r>
          <x:t>FY2018 annual report. Primary filing observation or disclosed schedule. Keep its original fiscal year, units and reported sign.</x:t>
        </x:r>
      </x:text>
    </x:comment>
    <x:comment ref="E113" authorId="0">
      <x:text>
        <x:r>
          <x:t>FY2018 annual report (FY:17 A).
FY2018 annual report. Primary filing observation or disclosed schedule. Keep its original fiscal year, units and reported sign.
Stored input or primary source observation. It is not calculated in this cell.</x:t>
        </x:r>
      </x:text>
    </x:comment>
    <x:comment ref="C114" authorId="0">
      <x:text>
        <x:r>
          <x:t>FY2019 annual report. Primary filing observation or disclosed schedule. Keep its original fiscal year, units and reported sign.</x:t>
        </x:r>
      </x:text>
    </x:comment>
    <x:comment ref="E114" authorId="0">
      <x:text>
        <x:r>
          <x:t>FY2019 annual report (FY:17 A).
FY2019 annual report. Primary filing observation or disclosed schedule. Keep its original fiscal year, units and reported sign.
Stored input or primary source observation. It is not calculated in this cell.</x:t>
        </x:r>
      </x:text>
    </x:comment>
    <x:comment ref="C115" authorId="0">
      <x:text>
        <x:r>
          <x:t>FY2020 annual report. Primary filing observation or disclosed schedule. Keep its original fiscal year, units and reported sign.</x:t>
        </x:r>
      </x:text>
    </x:comment>
    <x:comment ref="E115" authorId="0">
      <x:text>
        <x:r>
          <x:t>FY2020 annual report (FY:17 A).
FY2020 annual report. Primary filing observation or disclosed schedule. Keep its original fiscal year, units and reported sign.
Stored input or primary source observation. It is not calculated in this cell.</x:t>
        </x:r>
      </x:text>
    </x:comment>
    <x:comment ref="C116" authorId="0">
      <x:text>
        <x:r>
          <x:t>FY2021 annual report. Primary filing observation or disclosed schedule. Keep its original fiscal year, units and reported sign.</x:t>
        </x:r>
      </x:text>
    </x:comment>
    <x:comment ref="E116" authorId="0">
      <x:text>
        <x:r>
          <x:t>FY2021 annual report (FY:17 A).
FY2021 annual report. Primary filing observation or disclosed schedule. Keep its original fiscal year, units and reported sign.
Stored input or primary source observation. It is not calculated in this cell.</x:t>
        </x:r>
      </x:text>
    </x:comment>
    <x:comment ref="C117" authorId="0">
      <x:text>
        <x:r>
          <x:t>FY2022 annual report. Primary filing observation or disclosed schedule. Keep its original fiscal year, units and reported sign.</x:t>
        </x:r>
      </x:text>
    </x:comment>
    <x:comment ref="E117" authorId="0">
      <x:text>
        <x:r>
          <x:t>FY2022 annual report (FY:17 A).
FY2022 annual report. Primary filing observation or disclosed schedule. Keep its original fiscal year, units and reported sign.
Stored input or primary source observation. It is not calculated in this cell.</x:t>
        </x:r>
      </x:text>
    </x:comment>
    <x:comment ref="C118" authorId="0">
      <x:text>
        <x:r>
          <x:t>FY2023 annual report. Primary filing observation or disclosed schedule. Keep its original fiscal year, units and reported sign.</x:t>
        </x:r>
      </x:text>
    </x:comment>
    <x:comment ref="E118" authorId="0">
      <x:text>
        <x:r>
          <x:t>FY2023 annual report (FY:17 A).
FY2023 annual report. Primary filing observation or disclosed schedule. Keep its original fiscal year, units and reported sign.
Stored input or primary source observation. It is not calculated in this cell.</x:t>
        </x:r>
      </x:text>
    </x:comment>
    <x:comment ref="C119" authorId="0">
      <x:text>
        <x:r>
          <x:t>FY2024 annual report. Primary filing observation or disclosed schedule. Keep its original fiscal year, units and reported sign.</x:t>
        </x:r>
      </x:text>
    </x:comment>
    <x:comment ref="E119" authorId="0">
      <x:text>
        <x:r>
          <x:t>FY2024 annual report (FY:17 A).
FY2024 annual report. Primary filing observation or disclosed schedule. Keep its original fiscal year, units and reported sign.
Stored input or primary source observation. It is not calculated in this cell.</x:t>
        </x:r>
      </x:text>
    </x:comment>
    <x:comment ref="C120" authorId="0">
      <x:text>
        <x:r>
          <x:t>FY2025 annual report. Primary filing observation or disclosed schedule. Keep its original fiscal year, units and reported sign.</x:t>
        </x:r>
      </x:text>
    </x:comment>
    <x:comment ref="E120" authorId="0">
      <x:text>
        <x:r>
          <x:t>FY2025 annual report (FY:17 A).
FY2025 annual report. Primary filing observation or disclosed schedule. Keep its original fiscal year, units and reported sign.
Stored input or primary source observation. It is not calculated in this cell.</x:t>
        </x:r>
      </x:text>
    </x:comment>
    <x:comment ref="C121" authorId="0">
      <x:text>
        <x:r>
          <x:t>FY2026 annual report. Primary filing observation or disclosed schedule. Keep its original fiscal year, units and reported sign.</x:t>
        </x:r>
      </x:text>
    </x:comment>
    <x:comment ref="E121" authorId="0">
      <x:text>
        <x:r>
          <x:t>FY2026 annual report (FY:17 A).
FY2026 annual report. Primary filing observation or disclosed schedule. Keep its original fiscal year, units and reported sign.
Stored input or primary source observation. It is not calculated in this cell.</x:t>
        </x:r>
      </x:text>
    </x:comment>
    <x:comment ref="C138" authorId="0">
      <x:text>
        <x:r>
          <x:t>Live analytical observation. This formula reads the existing statement or schedule and updates with the selected case. ="FY2026 revenue source report: "&amp;FIXED(N106,0,TRUE)&amp;". Balance sheet source report: "&amp;FIXED(N107,0,TRUE)&amp;". Cash-flow source report: "&amp;FIXED(N108,0,TRUE)&amp;"."</x:t>
        </x:r>
      </x:text>
    </x:comment>
    <x:comment ref="C139" authorId="0">
      <x:text>
        <x:r>
          <x:t>Live analytical observation. This formula reads the existing statement or schedule and updates with the selected case. ="FY2026 reported revenue: "&amp;FIXED(N9/1000,1,TRUE)&amp;"bn; operating cash flow: "&amp;FIXED(N80/1000,1,TRUE)&amp;"bn."</x:t>
        </x:r>
      </x:text>
    </x:comment>
    <x:comment ref="C140" authorId="0">
      <x:text>
        <x:r>
          <x:t>Live analytical observation. This formula reads the existing statement or schedule and updates with the selected case. ="FY2017 to FY2026 actuals are the regression sample. FY2016 is opening-balance context only."</x:t>
        </x:r>
      </x:text>
    </x:comment>
    <x:comment ref="C164" authorId="0">
      <x:text>
        <x:r>
          <x:t>Historical revenue and operating cash (USD billions). Formula-linked chart data. A means actual and E means the active-case estimate. Unavailable historical observations remain blank.</x:t>
        </x:r>
      </x:text>
    </x:comment>
  </x:commentList>
</x:comments>
</file>

<file path=xl/comments18.xml><?xml version="1.0" encoding="utf-8"?>
<x:comments xmlns:x="http://schemas.openxmlformats.org/spreadsheetml/2006/main">
  <x:authors>
    <x:author>Goran Brkich</x:author>
  </x:authors>
  <x:commentList>
    <x:comment ref="C2" authorId="0">
      <x:text>
        <x:r>
          <x:t>Filing Notes. Amounts are USD millions unless the row states a ratio, days, years or per-share value. Hover over annotated labels or values for definitions and formula references.</x:t>
        </x:r>
      </x:text>
    </x:comment>
    <x:comment ref="C8" authorId="0">
      <x:text>
        <x:r>
          <x:t>Noncash expense for PPE. Forecast legacy assets and new annual cohorts use the useful-life inputs and half-year convention. Expense reduces asset carrying value and is added back once in operating cash flow.</x:t>
        </x:r>
      </x:text>
    </x:comment>
    <x:comment ref="E8" authorId="0">
      <x:text>
        <x:r>
          <x:t>ppe depreciation (FY:17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F8" authorId="0">
      <x:text>
        <x:r>
          <x:t>ppe depreciation (FY:18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G8" authorId="0">
      <x:text>
        <x:r>
          <x:t>ppe depreciation (FY:19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H8" authorId="0">
      <x:text>
        <x:r>
          <x:t>ppe depreciation (FY:20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I8" authorId="0">
      <x:text>
        <x:r>
          <x:t>ppe depreciation (FY:21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J8" authorId="0">
      <x:text>
        <x:r>
          <x:t>ppe depreciation (FY:22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K8" authorId="0">
      <x:text>
        <x:r>
          <x:t>ppe depreciation (FY:23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L8" authorId="0">
      <x:text>
        <x:r>
          <x:t>ppe depreciation (FY:24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M8" authorId="0">
      <x:text>
        <x:r>
          <x:t>ppe depreciation (FY:25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N8" authorId="0">
      <x:text>
        <x:r>
          <x:t>ppe depreciation (FY:26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C9" authorId="0">
      <x:text>
        <x:r>
          <x:t>Noncash intangible expense. Forecast amortization follows the expected schedule disclosed in the FY2026 filing, subject to the remaining asset balance.</x:t>
        </x:r>
      </x:text>
    </x:comment>
    <x:comment ref="E9" authorId="0">
      <x:text>
        <x:r>
          <x:t>intangible amortization (FY:17 A).
Noncash intangible expense. Forecast amortization follows the expected schedule disclosed in the FY2026 filing, subject to the remaining asset balance.
Stored input or primary source observation. It is not calculated in this cell.</x:t>
        </x:r>
      </x:text>
    </x:comment>
    <x:comment ref="F9" authorId="0">
      <x:text>
        <x:r>
          <x:t>intangible amortization (FY:18 A).
Noncash intangible expense. Forecast amortization follows the expected schedule disclosed in the FY2026 filing, subject to the remaining asset balance.
Stored input or primary source observation. It is not calculated in this cell.</x:t>
        </x:r>
      </x:text>
    </x:comment>
    <x:comment ref="G9" authorId="0">
      <x:text>
        <x:r>
          <x:t>intangible amortization (FY:19 A).
Noncash intangible expense. Forecast amortization follows the expected schedule disclosed in the FY2026 filing, subject to the remaining asset balance.
Stored input or primary source observation. It is not calculated in this cell.</x:t>
        </x:r>
      </x:text>
    </x:comment>
    <x:comment ref="H9" authorId="0">
      <x:text>
        <x:r>
          <x:t>intangible amortization (FY:20 A).
Noncash intangible expense. Forecast amortization follows the expected schedule disclosed in the FY2026 filing, subject to the remaining asset balance.
Stored input or primary source observation. It is not calculated in this cell.</x:t>
        </x:r>
      </x:text>
    </x:comment>
    <x:comment ref="I9" authorId="0">
      <x:text>
        <x:r>
          <x:t>intangible amortization (FY:21 A).
Noncash intangible expense. Forecast amortization follows the expected schedule disclosed in the FY2026 filing, subject to the remaining asset balance.
Stored input or primary source observation. It is not calculated in this cell.</x:t>
        </x:r>
      </x:text>
    </x:comment>
    <x:comment ref="J9" authorId="0">
      <x:text>
        <x:r>
          <x:t>intangible amortization (FY:22 A).
Noncash intangible expense. Forecast amortization follows the expected schedule disclosed in the FY2026 filing, subject to the remaining asset balance.
Stored input or primary source observation. It is not calculated in this cell.</x:t>
        </x:r>
      </x:text>
    </x:comment>
    <x:comment ref="K9" authorId="0">
      <x:text>
        <x:r>
          <x:t>intangible amortization (FY:23 A).
Noncash intangible expense. Forecast amortization follows the expected schedule disclosed in the FY2026 filing, subject to the remaining asset balance.
Stored input or primary source observation. It is not calculated in this cell.</x:t>
        </x:r>
      </x:text>
    </x:comment>
    <x:comment ref="L9" authorId="0">
      <x:text>
        <x:r>
          <x:t>intangible amortization (FY:24 A).
Noncash intangible expense. Forecast amortization follows the expected schedule disclosed in the FY2026 filing, subject to the remaining asset balance.
Stored input or primary source observation. It is not calculated in this cell.</x:t>
        </x:r>
      </x:text>
    </x:comment>
    <x:comment ref="M9" authorId="0">
      <x:text>
        <x:r>
          <x:t>intangible amortization (FY:25 A).
Noncash intangible expense. Forecast amortization follows the expected schedule disclosed in the FY2026 filing, subject to the remaining asset balance.
Stored input or primary source observation. It is not calculated in this cell.</x:t>
        </x:r>
      </x:text>
    </x:comment>
    <x:comment ref="N9" authorId="0">
      <x:text>
        <x:r>
          <x:t>intangible amortization (FY:26 A).
Noncash intangible expense. Forecast amortization follows the expected schedule disclosed in the FY2026 filing, subject to the remaining asset balance.
Stored input or primary source observation. It is not calculated in this cell.</x:t>
        </x:r>
      </x:text>
    </x:comment>
    <x:comment ref="C10" authorId="0">
      <x:text>
        <x:r>
          <x:t>ppe gross. Primary filing observation or disclosed schedule. Keep its original fiscal year, units and reported sign.</x:t>
        </x:r>
      </x:text>
    </x:comment>
    <x:comment ref="E10" authorId="0">
      <x:text>
        <x:r>
          <x:t>ppe gross (FY:17 A).
ppe gross. Primary filing observation or disclosed schedule. Keep its original fiscal year, units and reported sign.
Stored input or primary source observation. It is not calculated in this cell.</x:t>
        </x:r>
      </x:text>
    </x:comment>
    <x:comment ref="F10" authorId="0">
      <x:text>
        <x:r>
          <x:t>ppe gross (FY:18 A).
ppe gross. Primary filing observation or disclosed schedule. Keep its original fiscal year, units and reported sign.
Stored input or primary source observation. It is not calculated in this cell.</x:t>
        </x:r>
      </x:text>
    </x:comment>
    <x:comment ref="G10" authorId="0">
      <x:text>
        <x:r>
          <x:t>ppe gross (FY:19 A).
ppe gross. Primary filing observation or disclosed schedule. Keep its original fiscal year, units and reported sign.
Stored input or primary source observation. It is not calculated in this cell.</x:t>
        </x:r>
      </x:text>
    </x:comment>
    <x:comment ref="H10" authorId="0">
      <x:text>
        <x:r>
          <x:t>ppe gross (FY:20 A).
ppe gross. Primary filing observation or disclosed schedule. Keep its original fiscal year, units and reported sign.
Stored input or primary source observation. It is not calculated in this cell.</x:t>
        </x:r>
      </x:text>
    </x:comment>
    <x:comment ref="I10" authorId="0">
      <x:text>
        <x:r>
          <x:t>ppe gross (FY:21 A).
ppe gross. Primary filing observation or disclosed schedule. Keep its original fiscal year, units and reported sign.
Stored input or primary source observation. It is not calculated in this cell.</x:t>
        </x:r>
      </x:text>
    </x:comment>
    <x:comment ref="J10" authorId="0">
      <x:text>
        <x:r>
          <x:t>ppe gross (FY:22 A).
ppe gross. Primary filing observation or disclosed schedule. Keep its original fiscal year, units and reported sign.
Stored input or primary source observation. It is not calculated in this cell.</x:t>
        </x:r>
      </x:text>
    </x:comment>
    <x:comment ref="K10" authorId="0">
      <x:text>
        <x:r>
          <x:t>ppe gross (FY:23 A).
ppe gross. Primary filing observation or disclosed schedule. Keep its original fiscal year, units and reported sign.
Stored input or primary source observation. It is not calculated in this cell.</x:t>
        </x:r>
      </x:text>
    </x:comment>
    <x:comment ref="L10" authorId="0">
      <x:text>
        <x:r>
          <x:t>ppe gross (FY:24 A).
ppe gross. Primary filing observation or disclosed schedule. Keep its original fiscal year, units and reported sign.
Stored input or primary source observation. It is not calculated in this cell.</x:t>
        </x:r>
      </x:text>
    </x:comment>
    <x:comment ref="M10" authorId="0">
      <x:text>
        <x:r>
          <x:t>ppe gross (FY:25 A).
ppe gross. Primary filing observation or disclosed schedule. Keep its original fiscal year, units and reported sign.
Stored input or primary source observation. It is not calculated in this cell.</x:t>
        </x:r>
      </x:text>
    </x:comment>
    <x:comment ref="N10" authorId="0">
      <x:text>
        <x:r>
          <x:t>ppe gross (FY:26 A).
ppe gross. Primary filing observation or disclosed schedule. Keep its original fiscal year, units and reported sign.
Stored input or primary source observation. It is not calculated in this cell.</x:t>
        </x:r>
      </x:text>
    </x:comment>
    <x:comment ref="C11" authorId="0">
      <x:text>
        <x:r>
          <x:t>Noncash expense for PPE. Forecast legacy assets and new annual cohorts use the useful-life inputs and half-year convention. Expense reduces asset carrying value and is added back once in operating cash flow.</x:t>
        </x:r>
      </x:text>
    </x:comment>
    <x:comment ref="E11" authorId="0">
      <x:text>
        <x:r>
          <x:t>accumulated depreciation (FY:17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F11" authorId="0">
      <x:text>
        <x:r>
          <x:t>accumulated depreciation (FY:18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G11" authorId="0">
      <x:text>
        <x:r>
          <x:t>accumulated depreciation (FY:19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H11" authorId="0">
      <x:text>
        <x:r>
          <x:t>accumulated depreciation (FY:20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I11" authorId="0">
      <x:text>
        <x:r>
          <x:t>accumulated depreciation (FY:21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J11" authorId="0">
      <x:text>
        <x:r>
          <x:t>accumulated depreciation (FY:22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K11" authorId="0">
      <x:text>
        <x:r>
          <x:t>accumulated depreciation (FY:23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L11" authorId="0">
      <x:text>
        <x:r>
          <x:t>accumulated depreciation (FY:24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M11" authorId="0">
      <x:text>
        <x:r>
          <x:t>accumulated depreciation (FY:25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N11" authorId="0">
      <x:text>
        <x:r>
          <x:t>accumulated depreciation (FY:26 A).
Noncash expense for PPE. Forecast legacy assets and new annual cohorts use the useful-life inputs and half-year convention. Expense reduces asset carrying value and is added back once in operating cash flow.
Stored input or primary source observation. It is not calculated in this cell.</x:t>
        </x:r>
      </x:text>
    </x:comment>
    <x:comment ref="C12" authorId="0">
      <x:text>
        <x:r>
          <x:t>finance lease liab. Primary filing observation or disclosed schedule. Keep its original fiscal year, units and reported sign.</x:t>
        </x:r>
      </x:text>
    </x:comment>
    <x:comment ref="E12" authorId="0">
      <x:text>
        <x:r>
          <x:t>finance lease liab (FY:17 A).
finance lease liab. Primary filing observation or disclosed schedule. Keep its original fiscal year, units and reported sign.
Stored input or primary source observation. It is not calculated in this cell.</x:t>
        </x:r>
      </x:text>
    </x:comment>
    <x:comment ref="F12" authorId="0">
      <x:text>
        <x:r>
          <x:t>finance lease liab (FY:18 A).
finance lease liab. Primary filing observation or disclosed schedule. Keep its original fiscal year, units and reported sign.
Stored input or primary source observation. It is not calculated in this cell.</x:t>
        </x:r>
      </x:text>
    </x:comment>
    <x:comment ref="G12" authorId="0">
      <x:text>
        <x:r>
          <x:t>finance lease liab (FY:19 A).
finance lease liab. Primary filing observation or disclosed schedule. Keep its original fiscal year, units and reported sign.
Stored input or primary source observation. It is not calculated in this cell.</x:t>
        </x:r>
      </x:text>
    </x:comment>
    <x:comment ref="H12" authorId="0">
      <x:text>
        <x:r>
          <x:t>finance lease liab (FY:20 A).
finance lease liab. Primary filing observation or disclosed schedule. Keep its original fiscal year, units and reported sign.
Stored input or primary source observation. It is not calculated in this cell.</x:t>
        </x:r>
      </x:text>
    </x:comment>
    <x:comment ref="I12" authorId="0">
      <x:text>
        <x:r>
          <x:t>finance lease liab (FY:21 A).
finance lease liab. Primary filing observation or disclosed schedule. Keep its original fiscal year, units and reported sign.
Stored input or primary source observation. It is not calculated in this cell.</x:t>
        </x:r>
      </x:text>
    </x:comment>
    <x:comment ref="J12" authorId="0">
      <x:text>
        <x:r>
          <x:t>finance lease liab (FY:22 A).
finance lease liab. Primary filing observation or disclosed schedule. Keep its original fiscal year, units and reported sign.
Stored input or primary source observation. It is not calculated in this cell.</x:t>
        </x:r>
      </x:text>
    </x:comment>
    <x:comment ref="K12" authorId="0">
      <x:text>
        <x:r>
          <x:t>finance lease liab (FY:23 A).
finance lease liab. Primary filing observation or disclosed schedule. Keep its original fiscal year, units and reported sign.
Stored input or primary source observation. It is not calculated in this cell.</x:t>
        </x:r>
      </x:text>
    </x:comment>
    <x:comment ref="L12" authorId="0">
      <x:text>
        <x:r>
          <x:t>finance lease liab (FY:24 A).
finance lease liab. Primary filing observation or disclosed schedule. Keep its original fiscal year, units and reported sign.
Stored input or primary source observation. It is not calculated in this cell.</x:t>
        </x:r>
      </x:text>
    </x:comment>
    <x:comment ref="M12" authorId="0">
      <x:text>
        <x:r>
          <x:t>finance lease liab (FY:25 A).
finance lease liab. Primary filing observation or disclosed schedule. Keep its original fiscal year, units and reported sign.
Stored input or primary source observation. It is not calculated in this cell.</x:t>
        </x:r>
      </x:text>
    </x:comment>
    <x:comment ref="N12" authorId="0">
      <x:text>
        <x:r>
          <x:t>finance lease liab (FY:26 A).
finance lease liab. Primary filing observation or disclosed schedule. Keep its original fiscal year, units and reported sign.
Stored input or primary source observation. It is not calculated in this cell.</x:t>
        </x:r>
      </x:text>
    </x:comment>
    <x:comment ref="C13" authorId="0">
      <x:text>
        <x:r>
          <x:t>Reduction of debt or lease principal, separate from interest expense. Read the formula for the specific contractual or modeled payment schedule and sign.</x:t>
        </x:r>
      </x:text>
    </x:comment>
    <x:comment ref="E13" authorId="0">
      <x:text>
        <x:r>
          <x:t>finance lease principal (FY:17 A).
Reduction of debt or lease principal, separate from interest expense. Read the formula for the specific contractual or modeled payment schedule and sign.
Stored input or primary source observation. It is not calculated in this cell.</x:t>
        </x:r>
      </x:text>
    </x:comment>
    <x:comment ref="F13" authorId="0">
      <x:text>
        <x:r>
          <x:t>finance lease principal (FY:18 A).
Reduction of debt or lease principal, separate from interest expense. Read the formula for the specific contractual or modeled payment schedule and sign.
Stored input or primary source observation. It is not calculated in this cell.</x:t>
        </x:r>
      </x:text>
    </x:comment>
    <x:comment ref="G13" authorId="0">
      <x:text>
        <x:r>
          <x:t>finance lease principal (FY:19 A).
Reduction of debt or lease principal, separate from interest expense. Read the formula for the specific contractual or modeled payment schedule and sign.
Stored input or primary source observation. It is not calculated in this cell.</x:t>
        </x:r>
      </x:text>
    </x:comment>
    <x:comment ref="H13" authorId="0">
      <x:text>
        <x:r>
          <x:t>finance lease principal (FY:20 A).
Reduction of debt or lease principal, separate from interest expense. Read the formula for the specific contractual or modeled payment schedule and sign.
Stored input or primary source observation. It is not calculated in this cell.</x:t>
        </x:r>
      </x:text>
    </x:comment>
    <x:comment ref="I13" authorId="0">
      <x:text>
        <x:r>
          <x:t>finance lease principal (FY:21 A).
Reduction of debt or lease principal, separate from interest expense. Read the formula for the specific contractual or modeled payment schedule and sign.
Stored input or primary source observation. It is not calculated in this cell.</x:t>
        </x:r>
      </x:text>
    </x:comment>
    <x:comment ref="J13" authorId="0">
      <x:text>
        <x:r>
          <x:t>finance lease principal (FY:22 A).
Reduction of debt or lease principal, separate from interest expense. Read the formula for the specific contractual or modeled payment schedule and sign.
Stored input or primary source observation. It is not calculated in this cell.</x:t>
        </x:r>
      </x:text>
    </x:comment>
    <x:comment ref="K13" authorId="0">
      <x:text>
        <x:r>
          <x:t>finance lease principal (FY:23 A).
Reduction of debt or lease principal, separate from interest expense. Read the formula for the specific contractual or modeled payment schedule and sign.
Stored input or primary source observation. It is not calculated in this cell.</x:t>
        </x:r>
      </x:text>
    </x:comment>
    <x:comment ref="L13" authorId="0">
      <x:text>
        <x:r>
          <x:t>finance lease principal (FY:24 A).
Reduction of debt or lease principal, separate from interest expense. Read the formula for the specific contractual or modeled payment schedule and sign.
Stored input or primary source observation. It is not calculated in this cell.</x:t>
        </x:r>
      </x:text>
    </x:comment>
    <x:comment ref="M13" authorId="0">
      <x:text>
        <x:r>
          <x:t>finance lease principal (FY:25 A).
Reduction of debt or lease principal, separate from interest expense. Read the formula for the specific contractual or modeled payment schedule and sign.
Stored input or primary source observation. It is not calculated in this cell.</x:t>
        </x:r>
      </x:text>
    </x:comment>
    <x:comment ref="N13" authorId="0">
      <x:text>
        <x:r>
          <x:t>finance lease principal (FY:26 A).
Reduction of debt or lease principal, separate from interest expense. Read the formula for the specific contractual or modeled payment schedule and sign.
Stored input or primary source observation. It is not calculated in this cell.</x:t>
        </x:r>
      </x:text>
    </x:comment>
    <x:comment ref="C14" authorId="0">
      <x:text>
        <x:r>
          <x:t>finance lease additions. Primary filing observation or disclosed schedule. Keep its original fiscal year, units and reported sign.</x:t>
        </x:r>
      </x:text>
    </x:comment>
    <x:comment ref="E14" authorId="0">
      <x:text>
        <x:r>
          <x:t>finance lease additions (FY:17 A).
finance lease additions. Primary filing observation or disclosed schedule. Keep its original fiscal year, units and reported sign.
Stored input or primary source observation. It is not calculated in this cell.</x:t>
        </x:r>
      </x:text>
    </x:comment>
    <x:comment ref="F14" authorId="0">
      <x:text>
        <x:r>
          <x:t>finance lease additions (FY:18 A).
finance lease additions. Primary filing observation or disclosed schedule. Keep its original fiscal year, units and reported sign.
Stored input or primary source observation. It is not calculated in this cell.</x:t>
        </x:r>
      </x:text>
    </x:comment>
    <x:comment ref="G14" authorId="0">
      <x:text>
        <x:r>
          <x:t>finance lease additions (FY:19 A).
finance lease additions. Primary filing observation or disclosed schedule. Keep its original fiscal year, units and reported sign.
Stored input or primary source observation. It is not calculated in this cell.</x:t>
        </x:r>
      </x:text>
    </x:comment>
    <x:comment ref="H14" authorId="0">
      <x:text>
        <x:r>
          <x:t>finance lease additions (FY:20 A).
finance lease additions. Primary filing observation or disclosed schedule. Keep its original fiscal year, units and reported sign.
Stored input or primary source observation. It is not calculated in this cell.</x:t>
        </x:r>
      </x:text>
    </x:comment>
    <x:comment ref="I14" authorId="0">
      <x:text>
        <x:r>
          <x:t>finance lease additions (FY:21 A).
finance lease additions. Primary filing observation or disclosed schedule. Keep its original fiscal year, units and reported sign.
Stored input or primary source observation. It is not calculated in this cell.</x:t>
        </x:r>
      </x:text>
    </x:comment>
    <x:comment ref="J14" authorId="0">
      <x:text>
        <x:r>
          <x:t>finance lease additions (FY:22 A).
finance lease additions. Primary filing observation or disclosed schedule. Keep its original fiscal year, units and reported sign.
Stored input or primary source observation. It is not calculated in this cell.</x:t>
        </x:r>
      </x:text>
    </x:comment>
    <x:comment ref="K14" authorId="0">
      <x:text>
        <x:r>
          <x:t>finance lease additions (FY:23 A).
finance lease additions. Primary filing observation or disclosed schedule. Keep its original fiscal year, units and reported sign.
Stored input or primary source observation. It is not calculated in this cell.</x:t>
        </x:r>
      </x:text>
    </x:comment>
    <x:comment ref="L14" authorId="0">
      <x:text>
        <x:r>
          <x:t>finance lease additions (FY:24 A).
finance lease additions. Primary filing observation or disclosed schedule. Keep its original fiscal year, units and reported sign.
Stored input or primary source observation. It is not calculated in this cell.</x:t>
        </x:r>
      </x:text>
    </x:comment>
    <x:comment ref="M14" authorId="0">
      <x:text>
        <x:r>
          <x:t>finance lease additions (FY:25 A).
finance lease additions. Primary filing observation or disclosed schedule. Keep its original fiscal year, units and reported sign.
Stored input or primary source observation. It is not calculated in this cell.</x:t>
        </x:r>
      </x:text>
    </x:comment>
    <x:comment ref="N14" authorId="0">
      <x:text>
        <x:r>
          <x:t>finance lease additions (FY:26 A).
finance lease additions. Primary filing observation or disclosed schedule. Keep its original fiscal year, units and reported sign.
Stored input or primary source observation. It is not calculated in this cell.</x:t>
        </x:r>
      </x:text>
    </x:comment>
    <x:comment ref="C15" authorId="0">
      <x:text>
        <x:r>
          <x:t>operating lease liab. Primary filing observation or disclosed schedule. Keep its original fiscal year, units and reported sign.</x:t>
        </x:r>
      </x:text>
    </x:comment>
    <x:comment ref="E15" authorId="0">
      <x:text>
        <x:r>
          <x:t>operating lease liab (FY:17 A).
operating lease liab. Primary filing observation or disclosed schedule. Keep its original fiscal year, units and reported sign.
Stored input or primary source observation. It is not calculated in this cell.</x:t>
        </x:r>
      </x:text>
    </x:comment>
    <x:comment ref="F15" authorId="0">
      <x:text>
        <x:r>
          <x:t>operating lease liab (FY:18 A).
operating lease liab. Primary filing observation or disclosed schedule. Keep its original fiscal year, units and reported sign.
Stored input or primary source observation. It is not calculated in this cell.</x:t>
        </x:r>
      </x:text>
    </x:comment>
    <x:comment ref="G15" authorId="0">
      <x:text>
        <x:r>
          <x:t>operating lease liab (FY:19 A).
operating lease liab. Primary filing observation or disclosed schedule. Keep its original fiscal year, units and reported sign.
Stored input or primary source observation. It is not calculated in this cell.</x:t>
        </x:r>
      </x:text>
    </x:comment>
    <x:comment ref="H15" authorId="0">
      <x:text>
        <x:r>
          <x:t>operating lease liab (FY:20 A).
operating lease liab. Primary filing observation or disclosed schedule. Keep its original fiscal year, units and reported sign.
Stored input or primary source observation. It is not calculated in this cell.</x:t>
        </x:r>
      </x:text>
    </x:comment>
    <x:comment ref="I15" authorId="0">
      <x:text>
        <x:r>
          <x:t>operating lease liab (FY:21 A).
operating lease liab. Primary filing observation or disclosed schedule. Keep its original fiscal year, units and reported sign.
Stored input or primary source observation. It is not calculated in this cell.</x:t>
        </x:r>
      </x:text>
    </x:comment>
    <x:comment ref="J15" authorId="0">
      <x:text>
        <x:r>
          <x:t>operating lease liab (FY:22 A).
operating lease liab. Primary filing observation or disclosed schedule. Keep its original fiscal year, units and reported sign.
Stored input or primary source observation. It is not calculated in this cell.</x:t>
        </x:r>
      </x:text>
    </x:comment>
    <x:comment ref="K15" authorId="0">
      <x:text>
        <x:r>
          <x:t>operating lease liab (FY:23 A).
operating lease liab. Primary filing observation or disclosed schedule. Keep its original fiscal year, units and reported sign.
Stored input or primary source observation. It is not calculated in this cell.</x:t>
        </x:r>
      </x:text>
    </x:comment>
    <x:comment ref="L15" authorId="0">
      <x:text>
        <x:r>
          <x:t>operating lease liab (FY:24 A).
operating lease liab. Primary filing observation or disclosed schedule. Keep its original fiscal year, units and reported sign.
Stored input or primary source observation. It is not calculated in this cell.</x:t>
        </x:r>
      </x:text>
    </x:comment>
    <x:comment ref="M15" authorId="0">
      <x:text>
        <x:r>
          <x:t>operating lease liab (FY:25 A).
operating lease liab. Primary filing observation or disclosed schedule. Keep its original fiscal year, units and reported sign.
Stored input or primary source observation. It is not calculated in this cell.</x:t>
        </x:r>
      </x:text>
    </x:comment>
    <x:comment ref="N15" authorId="0">
      <x:text>
        <x:r>
          <x:t>operating lease liab (FY:26 A).
operating lease liab. Primary filing observation or disclosed schedule. Keep its original fiscal year, units and reported sign.
Stored input or primary source observation. It is not calculated in this cell.</x:t>
        </x:r>
      </x:text>
    </x:comment>
    <x:comment ref="C16" authorId="0">
      <x:text>
        <x:r>
          <x:t>operating lease additions. Primary filing observation or disclosed schedule. Keep its original fiscal year, units and reported sign.</x:t>
        </x:r>
      </x:text>
    </x:comment>
    <x:comment ref="E16" authorId="0">
      <x:text>
        <x:r>
          <x:t>operating lease additions (FY:17 A).
operating lease additions. Primary filing observation or disclosed schedule. Keep its original fiscal year, units and reported sign.
Stored input or primary source observation. It is not calculated in this cell.</x:t>
        </x:r>
      </x:text>
    </x:comment>
    <x:comment ref="F16" authorId="0">
      <x:text>
        <x:r>
          <x:t>operating lease additions (FY:18 A).
operating lease additions. Primary filing observation or disclosed schedule. Keep its original fiscal year, units and reported sign.
Stored input or primary source observation. It is not calculated in this cell.</x:t>
        </x:r>
      </x:text>
    </x:comment>
    <x:comment ref="G16" authorId="0">
      <x:text>
        <x:r>
          <x:t>operating lease additions (FY:19 A).
operating lease additions. Primary filing observation or disclosed schedule. Keep its original fiscal year, units and reported sign.
Stored input or primary source observation. It is not calculated in this cell.</x:t>
        </x:r>
      </x:text>
    </x:comment>
    <x:comment ref="H16" authorId="0">
      <x:text>
        <x:r>
          <x:t>operating lease additions (FY:20 A).
operating lease additions. Primary filing observation or disclosed schedule. Keep its original fiscal year, units and reported sign.
Stored input or primary source observation. It is not calculated in this cell.</x:t>
        </x:r>
      </x:text>
    </x:comment>
    <x:comment ref="I16" authorId="0">
      <x:text>
        <x:r>
          <x:t>operating lease additions (FY:21 A).
operating lease additions. Primary filing observation or disclosed schedule. Keep its original fiscal year, units and reported sign.
Stored input or primary source observation. It is not calculated in this cell.</x:t>
        </x:r>
      </x:text>
    </x:comment>
    <x:comment ref="J16" authorId="0">
      <x:text>
        <x:r>
          <x:t>operating lease additions (FY:22 A).
operating lease additions. Primary filing observation or disclosed schedule. Keep its original fiscal year, units and reported sign.
Stored input or primary source observation. It is not calculated in this cell.</x:t>
        </x:r>
      </x:text>
    </x:comment>
    <x:comment ref="K16" authorId="0">
      <x:text>
        <x:r>
          <x:t>operating lease additions (FY:23 A).
operating lease additions. Primary filing observation or disclosed schedule. Keep its original fiscal year, units and reported sign.
Stored input or primary source observation. It is not calculated in this cell.</x:t>
        </x:r>
      </x:text>
    </x:comment>
    <x:comment ref="L16" authorId="0">
      <x:text>
        <x:r>
          <x:t>operating lease additions (FY:24 A).
operating lease additions. Primary filing observation or disclosed schedule. Keep its original fiscal year, units and reported sign.
Stored input or primary source observation. It is not calculated in this cell.</x:t>
        </x:r>
      </x:text>
    </x:comment>
    <x:comment ref="M16" authorId="0">
      <x:text>
        <x:r>
          <x:t>operating lease additions (FY:25 A).
operating lease additions. Primary filing observation or disclosed schedule. Keep its original fiscal year, units and reported sign.
Stored input or primary source observation. It is not calculated in this cell.</x:t>
        </x:r>
      </x:text>
    </x:comment>
    <x:comment ref="N16" authorId="0">
      <x:text>
        <x:r>
          <x:t>operating lease additions (FY:26 A).
operating lease additions. Primary filing observation or disclosed schedule. Keep its original fiscal year, units and reported sign.
Stored input or primary source observation. It is not calculated in this cell.</x:t>
        </x:r>
      </x:text>
    </x:comment>
    <x:comment ref="C17" authorId="0">
      <x:text>
        <x:r>
          <x:t>operating lease cost. Primary filing observation or disclosed schedule. Keep its original fiscal year, units and reported sign.</x:t>
        </x:r>
      </x:text>
    </x:comment>
    <x:comment ref="E17" authorId="0">
      <x:text>
        <x:r>
          <x:t>operating lease cost (FY:17 A).
operating lease cost. Primary filing observation or disclosed schedule. Keep its original fiscal year, units and reported sign.
Stored input or primary source observation. It is not calculated in this cell.</x:t>
        </x:r>
      </x:text>
    </x:comment>
    <x:comment ref="F17" authorId="0">
      <x:text>
        <x:r>
          <x:t>operating lease cost (FY:18 A).
operating lease cost. Primary filing observation or disclosed schedule. Keep its original fiscal year, units and reported sign.
Stored input or primary source observation. It is not calculated in this cell.</x:t>
        </x:r>
      </x:text>
    </x:comment>
    <x:comment ref="G17" authorId="0">
      <x:text>
        <x:r>
          <x:t>operating lease cost (FY:19 A).
operating lease cost. Primary filing observation or disclosed schedule. Keep its original fiscal year, units and reported sign.
Stored input or primary source observation. It is not calculated in this cell.</x:t>
        </x:r>
      </x:text>
    </x:comment>
    <x:comment ref="H17" authorId="0">
      <x:text>
        <x:r>
          <x:t>operating lease cost (FY:20 A).
operating lease cost. Primary filing observation or disclosed schedule. Keep its original fiscal year, units and reported sign.
Stored input or primary source observation. It is not calculated in this cell.</x:t>
        </x:r>
      </x:text>
    </x:comment>
    <x:comment ref="I17" authorId="0">
      <x:text>
        <x:r>
          <x:t>operating lease cost (FY:21 A).
operating lease cost. Primary filing observation or disclosed schedule. Keep its original fiscal year, units and reported sign.
Stored input or primary source observation. It is not calculated in this cell.</x:t>
        </x:r>
      </x:text>
    </x:comment>
    <x:comment ref="J17" authorId="0">
      <x:text>
        <x:r>
          <x:t>operating lease cost (FY:22 A).
operating lease cost. Primary filing observation or disclosed schedule. Keep its original fiscal year, units and reported sign.
Stored input or primary source observation. It is not calculated in this cell.</x:t>
        </x:r>
      </x:text>
    </x:comment>
    <x:comment ref="K17" authorId="0">
      <x:text>
        <x:r>
          <x:t>operating lease cost (FY:23 A).
operating lease cost. Primary filing observation or disclosed schedule. Keep its original fiscal year, units and reported sign.
Stored input or primary source observation. It is not calculated in this cell.</x:t>
        </x:r>
      </x:text>
    </x:comment>
    <x:comment ref="L17" authorId="0">
      <x:text>
        <x:r>
          <x:t>operating lease cost (FY:24 A).
operating lease cost. Primary filing observation or disclosed schedule. Keep its original fiscal year, units and reported sign.
Stored input or primary source observation. It is not calculated in this cell.</x:t>
        </x:r>
      </x:text>
    </x:comment>
    <x:comment ref="M17" authorId="0">
      <x:text>
        <x:r>
          <x:t>operating lease cost (FY:25 A).
operating lease cost. Primary filing observation or disclosed schedule. Keep its original fiscal year, units and reported sign.
Stored input or primary source observation. It is not calculated in this cell.</x:t>
        </x:r>
      </x:text>
    </x:comment>
    <x:comment ref="N17" authorId="0">
      <x:text>
        <x:r>
          <x:t>operating lease cost (FY:26 A).
operating lease cost. Primary filing observation or disclosed schedule. Keep its original fiscal year, units and reported sign.
Stored input or primary source observation. It is not calculated in this cell.</x:t>
        </x:r>
      </x:text>
    </x:comment>
    <x:comment ref="C18" authorId="0">
      <x:text>
        <x:r>
          <x:t>Interest or investment income calculated using the named rate and balance. Capitalized interest is part of the capex budget; the remaining recognized interest affects net income.</x:t>
        </x:r>
      </x:text>
    </x:comment>
    <x:comment ref="E18" authorId="0">
      <x:text>
        <x:r>
          <x:t>interest expense (FY:17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F18" authorId="0">
      <x:text>
        <x:r>
          <x:t>interest expense (FY:18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G18" authorId="0">
      <x:text>
        <x:r>
          <x:t>interest expense (FY:19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H18" authorId="0">
      <x:text>
        <x:r>
          <x:t>interest expense (FY:20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I18" authorId="0">
      <x:text>
        <x:r>
          <x:t>interest expense (FY:21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J18" authorId="0">
      <x:text>
        <x:r>
          <x:t>interest expense (FY:22 A).
Interest or investment income calculated using the named rate and balance. Capitalized interest is part of the capex budget; the remaining recognized interest affects net income. This period is unavailable or not applicable. Do not interpret it as zero.
Stored input or primary source observation. It is not calculated in this cell.</x:t>
        </x:r>
      </x:text>
    </x:comment>
    <x:comment ref="K18" authorId="0">
      <x:text>
        <x:r>
          <x:t>interest expense (FY:23 A).
Interest or investment income calculated using the named rate and balance. Capitalized interest is part of the capex budget; the remaining recognized interest affects net income.
Stored input or primary source observation. It is not calculated in this cell.</x:t>
        </x:r>
      </x:text>
    </x:comment>
    <x:comment ref="L18" authorId="0">
      <x:text>
        <x:r>
          <x:t>interest expense (FY:24 A).
Interest or investment income calculated using the named rate and balance. Capitalized interest is part of the capex budget; the remaining recognized interest affects net income.
Stored input or primary source observation. It is not calculated in this cell.</x:t>
        </x:r>
      </x:text>
    </x:comment>
    <x:comment ref="M18" authorId="0">
      <x:text>
        <x:r>
          <x:t>interest expense (FY:25 A).
Interest or investment income calculated using the named rate and balance. Capitalized interest is part of the capex budget; the remaining recognized interest affects net income.
Stored input or primary source observation. It is not calculated in this cell.</x:t>
        </x:r>
      </x:text>
    </x:comment>
    <x:comment ref="N18" authorId="0">
      <x:text>
        <x:r>
          <x:t>interest expense (FY:26 A).
Interest or investment income calculated using the named rate and balance. Capitalized interest is part of the capex budget; the remaining recognized interest affects net income.
Stored input or primary source observation. It is not calculated in this cell.</x:t>
        </x:r>
      </x:text>
    </x:comment>
    <x:comment ref="C22" authorId="0">
      <x:text>
        <x:r>
          <x:t>land. Primary filing observation or disclosed schedule. Keep its original fiscal year, units and reported sign.</x:t>
        </x:r>
      </x:text>
    </x:comment>
    <x:comment ref="N22" authorId="0">
      <x:text>
        <x:r>
          <x:t>land (FY:26 A).
land. Primary filing observation or disclosed schedule. Keep its original fiscal year, units and reported sign.
Stored input or primary source observation. It is not calculated in this cell.</x:t>
        </x:r>
      </x:text>
    </x:comment>
    <x:comment ref="C23" authorId="0">
      <x:text>
        <x:r>
          <x:t>capex payables. Primary filing observation or disclosed schedule. Keep its original fiscal year, units and reported sign.</x:t>
        </x:r>
      </x:text>
    </x:comment>
    <x:comment ref="N23" authorId="0">
      <x:text>
        <x:r>
          <x:t>capex payables (FY:26 A).
capex payables. Primary filing observation or disclosed schedule. Keep its original fiscal year, units and reported sign.
Stored input or primary source observation. It is not calculated in this cell.</x:t>
        </x:r>
      </x:text>
    </x:comment>
    <x:comment ref="C24" authorId="0">
      <x:text>
        <x:r>
          <x:t>debt face. Primary filing observation or disclosed schedule. Keep its original fiscal year, units and reported sign.</x:t>
        </x:r>
      </x:text>
    </x:comment>
    <x:comment ref="N24" authorId="0">
      <x:text>
        <x:r>
          <x:t>debt face (FY:26 A).
debt face. Primary filing observation or disclosed schedule. Keep its original fiscal year, units and reported sign.
Stored input or primary source observation. It is not calculated in this cell.</x:t>
        </x:r>
      </x:text>
    </x:comment>
    <x:comment ref="C25" authorId="0">
      <x:text>
        <x:r>
          <x:t>debt discount. Primary filing observation or disclosed schedule. Keep its original fiscal year, units and reported sign.</x:t>
        </x:r>
      </x:text>
    </x:comment>
    <x:comment ref="N25" authorId="0">
      <x:text>
        <x:r>
          <x:t>debt discount (FY:26 A).
debt discount. Primary filing observation or disclosed schedule. Keep its original fiscal year, units and reported sign.
Stored input or primary source observation. It is not calculated in this cell.</x:t>
        </x:r>
      </x:text>
    </x:comment>
    <x:comment ref="C26" authorId="0">
      <x:text>
        <x:r>
          <x:t>debt hedge adjustment. Primary filing observation or disclosed schedule. Keep its original fiscal year, units and reported sign.</x:t>
        </x:r>
      </x:text>
    </x:comment>
    <x:comment ref="N26" authorId="0">
      <x:text>
        <x:r>
          <x:t>debt hedge adjustment (FY:26 A).
debt hedge adjustment. Primary filing observation or disclosed schedule. Keep its original fiscal year, units and reported sign.
Stored input or primary source observation. It is not calculated in this cell.</x:t>
        </x:r>
      </x:text>
    </x:comment>
    <x:comment ref="C27" authorId="0">
      <x:text>
        <x:r>
          <x:t>debt exchange premium. Primary filing observation or disclosed schedule. Keep its original fiscal year, units and reported sign.</x:t>
        </x:r>
      </x:text>
    </x:comment>
    <x:comment ref="N27" authorId="0">
      <x:text>
        <x:r>
          <x:t>debt exchange premium (FY:26 A).
debt exchange premium. Primary filing observation or disclosed schedule. Keep its original fiscal year, units and reported sign.
Stored input or primary source observation. It is not calculated in this cell.</x:t>
        </x:r>
      </x:text>
    </x:comment>
    <x:comment ref="C28" authorId="0">
      <x:text>
        <x:r>
          <x:t>op lease current. Primary filing observation or disclosed schedule. Keep its original fiscal year, units and reported sign.</x:t>
        </x:r>
      </x:text>
    </x:comment>
    <x:comment ref="N28" authorId="0">
      <x:text>
        <x:r>
          <x:t>op lease current (FY:26 A).
op lease current. Primary filing observation or disclosed schedule. Keep its original fiscal year, units and reported sign.
Stored input or primary source observation. It is not calculated in this cell.</x:t>
        </x:r>
      </x:text>
    </x:comment>
    <x:comment ref="C29" authorId="0">
      <x:text>
        <x:r>
          <x:t>finance lease current. Primary filing observation or disclosed schedule. Keep its original fiscal year, units and reported sign.</x:t>
        </x:r>
      </x:text>
    </x:comment>
    <x:comment ref="N29" authorId="0">
      <x:text>
        <x:r>
          <x:t>finance lease current (FY:26 A).
finance lease current. Primary filing observation or disclosed schedule. Keep its original fiscal year, units and reported sign.
Stored input or primary source observation. It is not calculated in this cell.</x:t>
        </x:r>
      </x:text>
    </x:comment>
    <x:comment ref="C30" authorId="0">
      <x:text>
        <x:r>
          <x:t>finance lease long. Primary filing observation or disclosed schedule. Keep its original fiscal year, units and reported sign.</x:t>
        </x:r>
      </x:text>
    </x:comment>
    <x:comment ref="N30" authorId="0">
      <x:text>
        <x:r>
          <x:t>finance lease long (FY:26 A).
finance lease long. Primary filing observation or disclosed schedule. Keep its original fiscal year, units and reported sign.
Stored input or primary source observation. It is not calculated in this cell.</x:t>
        </x:r>
      </x:text>
    </x:comment>
    <x:comment ref="C31" authorId="0">
      <x:text>
        <x:r>
          <x:t>construction commitments. Primary filing observation or disclosed schedule. Keep its original fiscal year, units and reported sign.</x:t>
        </x:r>
      </x:text>
    </x:comment>
    <x:comment ref="N31" authorId="0">
      <x:text>
        <x:r>
          <x:t>construction commitments (FY:26 A).
construction commitments. Primary filing observation or disclosed schedule. Keep its original fiscal year, units and reported sign.
Stored input or primary source observation. It is not calculated in this cell.</x:t>
        </x:r>
      </x:text>
    </x:comment>
    <x:comment ref="C32" authorId="0">
      <x:text>
        <x:r>
          <x:t>Interest or investment income calculated using the named rate and balance. Capitalized interest is part of the capex budget; the remaining recognized interest affects net income.</x:t>
        </x:r>
      </x:text>
    </x:comment>
    <x:comment ref="N32" authorId="0">
      <x:text>
        <x:r>
          <x:t>cash debt interest (FY:26 A).
Interest or investment income calculated using the named rate and balance. Capitalized interest is part of the capex budget; the remaining recognized interest affects net income.
Stored input or primary source observation. It is not calculated in this cell.</x:t>
        </x:r>
      </x:text>
    </x:comment>
    <x:comment ref="C37" authorId="0">
      <x:text>
        <x:r>
          <x:t>debt maturities. Primary filing observation or disclosed schedule. Keep its original fiscal year, units and reported sign.</x:t>
        </x:r>
      </x:text>
    </x:comment>
    <x:comment ref="O37" authorId="0">
      <x:text>
        <x:r>
          <x:t>debt maturities (FY:27 E).
debt maturities. Primary filing observation or disclosed schedule. Keep its original fiscal year, units and reported sign.
Stored input or primary source observation. It is not calculated in this cell.</x:t>
        </x:r>
      </x:text>
    </x:comment>
    <x:comment ref="P37" authorId="0">
      <x:text>
        <x:r>
          <x:t>debt maturities (FY:28 E).
debt maturities. Primary filing observation or disclosed schedule. Keep its original fiscal year, units and reported sign.
Stored input or primary source observation. It is not calculated in this cell.</x:t>
        </x:r>
      </x:text>
    </x:comment>
    <x:comment ref="Q37" authorId="0">
      <x:text>
        <x:r>
          <x:t>debt maturities (FY:29 E).
debt maturities. Primary filing observation or disclosed schedule. Keep its original fiscal year, units and reported sign.
Stored input or primary source observation. It is not calculated in this cell.</x:t>
        </x:r>
      </x:text>
    </x:comment>
    <x:comment ref="R37" authorId="0">
      <x:text>
        <x:r>
          <x:t>debt maturities (FY:30 E).
debt maturities. Primary filing observation or disclosed schedule. Keep its original fiscal year, units and reported sign.
Stored input or primary source observation. It is not calculated in this cell.</x:t>
        </x:r>
      </x:text>
    </x:comment>
    <x:comment ref="S37" authorId="0">
      <x:text>
        <x:r>
          <x:t>debt maturities (FY:31 E).
debt maturities. Primary filing observation or disclosed schedule. Keep its original fiscal year, units and reported sign.
Stored input or primary source observation. It is not calculated in this cell.</x:t>
        </x:r>
      </x:text>
    </x:comment>
    <x:comment ref="C38" authorId="0">
      <x:text>
        <x:r>
          <x:t>Noncash intangible expense. Forecast amortization follows the expected schedule disclosed in the FY2026 filing, subject to the remaining asset balance.</x:t>
        </x:r>
      </x:text>
    </x:comment>
    <x:comment ref="O38" authorId="0">
      <x:text>
        <x:r>
          <x:t>intangible amortization schedule (FY:27 E).
Noncash intangible expense. Forecast amortization follows the expected schedule disclosed in the FY2026 filing, subject to the remaining asset balance.
Stored input or primary source observation. It is not calculated in this cell.</x:t>
        </x:r>
      </x:text>
    </x:comment>
    <x:comment ref="P38" authorId="0">
      <x:text>
        <x:r>
          <x:t>intangible amortization schedule (FY:28 E).
Noncash intangible expense. Forecast amortization follows the expected schedule disclosed in the FY2026 filing, subject to the remaining asset balance.
Stored input or primary source observation. It is not calculated in this cell.</x:t>
        </x:r>
      </x:text>
    </x:comment>
    <x:comment ref="Q38" authorId="0">
      <x:text>
        <x:r>
          <x:t>intangible amortization schedule (FY:29 E).
Noncash intangible expense. Forecast amortization follows the expected schedule disclosed in the FY2026 filing, subject to the remaining asset balance.
Stored input or primary source observation. It is not calculated in this cell.</x:t>
        </x:r>
      </x:text>
    </x:comment>
    <x:comment ref="R38" authorId="0">
      <x:text>
        <x:r>
          <x:t>intangible amortization schedule (FY:30 E).
Noncash intangible expense. Forecast amortization follows the expected schedule disclosed in the FY2026 filing, subject to the remaining asset balance.
Stored input or primary source observation. It is not calculated in this cell.</x:t>
        </x:r>
      </x:text>
    </x:comment>
    <x:comment ref="S38" authorId="0">
      <x:text>
        <x:r>
          <x:t>intangible amortization schedule (FY:31 E).
Noncash intangible expense. Forecast amortization follows the expected schedule disclosed in the FY2026 filing, subject to the remaining asset balance.
Stored input or primary source observation. It is not calculated in this cell.</x:t>
        </x:r>
      </x:text>
    </x:comment>
    <x:comment ref="C39" authorId="0">
      <x:text>
        <x:r>
          <x:t>op lease payments. Primary filing observation or disclosed schedule. Keep its original fiscal year, units and reported sign.</x:t>
        </x:r>
      </x:text>
    </x:comment>
    <x:comment ref="O39" authorId="0">
      <x:text>
        <x:r>
          <x:t>op lease payments (FY:27 E).
op lease payments. Primary filing observation or disclosed schedule. Keep its original fiscal year, units and reported sign.
Stored input or primary source observation. It is not calculated in this cell.</x:t>
        </x:r>
      </x:text>
    </x:comment>
    <x:comment ref="P39" authorId="0">
      <x:text>
        <x:r>
          <x:t>op lease payments (FY:28 E).
op lease payments. Primary filing observation or disclosed schedule. Keep its original fiscal year, units and reported sign.
Stored input or primary source observation. It is not calculated in this cell.</x:t>
        </x:r>
      </x:text>
    </x:comment>
    <x:comment ref="Q39" authorId="0">
      <x:text>
        <x:r>
          <x:t>op lease payments (FY:29 E).
op lease payments. Primary filing observation or disclosed schedule. Keep its original fiscal year, units and reported sign.
Stored input or primary source observation. It is not calculated in this cell.</x:t>
        </x:r>
      </x:text>
    </x:comment>
    <x:comment ref="R39" authorId="0">
      <x:text>
        <x:r>
          <x:t>op lease payments (FY:30 E).
op lease payments. Primary filing observation or disclosed schedule. Keep its original fiscal year, units and reported sign.
Stored input or primary source observation. It is not calculated in this cell.</x:t>
        </x:r>
      </x:text>
    </x:comment>
    <x:comment ref="S39" authorId="0">
      <x:text>
        <x:r>
          <x:t>op lease payments (FY:31 E).
op lease payments. Primary filing observation or disclosed schedule. Keep its original fiscal year, units and reported sign.
Stored input or primary source observation. It is not calculated in this cell.</x:t>
        </x:r>
      </x:text>
    </x:comment>
    <x:comment ref="C40" authorId="0">
      <x:text>
        <x:r>
          <x:t>finance lease payments. Primary filing observation or disclosed schedule. Keep its original fiscal year, units and reported sign.</x:t>
        </x:r>
      </x:text>
    </x:comment>
    <x:comment ref="O40" authorId="0">
      <x:text>
        <x:r>
          <x:t>finance lease payments (FY:27 E).
finance lease payments. Primary filing observation or disclosed schedule. Keep its original fiscal year, units and reported sign.
Stored input or primary source observation. It is not calculated in this cell.</x:t>
        </x:r>
      </x:text>
    </x:comment>
    <x:comment ref="P40" authorId="0">
      <x:text>
        <x:r>
          <x:t>finance lease payments (FY:28 E).
finance lease payments. Primary filing observation or disclosed schedule. Keep its original fiscal year, units and reported sign.
Stored input or primary source observation. It is not calculated in this cell.</x:t>
        </x:r>
      </x:text>
    </x:comment>
    <x:comment ref="Q40" authorId="0">
      <x:text>
        <x:r>
          <x:t>finance lease payments (FY:29 E).
finance lease payments. Primary filing observation or disclosed schedule. Keep its original fiscal year, units and reported sign.
Stored input or primary source observation. It is not calculated in this cell.</x:t>
        </x:r>
      </x:text>
    </x:comment>
    <x:comment ref="R40" authorId="0">
      <x:text>
        <x:r>
          <x:t>finance lease payments (FY:30 E).
finance lease payments. Primary filing observation or disclosed schedule. Keep its original fiscal year, units and reported sign.
Stored input or primary source observation. It is not calculated in this cell.</x:t>
        </x:r>
      </x:text>
    </x:comment>
    <x:comment ref="S40" authorId="0">
      <x:text>
        <x:r>
          <x:t>finance lease payments (FY:31 E).
finance lease payments. Primary filing observation or disclosed schedule. Keep its original fiscal year, units and reported sign.
Stored input or primary source observation. It is not calculated in this cell.</x:t>
        </x:r>
      </x:text>
    </x:comment>
    <x:comment ref="C42" authorId="0">
      <x:text>
        <x:r>
          <x:t>Reduction of debt or lease principal, separate from interest expense. Read the formula for the specific contractual or modeled payment schedule and sign.</x:t>
        </x:r>
      </x:text>
    </x:comment>
    <x:comment ref="N42" authorId="0">
      <x:text>
        <x:r>
          <x:t>Debt thereafter face principal (FY:26 A).
Reduction of debt or lease principal, separate from interest expense. Read the formula for the specific contractual or modeled payment schedule and sign.
Stored input or primary source observation. It is not calculated in this cell.</x:t>
        </x:r>
      </x:text>
    </x:comment>
    <x:comment ref="C44" authorId="0">
      <x:text>
        <x:r>
          <x:t>Current debt accounting adjustment ratio. Primary filing observation or disclosed schedule. Keep its original fiscal year, units and reported sign.</x:t>
        </x:r>
      </x:text>
    </x:comment>
    <x:comment ref="N44" authorId="0">
      <x:text>
        <x:r>
          <x:t>Current debt accounting adjustment ratio (FY:26 A).
Current debt accounting adjustment ratio. Primary filing observation or disclosed schedule. Keep its original fiscal year, units and reported sign.
Formula: =('Filing Notes'!O37-'Historical Inputs'!N43)/'Filing Notes'!O37
Cross-sheet references identify the owning schedule. Same-sheet references identify intermediate calculations.</x:t>
        </x:r>
      </x:text>
    </x:comment>
    <x:comment ref="C47" authorId="0">
      <x:text>
        <x:r>
          <x:t>FY2026 notes 6, 9, 10 and 13. Primary filing observation or disclosed schedule. Keep its original fiscal year, units and reported sign.</x:t>
        </x:r>
      </x:text>
    </x:comment>
    <x:comment ref="E47" authorId="0">
      <x:text>
        <x:r>
          <x:t>FY2026 notes 6, 9, 10 and 13 (FY:17 A).
FY2026 notes 6, 9, 10 and 13. Primary filing observation or disclosed schedule. Keep its original fiscal year, units and reported sign.
Stored input or primary source observation. It is not calculated in this cell.</x:t>
        </x:r>
      </x:text>
    </x:comment>
    <x:comment ref="C77" authorId="0">
      <x:text>
        <x:r>
          <x:t>Live analytical observation. This formula reads the existing statement or schedule and updates with the selected case. ="FY2026 debt face value: "&amp;FIXED(N24/1000,1,TRUE)&amp;"bn. Discount and issuance costs: "&amp;FIXED(N25/1000,1,TRUE)&amp;"bn."</x:t>
        </x:r>
      </x:text>
    </x:comment>
    <x:comment ref="C78" authorId="0">
      <x:text>
        <x:r>
          <x:t>Live analytical observation. This formula reads the existing statement or schedule and updates with the selected case. ="FY2026 finance lease liabilities: "&amp;FIXED(N12/1000,1,TRUE)&amp;"bn; operating lease liabilities: "&amp;FIXED(N15/1000,1,TRUE)&amp;"bn."</x:t>
        </x:r>
      </x:text>
    </x:comment>
    <x:comment ref="C79" authorId="0">
      <x:text>
        <x:r>
          <x:t>Live analytical observation. This formula reads the existing statement or schedule and updates with the selected case. ="FY2026 capital expenditure payables: "&amp;FIXED(N23/1000,1,TRUE)&amp;"bn. These are separate from operating payables in the forecast."</x:t>
        </x:r>
      </x:text>
    </x:comment>
    <x:comment ref="C103" authorId="0">
      <x:text>
        <x:r>
          <x:t>Disclosed lease liabilities (USD billions). Formula-linked chart data. A means actual and E means the active-case estimate. Unavailable historical observations remain blank.</x:t>
        </x:r>
      </x:text>
    </x:comment>
    <x:comment ref="C122" authorId="0">
      <x:text>
        <x:r>
          <x:t>Disclosed depreciation and amortization (USD billions). Formula-linked chart data. A means actual and E means the active-case estimate. Unavailable historical observations remain blank.</x:t>
        </x:r>
      </x:text>
    </x:comment>
  </x:commentList>
</x:comments>
</file>

<file path=xl/comments19.xml><?xml version="1.0" encoding="utf-8"?>
<x:comments xmlns:x="http://schemas.openxmlformats.org/spreadsheetml/2006/main">
  <x:authors>
    <x:author>Goran Brkich</x:author>
  </x:authors>
  <x:commentList>
    <x:comment ref="C2" authorId="0">
      <x:text>
        <x:r>
          <x:t>Audit. Amounts are USD millions unless the row states a ratio, days, years or per-share value. Hover over annotated labels or values for definitions and formula references.</x:t>
        </x:r>
      </x:text>
    </x:comment>
    <x:comment ref="E4" authorId="0">
      <x:text>
        <x:r>
          <x:t>Linked active case name. Change only Assumptions D4: 1 Base, 2 Upside, 3 Downside. All forecast charts use the active case.</x:t>
        </x:r>
      </x:text>
    </x:comment>
    <x:comment ref="C8" authorId="0">
      <x:text>
        <x:r>
          <x:t>Independent reconciliation of the named balances or flows. USD differences use the existing 0.01 million tolerance. Allocation differences measure percentage points. n.a. means the check does not apply.</x:t>
        </x:r>
      </x:text>
    </x:comment>
    <x:comment ref="E8" authorId="0">
      <x:text>
        <x:r>
          <x:t>Assets less liabilities and equity (FY:17 A).
Independent reconciliation of the named balances or flows. USD differences use the existing 0.01 million tolerance. Allocation differences measure percentage points. n.a. means the check does not apply.
Formula: =ROUND('Balance Sheet'!E22-'Balance Sheet'!E47,6)
Cross-sheet references identify the owning schedule. Same-sheet references identify intermediate calculations.</x:t>
        </x:r>
      </x:text>
    </x:comment>
    <x:comment ref="F8" authorId="0">
      <x:text>
        <x:r>
          <x:t>Assets less liabilities and equity (FY:18 A).
Independent reconciliation of the named balances or flows. USD differences use the existing 0.01 million tolerance. Allocation differences measure percentage points. n.a. means the check does not apply.
Formula: =ROUND('Balance Sheet'!F22-'Balance Sheet'!F47,6)
Cross-sheet references identify the owning schedule. Same-sheet references identify intermediate calculations.</x:t>
        </x:r>
      </x:text>
    </x:comment>
    <x:comment ref="G8" authorId="0">
      <x:text>
        <x:r>
          <x:t>Assets less liabilities and equity (FY:19 A).
Independent reconciliation of the named balances or flows. USD differences use the existing 0.01 million tolerance. Allocation differences measure percentage points. n.a. means the check does not apply.
Formula: =ROUND('Balance Sheet'!G22-'Balance Sheet'!G47,6)
Cross-sheet references identify the owning schedule. Same-sheet references identify intermediate calculations.</x:t>
        </x:r>
      </x:text>
    </x:comment>
    <x:comment ref="H8" authorId="0">
      <x:text>
        <x:r>
          <x:t>Assets less liabilities and equity (FY:20 A).
Independent reconciliation of the named balances or flows. USD differences use the existing 0.01 million tolerance. Allocation differences measure percentage points. n.a. means the check does not apply.
Formula: =ROUND('Balance Sheet'!H22-'Balance Sheet'!H47,6)
Cross-sheet references identify the owning schedule. Same-sheet references identify intermediate calculations.</x:t>
        </x:r>
      </x:text>
    </x:comment>
    <x:comment ref="I8" authorId="0">
      <x:text>
        <x:r>
          <x:t>Assets less liabilities and equity (FY:21 A).
Independent reconciliation of the named balances or flows. USD differences use the existing 0.01 million tolerance. Allocation differences measure percentage points. n.a. means the check does not apply.
Formula: =ROUND('Balance Sheet'!I22-'Balance Sheet'!I47,6)
Cross-sheet references identify the owning schedule. Same-sheet references identify intermediate calculations.</x:t>
        </x:r>
      </x:text>
    </x:comment>
    <x:comment ref="J8" authorId="0">
      <x:text>
        <x:r>
          <x:t>Assets less liabilities and equity (FY:22 A).
Independent reconciliation of the named balances or flows. USD differences use the existing 0.01 million tolerance. Allocation differences measure percentage points. n.a. means the check does not apply.
Formula: =ROUND('Balance Sheet'!J22-'Balance Sheet'!J47,6)
Cross-sheet references identify the owning schedule. Same-sheet references identify intermediate calculations.</x:t>
        </x:r>
      </x:text>
    </x:comment>
    <x:comment ref="K8" authorId="0">
      <x:text>
        <x:r>
          <x:t>Assets less liabilities and equity (FY:23 A).
Independent reconciliation of the named balances or flows. USD differences use the existing 0.01 million tolerance. Allocation differences measure percentage points. n.a. means the check does not apply.
Formula: =ROUND('Balance Sheet'!K22-'Balance Sheet'!K47,6)
Cross-sheet references identify the owning schedule. Same-sheet references identify intermediate calculations.</x:t>
        </x:r>
      </x:text>
    </x:comment>
    <x:comment ref="L8" authorId="0">
      <x:text>
        <x:r>
          <x:t>Assets less liabilities and equity (FY:24 A).
Independent reconciliation of the named balances or flows. USD differences use the existing 0.01 million tolerance. Allocation differences measure percentage points. n.a. means the check does not apply.
Formula: =ROUND('Balance Sheet'!L22-'Balance Sheet'!L47,6)
Cross-sheet references identify the owning schedule. Same-sheet references identify intermediate calculations.</x:t>
        </x:r>
      </x:text>
    </x:comment>
    <x:comment ref="M8" authorId="0">
      <x:text>
        <x:r>
          <x:t>Assets less liabilities and equity (FY:25 A).
Independent reconciliation of the named balances or flows. USD differences use the existing 0.01 million tolerance. Allocation differences measure percentage points. n.a. means the check does not apply.
Formula: =ROUND('Balance Sheet'!M22-'Balance Sheet'!M47,6)
Cross-sheet references identify the owning schedule. Same-sheet references identify intermediate calculations.</x:t>
        </x:r>
      </x:text>
    </x:comment>
    <x:comment ref="N8" authorId="0">
      <x:text>
        <x:r>
          <x:t>Assets less liabilities and equity (FY:26 A).
Independent reconciliation of the named balances or flows. USD differences use the existing 0.01 million tolerance. Allocation differences measure percentage points. n.a. means the check does not apply.
Formula: =ROUND('Balance Sheet'!N22-'Balance Sheet'!N47,6)
Cross-sheet references identify the owning schedule. Same-sheet references identify intermediate calculations.</x:t>
        </x:r>
      </x:text>
    </x:comment>
    <x:comment ref="O8" authorId="0">
      <x:text>
        <x:r>
          <x:t>Assets less liabilities and equity (FY:27 E).
Independent reconciliation of the named balances or flows. USD differences use the existing 0.01 million tolerance. Allocation differences measure percentage points. n.a. means the check does not apply.
Formula: =ROUND('Balance Sheet'!O22-'Balance Sheet'!O47,6)
Cross-sheet references identify the owning schedule. Same-sheet references identify intermediate calculations.</x:t>
        </x:r>
      </x:text>
    </x:comment>
    <x:comment ref="P8" authorId="0">
      <x:text>
        <x:r>
          <x:t>Assets less liabilities and equity (FY:28 E).
Independent reconciliation of the named balances or flows. USD differences use the existing 0.01 million tolerance. Allocation differences measure percentage points. n.a. means the check does not apply.
Formula: =ROUND('Balance Sheet'!P22-'Balance Sheet'!P47,6)
Cross-sheet references identify the owning schedule. Same-sheet references identify intermediate calculations.</x:t>
        </x:r>
      </x:text>
    </x:comment>
    <x:comment ref="Q8" authorId="0">
      <x:text>
        <x:r>
          <x:t>Assets less liabilities and equity (FY:29 E).
Independent reconciliation of the named balances or flows. USD differences use the existing 0.01 million tolerance. Allocation differences measure percentage points. n.a. means the check does not apply.
Formula: =ROUND('Balance Sheet'!Q22-'Balance Sheet'!Q47,6)
Cross-sheet references identify the owning schedule. Same-sheet references identify intermediate calculations.</x:t>
        </x:r>
      </x:text>
    </x:comment>
    <x:comment ref="R8" authorId="0">
      <x:text>
        <x:r>
          <x:t>Assets less liabilities and equity (FY:30 E).
Independent reconciliation of the named balances or flows. USD differences use the existing 0.01 million tolerance. Allocation differences measure percentage points. n.a. means the check does not apply.
Formula: =ROUND('Balance Sheet'!R22-'Balance Sheet'!R47,6)
Cross-sheet references identify the owning schedule. Same-sheet references identify intermediate calculations.</x:t>
        </x:r>
      </x:text>
    </x:comment>
    <x:comment ref="S8" authorId="0">
      <x:text>
        <x:r>
          <x:t>Assets less liabilities and equity (FY:31 E).
Independent reconciliation of the named balances or flows. USD differences use the existing 0.01 million tolerance. Allocation differences measure percentage points. n.a. means the check does not apply.
Formula: =ROUND('Balance Sheet'!S22-'Balance Sheet'!S47,6)
Cross-sheet references identify the owning schedule. Same-sheet references identify intermediate calculations.</x:t>
        </x:r>
      </x:text>
    </x:comment>
    <x:comment ref="C9" authorId="0">
      <x:text>
        <x:r>
          <x:t>Cash balance or signed cash flow as named in the row. Positive cash-flow amounts are inflows and negative amounts are outflows. Follow the formula or source reference below for the classification.</x:t>
        </x:r>
      </x:text>
    </x:comment>
    <x:comment ref="E9" authorId="0">
      <x:text>
        <x:r>
          <x:t>Cash flow ending cash less balance sheet cash (FY:17 A).
Cash balance or signed cash flow as named in the row. Positive cash-flow amounts are inflows and negative amounts are outflows. Follow the formula or source reference below for the classification.
Formula: =ROUND('Cash Flow'!E54-'Balance Sheet'!E8,6)
Cross-sheet references identify the owning schedule. Same-sheet references identify intermediate calculations.</x:t>
        </x:r>
      </x:text>
    </x:comment>
    <x:comment ref="F9" authorId="0">
      <x:text>
        <x:r>
          <x:t>Cash flow ending cash less balance sheet cash (FY:18 A).
Cash balance or signed cash flow as named in the row. Positive cash-flow amounts are inflows and negative amounts are outflows. Follow the formula or source reference below for the classification.
Formula: =ROUND('Cash Flow'!F54-'Balance Sheet'!F8,6)
Cross-sheet references identify the owning schedule. Same-sheet references identify intermediate calculations.</x:t>
        </x:r>
      </x:text>
    </x:comment>
    <x:comment ref="G9" authorId="0">
      <x:text>
        <x:r>
          <x:t>Cash flow ending cash less balance sheet cash (FY:19 A).
Cash balance or signed cash flow as named in the row. Positive cash-flow amounts are inflows and negative amounts are outflows. Follow the formula or source reference below for the classification.
Formula: =ROUND('Cash Flow'!G54-'Balance Sheet'!G8,6)
Cross-sheet references identify the owning schedule. Same-sheet references identify intermediate calculations.</x:t>
        </x:r>
      </x:text>
    </x:comment>
    <x:comment ref="H9" authorId="0">
      <x:text>
        <x:r>
          <x:t>Cash flow ending cash less balance sheet cash (FY:20 A).
Cash balance or signed cash flow as named in the row. Positive cash-flow amounts are inflows and negative amounts are outflows. Follow the formula or source reference below for the classification.
Formula: =ROUND('Cash Flow'!H54-'Balance Sheet'!H8,6)
Cross-sheet references identify the owning schedule. Same-sheet references identify intermediate calculations.</x:t>
        </x:r>
      </x:text>
    </x:comment>
    <x:comment ref="I9" authorId="0">
      <x:text>
        <x:r>
          <x:t>Cash flow ending cash less balance sheet cash (FY:21 A).
Cash balance or signed cash flow as named in the row. Positive cash-flow amounts are inflows and negative amounts are outflows. Follow the formula or source reference below for the classification.
Formula: =ROUND('Cash Flow'!I54-'Balance Sheet'!I8,6)
Cross-sheet references identify the owning schedule. Same-sheet references identify intermediate calculations.</x:t>
        </x:r>
      </x:text>
    </x:comment>
    <x:comment ref="J9" authorId="0">
      <x:text>
        <x:r>
          <x:t>Cash flow ending cash less balance sheet cash (FY:22 A).
Cash balance or signed cash flow as named in the row. Positive cash-flow amounts are inflows and negative amounts are outflows. Follow the formula or source reference below for the classification.
Formula: =ROUND('Cash Flow'!J54-'Balance Sheet'!J8,6)
Cross-sheet references identify the owning schedule. Same-sheet references identify intermediate calculations.</x:t>
        </x:r>
      </x:text>
    </x:comment>
    <x:comment ref="K9" authorId="0">
      <x:text>
        <x:r>
          <x:t>Cash flow ending cash less balance sheet cash (FY:23 A).
Cash balance or signed cash flow as named in the row. Positive cash-flow amounts are inflows and negative amounts are outflows. Follow the formula or source reference below for the classification.
Formula: =ROUND('Cash Flow'!K54-'Balance Sheet'!K8,6)
Cross-sheet references identify the owning schedule. Same-sheet references identify intermediate calculations.</x:t>
        </x:r>
      </x:text>
    </x:comment>
    <x:comment ref="L9" authorId="0">
      <x:text>
        <x:r>
          <x:t>Cash flow ending cash less balance sheet cash (FY:24 A).
Cash balance or signed cash flow as named in the row. Positive cash-flow amounts are inflows and negative amounts are outflows. Follow the formula or source reference below for the classification.
Formula: =ROUND('Cash Flow'!L54-'Balance Sheet'!L8,6)
Cross-sheet references identify the owning schedule. Same-sheet references identify intermediate calculations.</x:t>
        </x:r>
      </x:text>
    </x:comment>
    <x:comment ref="M9" authorId="0">
      <x:text>
        <x:r>
          <x:t>Cash flow ending cash less balance sheet cash (FY:25 A).
Cash balance or signed cash flow as named in the row. Positive cash-flow amounts are inflows and negative amounts are outflows. Follow the formula or source reference below for the classification.
Formula: =ROUND('Cash Flow'!M54-'Balance Sheet'!M8,6)
Cross-sheet references identify the owning schedule. Same-sheet references identify intermediate calculations.</x:t>
        </x:r>
      </x:text>
    </x:comment>
    <x:comment ref="N9" authorId="0">
      <x:text>
        <x:r>
          <x:t>Cash flow ending cash less balance sheet cash (FY:26 A).
Cash balance or signed cash flow as named in the row. Positive cash-flow amounts are inflows and negative amounts are outflows. Follow the formula or source reference below for the classification.
Formula: =ROUND('Cash Flow'!N54-'Balance Sheet'!N8,6)
Cross-sheet references identify the owning schedule. Same-sheet references identify intermediate calculations.</x:t>
        </x:r>
      </x:text>
    </x:comment>
    <x:comment ref="O9" authorId="0">
      <x:text>
        <x:r>
          <x:t>Cash flow ending cash less balance sheet cash (FY:27 E).
Cash balance or signed cash flow as named in the row. Positive cash-flow amounts are inflows and negative amounts are outflows. Follow the formula or source reference below for the classification.
Formula: =ROUND('Cash Flow'!O54-'Balance Sheet'!O8,6)
Cross-sheet references identify the owning schedule. Same-sheet references identify intermediate calculations.</x:t>
        </x:r>
      </x:text>
    </x:comment>
    <x:comment ref="P9" authorId="0">
      <x:text>
        <x:r>
          <x:t>Cash flow ending cash less balance sheet cash (FY:28 E).
Cash balance or signed cash flow as named in the row. Positive cash-flow amounts are inflows and negative amounts are outflows. Follow the formula or source reference below for the classification.
Formula: =ROUND('Cash Flow'!P54-'Balance Sheet'!P8,6)
Cross-sheet references identify the owning schedule. Same-sheet references identify intermediate calculations.</x:t>
        </x:r>
      </x:text>
    </x:comment>
    <x:comment ref="Q9" authorId="0">
      <x:text>
        <x:r>
          <x:t>Cash flow ending cash less balance sheet cash (FY:29 E).
Cash balance or signed cash flow as named in the row. Positive cash-flow amounts are inflows and negative amounts are outflows. Follow the formula or source reference below for the classification.
Formula: =ROUND('Cash Flow'!Q54-'Balance Sheet'!Q8,6)
Cross-sheet references identify the owning schedule. Same-sheet references identify intermediate calculations.</x:t>
        </x:r>
      </x:text>
    </x:comment>
    <x:comment ref="R9" authorId="0">
      <x:text>
        <x:r>
          <x:t>Cash flow ending cash less balance sheet cash (FY:30 E).
Cash balance or signed cash flow as named in the row. Positive cash-flow amounts are inflows and negative amounts are outflows. Follow the formula or source reference below for the classification.
Formula: =ROUND('Cash Flow'!R54-'Balance Sheet'!R8,6)
Cross-sheet references identify the owning schedule. Same-sheet references identify intermediate calculations.</x:t>
        </x:r>
      </x:text>
    </x:comment>
    <x:comment ref="S9" authorId="0">
      <x:text>
        <x:r>
          <x:t>Cash flow ending cash less balance sheet cash (FY:31 E).
Cash balance or signed cash flow as named in the row. Positive cash-flow amounts are inflows and negative amounts are outflows. Follow the formula or source reference below for the classification.
Formula: =ROUND('Cash Flow'!S54-'Balance Sheet'!S8,6)
Cross-sheet references identify the owning schedule. Same-sheet references identify intermediate calculations.</x:t>
        </x:r>
      </x:text>
    </x:comment>
    <x:comment ref="C10" authorId="0">
      <x:text>
        <x:r>
          <x:t>Independent reconciliation of the named balances or flows. USD differences use the existing 0.01 million tolerance. Allocation differences measure percentage points. n.a. means the check does not apply.</x:t>
        </x:r>
      </x:text>
    </x:comment>
    <x:comment ref="E10" authorId="0">
      <x:text>
        <x:r>
          <x:t>Segment revenue less income statement revenue (FY:17 A).
Independent reconciliation of the named balances or flows. USD differences use the existing 0.01 million tolerance. Allocation differences measure percentage points. n.a. means the check does not apply.
Formula: =ROUND('Segments'!E51-'Income Statement'!E8,6)
Cross-sheet references identify the owning schedule. Same-sheet references identify intermediate calculations.</x:t>
        </x:r>
      </x:text>
    </x:comment>
    <x:comment ref="F10" authorId="0">
      <x:text>
        <x:r>
          <x:t>Segment revenue less income statement revenue (FY:18 A).
Independent reconciliation of the named balances or flows. USD differences use the existing 0.01 million tolerance. Allocation differences measure percentage points. n.a. means the check does not apply.
Formula: =ROUND('Segments'!F51-'Income Statement'!F8,6)
Cross-sheet references identify the owning schedule. Same-sheet references identify intermediate calculations.</x:t>
        </x:r>
      </x:text>
    </x:comment>
    <x:comment ref="G10" authorId="0">
      <x:text>
        <x:r>
          <x:t>Segment revenue less income statement revenue (FY:19 A).
Independent reconciliation of the named balances or flows. USD differences use the existing 0.01 million tolerance. Allocation differences measure percentage points. n.a. means the check does not apply.
Formula: =ROUND('Segments'!G51-'Income Statement'!G8,6)
Cross-sheet references identify the owning schedule. Same-sheet references identify intermediate calculations.</x:t>
        </x:r>
      </x:text>
    </x:comment>
    <x:comment ref="H10" authorId="0">
      <x:text>
        <x:r>
          <x:t>Segment revenue less income statement revenue (FY:20 A).
Independent reconciliation of the named balances or flows. USD differences use the existing 0.01 million tolerance. Allocation differences measure percentage points. n.a. means the check does not apply.
Formula: =ROUND('Segments'!H51-'Income Statement'!H8,6)
Cross-sheet references identify the owning schedule. Same-sheet references identify intermediate calculations.</x:t>
        </x:r>
      </x:text>
    </x:comment>
    <x:comment ref="I10" authorId="0">
      <x:text>
        <x:r>
          <x:t>Segment revenue less income statement revenue (FY:21 A).
Independent reconciliation of the named balances or flows. USD differences use the existing 0.01 million tolerance. Allocation differences measure percentage points. n.a. means the check does not apply.
Formula: =ROUND('Segments'!I51-'Income Statement'!I8,6)
Cross-sheet references identify the owning schedule. Same-sheet references identify intermediate calculations.</x:t>
        </x:r>
      </x:text>
    </x:comment>
    <x:comment ref="J10" authorId="0">
      <x:text>
        <x:r>
          <x:t>Segment revenue less income statement revenue (FY:22 A).
Independent reconciliation of the named balances or flows. USD differences use the existing 0.01 million tolerance. Allocation differences measure percentage points. n.a. means the check does not apply.
Formula: =ROUND('Segments'!J51-'Income Statement'!J8,6)
Cross-sheet references identify the owning schedule. Same-sheet references identify intermediate calculations.</x:t>
        </x:r>
      </x:text>
    </x:comment>
    <x:comment ref="K10" authorId="0">
      <x:text>
        <x:r>
          <x:t>Segment revenue less income statement revenue (FY:23 A).
Independent reconciliation of the named balances or flows. USD differences use the existing 0.01 million tolerance. Allocation differences measure percentage points. n.a. means the check does not apply.
Formula: =ROUND('Segments'!K51-'Income Statement'!K8,6)
Cross-sheet references identify the owning schedule. Same-sheet references identify intermediate calculations.</x:t>
        </x:r>
      </x:text>
    </x:comment>
    <x:comment ref="L10" authorId="0">
      <x:text>
        <x:r>
          <x:t>Segment revenue less income statement revenue (FY:24 A).
Independent reconciliation of the named balances or flows. USD differences use the existing 0.01 million tolerance. Allocation differences measure percentage points. n.a. means the check does not apply.
Formula: =ROUND('Segments'!L51-'Income Statement'!L8,6)
Cross-sheet references identify the owning schedule. Same-sheet references identify intermediate calculations.</x:t>
        </x:r>
      </x:text>
    </x:comment>
    <x:comment ref="M10" authorId="0">
      <x:text>
        <x:r>
          <x:t>Segment revenue less income statement revenue (FY:25 A).
Independent reconciliation of the named balances or flows. USD differences use the existing 0.01 million tolerance. Allocation differences measure percentage points. n.a. means the check does not apply.
Formula: =ROUND('Segments'!M51-'Income Statement'!M8,6)
Cross-sheet references identify the owning schedule. Same-sheet references identify intermediate calculations.</x:t>
        </x:r>
      </x:text>
    </x:comment>
    <x:comment ref="N10" authorId="0">
      <x:text>
        <x:r>
          <x:t>Segment revenue less income statement revenue (FY:26 A).
Independent reconciliation of the named balances or flows. USD differences use the existing 0.01 million tolerance. Allocation differences measure percentage points. n.a. means the check does not apply.
Formula: =ROUND('Segments'!N51-'Income Statement'!N8,6)
Cross-sheet references identify the owning schedule. Same-sheet references identify intermediate calculations.</x:t>
        </x:r>
      </x:text>
    </x:comment>
    <x:comment ref="O10" authorId="0">
      <x:text>
        <x:r>
          <x:t>Segment revenue less income statement revenue (FY:27 E).
Independent reconciliation of the named balances or flows. USD differences use the existing 0.01 million tolerance. Allocation differences measure percentage points. n.a. means the check does not apply.
Formula: =ROUND('Segments'!O51-'Income Statement'!O8,6)
Cross-sheet references identify the owning schedule. Same-sheet references identify intermediate calculations.</x:t>
        </x:r>
      </x:text>
    </x:comment>
    <x:comment ref="P10" authorId="0">
      <x:text>
        <x:r>
          <x:t>Segment revenue less income statement revenue (FY:28 E).
Independent reconciliation of the named balances or flows. USD differences use the existing 0.01 million tolerance. Allocation differences measure percentage points. n.a. means the check does not apply.
Formula: =ROUND('Segments'!P51-'Income Statement'!P8,6)
Cross-sheet references identify the owning schedule. Same-sheet references identify intermediate calculations.</x:t>
        </x:r>
      </x:text>
    </x:comment>
    <x:comment ref="Q10" authorId="0">
      <x:text>
        <x:r>
          <x:t>Segment revenue less income statement revenue (FY:29 E).
Independent reconciliation of the named balances or flows. USD differences use the existing 0.01 million tolerance. Allocation differences measure percentage points. n.a. means the check does not apply.
Formula: =ROUND('Segments'!Q51-'Income Statement'!Q8,6)
Cross-sheet references identify the owning schedule. Same-sheet references identify intermediate calculations.</x:t>
        </x:r>
      </x:text>
    </x:comment>
    <x:comment ref="R10" authorId="0">
      <x:text>
        <x:r>
          <x:t>Segment revenue less income statement revenue (FY:30 E).
Independent reconciliation of the named balances or flows. USD differences use the existing 0.01 million tolerance. Allocation differences measure percentage points. n.a. means the check does not apply.
Formula: =ROUND('Segments'!R51-'Income Statement'!R8,6)
Cross-sheet references identify the owning schedule. Same-sheet references identify intermediate calculations.</x:t>
        </x:r>
      </x:text>
    </x:comment>
    <x:comment ref="S10" authorId="0">
      <x:text>
        <x:r>
          <x:t>Segment revenue less income statement revenue (FY:31 E).
Independent reconciliation of the named balances or flows. USD differences use the existing 0.01 million tolerance. Allocation differences measure percentage points. n.a. means the check does not apply.
Formula: =ROUND('Segments'!S51-'Income Statement'!S8,6)
Cross-sheet references identify the owning schedule. Same-sheet references identify intermediate calculations.</x:t>
        </x:r>
      </x:text>
    </x:comment>
    <x:comment ref="C11" authorId="0">
      <x:text>
        <x:r>
          <x:t>Independent reconciliation of the named balances or flows. USD differences use the existing 0.01 million tolerance. Allocation differences measure percentage points. n.a. means the check does not apply.</x:t>
        </x:r>
      </x:text>
    </x:comment>
    <x:comment ref="E11" authorId="0">
      <x:text>
        <x:r>
          <x:t>Segment income after corporate expense less total income (FY:17 A).
Independent reconciliation of the named balances or flows. USD differences use the existing 0.01 million tolerance. Allocation differences measure percentage points. n.a. means the check does not apply.
Formula: =ROUND('Segments'!E55-'Income Statement'!E19,6)
Cross-sheet references identify the owning schedule. Same-sheet references identify intermediate calculations.</x:t>
        </x:r>
      </x:text>
    </x:comment>
    <x:comment ref="F11" authorId="0">
      <x:text>
        <x:r>
          <x:t>Segment income after corporate expense less total income (FY:18 A).
Independent reconciliation of the named balances or flows. USD differences use the existing 0.01 million tolerance. Allocation differences measure percentage points. n.a. means the check does not apply.
Formula: =ROUND('Segments'!F55-'Income Statement'!F19,6)
Cross-sheet references identify the owning schedule. Same-sheet references identify intermediate calculations.</x:t>
        </x:r>
      </x:text>
    </x:comment>
    <x:comment ref="G11" authorId="0">
      <x:text>
        <x:r>
          <x:t>Segment income after corporate expense less total income (FY:19 A).
Independent reconciliation of the named balances or flows. USD differences use the existing 0.01 million tolerance. Allocation differences measure percentage points. n.a. means the check does not apply.
Formula: =ROUND('Segments'!G55-'Income Statement'!G19,6)
Cross-sheet references identify the owning schedule. Same-sheet references identify intermediate calculations.</x:t>
        </x:r>
      </x:text>
    </x:comment>
    <x:comment ref="H11" authorId="0">
      <x:text>
        <x:r>
          <x:t>Segment income after corporate expense less total income (FY:20 A).
Independent reconciliation of the named balances or flows. USD differences use the existing 0.01 million tolerance. Allocation differences measure percentage points. n.a. means the check does not apply.
Formula: =ROUND('Segments'!H55-'Income Statement'!H19,6)
Cross-sheet references identify the owning schedule. Same-sheet references identify intermediate calculations.</x:t>
        </x:r>
      </x:text>
    </x:comment>
    <x:comment ref="I11" authorId="0">
      <x:text>
        <x:r>
          <x:t>Segment income after corporate expense less total income (FY:21 A).
Independent reconciliation of the named balances or flows. USD differences use the existing 0.01 million tolerance. Allocation differences measure percentage points. n.a. means the check does not apply.
Formula: =ROUND('Segments'!I55-'Income Statement'!I19,6)
Cross-sheet references identify the owning schedule. Same-sheet references identify intermediate calculations.</x:t>
        </x:r>
      </x:text>
    </x:comment>
    <x:comment ref="J11" authorId="0">
      <x:text>
        <x:r>
          <x:t>Segment income after corporate expense less total income (FY:22 A).
Independent reconciliation of the named balances or flows. USD differences use the existing 0.01 million tolerance. Allocation differences measure percentage points. n.a. means the check does not apply.
Formula: =ROUND('Segments'!J55-'Income Statement'!J19,6)
Cross-sheet references identify the owning schedule. Same-sheet references identify intermediate calculations.</x:t>
        </x:r>
      </x:text>
    </x:comment>
    <x:comment ref="K11" authorId="0">
      <x:text>
        <x:r>
          <x:t>Segment income after corporate expense less total income (FY:23 A).
Independent reconciliation of the named balances or flows. USD differences use the existing 0.01 million tolerance. Allocation differences measure percentage points. n.a. means the check does not apply.
Formula: =ROUND('Segments'!K55-'Income Statement'!K19,6)
Cross-sheet references identify the owning schedule. Same-sheet references identify intermediate calculations.</x:t>
        </x:r>
      </x:text>
    </x:comment>
    <x:comment ref="L11" authorId="0">
      <x:text>
        <x:r>
          <x:t>Segment income after corporate expense less total income (FY:24 A).
Independent reconciliation of the named balances or flows. USD differences use the existing 0.01 million tolerance. Allocation differences measure percentage points. n.a. means the check does not apply.
Formula: =ROUND('Segments'!L55-'Income Statement'!L19,6)
Cross-sheet references identify the owning schedule. Same-sheet references identify intermediate calculations.</x:t>
        </x:r>
      </x:text>
    </x:comment>
    <x:comment ref="M11" authorId="0">
      <x:text>
        <x:r>
          <x:t>Segment income after corporate expense less total income (FY:25 A).
Independent reconciliation of the named balances or flows. USD differences use the existing 0.01 million tolerance. Allocation differences measure percentage points. n.a. means the check does not apply.
Formula: =ROUND('Segments'!M55-'Income Statement'!M19,6)
Cross-sheet references identify the owning schedule. Same-sheet references identify intermediate calculations.</x:t>
        </x:r>
      </x:text>
    </x:comment>
    <x:comment ref="N11" authorId="0">
      <x:text>
        <x:r>
          <x:t>Segment income after corporate expense less total income (FY:26 A).
Independent reconciliation of the named balances or flows. USD differences use the existing 0.01 million tolerance. Allocation differences measure percentage points. n.a. means the check does not apply.
Formula: =ROUND('Segments'!N55-'Income Statement'!N19,6)
Cross-sheet references identify the owning schedule. Same-sheet references identify intermediate calculations.</x:t>
        </x:r>
      </x:text>
    </x:comment>
    <x:comment ref="O11" authorId="0">
      <x:text>
        <x:r>
          <x:t>Segment income after corporate expense less total income (FY:27 E).
Independent reconciliation of the named balances or flows. USD differences use the existing 0.01 million tolerance. Allocation differences measure percentage points. n.a. means the check does not apply.
Formula: =ROUND('Segments'!O55-'Income Statement'!O19,6)
Cross-sheet references identify the owning schedule. Same-sheet references identify intermediate calculations.</x:t>
        </x:r>
      </x:text>
    </x:comment>
    <x:comment ref="P11" authorId="0">
      <x:text>
        <x:r>
          <x:t>Segment income after corporate expense less total income (FY:28 E).
Independent reconciliation of the named balances or flows. USD differences use the existing 0.01 million tolerance. Allocation differences measure percentage points. n.a. means the check does not apply.
Formula: =ROUND('Segments'!P55-'Income Statement'!P19,6)
Cross-sheet references identify the owning schedule. Same-sheet references identify intermediate calculations.</x:t>
        </x:r>
      </x:text>
    </x:comment>
    <x:comment ref="Q11" authorId="0">
      <x:text>
        <x:r>
          <x:t>Segment income after corporate expense less total income (FY:29 E).
Independent reconciliation of the named balances or flows. USD differences use the existing 0.01 million tolerance. Allocation differences measure percentage points. n.a. means the check does not apply.
Formula: =ROUND('Segments'!Q55-'Income Statement'!Q19,6)
Cross-sheet references identify the owning schedule. Same-sheet references identify intermediate calculations.</x:t>
        </x:r>
      </x:text>
    </x:comment>
    <x:comment ref="R11" authorId="0">
      <x:text>
        <x:r>
          <x:t>Segment income after corporate expense less total income (FY:30 E).
Independent reconciliation of the named balances or flows. USD differences use the existing 0.01 million tolerance. Allocation differences measure percentage points. n.a. means the check does not apply.
Formula: =ROUND('Segments'!R55-'Income Statement'!R19,6)
Cross-sheet references identify the owning schedule. Same-sheet references identify intermediate calculations.</x:t>
        </x:r>
      </x:text>
    </x:comment>
    <x:comment ref="S11" authorId="0">
      <x:text>
        <x:r>
          <x:t>Segment income after corporate expense less total income (FY:31 E).
Independent reconciliation of the named balances or flows. USD differences use the existing 0.01 million tolerance. Allocation differences measure percentage points. n.a. means the check does not apply.
Formula: =ROUND('Segments'!S55-'Income Statement'!S19,6)
Cross-sheet references identify the owning schedule. Same-sheet references identify intermediate calculations.</x:t>
        </x:r>
      </x:text>
    </x:comment>
    <x:comment ref="C12" authorId="0">
      <x:text>
        <x:r>
          <x:t>Independent reconciliation of the named balances or flows. USD differences use the existing 0.01 million tolerance. Allocation differences measure percentage points. n.a. means the check does not apply.</x:t>
        </x:r>
      </x:text>
    </x:comment>
    <x:comment ref="E12" authorId="0">
      <x:text>
        <x:r>
          <x:t>Income statement operating income reconciliation (FY:17 A).
Independent reconciliation of the named balances or flows. USD differences use the existing 0.01 million tolerance. Allocation differences measure percentage points. n.a. means the check does not apply.
Formula: =ROUND('Income Statement'!E8-'Income Statement'!E10-'Income Statement'!E18-'Income Statement'!E19,6)
Cross-sheet references identify the owning schedule. Same-sheet references identify intermediate calculations.</x:t>
        </x:r>
      </x:text>
    </x:comment>
    <x:comment ref="F12" authorId="0">
      <x:text>
        <x:r>
          <x:t>Income statement operating income reconciliation (FY:18 A).
Independent reconciliation of the named balances or flows. USD differences use the existing 0.01 million tolerance. Allocation differences measure percentage points. n.a. means the check does not apply.
Formula: =ROUND('Income Statement'!F8-'Income Statement'!F10-'Income Statement'!F18-'Income Statement'!F19,6)
Cross-sheet references identify the owning schedule. Same-sheet references identify intermediate calculations.</x:t>
        </x:r>
      </x:text>
    </x:comment>
    <x:comment ref="G12" authorId="0">
      <x:text>
        <x:r>
          <x:t>Income statement operating income reconciliation (FY:19 A).
Independent reconciliation of the named balances or flows. USD differences use the existing 0.01 million tolerance. Allocation differences measure percentage points. n.a. means the check does not apply.
Formula: =ROUND('Income Statement'!G8-'Income Statement'!G10-'Income Statement'!G18-'Income Statement'!G19,6)
Cross-sheet references identify the owning schedule. Same-sheet references identify intermediate calculations.</x:t>
        </x:r>
      </x:text>
    </x:comment>
    <x:comment ref="H12" authorId="0">
      <x:text>
        <x:r>
          <x:t>Income statement operating income reconciliation (FY:20 A).
Independent reconciliation of the named balances or flows. USD differences use the existing 0.01 million tolerance. Allocation differences measure percentage points. n.a. means the check does not apply.
Formula: =ROUND('Income Statement'!H8-'Income Statement'!H10-'Income Statement'!H18-'Income Statement'!H19,6)
Cross-sheet references identify the owning schedule. Same-sheet references identify intermediate calculations.</x:t>
        </x:r>
      </x:text>
    </x:comment>
    <x:comment ref="I12" authorId="0">
      <x:text>
        <x:r>
          <x:t>Income statement operating income reconciliation (FY:21 A).
Independent reconciliation of the named balances or flows. USD differences use the existing 0.01 million tolerance. Allocation differences measure percentage points. n.a. means the check does not apply.
Formula: =ROUND('Income Statement'!I8-'Income Statement'!I10-'Income Statement'!I18-'Income Statement'!I19,6)
Cross-sheet references identify the owning schedule. Same-sheet references identify intermediate calculations.</x:t>
        </x:r>
      </x:text>
    </x:comment>
    <x:comment ref="J12" authorId="0">
      <x:text>
        <x:r>
          <x:t>Income statement operating income reconciliation (FY:22 A).
Independent reconciliation of the named balances or flows. USD differences use the existing 0.01 million tolerance. Allocation differences measure percentage points. n.a. means the check does not apply.
Formula: =ROUND('Income Statement'!J8-'Income Statement'!J10-'Income Statement'!J18-'Income Statement'!J19,6)
Cross-sheet references identify the owning schedule. Same-sheet references identify intermediate calculations.</x:t>
        </x:r>
      </x:text>
    </x:comment>
    <x:comment ref="K12" authorId="0">
      <x:text>
        <x:r>
          <x:t>Income statement operating income reconciliation (FY:23 A).
Independent reconciliation of the named balances or flows. USD differences use the existing 0.01 million tolerance. Allocation differences measure percentage points. n.a. means the check does not apply.
Formula: =ROUND('Income Statement'!K8-'Income Statement'!K10-'Income Statement'!K18-'Income Statement'!K19,6)
Cross-sheet references identify the owning schedule. Same-sheet references identify intermediate calculations.</x:t>
        </x:r>
      </x:text>
    </x:comment>
    <x:comment ref="L12" authorId="0">
      <x:text>
        <x:r>
          <x:t>Income statement operating income reconciliation (FY:24 A).
Independent reconciliation of the named balances or flows. USD differences use the existing 0.01 million tolerance. Allocation differences measure percentage points. n.a. means the check does not apply.
Formula: =ROUND('Income Statement'!L8-'Income Statement'!L10-'Income Statement'!L18-'Income Statement'!L19,6)
Cross-sheet references identify the owning schedule. Same-sheet references identify intermediate calculations.</x:t>
        </x:r>
      </x:text>
    </x:comment>
    <x:comment ref="M12" authorId="0">
      <x:text>
        <x:r>
          <x:t>Income statement operating income reconciliation (FY:25 A).
Independent reconciliation of the named balances or flows. USD differences use the existing 0.01 million tolerance. Allocation differences measure percentage points. n.a. means the check does not apply.
Formula: =ROUND('Income Statement'!M8-'Income Statement'!M10-'Income Statement'!M18-'Income Statement'!M19,6)
Cross-sheet references identify the owning schedule. Same-sheet references identify intermediate calculations.</x:t>
        </x:r>
      </x:text>
    </x:comment>
    <x:comment ref="N12" authorId="0">
      <x:text>
        <x:r>
          <x:t>Income statement operating income reconciliation (FY:26 A).
Independent reconciliation of the named balances or flows. USD differences use the existing 0.01 million tolerance. Allocation differences measure percentage points. n.a. means the check does not apply.
Formula: =ROUND('Income Statement'!N8-'Income Statement'!N10-'Income Statement'!N18-'Income Statement'!N19,6)
Cross-sheet references identify the owning schedule. Same-sheet references identify intermediate calculations.</x:t>
        </x:r>
      </x:text>
    </x:comment>
    <x:comment ref="O12" authorId="0">
      <x:text>
        <x:r>
          <x:t>Income statement operating income reconciliation (FY:27 E).
Independent reconciliation of the named balances or flows. USD differences use the existing 0.01 million tolerance. Allocation differences measure percentage points. n.a. means the check does not apply.
Formula: =ROUND('Income Statement'!O8-'Income Statement'!O10-'Income Statement'!O18-'Income Statement'!O19,6)
Cross-sheet references identify the owning schedule. Same-sheet references identify intermediate calculations.</x:t>
        </x:r>
      </x:text>
    </x:comment>
    <x:comment ref="P12" authorId="0">
      <x:text>
        <x:r>
          <x:t>Income statement operating income reconciliation (FY:28 E).
Independent reconciliation of the named balances or flows. USD differences use the existing 0.01 million tolerance. Allocation differences measure percentage points. n.a. means the check does not apply.
Formula: =ROUND('Income Statement'!P8-'Income Statement'!P10-'Income Statement'!P18-'Income Statement'!P19,6)
Cross-sheet references identify the owning schedule. Same-sheet references identify intermediate calculations.</x:t>
        </x:r>
      </x:text>
    </x:comment>
    <x:comment ref="Q12" authorId="0">
      <x:text>
        <x:r>
          <x:t>Income statement operating income reconciliation (FY:29 E).
Independent reconciliation of the named balances or flows. USD differences use the existing 0.01 million tolerance. Allocation differences measure percentage points. n.a. means the check does not apply.
Formula: =ROUND('Income Statement'!Q8-'Income Statement'!Q10-'Income Statement'!Q18-'Income Statement'!Q19,6)
Cross-sheet references identify the owning schedule. Same-sheet references identify intermediate calculations.</x:t>
        </x:r>
      </x:text>
    </x:comment>
    <x:comment ref="R12" authorId="0">
      <x:text>
        <x:r>
          <x:t>Income statement operating income reconciliation (FY:30 E).
Independent reconciliation of the named balances or flows. USD differences use the existing 0.01 million tolerance. Allocation differences measure percentage points. n.a. means the check does not apply.
Formula: =ROUND('Income Statement'!R8-'Income Statement'!R10-'Income Statement'!R18-'Income Statement'!R19,6)
Cross-sheet references identify the owning schedule. Same-sheet references identify intermediate calculations.</x:t>
        </x:r>
      </x:text>
    </x:comment>
    <x:comment ref="S12" authorId="0">
      <x:text>
        <x:r>
          <x:t>Income statement operating income reconciliation (FY:31 E).
Independent reconciliation of the named balances or flows. USD differences use the existing 0.01 million tolerance. Allocation differences measure percentage points. n.a. means the check does not apply.
Formula: =ROUND('Income Statement'!S8-'Income Statement'!S10-'Income Statement'!S18-'Income Statement'!S19,6)
Cross-sheet references identify the owning schedule. Same-sheet references identify intermediate calculations.</x:t>
        </x:r>
      </x:text>
    </x:comment>
    <x:comment ref="C13" authorId="0">
      <x:text>
        <x:r>
          <x:t>Independent reconciliation of the named balances or flows. USD differences use the existing 0.01 million tolerance. Allocation differences measure percentage points. n.a. means the check does not apply.</x:t>
        </x:r>
      </x:text>
    </x:comment>
    <x:comment ref="E13" authorId="0">
      <x:text>
        <x:r>
          <x:t>Historical revenue source control (FY:17 A).
Independent reconciliation of the named balances or flows. USD differences use the existing 0.01 million tolerance. Allocation differences measure percentage points. n.a. means the check does not apply.
Formula: =ROUND('Income Statement'!E8-'Historical Inputs'!E9,6)
Cross-sheet references identify the owning schedule. Same-sheet references identify intermediate calculations.</x:t>
        </x:r>
      </x:text>
    </x:comment>
    <x:comment ref="F13" authorId="0">
      <x:text>
        <x:r>
          <x:t>Historical revenue source control (FY:18 A).
Independent reconciliation of the named balances or flows. USD differences use the existing 0.01 million tolerance. Allocation differences measure percentage points. n.a. means the check does not apply.
Formula: =ROUND('Income Statement'!F8-'Historical Inputs'!F9,6)
Cross-sheet references identify the owning schedule. Same-sheet references identify intermediate calculations.</x:t>
        </x:r>
      </x:text>
    </x:comment>
    <x:comment ref="G13" authorId="0">
      <x:text>
        <x:r>
          <x:t>Historical revenue source control (FY:19 A).
Independent reconciliation of the named balances or flows. USD differences use the existing 0.01 million tolerance. Allocation differences measure percentage points. n.a. means the check does not apply.
Formula: =ROUND('Income Statement'!G8-'Historical Inputs'!G9,6)
Cross-sheet references identify the owning schedule. Same-sheet references identify intermediate calculations.</x:t>
        </x:r>
      </x:text>
    </x:comment>
    <x:comment ref="H13" authorId="0">
      <x:text>
        <x:r>
          <x:t>Historical revenue source control (FY:20 A).
Independent reconciliation of the named balances or flows. USD differences use the existing 0.01 million tolerance. Allocation differences measure percentage points. n.a. means the check does not apply.
Formula: =ROUND('Income Statement'!H8-'Historical Inputs'!H9,6)
Cross-sheet references identify the owning schedule. Same-sheet references identify intermediate calculations.</x:t>
        </x:r>
      </x:text>
    </x:comment>
    <x:comment ref="I13" authorId="0">
      <x:text>
        <x:r>
          <x:t>Historical revenue source control (FY:21 A).
Independent reconciliation of the named balances or flows. USD differences use the existing 0.01 million tolerance. Allocation differences measure percentage points. n.a. means the check does not apply.
Formula: =ROUND('Income Statement'!I8-'Historical Inputs'!I9,6)
Cross-sheet references identify the owning schedule. Same-sheet references identify intermediate calculations.</x:t>
        </x:r>
      </x:text>
    </x:comment>
    <x:comment ref="J13" authorId="0">
      <x:text>
        <x:r>
          <x:t>Historical revenue source control (FY:22 A).
Independent reconciliation of the named balances or flows. USD differences use the existing 0.01 million tolerance. Allocation differences measure percentage points. n.a. means the check does not apply.
Formula: =ROUND('Income Statement'!J8-'Historical Inputs'!J9,6)
Cross-sheet references identify the owning schedule. Same-sheet references identify intermediate calculations.</x:t>
        </x:r>
      </x:text>
    </x:comment>
    <x:comment ref="K13" authorId="0">
      <x:text>
        <x:r>
          <x:t>Historical revenue source control (FY:23 A).
Independent reconciliation of the named balances or flows. USD differences use the existing 0.01 million tolerance. Allocation differences measure percentage points. n.a. means the check does not apply.
Formula: =ROUND('Income Statement'!K8-'Historical Inputs'!K9,6)
Cross-sheet references identify the owning schedule. Same-sheet references identify intermediate calculations.</x:t>
        </x:r>
      </x:text>
    </x:comment>
    <x:comment ref="L13" authorId="0">
      <x:text>
        <x:r>
          <x:t>Historical revenue source control (FY:24 A).
Independent reconciliation of the named balances or flows. USD differences use the existing 0.01 million tolerance. Allocation differences measure percentage points. n.a. means the check does not apply.
Formula: =ROUND('Income Statement'!L8-'Historical Inputs'!L9,6)
Cross-sheet references identify the owning schedule. Same-sheet references identify intermediate calculations.</x:t>
        </x:r>
      </x:text>
    </x:comment>
    <x:comment ref="M13" authorId="0">
      <x:text>
        <x:r>
          <x:t>Historical revenue source control (FY:25 A).
Independent reconciliation of the named balances or flows. USD differences use the existing 0.01 million tolerance. Allocation differences measure percentage points. n.a. means the check does not apply.
Formula: =ROUND('Income Statement'!M8-'Historical Inputs'!M9,6)
Cross-sheet references identify the owning schedule. Same-sheet references identify intermediate calculations.</x:t>
        </x:r>
      </x:text>
    </x:comment>
    <x:comment ref="N13" authorId="0">
      <x:text>
        <x:r>
          <x:t>Historical revenue source control (FY:26 A).
Independent reconciliation of the named balances or flows. USD differences use the existing 0.01 million tolerance. Allocation differences measure percentage points. n.a. means the check does not apply.
Formula: =ROUND('Income Statement'!N8-'Historical Inputs'!N9,6)
Cross-sheet references identify the owning schedule. Same-sheet references identify intermediate calculations.</x:t>
        </x:r>
      </x:text>
    </x:comment>
    <x:comment ref="O13" authorId="0">
      <x:text>
        <x:r>
          <x:t>Historical revenue source control (FY:27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P13" authorId="0">
      <x:text>
        <x:r>
          <x:t>Historical revenue source control (FY:28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Q13" authorId="0">
      <x:text>
        <x:r>
          <x:t>Historical revenue source control (FY:29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R13" authorId="0">
      <x:text>
        <x:r>
          <x:t>Historical revenue source control (FY:30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S13" authorId="0">
      <x:text>
        <x:r>
          <x:t>Historical revenue source control (FY:31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C14" authorId="0">
      <x:text>
        <x:r>
          <x:t>Independent reconciliation of the named balances or flows. USD differences use the existing 0.01 million tolerance. Allocation differences measure percentage points. n.a. means the check does not apply.</x:t>
        </x:r>
      </x:text>
    </x:comment>
    <x:comment ref="E14" authorId="0">
      <x:text>
        <x:r>
          <x:t>Historical net income source control (FY:17 A).
Independent reconciliation of the named balances or flows. USD differences use the existing 0.01 million tolerance. Allocation differences measure percentage points. n.a. means the check does not apply.
Formula: =ROUND('Income Statement'!E28-'Historical Inputs'!E19,6)
Cross-sheet references identify the owning schedule. Same-sheet references identify intermediate calculations.</x:t>
        </x:r>
      </x:text>
    </x:comment>
    <x:comment ref="F14" authorId="0">
      <x:text>
        <x:r>
          <x:t>Historical net income source control (FY:18 A).
Independent reconciliation of the named balances or flows. USD differences use the existing 0.01 million tolerance. Allocation differences measure percentage points. n.a. means the check does not apply.
Formula: =ROUND('Income Statement'!F28-'Historical Inputs'!F19,6)
Cross-sheet references identify the owning schedule. Same-sheet references identify intermediate calculations.</x:t>
        </x:r>
      </x:text>
    </x:comment>
    <x:comment ref="G14" authorId="0">
      <x:text>
        <x:r>
          <x:t>Historical net income source control (FY:19 A).
Independent reconciliation of the named balances or flows. USD differences use the existing 0.01 million tolerance. Allocation differences measure percentage points. n.a. means the check does not apply.
Formula: =ROUND('Income Statement'!G28-'Historical Inputs'!G19,6)
Cross-sheet references identify the owning schedule. Same-sheet references identify intermediate calculations.</x:t>
        </x:r>
      </x:text>
    </x:comment>
    <x:comment ref="H14" authorId="0">
      <x:text>
        <x:r>
          <x:t>Historical net income source control (FY:20 A).
Independent reconciliation of the named balances or flows. USD differences use the existing 0.01 million tolerance. Allocation differences measure percentage points. n.a. means the check does not apply.
Formula: =ROUND('Income Statement'!H28-'Historical Inputs'!H19,6)
Cross-sheet references identify the owning schedule. Same-sheet references identify intermediate calculations.</x:t>
        </x:r>
      </x:text>
    </x:comment>
    <x:comment ref="I14" authorId="0">
      <x:text>
        <x:r>
          <x:t>Historical net income source control (FY:21 A).
Independent reconciliation of the named balances or flows. USD differences use the existing 0.01 million tolerance. Allocation differences measure percentage points. n.a. means the check does not apply.
Formula: =ROUND('Income Statement'!I28-'Historical Inputs'!I19,6)
Cross-sheet references identify the owning schedule. Same-sheet references identify intermediate calculations.</x:t>
        </x:r>
      </x:text>
    </x:comment>
    <x:comment ref="J14" authorId="0">
      <x:text>
        <x:r>
          <x:t>Historical net income source control (FY:22 A).
Independent reconciliation of the named balances or flows. USD differences use the existing 0.01 million tolerance. Allocation differences measure percentage points. n.a. means the check does not apply.
Formula: =ROUND('Income Statement'!J28-'Historical Inputs'!J19,6)
Cross-sheet references identify the owning schedule. Same-sheet references identify intermediate calculations.</x:t>
        </x:r>
      </x:text>
    </x:comment>
    <x:comment ref="K14" authorId="0">
      <x:text>
        <x:r>
          <x:t>Historical net income source control (FY:23 A).
Independent reconciliation of the named balances or flows. USD differences use the existing 0.01 million tolerance. Allocation differences measure percentage points. n.a. means the check does not apply.
Formula: =ROUND('Income Statement'!K28-'Historical Inputs'!K19,6)
Cross-sheet references identify the owning schedule. Same-sheet references identify intermediate calculations.</x:t>
        </x:r>
      </x:text>
    </x:comment>
    <x:comment ref="L14" authorId="0">
      <x:text>
        <x:r>
          <x:t>Historical net income source control (FY:24 A).
Independent reconciliation of the named balances or flows. USD differences use the existing 0.01 million tolerance. Allocation differences measure percentage points. n.a. means the check does not apply.
Formula: =ROUND('Income Statement'!L28-'Historical Inputs'!L19,6)
Cross-sheet references identify the owning schedule. Same-sheet references identify intermediate calculations.</x:t>
        </x:r>
      </x:text>
    </x:comment>
    <x:comment ref="M14" authorId="0">
      <x:text>
        <x:r>
          <x:t>Historical net income source control (FY:25 A).
Independent reconciliation of the named balances or flows. USD differences use the existing 0.01 million tolerance. Allocation differences measure percentage points. n.a. means the check does not apply.
Formula: =ROUND('Income Statement'!M28-'Historical Inputs'!M19,6)
Cross-sheet references identify the owning schedule. Same-sheet references identify intermediate calculations.</x:t>
        </x:r>
      </x:text>
    </x:comment>
    <x:comment ref="N14" authorId="0">
      <x:text>
        <x:r>
          <x:t>Historical net income source control (FY:26 A).
Independent reconciliation of the named balances or flows. USD differences use the existing 0.01 million tolerance. Allocation differences measure percentage points. n.a. means the check does not apply.
Formula: =ROUND('Income Statement'!N28-'Historical Inputs'!N19,6)
Cross-sheet references identify the owning schedule. Same-sheet references identify intermediate calculations.</x:t>
        </x:r>
      </x:text>
    </x:comment>
    <x:comment ref="O14" authorId="0">
      <x:text>
        <x:r>
          <x:t>Historical net income source control (FY:27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P14" authorId="0">
      <x:text>
        <x:r>
          <x:t>Historical net income source control (FY:28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Q14" authorId="0">
      <x:text>
        <x:r>
          <x:t>Historical net income source control (FY:29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R14" authorId="0">
      <x:text>
        <x:r>
          <x:t>Historical net income source control (FY:30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S14" authorId="0">
      <x:text>
        <x:r>
          <x:t>Historical net income source control (FY:31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C15" authorId="0">
      <x:text>
        <x:r>
          <x:t>Independent reconciliation of the named balances or flows. USD differences use the existing 0.01 million tolerance. Allocation differences measure percentage points. n.a. means the check does not apply.</x:t>
        </x:r>
      </x:text>
    </x:comment>
    <x:comment ref="E15" authorId="0">
      <x:text>
        <x:r>
          <x:t>Historical CFO source control (FY:17 A).
Independent reconciliation of the named balances or flows. USD differences use the existing 0.01 million tolerance. Allocation differences measure percentage points. n.a. means the check does not apply.
Formula: =ROUND('Cash Flow'!E28-'Historical Inputs'!E80,6)
Cross-sheet references identify the owning schedule. Same-sheet references identify intermediate calculations.</x:t>
        </x:r>
      </x:text>
    </x:comment>
    <x:comment ref="F15" authorId="0">
      <x:text>
        <x:r>
          <x:t>Historical CFO source control (FY:18 A).
Independent reconciliation of the named balances or flows. USD differences use the existing 0.01 million tolerance. Allocation differences measure percentage points. n.a. means the check does not apply.
Formula: =ROUND('Cash Flow'!F28-'Historical Inputs'!F80,6)
Cross-sheet references identify the owning schedule. Same-sheet references identify intermediate calculations.</x:t>
        </x:r>
      </x:text>
    </x:comment>
    <x:comment ref="G15" authorId="0">
      <x:text>
        <x:r>
          <x:t>Historical CFO source control (FY:19 A).
Independent reconciliation of the named balances or flows. USD differences use the existing 0.01 million tolerance. Allocation differences measure percentage points. n.a. means the check does not apply.
Formula: =ROUND('Cash Flow'!G28-'Historical Inputs'!G80,6)
Cross-sheet references identify the owning schedule. Same-sheet references identify intermediate calculations.</x:t>
        </x:r>
      </x:text>
    </x:comment>
    <x:comment ref="H15" authorId="0">
      <x:text>
        <x:r>
          <x:t>Historical CFO source control (FY:20 A).
Independent reconciliation of the named balances or flows. USD differences use the existing 0.01 million tolerance. Allocation differences measure percentage points. n.a. means the check does not apply.
Formula: =ROUND('Cash Flow'!H28-'Historical Inputs'!H80,6)
Cross-sheet references identify the owning schedule. Same-sheet references identify intermediate calculations.</x:t>
        </x:r>
      </x:text>
    </x:comment>
    <x:comment ref="I15" authorId="0">
      <x:text>
        <x:r>
          <x:t>Historical CFO source control (FY:21 A).
Independent reconciliation of the named balances or flows. USD differences use the existing 0.01 million tolerance. Allocation differences measure percentage points. n.a. means the check does not apply.
Formula: =ROUND('Cash Flow'!I28-'Historical Inputs'!I80,6)
Cross-sheet references identify the owning schedule. Same-sheet references identify intermediate calculations.</x:t>
        </x:r>
      </x:text>
    </x:comment>
    <x:comment ref="J15" authorId="0">
      <x:text>
        <x:r>
          <x:t>Historical CFO source control (FY:22 A).
Independent reconciliation of the named balances or flows. USD differences use the existing 0.01 million tolerance. Allocation differences measure percentage points. n.a. means the check does not apply.
Formula: =ROUND('Cash Flow'!J28-'Historical Inputs'!J80,6)
Cross-sheet references identify the owning schedule. Same-sheet references identify intermediate calculations.</x:t>
        </x:r>
      </x:text>
    </x:comment>
    <x:comment ref="K15" authorId="0">
      <x:text>
        <x:r>
          <x:t>Historical CFO source control (FY:23 A).
Independent reconciliation of the named balances or flows. USD differences use the existing 0.01 million tolerance. Allocation differences measure percentage points. n.a. means the check does not apply.
Formula: =ROUND('Cash Flow'!K28-'Historical Inputs'!K80,6)
Cross-sheet references identify the owning schedule. Same-sheet references identify intermediate calculations.</x:t>
        </x:r>
      </x:text>
    </x:comment>
    <x:comment ref="L15" authorId="0">
      <x:text>
        <x:r>
          <x:t>Historical CFO source control (FY:24 A).
Independent reconciliation of the named balances or flows. USD differences use the existing 0.01 million tolerance. Allocation differences measure percentage points. n.a. means the check does not apply.
Formula: =ROUND('Cash Flow'!L28-'Historical Inputs'!L80,6)
Cross-sheet references identify the owning schedule. Same-sheet references identify intermediate calculations.</x:t>
        </x:r>
      </x:text>
    </x:comment>
    <x:comment ref="M15" authorId="0">
      <x:text>
        <x:r>
          <x:t>Historical CFO source control (FY:25 A).
Independent reconciliation of the named balances or flows. USD differences use the existing 0.01 million tolerance. Allocation differences measure percentage points. n.a. means the check does not apply.
Formula: =ROUND('Cash Flow'!M28-'Historical Inputs'!M80,6)
Cross-sheet references identify the owning schedule. Same-sheet references identify intermediate calculations.</x:t>
        </x:r>
      </x:text>
    </x:comment>
    <x:comment ref="N15" authorId="0">
      <x:text>
        <x:r>
          <x:t>Historical CFO source control (FY:26 A).
Independent reconciliation of the named balances or flows. USD differences use the existing 0.01 million tolerance. Allocation differences measure percentage points. n.a. means the check does not apply.
Formula: =ROUND('Cash Flow'!N28-'Historical Inputs'!N80,6)
Cross-sheet references identify the owning schedule. Same-sheet references identify intermediate calculations.</x:t>
        </x:r>
      </x:text>
    </x:comment>
    <x:comment ref="O15" authorId="0">
      <x:text>
        <x:r>
          <x:t>Historical CFO source control (FY:27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P15" authorId="0">
      <x:text>
        <x:r>
          <x:t>Historical CFO source control (FY:28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Q15" authorId="0">
      <x:text>
        <x:r>
          <x:t>Historical CFO source control (FY:29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R15" authorId="0">
      <x:text>
        <x:r>
          <x:t>Historical CFO source control (FY:30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S15" authorId="0">
      <x:text>
        <x:r>
          <x:t>Historical CFO source control (FY:31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C16" authorId="0">
      <x:text>
        <x:r>
          <x:t>Remaining carrying amount of the named annual PPE cohort. Depreciation starts with a half-year charge and subsequent years use that cohort's useful life.</x:t>
        </x:r>
      </x:text>
    </x:comment>
    <x:comment ref="E16" authorId="0">
      <x:text>
        <x:r>
          <x:t>PPE cohort carrying value reconciliation (FY:17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F16" authorId="0">
      <x:text>
        <x:r>
          <x:t>PPE cohort carrying value reconciliation (FY:18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G16" authorId="0">
      <x:text>
        <x:r>
          <x:t>PPE cohort carrying value reconciliation (FY:19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H16" authorId="0">
      <x:text>
        <x:r>
          <x:t>PPE cohort carrying value reconciliation (FY:20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I16" authorId="0">
      <x:text>
        <x:r>
          <x:t>PPE cohort carrying value reconciliation (FY:21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J16" authorId="0">
      <x:text>
        <x:r>
          <x:t>PPE cohort carrying value reconciliation (FY:22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K16" authorId="0">
      <x:text>
        <x:r>
          <x:t>PPE cohort carrying value reconciliation (FY:23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L16" authorId="0">
      <x:text>
        <x:r>
          <x:t>PPE cohort carrying value reconciliation (FY:24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M16" authorId="0">
      <x:text>
        <x:r>
          <x:t>PPE cohort carrying value reconciliation (FY:25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N16" authorId="0">
      <x:text>
        <x:r>
          <x:t>PPE cohort carrying value reconciliation (FY:26 A).
Remaining carrying amount of the named annual PPE cohort. Depreciation starts with a half-year charge and subsequent years use that cohort's useful life. This period is unavailable or not applicable. Do not interpret it as zero.
Formula: ="n.a."
Cross-sheet references identify the owning schedule. Same-sheet references identify intermediate calculations.</x:t>
        </x:r>
      </x:text>
    </x:comment>
    <x:comment ref="O16" authorId="0">
      <x:text>
        <x:r>
          <x:t>PPE cohort carrying value reconciliation (FY:27 E).
Remaining carrying amount of the named annual PPE cohort. Depreciation starts with a half-year charge and subsequent years use that cohort's useful life.
Formula: =ROUND('PPE and Intangibles'!O28+'PPE and Intangibles'!O30+SUM('PPE and Intangibles'!O32:O36)-'Balance Sheet'!O16,6)
Cross-sheet references identify the owning schedule. Same-sheet references identify intermediate calculations.</x:t>
        </x:r>
      </x:text>
    </x:comment>
    <x:comment ref="P16" authorId="0">
      <x:text>
        <x:r>
          <x:t>PPE cohort carrying value reconciliation (FY:28 E).
Remaining carrying amount of the named annual PPE cohort. Depreciation starts with a half-year charge and subsequent years use that cohort's useful life.
Formula: =ROUND('PPE and Intangibles'!P28+'PPE and Intangibles'!P30+SUM('PPE and Intangibles'!P32:P36)-'Balance Sheet'!P16,6)
Cross-sheet references identify the owning schedule. Same-sheet references identify intermediate calculations.</x:t>
        </x:r>
      </x:text>
    </x:comment>
    <x:comment ref="Q16" authorId="0">
      <x:text>
        <x:r>
          <x:t>PPE cohort carrying value reconciliation (FY:29 E).
Remaining carrying amount of the named annual PPE cohort. Depreciation starts with a half-year charge and subsequent years use that cohort's useful life.
Formula: =ROUND('PPE and Intangibles'!Q28+'PPE and Intangibles'!Q30+SUM('PPE and Intangibles'!Q32:Q36)-'Balance Sheet'!Q16,6)
Cross-sheet references identify the owning schedule. Same-sheet references identify intermediate calculations.</x:t>
        </x:r>
      </x:text>
    </x:comment>
    <x:comment ref="R16" authorId="0">
      <x:text>
        <x:r>
          <x:t>PPE cohort carrying value reconciliation (FY:30 E).
Remaining carrying amount of the named annual PPE cohort. Depreciation starts with a half-year charge and subsequent years use that cohort's useful life.
Formula: =ROUND('PPE and Intangibles'!R28+'PPE and Intangibles'!R30+SUM('PPE and Intangibles'!R32:R36)-'Balance Sheet'!R16,6)
Cross-sheet references identify the owning schedule. Same-sheet references identify intermediate calculations.</x:t>
        </x:r>
      </x:text>
    </x:comment>
    <x:comment ref="S16" authorId="0">
      <x:text>
        <x:r>
          <x:t>PPE cohort carrying value reconciliation (FY:31 E).
Remaining carrying amount of the named annual PPE cohort. Depreciation starts with a half-year charge and subsequent years use that cohort's useful life.
Formula: =ROUND('PPE and Intangibles'!S28+'PPE and Intangibles'!S30+SUM('PPE and Intangibles'!S32:S36)-'Balance Sheet'!S16,6)
Cross-sheet references identify the owning schedule. Same-sheet references identify intermediate calculations.</x:t>
        </x:r>
      </x:text>
    </x:comment>
    <x:comment ref="C17" authorId="0">
      <x:text>
        <x:r>
          <x:t>Independent reconciliation of the named balances or flows. USD differences use the existing 0.01 million tolerance. Allocation differences measure percentage points. n.a. means the check does not apply.</x:t>
        </x:r>
      </x:text>
    </x:comment>
    <x:comment ref="E17" authorId="0">
      <x:text>
        <x:r>
          <x:t>Debt face-to-book reconciliation (FY:17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F17" authorId="0">
      <x:text>
        <x:r>
          <x:t>Debt face-to-book reconciliation (FY:18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G17" authorId="0">
      <x:text>
        <x:r>
          <x:t>Debt face-to-book reconciliation (FY:19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H17" authorId="0">
      <x:text>
        <x:r>
          <x:t>Debt face-to-book reconciliation (FY:20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I17" authorId="0">
      <x:text>
        <x:r>
          <x:t>Debt face-to-book reconciliation (FY:21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J17" authorId="0">
      <x:text>
        <x:r>
          <x:t>Debt face-to-book reconciliation (FY:22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K17" authorId="0">
      <x:text>
        <x:r>
          <x:t>Debt face-to-book reconciliation (FY:23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L17" authorId="0">
      <x:text>
        <x:r>
          <x:t>Debt face-to-book reconciliation (FY:24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M17" authorId="0">
      <x:text>
        <x:r>
          <x:t>Debt face-to-book reconciliation (FY:25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N17" authorId="0">
      <x:text>
        <x:r>
          <x:t>Debt face-to-book reconciliation (FY:26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O17" authorId="0">
      <x:text>
        <x:r>
          <x:t>Debt face-to-book reconciliation (FY:27 E).
Independent reconciliation of the named balances or flows. USD differences use the existing 0.01 million tolerance. Allocation differences measure percentage points. n.a. means the check does not apply.
Formula: =ROUND('Debt and Leases'!O12-'Debt and Leases'!O16-'Debt and Leases'!O18,6)
Cross-sheet references identify the owning schedule. Same-sheet references identify intermediate calculations.</x:t>
        </x:r>
      </x:text>
    </x:comment>
    <x:comment ref="P17" authorId="0">
      <x:text>
        <x:r>
          <x:t>Debt face-to-book reconciliation (FY:28 E).
Independent reconciliation of the named balances or flows. USD differences use the existing 0.01 million tolerance. Allocation differences measure percentage points. n.a. means the check does not apply.
Formula: =ROUND('Debt and Leases'!P12-'Debt and Leases'!P16-'Debt and Leases'!P18,6)
Cross-sheet references identify the owning schedule. Same-sheet references identify intermediate calculations.</x:t>
        </x:r>
      </x:text>
    </x:comment>
    <x:comment ref="Q17" authorId="0">
      <x:text>
        <x:r>
          <x:t>Debt face-to-book reconciliation (FY:29 E).
Independent reconciliation of the named balances or flows. USD differences use the existing 0.01 million tolerance. Allocation differences measure percentage points. n.a. means the check does not apply.
Formula: =ROUND('Debt and Leases'!Q12-'Debt and Leases'!Q16-'Debt and Leases'!Q18,6)
Cross-sheet references identify the owning schedule. Same-sheet references identify intermediate calculations.</x:t>
        </x:r>
      </x:text>
    </x:comment>
    <x:comment ref="R17" authorId="0">
      <x:text>
        <x:r>
          <x:t>Debt face-to-book reconciliation (FY:30 E).
Independent reconciliation of the named balances or flows. USD differences use the existing 0.01 million tolerance. Allocation differences measure percentage points. n.a. means the check does not apply.
Formula: =ROUND('Debt and Leases'!R12-'Debt and Leases'!R16-'Debt and Leases'!R18,6)
Cross-sheet references identify the owning schedule. Same-sheet references identify intermediate calculations.</x:t>
        </x:r>
      </x:text>
    </x:comment>
    <x:comment ref="S17" authorId="0">
      <x:text>
        <x:r>
          <x:t>Debt face-to-book reconciliation (FY:31 E).
Independent reconciliation of the named balances or flows. USD differences use the existing 0.01 million tolerance. Allocation differences measure percentage points. n.a. means the check does not apply.
Formula: =ROUND('Debt and Leases'!S12-'Debt and Leases'!S16-'Debt and Leases'!S18,6)
Cross-sheet references identify the owning schedule. Same-sheet references identify intermediate calculations.</x:t>
        </x:r>
      </x:text>
    </x:comment>
    <x:comment ref="C18" authorId="0">
      <x:text>
        <x:r>
          <x:t>Independent reconciliation of the named balances or flows. USD differences use the existing 0.01 million tolerance. Allocation differences measure percentage points. n.a. means the check does not apply.</x:t>
        </x:r>
      </x:text>
    </x:comment>
    <x:comment ref="E18" authorId="0">
      <x:text>
        <x:r>
          <x:t>Equity rollforward reconciliation (FY:17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F18" authorId="0">
      <x:text>
        <x:r>
          <x:t>Equity rollforward reconciliation (FY:18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G18" authorId="0">
      <x:text>
        <x:r>
          <x:t>Equity rollforward reconciliation (FY:19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H18" authorId="0">
      <x:text>
        <x:r>
          <x:t>Equity rollforward reconciliation (FY:20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I18" authorId="0">
      <x:text>
        <x:r>
          <x:t>Equity rollforward reconciliation (FY:21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J18" authorId="0">
      <x:text>
        <x:r>
          <x:t>Equity rollforward reconciliation (FY:22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K18" authorId="0">
      <x:text>
        <x:r>
          <x:t>Equity rollforward reconciliation (FY:23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L18" authorId="0">
      <x:text>
        <x:r>
          <x:t>Equity rollforward reconciliation (FY:24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M18" authorId="0">
      <x:text>
        <x:r>
          <x:t>Equity rollforward reconciliation (FY:25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N18" authorId="0">
      <x:text>
        <x:r>
          <x:t>Equity rollforward reconciliation (FY:26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O18" authorId="0">
      <x:text>
        <x:r>
          <x:t>Equity rollforward reconciliation (FY:27 E).
Independent reconciliation of the named balances or flows. USD differences use the existing 0.01 million tolerance. Allocation differences measure percentage points. n.a. means the check does not apply.
Formula: =ROUND('Balance Sheet'!N45+'Income Statement'!O28+'Tax and Equity'!O16+'Tax and Equity'!O17-'Tax and Equity'!O18-'Tax and Equity'!O19-'Balance Sheet'!O45,6)
Cross-sheet references identify the owning schedule. Same-sheet references identify intermediate calculations.</x:t>
        </x:r>
      </x:text>
    </x:comment>
    <x:comment ref="P18" authorId="0">
      <x:text>
        <x:r>
          <x:t>Equity rollforward reconciliation (FY:28 E).
Independent reconciliation of the named balances or flows. USD differences use the existing 0.01 million tolerance. Allocation differences measure percentage points. n.a. means the check does not apply.
Formula: =ROUND('Balance Sheet'!O45+'Income Statement'!P28+'Tax and Equity'!P16+'Tax and Equity'!P17-'Tax and Equity'!P18-'Tax and Equity'!P19-'Balance Sheet'!P45,6)
Cross-sheet references identify the owning schedule. Same-sheet references identify intermediate calculations.</x:t>
        </x:r>
      </x:text>
    </x:comment>
    <x:comment ref="Q18" authorId="0">
      <x:text>
        <x:r>
          <x:t>Equity rollforward reconciliation (FY:29 E).
Independent reconciliation of the named balances or flows. USD differences use the existing 0.01 million tolerance. Allocation differences measure percentage points. n.a. means the check does not apply.
Formula: =ROUND('Balance Sheet'!P45+'Income Statement'!Q28+'Tax and Equity'!Q16+'Tax and Equity'!Q17-'Tax and Equity'!Q18-'Tax and Equity'!Q19-'Balance Sheet'!Q45,6)
Cross-sheet references identify the owning schedule. Same-sheet references identify intermediate calculations.</x:t>
        </x:r>
      </x:text>
    </x:comment>
    <x:comment ref="R18" authorId="0">
      <x:text>
        <x:r>
          <x:t>Equity rollforward reconciliation (FY:30 E).
Independent reconciliation of the named balances or flows. USD differences use the existing 0.01 million tolerance. Allocation differences measure percentage points. n.a. means the check does not apply.
Formula: =ROUND('Balance Sheet'!Q45+'Income Statement'!R28+'Tax and Equity'!R16+'Tax and Equity'!R17-'Tax and Equity'!R18-'Tax and Equity'!R19-'Balance Sheet'!R45,6)
Cross-sheet references identify the owning schedule. Same-sheet references identify intermediate calculations.</x:t>
        </x:r>
      </x:text>
    </x:comment>
    <x:comment ref="S18" authorId="0">
      <x:text>
        <x:r>
          <x:t>Equity rollforward reconciliation (FY:31 E).
Independent reconciliation of the named balances or flows. USD differences use the existing 0.01 million tolerance. Allocation differences measure percentage points. n.a. means the check does not apply.
Formula: =ROUND('Balance Sheet'!R45+'Income Statement'!S28+'Tax and Equity'!S16+'Tax and Equity'!S17-'Tax and Equity'!S18-'Tax and Equity'!S19-'Balance Sheet'!S45,6)
Cross-sheet references identify the owning schedule. Same-sheet references identify intermediate calculations.</x:t>
        </x:r>
      </x:text>
    </x:comment>
    <x:comment ref="C19" authorId="0">
      <x:text>
        <x:r>
          <x:t>Cash balance or signed cash flow as named in the row. Positive cash-flow amounts are inflows and negative amounts are outflows. Follow the formula or source reference below for the classification.</x:t>
        </x:r>
      </x:text>
    </x:comment>
    <x:comment ref="E19" authorId="0">
      <x:text>
        <x:r>
          <x:t>Cash rollforward reconciliation (FY:17 A).
Cash balance or signed cash flow as named in the row. Positive cash-flow amounts are inflows and negative amounts are outflows. Follow the formula or source reference below for the classification.
Formula: =ROUND('Cash Flow'!E53+'Cash Flow'!E28+'Cash Flow'!E37+'Cash Flow'!E48+'Cash Flow'!E50-'Balance Sheet'!E8,6)
Cross-sheet references identify the owning schedule. Same-sheet references identify intermediate calculations.</x:t>
        </x:r>
      </x:text>
    </x:comment>
    <x:comment ref="F19" authorId="0">
      <x:text>
        <x:r>
          <x:t>Cash rollforward reconciliation (FY:18 A).
Cash balance or signed cash flow as named in the row. Positive cash-flow amounts are inflows and negative amounts are outflows. Follow the formula or source reference below for the classification.
Formula: =ROUND('Cash Flow'!F53+'Cash Flow'!F28+'Cash Flow'!F37+'Cash Flow'!F48+'Cash Flow'!F50-'Balance Sheet'!F8,6)
Cross-sheet references identify the owning schedule. Same-sheet references identify intermediate calculations.</x:t>
        </x:r>
      </x:text>
    </x:comment>
    <x:comment ref="G19" authorId="0">
      <x:text>
        <x:r>
          <x:t>Cash rollforward reconciliation (FY:19 A).
Cash balance or signed cash flow as named in the row. Positive cash-flow amounts are inflows and negative amounts are outflows. Follow the formula or source reference below for the classification.
Formula: =ROUND('Cash Flow'!G53+'Cash Flow'!G28+'Cash Flow'!G37+'Cash Flow'!G48+'Cash Flow'!G50-'Balance Sheet'!G8,6)
Cross-sheet references identify the owning schedule. Same-sheet references identify intermediate calculations.</x:t>
        </x:r>
      </x:text>
    </x:comment>
    <x:comment ref="H19" authorId="0">
      <x:text>
        <x:r>
          <x:t>Cash rollforward reconciliation (FY:20 A).
Cash balance or signed cash flow as named in the row. Positive cash-flow amounts are inflows and negative amounts are outflows. Follow the formula or source reference below for the classification.
Formula: =ROUND('Cash Flow'!H53+'Cash Flow'!H28+'Cash Flow'!H37+'Cash Flow'!H48+'Cash Flow'!H50-'Balance Sheet'!H8,6)
Cross-sheet references identify the owning schedule. Same-sheet references identify intermediate calculations.</x:t>
        </x:r>
      </x:text>
    </x:comment>
    <x:comment ref="I19" authorId="0">
      <x:text>
        <x:r>
          <x:t>Cash rollforward reconciliation (FY:21 A).
Cash balance or signed cash flow as named in the row. Positive cash-flow amounts are inflows and negative amounts are outflows. Follow the formula or source reference below for the classification.
Formula: =ROUND('Cash Flow'!I53+'Cash Flow'!I28+'Cash Flow'!I37+'Cash Flow'!I48+'Cash Flow'!I50-'Balance Sheet'!I8,6)
Cross-sheet references identify the owning schedule. Same-sheet references identify intermediate calculations.</x:t>
        </x:r>
      </x:text>
    </x:comment>
    <x:comment ref="J19" authorId="0">
      <x:text>
        <x:r>
          <x:t>Cash rollforward reconciliation (FY:22 A).
Cash balance or signed cash flow as named in the row. Positive cash-flow amounts are inflows and negative amounts are outflows. Follow the formula or source reference below for the classification.
Formula: =ROUND('Cash Flow'!J53+'Cash Flow'!J28+'Cash Flow'!J37+'Cash Flow'!J48+'Cash Flow'!J50-'Balance Sheet'!J8,6)
Cross-sheet references identify the owning schedule. Same-sheet references identify intermediate calculations.</x:t>
        </x:r>
      </x:text>
    </x:comment>
    <x:comment ref="K19" authorId="0">
      <x:text>
        <x:r>
          <x:t>Cash rollforward reconciliation (FY:23 A).
Cash balance or signed cash flow as named in the row. Positive cash-flow amounts are inflows and negative amounts are outflows. Follow the formula or source reference below for the classification.
Formula: =ROUND('Cash Flow'!K53+'Cash Flow'!K28+'Cash Flow'!K37+'Cash Flow'!K48+'Cash Flow'!K50-'Balance Sheet'!K8,6)
Cross-sheet references identify the owning schedule. Same-sheet references identify intermediate calculations.</x:t>
        </x:r>
      </x:text>
    </x:comment>
    <x:comment ref="L19" authorId="0">
      <x:text>
        <x:r>
          <x:t>Cash rollforward reconciliation (FY:24 A).
Cash balance or signed cash flow as named in the row. Positive cash-flow amounts are inflows and negative amounts are outflows. Follow the formula or source reference below for the classification.
Formula: =ROUND('Cash Flow'!L53+'Cash Flow'!L28+'Cash Flow'!L37+'Cash Flow'!L48+'Cash Flow'!L50-'Balance Sheet'!L8,6)
Cross-sheet references identify the owning schedule. Same-sheet references identify intermediate calculations.</x:t>
        </x:r>
      </x:text>
    </x:comment>
    <x:comment ref="M19" authorId="0">
      <x:text>
        <x:r>
          <x:t>Cash rollforward reconciliation (FY:25 A).
Cash balance or signed cash flow as named in the row. Positive cash-flow amounts are inflows and negative amounts are outflows. Follow the formula or source reference below for the classification.
Formula: =ROUND('Cash Flow'!M53+'Cash Flow'!M28+'Cash Flow'!M37+'Cash Flow'!M48+'Cash Flow'!M50-'Balance Sheet'!M8,6)
Cross-sheet references identify the owning schedule. Same-sheet references identify intermediate calculations.</x:t>
        </x:r>
      </x:text>
    </x:comment>
    <x:comment ref="N19" authorId="0">
      <x:text>
        <x:r>
          <x:t>Cash rollforward reconciliation (FY:26 A).
Cash balance or signed cash flow as named in the row. Positive cash-flow amounts are inflows and negative amounts are outflows. Follow the formula or source reference below for the classification.
Formula: =ROUND('Cash Flow'!N53+'Cash Flow'!N28+'Cash Flow'!N37+'Cash Flow'!N48+'Cash Flow'!N50-'Balance Sheet'!N8,6)
Cross-sheet references identify the owning schedule. Same-sheet references identify intermediate calculations.</x:t>
        </x:r>
      </x:text>
    </x:comment>
    <x:comment ref="O19" authorId="0">
      <x:text>
        <x:r>
          <x:t>Cash rollforward reconciliation (FY:27 E).
Cash balance or signed cash flow as named in the row. Positive cash-flow amounts are inflows and negative amounts are outflows. Follow the formula or source reference below for the classification.
Formula: =ROUND('Cash Flow'!O53+'Cash Flow'!O28+'Cash Flow'!O37+'Cash Flow'!O48+'Cash Flow'!O50-'Balance Sheet'!O8,6)
Cross-sheet references identify the owning schedule. Same-sheet references identify intermediate calculations.</x:t>
        </x:r>
      </x:text>
    </x:comment>
    <x:comment ref="P19" authorId="0">
      <x:text>
        <x:r>
          <x:t>Cash rollforward reconciliation (FY:28 E).
Cash balance or signed cash flow as named in the row. Positive cash-flow amounts are inflows and negative amounts are outflows. Follow the formula or source reference below for the classification.
Formula: =ROUND('Cash Flow'!P53+'Cash Flow'!P28+'Cash Flow'!P37+'Cash Flow'!P48+'Cash Flow'!P50-'Balance Sheet'!P8,6)
Cross-sheet references identify the owning schedule. Same-sheet references identify intermediate calculations.</x:t>
        </x:r>
      </x:text>
    </x:comment>
    <x:comment ref="Q19" authorId="0">
      <x:text>
        <x:r>
          <x:t>Cash rollforward reconciliation (FY:29 E).
Cash balance or signed cash flow as named in the row. Positive cash-flow amounts are inflows and negative amounts are outflows. Follow the formula or source reference below for the classification.
Formula: =ROUND('Cash Flow'!Q53+'Cash Flow'!Q28+'Cash Flow'!Q37+'Cash Flow'!Q48+'Cash Flow'!Q50-'Balance Sheet'!Q8,6)
Cross-sheet references identify the owning schedule. Same-sheet references identify intermediate calculations.</x:t>
        </x:r>
      </x:text>
    </x:comment>
    <x:comment ref="R19" authorId="0">
      <x:text>
        <x:r>
          <x:t>Cash rollforward reconciliation (FY:30 E).
Cash balance or signed cash flow as named in the row. Positive cash-flow amounts are inflows and negative amounts are outflows. Follow the formula or source reference below for the classification.
Formula: =ROUND('Cash Flow'!R53+'Cash Flow'!R28+'Cash Flow'!R37+'Cash Flow'!R48+'Cash Flow'!R50-'Balance Sheet'!R8,6)
Cross-sheet references identify the owning schedule. Same-sheet references identify intermediate calculations.</x:t>
        </x:r>
      </x:text>
    </x:comment>
    <x:comment ref="S19" authorId="0">
      <x:text>
        <x:r>
          <x:t>Cash rollforward reconciliation (FY:31 E).
Cash balance or signed cash flow as named in the row. Positive cash-flow amounts are inflows and negative amounts are outflows. Follow the formula or source reference below for the classification.
Formula: =ROUND('Cash Flow'!S53+'Cash Flow'!S28+'Cash Flow'!S37+'Cash Flow'!S48+'Cash Flow'!S50-'Balance Sheet'!S8,6)
Cross-sheet references identify the owning schedule. Same-sheet references identify intermediate calculations.</x:t>
        </x:r>
      </x:text>
    </x:comment>
    <x:comment ref="C20" authorId="0">
      <x:text>
        <x:r>
          <x:t>Cash balance or signed cash flow as named in the row. Positive cash-flow amounts are inflows and negative amounts are outflows. Follow the formula or source reference below for the classification.</x:t>
        </x:r>
      </x:text>
    </x:comment>
    <x:comment ref="E20" authorId="0">
      <x:text>
        <x:r>
          <x:t>Cash balance below policy minimum (FY:17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F20" authorId="0">
      <x:text>
        <x:r>
          <x:t>Cash balance below policy minimum (FY:18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G20" authorId="0">
      <x:text>
        <x:r>
          <x:t>Cash balance below policy minimum (FY:19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H20" authorId="0">
      <x:text>
        <x:r>
          <x:t>Cash balance below policy minimum (FY:20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I20" authorId="0">
      <x:text>
        <x:r>
          <x:t>Cash balance below policy minimum (FY:21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J20" authorId="0">
      <x:text>
        <x:r>
          <x:t>Cash balance below policy minimum (FY:22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K20" authorId="0">
      <x:text>
        <x:r>
          <x:t>Cash balance below policy minimum (FY:23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L20" authorId="0">
      <x:text>
        <x:r>
          <x:t>Cash balance below policy minimum (FY:24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M20" authorId="0">
      <x:text>
        <x:r>
          <x:t>Cash balance below policy minimum (FY:25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N20" authorId="0">
      <x:text>
        <x:r>
          <x:t>Cash balance below policy minimum (FY:26 A).
Cash balance or signed cash flow as named in the row. Positive cash-flow amounts are inflows and negative amounts are outflows. Follow the formula or source reference below for the classification. This period is unavailable or not applicable. Do not interpret it as zero.
Formula: ="n.a."
Cross-sheet references identify the owning schedule. Same-sheet references identify intermediate calculations.</x:t>
        </x:r>
      </x:text>
    </x:comment>
    <x:comment ref="O20" authorId="0">
      <x:text>
        <x:r>
          <x:t>Cash balance below policy minimum (FY:27 E).
Cash balance or signed cash flow as named in the row. Positive cash-flow amounts are inflows and negative amounts are outflows. Follow the formula or source reference below for the classification.
Formula: =ROUND(MIN(0,'Balance Sheet'!O8-'Assumptions'!O117),6)
Cross-sheet references identify the owning schedule. Same-sheet references identify intermediate calculations.</x:t>
        </x:r>
      </x:text>
    </x:comment>
    <x:comment ref="P20" authorId="0">
      <x:text>
        <x:r>
          <x:t>Cash balance below policy minimum (FY:28 E).
Cash balance or signed cash flow as named in the row. Positive cash-flow amounts are inflows and negative amounts are outflows. Follow the formula or source reference below for the classification.
Formula: =ROUND(MIN(0,'Balance Sheet'!P8-'Assumptions'!P117),6)
Cross-sheet references identify the owning schedule. Same-sheet references identify intermediate calculations.</x:t>
        </x:r>
      </x:text>
    </x:comment>
    <x:comment ref="Q20" authorId="0">
      <x:text>
        <x:r>
          <x:t>Cash balance below policy minimum (FY:29 E).
Cash balance or signed cash flow as named in the row. Positive cash-flow amounts are inflows and negative amounts are outflows. Follow the formula or source reference below for the classification.
Formula: =ROUND(MIN(0,'Balance Sheet'!Q8-'Assumptions'!Q117),6)
Cross-sheet references identify the owning schedule. Same-sheet references identify intermediate calculations.</x:t>
        </x:r>
      </x:text>
    </x:comment>
    <x:comment ref="R20" authorId="0">
      <x:text>
        <x:r>
          <x:t>Cash balance below policy minimum (FY:30 E).
Cash balance or signed cash flow as named in the row. Positive cash-flow amounts are inflows and negative amounts are outflows. Follow the formula or source reference below for the classification.
Formula: =ROUND(MIN(0,'Balance Sheet'!R8-'Assumptions'!R117),6)
Cross-sheet references identify the owning schedule. Same-sheet references identify intermediate calculations.</x:t>
        </x:r>
      </x:text>
    </x:comment>
    <x:comment ref="S20" authorId="0">
      <x:text>
        <x:r>
          <x:t>Cash balance below policy minimum (FY:31 E).
Cash balance or signed cash flow as named in the row. Positive cash-flow amounts are inflows and negative amounts are outflows. Follow the formula or source reference below for the classification.
Formula: =ROUND(MIN(0,'Balance Sheet'!S8-'Assumptions'!S117),6)
Cross-sheet references identify the owning schedule. Same-sheet references identify intermediate calculations.</x:t>
        </x:r>
      </x:text>
    </x:comment>
    <x:comment ref="C21" authorId="0">
      <x:text>
        <x:r>
          <x:t>Independent reconciliation of the named balances or flows. USD differences use the existing 0.01 million tolerance. Allocation differences measure percentage points. n.a. means the check does not apply.</x:t>
        </x:r>
      </x:text>
    </x:comment>
    <x:comment ref="E21" authorId="0">
      <x:text>
        <x:r>
          <x:t>Investment reserve below minimum (FY:17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F21" authorId="0">
      <x:text>
        <x:r>
          <x:t>Investment reserve below minimum (FY:18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G21" authorId="0">
      <x:text>
        <x:r>
          <x:t>Investment reserve below minimum (FY:19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H21" authorId="0">
      <x:text>
        <x:r>
          <x:t>Investment reserve below minimum (FY:20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I21" authorId="0">
      <x:text>
        <x:r>
          <x:t>Investment reserve below minimum (FY:21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J21" authorId="0">
      <x:text>
        <x:r>
          <x:t>Investment reserve below minimum (FY:22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K21" authorId="0">
      <x:text>
        <x:r>
          <x:t>Investment reserve below minimum (FY:23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L21" authorId="0">
      <x:text>
        <x:r>
          <x:t>Investment reserve below minimum (FY:24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M21" authorId="0">
      <x:text>
        <x:r>
          <x:t>Investment reserve below minimum (FY:25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N21" authorId="0">
      <x:text>
        <x:r>
          <x:t>Investment reserve below minimum (FY:26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O21" authorId="0">
      <x:text>
        <x:r>
          <x:t>Investment reserve below minimum (FY:27 E).
Independent reconciliation of the named balances or flows. USD differences use the existing 0.01 million tolerance. Allocation differences measure percentage points. n.a. means the check does not apply.
Formula: =ROUND(MIN(0,'Balance Sheet'!O9-'Assumptions'!O121),6)
Cross-sheet references identify the owning schedule. Same-sheet references identify intermediate calculations.</x:t>
        </x:r>
      </x:text>
    </x:comment>
    <x:comment ref="P21" authorId="0">
      <x:text>
        <x:r>
          <x:t>Investment reserve below minimum (FY:28 E).
Independent reconciliation of the named balances or flows. USD differences use the existing 0.01 million tolerance. Allocation differences measure percentage points. n.a. means the check does not apply.
Formula: =ROUND(MIN(0,'Balance Sheet'!P9-'Assumptions'!P121),6)
Cross-sheet references identify the owning schedule. Same-sheet references identify intermediate calculations.</x:t>
        </x:r>
      </x:text>
    </x:comment>
    <x:comment ref="Q21" authorId="0">
      <x:text>
        <x:r>
          <x:t>Investment reserve below minimum (FY:29 E).
Independent reconciliation of the named balances or flows. USD differences use the existing 0.01 million tolerance. Allocation differences measure percentage points. n.a. means the check does not apply.
Formula: =ROUND(MIN(0,'Balance Sheet'!Q9-'Assumptions'!Q121),6)
Cross-sheet references identify the owning schedule. Same-sheet references identify intermediate calculations.</x:t>
        </x:r>
      </x:text>
    </x:comment>
    <x:comment ref="R21" authorId="0">
      <x:text>
        <x:r>
          <x:t>Investment reserve below minimum (FY:30 E).
Independent reconciliation of the named balances or flows. USD differences use the existing 0.01 million tolerance. Allocation differences measure percentage points. n.a. means the check does not apply.
Formula: =ROUND(MIN(0,'Balance Sheet'!R9-'Assumptions'!R121),6)
Cross-sheet references identify the owning schedule. Same-sheet references identify intermediate calculations.</x:t>
        </x:r>
      </x:text>
    </x:comment>
    <x:comment ref="S21" authorId="0">
      <x:text>
        <x:r>
          <x:t>Investment reserve below minimum (FY:31 E).
Independent reconciliation of the named balances or flows. USD differences use the existing 0.01 million tolerance. Allocation differences measure percentage points. n.a. means the check does not apply.
Formula: =ROUND(MIN(0,'Balance Sheet'!S9-'Assumptions'!S121),6)
Cross-sheet references identify the owning schedule. Same-sheet references identify intermediate calculations.</x:t>
        </x:r>
      </x:text>
    </x:comment>
    <x:comment ref="C22" authorId="0">
      <x:text>
        <x:r>
          <x:t>Independent reconciliation of the named balances or flows. USD differences use the existing 0.01 million tolerance. Allocation differences measure percentage points. n.a. means the check does not apply.</x:t>
        </x:r>
      </x:text>
    </x:comment>
    <x:comment ref="E22" authorId="0">
      <x:text>
        <x:r>
          <x:t>FP&amp;A operating income bridge (FY:17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F22" authorId="0">
      <x:text>
        <x:r>
          <x:t>FP&amp;A operating income bridge (FY:18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G22" authorId="0">
      <x:text>
        <x:r>
          <x:t>FP&amp;A operating income bridge (FY:19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H22" authorId="0">
      <x:text>
        <x:r>
          <x:t>FP&amp;A operating income bridge (FY:20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I22" authorId="0">
      <x:text>
        <x:r>
          <x:t>FP&amp;A operating income bridge (FY:21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J22" authorId="0">
      <x:text>
        <x:r>
          <x:t>FP&amp;A operating income bridge (FY:22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K22" authorId="0">
      <x:text>
        <x:r>
          <x:t>FP&amp;A operating income bridge (FY:23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L22" authorId="0">
      <x:text>
        <x:r>
          <x:t>FP&amp;A operating income bridge (FY:24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M22" authorId="0">
      <x:text>
        <x:r>
          <x:t>FP&amp;A operating income bridge (FY:25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N22" authorId="0">
      <x:text>
        <x:r>
          <x:t>FP&amp;A operating income bridge (FY:26 A).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O22" authorId="0">
      <x:text>
        <x:r>
          <x:t>FP&amp;A operating income bridge (FY:27 E).
Independent reconciliation of the named balances or flows. USD differences use the existing 0.01 million tolerance. Allocation differences measure percentage points. n.a. means the check does not apply.
Formula: =ROUND('FP&amp;A'!F39-'Income Statement'!O19,6)
Cross-sheet references identify the owning schedule. Same-sheet references identify intermediate calculations.</x:t>
        </x:r>
      </x:text>
    </x:comment>
    <x:comment ref="P22" authorId="0">
      <x:text>
        <x:r>
          <x:t>FP&amp;A operating income bridge (FY:28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Q22" authorId="0">
      <x:text>
        <x:r>
          <x:t>FP&amp;A operating income bridge (FY:29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R22" authorId="0">
      <x:text>
        <x:r>
          <x:t>FP&amp;A operating income bridge (FY:30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S22" authorId="0">
      <x:text>
        <x:r>
          <x:t>FP&amp;A operating income bridge (FY:31 E).
Independent reconciliation of the named balances or flows. USD differences use the existing 0.01 million tolerance. Allocation differences measure percentage points. n.a. means the check does not apply. This period is unavailable or not applicable. Do not interpret it as zero.
Formula: ="n.a."
Cross-sheet references identify the owning schedule. Same-sheet references identify intermediate calculations.</x:t>
        </x:r>
      </x:text>
    </x:comment>
    <x:comment ref="C26" authorId="0">
      <x:text>
        <x:r>
          <x:t>Independent reconciliation of the named balances or flows. USD differences use the existing 0.01 million tolerance. Allocation differences measure percentage points. n.a. means the check does not apply.</x:t>
        </x:r>
      </x:text>
    </x:comment>
    <x:comment ref="E26" authorId="0">
      <x:text>
        <x:r>
          <x:t>ppe allocation sum less 100% (FY:17 A).
Independent reconciliation of the named balances or flows. USD differences use the existing 0.01 million tolerance. Allocation differences measure percentage points. n.a. means the check does not apply.
Formula: =SUM('Assumptions'!E205:H205)-1
Cross-sheet references identify the owning schedule. Same-sheet references identify intermediate calculations.</x:t>
        </x:r>
      </x:text>
    </x:comment>
    <x:comment ref="C27" authorId="0">
      <x:text>
        <x:r>
          <x:t>Independent reconciliation of the named balances or flows. USD differences use the existing 0.01 million tolerance. Allocation differences measure percentage points. n.a. means the check does not apply.</x:t>
        </x:r>
      </x:text>
    </x:comment>
    <x:comment ref="E27" authorId="0">
      <x:text>
        <x:r>
          <x:t>intangibles allocation sum less 100% (FY:17 A).
Independent reconciliation of the named balances or flows. USD differences use the existing 0.01 million tolerance. Allocation differences measure percentage points. n.a. means the check does not apply.
Formula: =SUM('Assumptions'!E206:H206)-1
Cross-sheet references identify the owning schedule. Same-sheet references identify intermediate calculations.</x:t>
        </x:r>
      </x:text>
    </x:comment>
    <x:comment ref="C28" authorId="0">
      <x:text>
        <x:r>
          <x:t>Independent reconciliation of the named balances or flows. USD differences use the existing 0.01 million tolerance. Allocation differences measure percentage points. n.a. means the check does not apply.</x:t>
        </x:r>
      </x:text>
    </x:comment>
    <x:comment ref="E28" authorId="0">
      <x:text>
        <x:r>
          <x:t>operating_leases allocation sum less 100% (FY:17 A).
Independent reconciliation of the named balances or flows. USD differences use the existing 0.01 million tolerance. Allocation differences measure percentage points. n.a. means the check does not apply.
Formula: =SUM('Assumptions'!E207:H207)-1
Cross-sheet references identify the owning schedule. Same-sheet references identify intermediate calculations.</x:t>
        </x:r>
      </x:text>
    </x:comment>
    <x:comment ref="C29" authorId="0">
      <x:text>
        <x:r>
          <x:t>Independent reconciliation of the named balances or flows. USD differences use the existing 0.01 million tolerance. Allocation differences measure percentage points. n.a. means the check does not apply.</x:t>
        </x:r>
      </x:text>
    </x:comment>
    <x:comment ref="E29" authorId="0">
      <x:text>
        <x:r>
          <x:t>opex allocation sum less 100% (FY:17 A).
Independent reconciliation of the named balances or flows. USD differences use the existing 0.01 million tolerance. Allocation differences measure percentage points. n.a. means the check does not apply.
Formula: =SUM('Assumptions'!E208:H208)-1
Cross-sheet references identify the owning schedule. Same-sheet references identify intermediate calculations.</x:t>
        </x:r>
      </x:text>
    </x:comment>
    <x:comment ref="C48" authorId="0">
      <x:text>
        <x:r>
          <x:t>Live analytical observation. This formula reads the existing statement or schedule and updates with the selected case. ="Largest absolute forecast balance-sheet difference: "&amp;FIXED(MAX(MAX(O8:S8),-MIN(O8:S8)),6,TRUE)&amp;" USD millions."</x:t>
        </x:r>
      </x:text>
    </x:comment>
    <x:comment ref="C49" authorId="0">
      <x:text>
        <x:r>
          <x:t>Live analytical observation. This formula reads the existing statement or schedule and updates with the selected case. ="Largest absolute forecast ending-cash difference: "&amp;FIXED(MAX(MAX(O9:S9),-MIN(O9:S9)),6,TRUE)&amp;" USD millions."</x:t>
        </x:r>
      </x:text>
    </x:comment>
    <x:comment ref="C50" authorId="0">
      <x:text>
        <x:r>
          <x:t>Live analytical observation. This formula reads the existing statement or schedule and updates with the selected case. ="Checks are terminal diagnostics. An unavailable check is not a passed check, and no business calculation reads this sheet."</x:t>
        </x:r>
      </x:text>
    </x:comment>
  </x:commentList>
</x:comments>
</file>

<file path=xl/comments20.xml><?xml version="1.0" encoding="utf-8"?>
<x:comments xmlns:x="http://schemas.openxmlformats.org/spreadsheetml/2006/main">
  <x:authors>
    <x:author>Goran Brkich</x:author>
  </x:authors>
  <x:commentList>
    <x:comment ref="C2" authorId="0">
      <x:text>
        <x:r>
          <x:t>Model Guide. Amounts are USD millions unless the row states a ratio, days, years or per-share value. Hover over annotated labels or values for definitions and formula references.</x:t>
        </x:r>
      </x:text>
    </x:comment>
  </x:commentList>
</x:comments>
</file>

<file path=xl/comments21.xml><?xml version="1.0" encoding="utf-8"?>
<x:comments xmlns:x="http://schemas.openxmlformats.org/spreadsheetml/2006/main">
  <x:authors>
    <x:author>Goran Brkich</x:author>
  </x:authors>
  <x:commentList>
    <x:comment ref="W10" authorId="0">
      <x:text>
        <x:r>
          <x:t>Student t reference values at the 97.5th percentile, generated with scipy.stats.t.ppf(0.975,df). Degrees of freedom 1 to 30 cover both supplied samples. The 95% confidence intervals read the critical value for their residual degrees of freedom.</x:t>
        </x:r>
      </x:text>
    </x:comment>
    <x:comment ref="C12" authorId="0">
      <x:text>
        <x:r>
          <x:t>Fiscal year. Actual observations only.
Formula: =2017</x:t>
        </x:r>
      </x:text>
    </x:comment>
    <x:comment ref="D12" authorId="0">
      <x:text>
        <x:r>
          <x:t>Historical revenue in USD millions.
Formula: ='Historical Inputs'!E9</x:t>
        </x:r>
      </x:text>
    </x:comment>
    <x:comment ref="E12" authorId="0">
      <x:text>
        <x:r>
          <x:t>Historical operating cash flow in USD millions.
Formula: ='Historical Inputs'!E80</x:t>
        </x:r>
      </x:text>
    </x:comment>
    <x:comment ref="F12" authorId="0">
      <x:text>
        <x:r>
          <x:t>Natural logarithm of positive revenue.
Formula: =LN(D12)</x:t>
        </x:r>
      </x:text>
    </x:comment>
    <x:comment ref="G12" authorId="0">
      <x:text>
        <x:r>
          <x:t>Natural logarithm of positive CFO.
Formula: =LN(E12)</x:t>
        </x:r>
      </x:text>
    </x:comment>
    <x:comment ref="H12" authorId="0">
      <x:text>
        <x:r>
          <x:t>x minus sample mean x.
Formula: =F12-$E$30</x:t>
        </x:r>
      </x:text>
    </x:comment>
    <x:comment ref="I12" authorId="0">
      <x:text>
        <x:r>
          <x:t>Squared centered regressor. Summed to Sxx.
Formula: =H12^2</x:t>
        </x:r>
      </x:text>
    </x:comment>
    <x:comment ref="J12" authorId="0">
      <x:text>
        <x:r>
          <x:t>Centered x multiplied by y. Summed and divided by Sxx for the slope.
Formula: =H12*G12</x:t>
        </x:r>
      </x:text>
    </x:comment>
    <x:comment ref="K12" authorId="0">
      <x:text>
        <x:r>
          <x:t>OLS fitted value in the model's logarithmic units.
Formula: =$E$34+$E$33*F12</x:t>
        </x:r>
      </x:text>
    </x:comment>
    <x:comment ref="L12" authorId="0">
      <x:text>
        <x:r>
          <x:t>Observed y less fitted y.
Formula: =G12-K12</x:t>
        </x:r>
      </x:text>
    </x:comment>
    <x:comment ref="M12" authorId="0">
      <x:text>
        <x:r>
          <x:t>Leverage: 1/n plus centered x squared / Sxx. High values amplify the HC3 correction.
Formula: =1/$E$28+I12/$E$32</x:t>
        </x:r>
      </x:text>
    </x:comment>
    <x:comment ref="N12" authorId="0">
      <x:text>
        <x:r>
          <x:t>HC3 weight: residual squared divided by (1 minus leverage) squared.
Formula: =L12^2/(1-M12)^2</x:t>
        </x:r>
      </x:text>
    </x:comment>
    <x:comment ref="O12" authorId="0">
      <x:text>
        <x:r>
          <x:t>EXP(fitted ln CFO): fitted conditional median in USD millions. This is not a bias-corrected conditional mean.
Formula: =EXP(K12)</x:t>
        </x:r>
      </x:text>
    </x:comment>
    <x:comment ref="P12" authorId="0">
      <x:text>
        <x:r>
          <x:t>Squared OLS residual. Summed to RSS.
Formula: =L12^2</x:t>
        </x:r>
      </x:text>
    </x:comment>
    <x:comment ref="Q12" authorId="0">
      <x:text>
        <x:r>
          <x:t>Squared y minus mean y. Summed to SST.
Formula: =(G12-$E$31)^2</x:t>
        </x:r>
      </x:text>
    </x:comment>
    <x:comment ref="R12" authorId="0">
      <x:text>
        <x:r>
          <x:t>Centered x times HC3 weight, used in the intercept variance.
Formula: =H12*N12</x:t>
        </x:r>
      </x:text>
    </x:comment>
    <x:comment ref="S12" authorId="0">
      <x:text>
        <x:r>
          <x:t>Centered x squared times HC3 weight, used in the slope variance.
Formula: =I12*N12</x:t>
        </x:r>
      </x:text>
    </x:comment>
    <x:comment ref="T12" authorId="0">
      <x:text>
        <x:r>
          <x:t>Squared change in consecutive residuals. The first row is zero by construction, used in Durbin Watson.
Formula: =0</x:t>
        </x:r>
      </x:text>
    </x:comment>
    <x:comment ref="C13" authorId="0">
      <x:text>
        <x:r>
          <x:t>Fiscal year. Actual observations only.
Formula: =2018</x:t>
        </x:r>
      </x:text>
    </x:comment>
    <x:comment ref="D13" authorId="0">
      <x:text>
        <x:r>
          <x:t>Historical revenue in USD millions.
Formula: ='Historical Inputs'!F9</x:t>
        </x:r>
      </x:text>
    </x:comment>
    <x:comment ref="E13" authorId="0">
      <x:text>
        <x:r>
          <x:t>Historical operating cash flow in USD millions.
Formula: ='Historical Inputs'!F80</x:t>
        </x:r>
      </x:text>
    </x:comment>
    <x:comment ref="F13" authorId="0">
      <x:text>
        <x:r>
          <x:t>Natural logarithm of positive revenue.
Formula: =LN(D13)</x:t>
        </x:r>
      </x:text>
    </x:comment>
    <x:comment ref="G13" authorId="0">
      <x:text>
        <x:r>
          <x:t>Natural logarithm of positive CFO.
Formula: =LN(E13)</x:t>
        </x:r>
      </x:text>
    </x:comment>
    <x:comment ref="H13" authorId="0">
      <x:text>
        <x:r>
          <x:t>x minus sample mean x.
Formula: =F13-$E$30</x:t>
        </x:r>
      </x:text>
    </x:comment>
    <x:comment ref="I13" authorId="0">
      <x:text>
        <x:r>
          <x:t>Squared centered regressor. Summed to Sxx.
Formula: =H13^2</x:t>
        </x:r>
      </x:text>
    </x:comment>
    <x:comment ref="J13" authorId="0">
      <x:text>
        <x:r>
          <x:t>Centered x multiplied by y. Summed and divided by Sxx for the slope.
Formula: =H13*G13</x:t>
        </x:r>
      </x:text>
    </x:comment>
    <x:comment ref="K13" authorId="0">
      <x:text>
        <x:r>
          <x:t>OLS fitted value in the model's logarithmic units.
Formula: =$E$34+$E$33*F13</x:t>
        </x:r>
      </x:text>
    </x:comment>
    <x:comment ref="L13" authorId="0">
      <x:text>
        <x:r>
          <x:t>Observed y less fitted y.
Formula: =G13-K13</x:t>
        </x:r>
      </x:text>
    </x:comment>
    <x:comment ref="M13" authorId="0">
      <x:text>
        <x:r>
          <x:t>Leverage: 1/n plus centered x squared / Sxx. High values amplify the HC3 correction.
Formula: =1/$E$28+I13/$E$32</x:t>
        </x:r>
      </x:text>
    </x:comment>
    <x:comment ref="N13" authorId="0">
      <x:text>
        <x:r>
          <x:t>HC3 weight: residual squared divided by (1 minus leverage) squared.
Formula: =L13^2/(1-M13)^2</x:t>
        </x:r>
      </x:text>
    </x:comment>
    <x:comment ref="O13" authorId="0">
      <x:text>
        <x:r>
          <x:t>EXP(fitted ln CFO): fitted conditional median in USD millions. This is not a bias-corrected conditional mean.
Formula: =EXP(K13)</x:t>
        </x:r>
      </x:text>
    </x:comment>
    <x:comment ref="P13" authorId="0">
      <x:text>
        <x:r>
          <x:t>Squared OLS residual. Summed to RSS.
Formula: =L13^2</x:t>
        </x:r>
      </x:text>
    </x:comment>
    <x:comment ref="Q13" authorId="0">
      <x:text>
        <x:r>
          <x:t>Squared y minus mean y. Summed to SST.
Formula: =(G13-$E$31)^2</x:t>
        </x:r>
      </x:text>
    </x:comment>
    <x:comment ref="R13" authorId="0">
      <x:text>
        <x:r>
          <x:t>Centered x times HC3 weight, used in the intercept variance.
Formula: =H13*N13</x:t>
        </x:r>
      </x:text>
    </x:comment>
    <x:comment ref="S13" authorId="0">
      <x:text>
        <x:r>
          <x:t>Centered x squared times HC3 weight, used in the slope variance.
Formula: =I13*N13</x:t>
        </x:r>
      </x:text>
    </x:comment>
    <x:comment ref="T13" authorId="0">
      <x:text>
        <x:r>
          <x:t>Squared change in consecutive residuals. The first row is zero by construction, used in Durbin Watson.
Formula: =(L13-L12)^2</x:t>
        </x:r>
      </x:text>
    </x:comment>
    <x:comment ref="C14" authorId="0">
      <x:text>
        <x:r>
          <x:t>Fiscal year. Actual observations only.
Formula: =2019</x:t>
        </x:r>
      </x:text>
    </x:comment>
    <x:comment ref="D14" authorId="0">
      <x:text>
        <x:r>
          <x:t>Historical revenue in USD millions.
Formula: ='Historical Inputs'!G9</x:t>
        </x:r>
      </x:text>
    </x:comment>
    <x:comment ref="E14" authorId="0">
      <x:text>
        <x:r>
          <x:t>Historical operating cash flow in USD millions.
Formula: ='Historical Inputs'!G80</x:t>
        </x:r>
      </x:text>
    </x:comment>
    <x:comment ref="F14" authorId="0">
      <x:text>
        <x:r>
          <x:t>Natural logarithm of positive revenue.
Formula: =LN(D14)</x:t>
        </x:r>
      </x:text>
    </x:comment>
    <x:comment ref="G14" authorId="0">
      <x:text>
        <x:r>
          <x:t>Natural logarithm of positive CFO.
Formula: =LN(E14)</x:t>
        </x:r>
      </x:text>
    </x:comment>
    <x:comment ref="H14" authorId="0">
      <x:text>
        <x:r>
          <x:t>x minus sample mean x.
Formula: =F14-$E$30</x:t>
        </x:r>
      </x:text>
    </x:comment>
    <x:comment ref="I14" authorId="0">
      <x:text>
        <x:r>
          <x:t>Squared centered regressor. Summed to Sxx.
Formula: =H14^2</x:t>
        </x:r>
      </x:text>
    </x:comment>
    <x:comment ref="J14" authorId="0">
      <x:text>
        <x:r>
          <x:t>Centered x multiplied by y. Summed and divided by Sxx for the slope.
Formula: =H14*G14</x:t>
        </x:r>
      </x:text>
    </x:comment>
    <x:comment ref="K14" authorId="0">
      <x:text>
        <x:r>
          <x:t>OLS fitted value in the model's logarithmic units.
Formula: =$E$34+$E$33*F14</x:t>
        </x:r>
      </x:text>
    </x:comment>
    <x:comment ref="L14" authorId="0">
      <x:text>
        <x:r>
          <x:t>Observed y less fitted y.
Formula: =G14-K14</x:t>
        </x:r>
      </x:text>
    </x:comment>
    <x:comment ref="M14" authorId="0">
      <x:text>
        <x:r>
          <x:t>Leverage: 1/n plus centered x squared / Sxx. High values amplify the HC3 correction.
Formula: =1/$E$28+I14/$E$32</x:t>
        </x:r>
      </x:text>
    </x:comment>
    <x:comment ref="N14" authorId="0">
      <x:text>
        <x:r>
          <x:t>HC3 weight: residual squared divided by (1 minus leverage) squared.
Formula: =L14^2/(1-M14)^2</x:t>
        </x:r>
      </x:text>
    </x:comment>
    <x:comment ref="O14" authorId="0">
      <x:text>
        <x:r>
          <x:t>EXP(fitted ln CFO): fitted conditional median in USD millions. This is not a bias-corrected conditional mean.
Formula: =EXP(K14)</x:t>
        </x:r>
      </x:text>
    </x:comment>
    <x:comment ref="P14" authorId="0">
      <x:text>
        <x:r>
          <x:t>Squared OLS residual. Summed to RSS.
Formula: =L14^2</x:t>
        </x:r>
      </x:text>
    </x:comment>
    <x:comment ref="Q14" authorId="0">
      <x:text>
        <x:r>
          <x:t>Squared y minus mean y. Summed to SST.
Formula: =(G14-$E$31)^2</x:t>
        </x:r>
      </x:text>
    </x:comment>
    <x:comment ref="R14" authorId="0">
      <x:text>
        <x:r>
          <x:t>Centered x times HC3 weight, used in the intercept variance.
Formula: =H14*N14</x:t>
        </x:r>
      </x:text>
    </x:comment>
    <x:comment ref="S14" authorId="0">
      <x:text>
        <x:r>
          <x:t>Centered x squared times HC3 weight, used in the slope variance.
Formula: =I14*N14</x:t>
        </x:r>
      </x:text>
    </x:comment>
    <x:comment ref="T14" authorId="0">
      <x:text>
        <x:r>
          <x:t>Squared change in consecutive residuals. The first row is zero by construction, used in Durbin Watson.
Formula: =(L14-L13)^2</x:t>
        </x:r>
      </x:text>
    </x:comment>
    <x:comment ref="C15" authorId="0">
      <x:text>
        <x:r>
          <x:t>Fiscal year. Actual observations only.
Formula: =2020</x:t>
        </x:r>
      </x:text>
    </x:comment>
    <x:comment ref="D15" authorId="0">
      <x:text>
        <x:r>
          <x:t>Historical revenue in USD millions.
Formula: ='Historical Inputs'!H9</x:t>
        </x:r>
      </x:text>
    </x:comment>
    <x:comment ref="E15" authorId="0">
      <x:text>
        <x:r>
          <x:t>Historical operating cash flow in USD millions.
Formula: ='Historical Inputs'!H80</x:t>
        </x:r>
      </x:text>
    </x:comment>
    <x:comment ref="F15" authorId="0">
      <x:text>
        <x:r>
          <x:t>Natural logarithm of positive revenue.
Formula: =LN(D15)</x:t>
        </x:r>
      </x:text>
    </x:comment>
    <x:comment ref="G15" authorId="0">
      <x:text>
        <x:r>
          <x:t>Natural logarithm of positive CFO.
Formula: =LN(E15)</x:t>
        </x:r>
      </x:text>
    </x:comment>
    <x:comment ref="H15" authorId="0">
      <x:text>
        <x:r>
          <x:t>x minus sample mean x.
Formula: =F15-$E$30</x:t>
        </x:r>
      </x:text>
    </x:comment>
    <x:comment ref="I15" authorId="0">
      <x:text>
        <x:r>
          <x:t>Squared centered regressor. Summed to Sxx.
Formula: =H15^2</x:t>
        </x:r>
      </x:text>
    </x:comment>
    <x:comment ref="J15" authorId="0">
      <x:text>
        <x:r>
          <x:t>Centered x multiplied by y. Summed and divided by Sxx for the slope.
Formula: =H15*G15</x:t>
        </x:r>
      </x:text>
    </x:comment>
    <x:comment ref="K15" authorId="0">
      <x:text>
        <x:r>
          <x:t>OLS fitted value in the model's logarithmic units.
Formula: =$E$34+$E$33*F15</x:t>
        </x:r>
      </x:text>
    </x:comment>
    <x:comment ref="L15" authorId="0">
      <x:text>
        <x:r>
          <x:t>Observed y less fitted y.
Formula: =G15-K15</x:t>
        </x:r>
      </x:text>
    </x:comment>
    <x:comment ref="M15" authorId="0">
      <x:text>
        <x:r>
          <x:t>Leverage: 1/n plus centered x squared / Sxx. High values amplify the HC3 correction.
Formula: =1/$E$28+I15/$E$32</x:t>
        </x:r>
      </x:text>
    </x:comment>
    <x:comment ref="N15" authorId="0">
      <x:text>
        <x:r>
          <x:t>HC3 weight: residual squared divided by (1 minus leverage) squared.
Formula: =L15^2/(1-M15)^2</x:t>
        </x:r>
      </x:text>
    </x:comment>
    <x:comment ref="O15" authorId="0">
      <x:text>
        <x:r>
          <x:t>EXP(fitted ln CFO): fitted conditional median in USD millions. This is not a bias-corrected conditional mean.
Formula: =EXP(K15)</x:t>
        </x:r>
      </x:text>
    </x:comment>
    <x:comment ref="P15" authorId="0">
      <x:text>
        <x:r>
          <x:t>Squared OLS residual. Summed to RSS.
Formula: =L15^2</x:t>
        </x:r>
      </x:text>
    </x:comment>
    <x:comment ref="Q15" authorId="0">
      <x:text>
        <x:r>
          <x:t>Squared y minus mean y. Summed to SST.
Formula: =(G15-$E$31)^2</x:t>
        </x:r>
      </x:text>
    </x:comment>
    <x:comment ref="R15" authorId="0">
      <x:text>
        <x:r>
          <x:t>Centered x times HC3 weight, used in the intercept variance.
Formula: =H15*N15</x:t>
        </x:r>
      </x:text>
    </x:comment>
    <x:comment ref="S15" authorId="0">
      <x:text>
        <x:r>
          <x:t>Centered x squared times HC3 weight, used in the slope variance.
Formula: =I15*N15</x:t>
        </x:r>
      </x:text>
    </x:comment>
    <x:comment ref="T15" authorId="0">
      <x:text>
        <x:r>
          <x:t>Squared change in consecutive residuals. The first row is zero by construction, used in Durbin Watson.
Formula: =(L15-L14)^2</x:t>
        </x:r>
      </x:text>
    </x:comment>
    <x:comment ref="C16" authorId="0">
      <x:text>
        <x:r>
          <x:t>Fiscal year. Actual observations only.
Formula: =2021</x:t>
        </x:r>
      </x:text>
    </x:comment>
    <x:comment ref="D16" authorId="0">
      <x:text>
        <x:r>
          <x:t>Historical revenue in USD millions.
Formula: ='Historical Inputs'!I9</x:t>
        </x:r>
      </x:text>
    </x:comment>
    <x:comment ref="E16" authorId="0">
      <x:text>
        <x:r>
          <x:t>Historical operating cash flow in USD millions.
Formula: ='Historical Inputs'!I80</x:t>
        </x:r>
      </x:text>
    </x:comment>
    <x:comment ref="F16" authorId="0">
      <x:text>
        <x:r>
          <x:t>Natural logarithm of positive revenue.
Formula: =LN(D16)</x:t>
        </x:r>
      </x:text>
    </x:comment>
    <x:comment ref="G16" authorId="0">
      <x:text>
        <x:r>
          <x:t>Natural logarithm of positive CFO.
Formula: =LN(E16)</x:t>
        </x:r>
      </x:text>
    </x:comment>
    <x:comment ref="H16" authorId="0">
      <x:text>
        <x:r>
          <x:t>x minus sample mean x.
Formula: =F16-$E$30</x:t>
        </x:r>
      </x:text>
    </x:comment>
    <x:comment ref="I16" authorId="0">
      <x:text>
        <x:r>
          <x:t>Squared centered regressor. Summed to Sxx.
Formula: =H16^2</x:t>
        </x:r>
      </x:text>
    </x:comment>
    <x:comment ref="J16" authorId="0">
      <x:text>
        <x:r>
          <x:t>Centered x multiplied by y. Summed and divided by Sxx for the slope.
Formula: =H16*G16</x:t>
        </x:r>
      </x:text>
    </x:comment>
    <x:comment ref="K16" authorId="0">
      <x:text>
        <x:r>
          <x:t>OLS fitted value in the model's logarithmic units.
Formula: =$E$34+$E$33*F16</x:t>
        </x:r>
      </x:text>
    </x:comment>
    <x:comment ref="L16" authorId="0">
      <x:text>
        <x:r>
          <x:t>Observed y less fitted y.
Formula: =G16-K16</x:t>
        </x:r>
      </x:text>
    </x:comment>
    <x:comment ref="M16" authorId="0">
      <x:text>
        <x:r>
          <x:t>Leverage: 1/n plus centered x squared / Sxx. High values amplify the HC3 correction.
Formula: =1/$E$28+I16/$E$32</x:t>
        </x:r>
      </x:text>
    </x:comment>
    <x:comment ref="N16" authorId="0">
      <x:text>
        <x:r>
          <x:t>HC3 weight: residual squared divided by (1 minus leverage) squared.
Formula: =L16^2/(1-M16)^2</x:t>
        </x:r>
      </x:text>
    </x:comment>
    <x:comment ref="O16" authorId="0">
      <x:text>
        <x:r>
          <x:t>EXP(fitted ln CFO): fitted conditional median in USD millions. This is not a bias-corrected conditional mean.
Formula: =EXP(K16)</x:t>
        </x:r>
      </x:text>
    </x:comment>
    <x:comment ref="P16" authorId="0">
      <x:text>
        <x:r>
          <x:t>Squared OLS residual. Summed to RSS.
Formula: =L16^2</x:t>
        </x:r>
      </x:text>
    </x:comment>
    <x:comment ref="Q16" authorId="0">
      <x:text>
        <x:r>
          <x:t>Squared y minus mean y. Summed to SST.
Formula: =(G16-$E$31)^2</x:t>
        </x:r>
      </x:text>
    </x:comment>
    <x:comment ref="R16" authorId="0">
      <x:text>
        <x:r>
          <x:t>Centered x times HC3 weight, used in the intercept variance.
Formula: =H16*N16</x:t>
        </x:r>
      </x:text>
    </x:comment>
    <x:comment ref="S16" authorId="0">
      <x:text>
        <x:r>
          <x:t>Centered x squared times HC3 weight, used in the slope variance.
Formula: =I16*N16</x:t>
        </x:r>
      </x:text>
    </x:comment>
    <x:comment ref="T16" authorId="0">
      <x:text>
        <x:r>
          <x:t>Squared change in consecutive residuals. The first row is zero by construction, used in Durbin Watson.
Formula: =(L16-L15)^2</x:t>
        </x:r>
      </x:text>
    </x:comment>
    <x:comment ref="C17" authorId="0">
      <x:text>
        <x:r>
          <x:t>Fiscal year. Actual observations only.
Formula: =2022</x:t>
        </x:r>
      </x:text>
    </x:comment>
    <x:comment ref="D17" authorId="0">
      <x:text>
        <x:r>
          <x:t>Historical revenue in USD millions.
Formula: ='Historical Inputs'!J9</x:t>
        </x:r>
      </x:text>
    </x:comment>
    <x:comment ref="E17" authorId="0">
      <x:text>
        <x:r>
          <x:t>Historical operating cash flow in USD millions.
Formula: ='Historical Inputs'!J80</x:t>
        </x:r>
      </x:text>
    </x:comment>
    <x:comment ref="F17" authorId="0">
      <x:text>
        <x:r>
          <x:t>Natural logarithm of positive revenue.
Formula: =LN(D17)</x:t>
        </x:r>
      </x:text>
    </x:comment>
    <x:comment ref="G17" authorId="0">
      <x:text>
        <x:r>
          <x:t>Natural logarithm of positive CFO.
Formula: =LN(E17)</x:t>
        </x:r>
      </x:text>
    </x:comment>
    <x:comment ref="H17" authorId="0">
      <x:text>
        <x:r>
          <x:t>x minus sample mean x.
Formula: =F17-$E$30</x:t>
        </x:r>
      </x:text>
    </x:comment>
    <x:comment ref="I17" authorId="0">
      <x:text>
        <x:r>
          <x:t>Squared centered regressor. Summed to Sxx.
Formula: =H17^2</x:t>
        </x:r>
      </x:text>
    </x:comment>
    <x:comment ref="J17" authorId="0">
      <x:text>
        <x:r>
          <x:t>Centered x multiplied by y. Summed and divided by Sxx for the slope.
Formula: =H17*G17</x:t>
        </x:r>
      </x:text>
    </x:comment>
    <x:comment ref="K17" authorId="0">
      <x:text>
        <x:r>
          <x:t>OLS fitted value in the model's logarithmic units.
Formula: =$E$34+$E$33*F17</x:t>
        </x:r>
      </x:text>
    </x:comment>
    <x:comment ref="L17" authorId="0">
      <x:text>
        <x:r>
          <x:t>Observed y less fitted y.
Formula: =G17-K17</x:t>
        </x:r>
      </x:text>
    </x:comment>
    <x:comment ref="M17" authorId="0">
      <x:text>
        <x:r>
          <x:t>Leverage: 1/n plus centered x squared / Sxx. High values amplify the HC3 correction.
Formula: =1/$E$28+I17/$E$32</x:t>
        </x:r>
      </x:text>
    </x:comment>
    <x:comment ref="N17" authorId="0">
      <x:text>
        <x:r>
          <x:t>HC3 weight: residual squared divided by (1 minus leverage) squared.
Formula: =L17^2/(1-M17)^2</x:t>
        </x:r>
      </x:text>
    </x:comment>
    <x:comment ref="O17" authorId="0">
      <x:text>
        <x:r>
          <x:t>EXP(fitted ln CFO): fitted conditional median in USD millions. This is not a bias-corrected conditional mean.
Formula: =EXP(K17)</x:t>
        </x:r>
      </x:text>
    </x:comment>
    <x:comment ref="P17" authorId="0">
      <x:text>
        <x:r>
          <x:t>Squared OLS residual. Summed to RSS.
Formula: =L17^2</x:t>
        </x:r>
      </x:text>
    </x:comment>
    <x:comment ref="Q17" authorId="0">
      <x:text>
        <x:r>
          <x:t>Squared y minus mean y. Summed to SST.
Formula: =(G17-$E$31)^2</x:t>
        </x:r>
      </x:text>
    </x:comment>
    <x:comment ref="R17" authorId="0">
      <x:text>
        <x:r>
          <x:t>Centered x times HC3 weight, used in the intercept variance.
Formula: =H17*N17</x:t>
        </x:r>
      </x:text>
    </x:comment>
    <x:comment ref="S17" authorId="0">
      <x:text>
        <x:r>
          <x:t>Centered x squared times HC3 weight, used in the slope variance.
Formula: =I17*N17</x:t>
        </x:r>
      </x:text>
    </x:comment>
    <x:comment ref="T17" authorId="0">
      <x:text>
        <x:r>
          <x:t>Squared change in consecutive residuals. The first row is zero by construction, used in Durbin Watson.
Formula: =(L17-L16)^2</x:t>
        </x:r>
      </x:text>
    </x:comment>
    <x:comment ref="C18" authorId="0">
      <x:text>
        <x:r>
          <x:t>Fiscal year. Actual observations only.
Formula: =2023</x:t>
        </x:r>
      </x:text>
    </x:comment>
    <x:comment ref="D18" authorId="0">
      <x:text>
        <x:r>
          <x:t>Historical revenue in USD millions.
Formula: ='Historical Inputs'!K9</x:t>
        </x:r>
      </x:text>
    </x:comment>
    <x:comment ref="E18" authorId="0">
      <x:text>
        <x:r>
          <x:t>Historical operating cash flow in USD millions.
Formula: ='Historical Inputs'!K80</x:t>
        </x:r>
      </x:text>
    </x:comment>
    <x:comment ref="F18" authorId="0">
      <x:text>
        <x:r>
          <x:t>Natural logarithm of positive revenue.
Formula: =LN(D18)</x:t>
        </x:r>
      </x:text>
    </x:comment>
    <x:comment ref="G18" authorId="0">
      <x:text>
        <x:r>
          <x:t>Natural logarithm of positive CFO.
Formula: =LN(E18)</x:t>
        </x:r>
      </x:text>
    </x:comment>
    <x:comment ref="H18" authorId="0">
      <x:text>
        <x:r>
          <x:t>x minus sample mean x.
Formula: =F18-$E$30</x:t>
        </x:r>
      </x:text>
    </x:comment>
    <x:comment ref="I18" authorId="0">
      <x:text>
        <x:r>
          <x:t>Squared centered regressor. Summed to Sxx.
Formula: =H18^2</x:t>
        </x:r>
      </x:text>
    </x:comment>
    <x:comment ref="J18" authorId="0">
      <x:text>
        <x:r>
          <x:t>Centered x multiplied by y. Summed and divided by Sxx for the slope.
Formula: =H18*G18</x:t>
        </x:r>
      </x:text>
    </x:comment>
    <x:comment ref="K18" authorId="0">
      <x:text>
        <x:r>
          <x:t>OLS fitted value in the model's logarithmic units.
Formula: =$E$34+$E$33*F18</x:t>
        </x:r>
      </x:text>
    </x:comment>
    <x:comment ref="L18" authorId="0">
      <x:text>
        <x:r>
          <x:t>Observed y less fitted y.
Formula: =G18-K18</x:t>
        </x:r>
      </x:text>
    </x:comment>
    <x:comment ref="M18" authorId="0">
      <x:text>
        <x:r>
          <x:t>Leverage: 1/n plus centered x squared / Sxx. High values amplify the HC3 correction.
Formula: =1/$E$28+I18/$E$32</x:t>
        </x:r>
      </x:text>
    </x:comment>
    <x:comment ref="N18" authorId="0">
      <x:text>
        <x:r>
          <x:t>HC3 weight: residual squared divided by (1 minus leverage) squared.
Formula: =L18^2/(1-M18)^2</x:t>
        </x:r>
      </x:text>
    </x:comment>
    <x:comment ref="O18" authorId="0">
      <x:text>
        <x:r>
          <x:t>EXP(fitted ln CFO): fitted conditional median in USD millions. This is not a bias-corrected conditional mean.
Formula: =EXP(K18)</x:t>
        </x:r>
      </x:text>
    </x:comment>
    <x:comment ref="P18" authorId="0">
      <x:text>
        <x:r>
          <x:t>Squared OLS residual. Summed to RSS.
Formula: =L18^2</x:t>
        </x:r>
      </x:text>
    </x:comment>
    <x:comment ref="Q18" authorId="0">
      <x:text>
        <x:r>
          <x:t>Squared y minus mean y. Summed to SST.
Formula: =(G18-$E$31)^2</x:t>
        </x:r>
      </x:text>
    </x:comment>
    <x:comment ref="R18" authorId="0">
      <x:text>
        <x:r>
          <x:t>Centered x times HC3 weight, used in the intercept variance.
Formula: =H18*N18</x:t>
        </x:r>
      </x:text>
    </x:comment>
    <x:comment ref="S18" authorId="0">
      <x:text>
        <x:r>
          <x:t>Centered x squared times HC3 weight, used in the slope variance.
Formula: =I18*N18</x:t>
        </x:r>
      </x:text>
    </x:comment>
    <x:comment ref="T18" authorId="0">
      <x:text>
        <x:r>
          <x:t>Squared change in consecutive residuals. The first row is zero by construction, used in Durbin Watson.
Formula: =(L18-L17)^2</x:t>
        </x:r>
      </x:text>
    </x:comment>
    <x:comment ref="C19" authorId="0">
      <x:text>
        <x:r>
          <x:t>Fiscal year. Actual observations only.
Formula: =2024</x:t>
        </x:r>
      </x:text>
    </x:comment>
    <x:comment ref="D19" authorId="0">
      <x:text>
        <x:r>
          <x:t>Historical revenue in USD millions.
Formula: ='Historical Inputs'!L9</x:t>
        </x:r>
      </x:text>
    </x:comment>
    <x:comment ref="E19" authorId="0">
      <x:text>
        <x:r>
          <x:t>Historical operating cash flow in USD millions.
Formula: ='Historical Inputs'!L80</x:t>
        </x:r>
      </x:text>
    </x:comment>
    <x:comment ref="F19" authorId="0">
      <x:text>
        <x:r>
          <x:t>Natural logarithm of positive revenue.
Formula: =LN(D19)</x:t>
        </x:r>
      </x:text>
    </x:comment>
    <x:comment ref="G19" authorId="0">
      <x:text>
        <x:r>
          <x:t>Natural logarithm of positive CFO.
Formula: =LN(E19)</x:t>
        </x:r>
      </x:text>
    </x:comment>
    <x:comment ref="H19" authorId="0">
      <x:text>
        <x:r>
          <x:t>x minus sample mean x.
Formula: =F19-$E$30</x:t>
        </x:r>
      </x:text>
    </x:comment>
    <x:comment ref="I19" authorId="0">
      <x:text>
        <x:r>
          <x:t>Squared centered regressor. Summed to Sxx.
Formula: =H19^2</x:t>
        </x:r>
      </x:text>
    </x:comment>
    <x:comment ref="J19" authorId="0">
      <x:text>
        <x:r>
          <x:t>Centered x multiplied by y. Summed and divided by Sxx for the slope.
Formula: =H19*G19</x:t>
        </x:r>
      </x:text>
    </x:comment>
    <x:comment ref="K19" authorId="0">
      <x:text>
        <x:r>
          <x:t>OLS fitted value in the model's logarithmic units.
Formula: =$E$34+$E$33*F19</x:t>
        </x:r>
      </x:text>
    </x:comment>
    <x:comment ref="L19" authorId="0">
      <x:text>
        <x:r>
          <x:t>Observed y less fitted y.
Formula: =G19-K19</x:t>
        </x:r>
      </x:text>
    </x:comment>
    <x:comment ref="M19" authorId="0">
      <x:text>
        <x:r>
          <x:t>Leverage: 1/n plus centered x squared / Sxx. High values amplify the HC3 correction.
Formula: =1/$E$28+I19/$E$32</x:t>
        </x:r>
      </x:text>
    </x:comment>
    <x:comment ref="N19" authorId="0">
      <x:text>
        <x:r>
          <x:t>HC3 weight: residual squared divided by (1 minus leverage) squared.
Formula: =L19^2/(1-M19)^2</x:t>
        </x:r>
      </x:text>
    </x:comment>
    <x:comment ref="O19" authorId="0">
      <x:text>
        <x:r>
          <x:t>EXP(fitted ln CFO): fitted conditional median in USD millions. This is not a bias-corrected conditional mean.
Formula: =EXP(K19)</x:t>
        </x:r>
      </x:text>
    </x:comment>
    <x:comment ref="P19" authorId="0">
      <x:text>
        <x:r>
          <x:t>Squared OLS residual. Summed to RSS.
Formula: =L19^2</x:t>
        </x:r>
      </x:text>
    </x:comment>
    <x:comment ref="Q19" authorId="0">
      <x:text>
        <x:r>
          <x:t>Squared y minus mean y. Summed to SST.
Formula: =(G19-$E$31)^2</x:t>
        </x:r>
      </x:text>
    </x:comment>
    <x:comment ref="R19" authorId="0">
      <x:text>
        <x:r>
          <x:t>Centered x times HC3 weight, used in the intercept variance.
Formula: =H19*N19</x:t>
        </x:r>
      </x:text>
    </x:comment>
    <x:comment ref="S19" authorId="0">
      <x:text>
        <x:r>
          <x:t>Centered x squared times HC3 weight, used in the slope variance.
Formula: =I19*N19</x:t>
        </x:r>
      </x:text>
    </x:comment>
    <x:comment ref="T19" authorId="0">
      <x:text>
        <x:r>
          <x:t>Squared change in consecutive residuals. The first row is zero by construction, used in Durbin Watson.
Formula: =(L19-L18)^2</x:t>
        </x:r>
      </x:text>
    </x:comment>
    <x:comment ref="C20" authorId="0">
      <x:text>
        <x:r>
          <x:t>Fiscal year. Actual observations only.
Formula: =2025</x:t>
        </x:r>
      </x:text>
    </x:comment>
    <x:comment ref="D20" authorId="0">
      <x:text>
        <x:r>
          <x:t>Historical revenue in USD millions.
Formula: ='Historical Inputs'!M9</x:t>
        </x:r>
      </x:text>
    </x:comment>
    <x:comment ref="E20" authorId="0">
      <x:text>
        <x:r>
          <x:t>Historical operating cash flow in USD millions.
Formula: ='Historical Inputs'!M80</x:t>
        </x:r>
      </x:text>
    </x:comment>
    <x:comment ref="F20" authorId="0">
      <x:text>
        <x:r>
          <x:t>Natural logarithm of positive revenue.
Formula: =LN(D20)</x:t>
        </x:r>
      </x:text>
    </x:comment>
    <x:comment ref="G20" authorId="0">
      <x:text>
        <x:r>
          <x:t>Natural logarithm of positive CFO.
Formula: =LN(E20)</x:t>
        </x:r>
      </x:text>
    </x:comment>
    <x:comment ref="H20" authorId="0">
      <x:text>
        <x:r>
          <x:t>x minus sample mean x.
Formula: =F20-$E$30</x:t>
        </x:r>
      </x:text>
    </x:comment>
    <x:comment ref="I20" authorId="0">
      <x:text>
        <x:r>
          <x:t>Squared centered regressor. Summed to Sxx.
Formula: =H20^2</x:t>
        </x:r>
      </x:text>
    </x:comment>
    <x:comment ref="J20" authorId="0">
      <x:text>
        <x:r>
          <x:t>Centered x multiplied by y. Summed and divided by Sxx for the slope.
Formula: =H20*G20</x:t>
        </x:r>
      </x:text>
    </x:comment>
    <x:comment ref="K20" authorId="0">
      <x:text>
        <x:r>
          <x:t>OLS fitted value in the model's logarithmic units.
Formula: =$E$34+$E$33*F20</x:t>
        </x:r>
      </x:text>
    </x:comment>
    <x:comment ref="L20" authorId="0">
      <x:text>
        <x:r>
          <x:t>Observed y less fitted y.
Formula: =G20-K20</x:t>
        </x:r>
      </x:text>
    </x:comment>
    <x:comment ref="M20" authorId="0">
      <x:text>
        <x:r>
          <x:t>Leverage: 1/n plus centered x squared / Sxx. High values amplify the HC3 correction.
Formula: =1/$E$28+I20/$E$32</x:t>
        </x:r>
      </x:text>
    </x:comment>
    <x:comment ref="N20" authorId="0">
      <x:text>
        <x:r>
          <x:t>HC3 weight: residual squared divided by (1 minus leverage) squared.
Formula: =L20^2/(1-M20)^2</x:t>
        </x:r>
      </x:text>
    </x:comment>
    <x:comment ref="O20" authorId="0">
      <x:text>
        <x:r>
          <x:t>EXP(fitted ln CFO): fitted conditional median in USD millions. This is not a bias-corrected conditional mean.
Formula: =EXP(K20)</x:t>
        </x:r>
      </x:text>
    </x:comment>
    <x:comment ref="P20" authorId="0">
      <x:text>
        <x:r>
          <x:t>Squared OLS residual. Summed to RSS.
Formula: =L20^2</x:t>
        </x:r>
      </x:text>
    </x:comment>
    <x:comment ref="Q20" authorId="0">
      <x:text>
        <x:r>
          <x:t>Squared y minus mean y. Summed to SST.
Formula: =(G20-$E$31)^2</x:t>
        </x:r>
      </x:text>
    </x:comment>
    <x:comment ref="R20" authorId="0">
      <x:text>
        <x:r>
          <x:t>Centered x times HC3 weight, used in the intercept variance.
Formula: =H20*N20</x:t>
        </x:r>
      </x:text>
    </x:comment>
    <x:comment ref="S20" authorId="0">
      <x:text>
        <x:r>
          <x:t>Centered x squared times HC3 weight, used in the slope variance.
Formula: =I20*N20</x:t>
        </x:r>
      </x:text>
    </x:comment>
    <x:comment ref="T20" authorId="0">
      <x:text>
        <x:r>
          <x:t>Squared change in consecutive residuals. The first row is zero by construction, used in Durbin Watson.
Formula: =(L20-L19)^2</x:t>
        </x:r>
      </x:text>
    </x:comment>
    <x:comment ref="C21" authorId="0">
      <x:text>
        <x:r>
          <x:t>Fiscal year. Actual observations only.
Formula: =2026</x:t>
        </x:r>
      </x:text>
    </x:comment>
    <x:comment ref="D21" authorId="0">
      <x:text>
        <x:r>
          <x:t>Historical revenue in USD millions.
Formula: ='Historical Inputs'!N9</x:t>
        </x:r>
      </x:text>
    </x:comment>
    <x:comment ref="E21" authorId="0">
      <x:text>
        <x:r>
          <x:t>Historical operating cash flow in USD millions.
Formula: ='Historical Inputs'!N80</x:t>
        </x:r>
      </x:text>
    </x:comment>
    <x:comment ref="F21" authorId="0">
      <x:text>
        <x:r>
          <x:t>Natural logarithm of positive revenue.
Formula: =LN(D21)</x:t>
        </x:r>
      </x:text>
    </x:comment>
    <x:comment ref="G21" authorId="0">
      <x:text>
        <x:r>
          <x:t>Natural logarithm of positive CFO.
Formula: =LN(E21)</x:t>
        </x:r>
      </x:text>
    </x:comment>
    <x:comment ref="H21" authorId="0">
      <x:text>
        <x:r>
          <x:t>x minus sample mean x.
Formula: =F21-$E$30</x:t>
        </x:r>
      </x:text>
    </x:comment>
    <x:comment ref="I21" authorId="0">
      <x:text>
        <x:r>
          <x:t>Squared centered regressor. Summed to Sxx.
Formula: =H21^2</x:t>
        </x:r>
      </x:text>
    </x:comment>
    <x:comment ref="J21" authorId="0">
      <x:text>
        <x:r>
          <x:t>Centered x multiplied by y. Summed and divided by Sxx for the slope.
Formula: =H21*G21</x:t>
        </x:r>
      </x:text>
    </x:comment>
    <x:comment ref="K21" authorId="0">
      <x:text>
        <x:r>
          <x:t>OLS fitted value in the model's logarithmic units.
Formula: =$E$34+$E$33*F21</x:t>
        </x:r>
      </x:text>
    </x:comment>
    <x:comment ref="L21" authorId="0">
      <x:text>
        <x:r>
          <x:t>Observed y less fitted y.
Formula: =G21-K21</x:t>
        </x:r>
      </x:text>
    </x:comment>
    <x:comment ref="M21" authorId="0">
      <x:text>
        <x:r>
          <x:t>Leverage: 1/n plus centered x squared / Sxx. High values amplify the HC3 correction.
Formula: =1/$E$28+I21/$E$32</x:t>
        </x:r>
      </x:text>
    </x:comment>
    <x:comment ref="N21" authorId="0">
      <x:text>
        <x:r>
          <x:t>HC3 weight: residual squared divided by (1 minus leverage) squared.
Formula: =L21^2/(1-M21)^2</x:t>
        </x:r>
      </x:text>
    </x:comment>
    <x:comment ref="O21" authorId="0">
      <x:text>
        <x:r>
          <x:t>EXP(fitted ln CFO): fitted conditional median in USD millions. This is not a bias-corrected conditional mean.
Formula: =EXP(K21)</x:t>
        </x:r>
      </x:text>
    </x:comment>
    <x:comment ref="P21" authorId="0">
      <x:text>
        <x:r>
          <x:t>Squared OLS residual. Summed to RSS.
Formula: =L21^2</x:t>
        </x:r>
      </x:text>
    </x:comment>
    <x:comment ref="Q21" authorId="0">
      <x:text>
        <x:r>
          <x:t>Squared y minus mean y. Summed to SST.
Formula: =(G21-$E$31)^2</x:t>
        </x:r>
      </x:text>
    </x:comment>
    <x:comment ref="R21" authorId="0">
      <x:text>
        <x:r>
          <x:t>Centered x times HC3 weight, used in the intercept variance.
Formula: =H21*N21</x:t>
        </x:r>
      </x:text>
    </x:comment>
    <x:comment ref="S21" authorId="0">
      <x:text>
        <x:r>
          <x:t>Centered x squared times HC3 weight, used in the slope variance.
Formula: =I21*N21</x:t>
        </x:r>
      </x:text>
    </x:comment>
    <x:comment ref="T21" authorId="0">
      <x:text>
        <x:r>
          <x:t>Squared change in consecutive residuals. The first row is zero by construction, used in Durbin Watson.
Formula: =(L21-L20)^2</x:t>
        </x:r>
      </x:text>
    </x:comment>
    <x:comment ref="E28" authorId="0">
      <x:text>
        <x:r>
          <x:t>Observations. 
Formula: =COUNT(F12:F21)</x:t>
        </x:r>
      </x:text>
    </x:comment>
    <x:comment ref="E29" authorId="0">
      <x:text>
        <x:r>
          <x:t>Residual degrees of freedom. 
Formula: =$E$28-2</x:t>
        </x:r>
      </x:text>
    </x:comment>
    <x:comment ref="E30" authorId="0">
      <x:text>
        <x:r>
          <x:t>Mean x. 
Formula: =AVERAGE(F12:F21)</x:t>
        </x:r>
      </x:text>
    </x:comment>
    <x:comment ref="E31" authorId="0">
      <x:text>
        <x:r>
          <x:t>Mean y. 
Formula: =AVERAGE(G12:G21)</x:t>
        </x:r>
      </x:text>
    </x:comment>
    <x:comment ref="E32" authorId="0">
      <x:text>
        <x:r>
          <x:t>Sxx. 
Formula: =SUM(I12:I21)</x:t>
        </x:r>
      </x:text>
    </x:comment>
    <x:comment ref="E33" authorId="0">
      <x:text>
        <x:r>
          <x:t>Slope. 
Formula: =SUM(J12:J21)/$E$32</x:t>
        </x:r>
      </x:text>
    </x:comment>
    <x:comment ref="E34" authorId="0">
      <x:text>
        <x:r>
          <x:t>Intercept. 
Formula: =$E$31-$E$33*$E$30</x:t>
        </x:r>
      </x:text>
    </x:comment>
    <x:comment ref="E35" authorId="0">
      <x:text>
        <x:r>
          <x:t>Residual sum of squares. 
Formula: =SUM(P12:P21)</x:t>
        </x:r>
      </x:text>
    </x:comment>
    <x:comment ref="E36" authorId="0">
      <x:text>
        <x:r>
          <x:t>Total sum of squares. 
Formula: =SUM(Q12:Q21)</x:t>
        </x:r>
      </x:text>
    </x:comment>
    <x:comment ref="E37" authorId="0">
      <x:text>
        <x:r>
          <x:t>R squared. 
Formula: =1-$E$35/$E$36</x:t>
        </x:r>
      </x:text>
    </x:comment>
    <x:comment ref="E38" authorId="0">
      <x:text>
        <x:r>
          <x:t>Adjusted R squared. 
Formula: =1-($E$35/$E$29)/($E$36/($E$28-1))</x:t>
        </x:r>
      </x:text>
    </x:comment>
    <x:comment ref="E39" authorId="0">
      <x:text>
        <x:r>
          <x:t>OLS residual standard error. 
Formula: =SQRT($E$35/$E$29)</x:t>
        </x:r>
      </x:text>
    </x:comment>
    <x:comment ref="E40" authorId="0">
      <x:text>
        <x:r>
          <x:t>OLS slope standard error. 
Formula: =$E$39/SQRT($E$32)</x:t>
        </x:r>
      </x:text>
    </x:comment>
    <x:comment ref="E41" authorId="0">
      <x:text>
        <x:r>
          <x:t>OLS intercept standard error. 
Formula: =$E$39*SQRT(1/$E$28+$E$30^2/$E$32)</x:t>
        </x:r>
      </x:text>
    </x:comment>
    <x:comment ref="E42" authorId="0">
      <x:text>
        <x:r>
          <x:t>HC3 slope standard error. HC3 covariance changes uncertainty estimates while retaining OLS coefficients. Student t inference uses n-2 degrees of freedom and is approximate in this short sample. 
Formula: =SQRT(SUM(S12:S21))/$E$32</x:t>
        </x:r>
      </x:text>
    </x:comment>
    <x:comment ref="E43" authorId="0">
      <x:text>
        <x:r>
          <x:t>HC3 intercept standard error. HC3 covariance changes uncertainty estimates while retaining OLS coefficients. Student t inference uses n-2 degrees of freedom and is approximate in this short sample. 
Formula: =SQRT(SUM(N12:N21)/$E$28^2+$E$30^2*$E$42^2-2*$E$30*SUM(R12:R21)/($E$28*$E$32))</x:t>
        </x:r>
      </x:text>
    </x:comment>
    <x:comment ref="E44" authorId="0">
      <x:text>
        <x:r>
          <x:t>HC3 slope t statistic. HC3 covariance changes uncertainty estimates while retaining OLS coefficients. Student t inference uses n-2 degrees of freedom and is approximate in this short sample. 
Formula: =$E$33/$E$42</x:t>
        </x:r>
      </x:text>
    </x:comment>
    <x:comment ref="E45" authorId="0">
      <x:text>
        <x:r>
          <x:t>HC3 slope p value. HC3 covariance changes uncertainty estimates while retaining OLS coefficients. Student t inference uses n-2 degrees of freedom and is approximate in this short sample. 
Formula: =TDIST(ABS($E$44),$E$29,2)</x:t>
        </x:r>
      </x:text>
    </x:comment>
    <x:comment ref="E46" authorId="0">
      <x:text>
        <x:r>
          <x:t>95% t critical value. 
Formula: =VLOOKUP($E$29,$V$11:$W$40,2,FALSE)</x:t>
        </x:r>
      </x:text>
    </x:comment>
    <x:comment ref="E47" authorId="0">
      <x:text>
        <x:r>
          <x:t>HC3 slope CI lower. HC3 covariance changes uncertainty estimates while retaining OLS coefficients. Student t inference uses n-2 degrees of freedom and is approximate in this short sample. 
Formula: =$E$33-$E$46*$E$42</x:t>
        </x:r>
      </x:text>
    </x:comment>
    <x:comment ref="E48" authorId="0">
      <x:text>
        <x:r>
          <x:t>HC3 slope CI upper. HC3 covariance changes uncertainty estimates while retaining OLS coefficients. Student t inference uses n-2 degrees of freedom and is approximate in this short sample. 
Formula: =$E$33+$E$46*$E$42</x:t>
        </x:r>
      </x:text>
    </x:comment>
    <x:comment ref="E49" authorId="0">
      <x:text>
        <x:r>
          <x:t>Durbin Watson. 
Formula: =SUM(T12:T21)/$E$35</x:t>
        </x:r>
      </x:text>
    </x:comment>
    <x:comment ref="E50" authorId="0">
      <x:text>
        <x:r>
          <x:t>Maximum leverage. 
Formula: =MAX(M12:M21)</x:t>
        </x:r>
      </x:text>
    </x:comment>
    <x:comment ref="E51" authorId="0">
      <x:text>
        <x:r>
          <x:t>Leverage reference 4/n. 
Formula: =4/$E$28</x:t>
        </x:r>
      </x:text>
    </x:comment>
    <x:comment ref="E52" authorId="0">
      <x:text>
        <x:r>
          <x:t>HC3 intercept t statistic. HC3 covariance changes uncertainty estimates while retaining OLS coefficients. Student t inference uses n-2 degrees of freedom and is approximate in this short sample. 
Formula: =$E$34/$E$43</x:t>
        </x:r>
      </x:text>
    </x:comment>
    <x:comment ref="E53" authorId="0">
      <x:text>
        <x:r>
          <x:t>HC3 intercept p value. HC3 covariance changes uncertainty estimates while retaining OLS coefficients. Student t inference uses n-2 degrees of freedom and is approximate in this short sample. 
Formula: =TDIST(ABS($E$52),$E$29,2)</x:t>
        </x:r>
      </x:text>
    </x:comment>
    <x:comment ref="E54" authorId="0">
      <x:text>
        <x:r>
          <x:t>HC3 intercept CI lower. HC3 covariance changes uncertainty estimates while retaining OLS coefficients. Student t inference uses n-2 degrees of freedom and is approximate in this short sample. 
Formula: =$E$34-$E$46*$E$43</x:t>
        </x:r>
      </x:text>
    </x:comment>
    <x:comment ref="E55" authorId="0">
      <x:text>
        <x:r>
          <x:t>HC3 intercept CI upper. HC3 covariance changes uncertainty estimates while retaining OLS coefficients. Student t inference uses n-2 degrees of freedom and is approximate in this short sample. 
Formula: =$E$34+$E$46*$E$43</x:t>
        </x:r>
      </x:text>
    </x:comment>
    <x:comment ref="C84" authorId="0">
      <x:text>
        <x:r>
          <x:t>Fiscal year. Actual observations only.
Formula: =2018</x:t>
        </x:r>
      </x:text>
    </x:comment>
    <x:comment ref="D84" authorId="0">
      <x:text>
        <x:r>
          <x:t>Historical revenue in USD millions.
Formula: ='Historical Inputs'!F9</x:t>
        </x:r>
      </x:text>
    </x:comment>
    <x:comment ref="E84" authorId="0">
      <x:text>
        <x:r>
          <x:t>Historical operating cash flow in USD millions.
Formula: ='Historical Inputs'!F80</x:t>
        </x:r>
      </x:text>
    </x:comment>
    <x:comment ref="F84" authorId="0">
      <x:text>
        <x:r>
          <x:t>Annual change in ln revenue.
Formula: =F13-F12</x:t>
        </x:r>
      </x:text>
    </x:comment>
    <x:comment ref="G84" authorId="0">
      <x:text>
        <x:r>
          <x:t>Annual change in ln CFO.
Formula: =G13-G12</x:t>
        </x:r>
      </x:text>
    </x:comment>
    <x:comment ref="H84" authorId="0">
      <x:text>
        <x:r>
          <x:t>x minus sample mean x.
Formula: =F84-$E$100</x:t>
        </x:r>
      </x:text>
    </x:comment>
    <x:comment ref="I84" authorId="0">
      <x:text>
        <x:r>
          <x:t>Squared centered regressor. Summed to Sxx.
Formula: =H84^2</x:t>
        </x:r>
      </x:text>
    </x:comment>
    <x:comment ref="J84" authorId="0">
      <x:text>
        <x:r>
          <x:t>Centered x multiplied by y. Summed and divided by Sxx for the slope.
Formula: =H84*G84</x:t>
        </x:r>
      </x:text>
    </x:comment>
    <x:comment ref="K84" authorId="0">
      <x:text>
        <x:r>
          <x:t>OLS fitted value in the model's logarithmic units.
Formula: =$E$104+$E$103*F84</x:t>
        </x:r>
      </x:text>
    </x:comment>
    <x:comment ref="L84" authorId="0">
      <x:text>
        <x:r>
          <x:t>Observed y less fitted y.
Formula: =G84-K84</x:t>
        </x:r>
      </x:text>
    </x:comment>
    <x:comment ref="M84" authorId="0">
      <x:text>
        <x:r>
          <x:t>Leverage: 1/n plus centered x squared / Sxx. High values amplify the HC3 correction.
Formula: =1/$E$98+I84/$E$102</x:t>
        </x:r>
      </x:text>
    </x:comment>
    <x:comment ref="N84" authorId="0">
      <x:text>
        <x:r>
          <x:t>HC3 weight: residual squared divided by (1 minus leverage) squared.
Formula: =L84^2/(1-M84)^2</x:t>
        </x:r>
      </x:text>
    </x:comment>
    <x:comment ref="O84" authorId="0">
      <x:text>
        <x:r>
          <x:t>EXP(fitted log change)-1: predicted proportional CFO change.
Formula: =EXP(K84)-1</x:t>
        </x:r>
      </x:text>
    </x:comment>
    <x:comment ref="P84" authorId="0">
      <x:text>
        <x:r>
          <x:t>Squared OLS residual. Summed to RSS.
Formula: =L84^2</x:t>
        </x:r>
      </x:text>
    </x:comment>
    <x:comment ref="Q84" authorId="0">
      <x:text>
        <x:r>
          <x:t>Squared y minus mean y. Summed to SST.
Formula: =(G84-$E$101)^2</x:t>
        </x:r>
      </x:text>
    </x:comment>
    <x:comment ref="R84" authorId="0">
      <x:text>
        <x:r>
          <x:t>Centered x times HC3 weight, used in the intercept variance.
Formula: =H84*N84</x:t>
        </x:r>
      </x:text>
    </x:comment>
    <x:comment ref="S84" authorId="0">
      <x:text>
        <x:r>
          <x:t>Centered x squared times HC3 weight, used in the slope variance.
Formula: =I84*N84</x:t>
        </x:r>
      </x:text>
    </x:comment>
    <x:comment ref="T84" authorId="0">
      <x:text>
        <x:r>
          <x:t>Squared change in consecutive residuals. The first row is zero by construction, used in Durbin Watson.
Formula: =0</x:t>
        </x:r>
      </x:text>
    </x:comment>
    <x:comment ref="C85" authorId="0">
      <x:text>
        <x:r>
          <x:t>Fiscal year. Actual observations only.
Formula: =2019</x:t>
        </x:r>
      </x:text>
    </x:comment>
    <x:comment ref="D85" authorId="0">
      <x:text>
        <x:r>
          <x:t>Historical revenue in USD millions.
Formula: ='Historical Inputs'!G9</x:t>
        </x:r>
      </x:text>
    </x:comment>
    <x:comment ref="E85" authorId="0">
      <x:text>
        <x:r>
          <x:t>Historical operating cash flow in USD millions.
Formula: ='Historical Inputs'!G80</x:t>
        </x:r>
      </x:text>
    </x:comment>
    <x:comment ref="F85" authorId="0">
      <x:text>
        <x:r>
          <x:t>Annual change in ln revenue.
Formula: =F14-F13</x:t>
        </x:r>
      </x:text>
    </x:comment>
    <x:comment ref="G85" authorId="0">
      <x:text>
        <x:r>
          <x:t>Annual change in ln CFO.
Formula: =G14-G13</x:t>
        </x:r>
      </x:text>
    </x:comment>
    <x:comment ref="H85" authorId="0">
      <x:text>
        <x:r>
          <x:t>x minus sample mean x.
Formula: =F85-$E$100</x:t>
        </x:r>
      </x:text>
    </x:comment>
    <x:comment ref="I85" authorId="0">
      <x:text>
        <x:r>
          <x:t>Squared centered regressor. Summed to Sxx.
Formula: =H85^2</x:t>
        </x:r>
      </x:text>
    </x:comment>
    <x:comment ref="J85" authorId="0">
      <x:text>
        <x:r>
          <x:t>Centered x multiplied by y. Summed and divided by Sxx for the slope.
Formula: =H85*G85</x:t>
        </x:r>
      </x:text>
    </x:comment>
    <x:comment ref="K85" authorId="0">
      <x:text>
        <x:r>
          <x:t>OLS fitted value in the model's logarithmic units.
Formula: =$E$104+$E$103*F85</x:t>
        </x:r>
      </x:text>
    </x:comment>
    <x:comment ref="L85" authorId="0">
      <x:text>
        <x:r>
          <x:t>Observed y less fitted y.
Formula: =G85-K85</x:t>
        </x:r>
      </x:text>
    </x:comment>
    <x:comment ref="M85" authorId="0">
      <x:text>
        <x:r>
          <x:t>Leverage: 1/n plus centered x squared / Sxx. High values amplify the HC3 correction.
Formula: =1/$E$98+I85/$E$102</x:t>
        </x:r>
      </x:text>
    </x:comment>
    <x:comment ref="N85" authorId="0">
      <x:text>
        <x:r>
          <x:t>HC3 weight: residual squared divided by (1 minus leverage) squared.
Formula: =L85^2/(1-M85)^2</x:t>
        </x:r>
      </x:text>
    </x:comment>
    <x:comment ref="O85" authorId="0">
      <x:text>
        <x:r>
          <x:t>EXP(fitted log change)-1: predicted proportional CFO change.
Formula: =EXP(K85)-1</x:t>
        </x:r>
      </x:text>
    </x:comment>
    <x:comment ref="P85" authorId="0">
      <x:text>
        <x:r>
          <x:t>Squared OLS residual. Summed to RSS.
Formula: =L85^2</x:t>
        </x:r>
      </x:text>
    </x:comment>
    <x:comment ref="Q85" authorId="0">
      <x:text>
        <x:r>
          <x:t>Squared y minus mean y. Summed to SST.
Formula: =(G85-$E$101)^2</x:t>
        </x:r>
      </x:text>
    </x:comment>
    <x:comment ref="R85" authorId="0">
      <x:text>
        <x:r>
          <x:t>Centered x times HC3 weight, used in the intercept variance.
Formula: =H85*N85</x:t>
        </x:r>
      </x:text>
    </x:comment>
    <x:comment ref="S85" authorId="0">
      <x:text>
        <x:r>
          <x:t>Centered x squared times HC3 weight, used in the slope variance.
Formula: =I85*N85</x:t>
        </x:r>
      </x:text>
    </x:comment>
    <x:comment ref="T85" authorId="0">
      <x:text>
        <x:r>
          <x:t>Squared change in consecutive residuals. The first row is zero by construction, used in Durbin Watson.
Formula: =(L85-L84)^2</x:t>
        </x:r>
      </x:text>
    </x:comment>
    <x:comment ref="C86" authorId="0">
      <x:text>
        <x:r>
          <x:t>Fiscal year. Actual observations only.
Formula: =2020</x:t>
        </x:r>
      </x:text>
    </x:comment>
    <x:comment ref="D86" authorId="0">
      <x:text>
        <x:r>
          <x:t>Historical revenue in USD millions.
Formula: ='Historical Inputs'!H9</x:t>
        </x:r>
      </x:text>
    </x:comment>
    <x:comment ref="E86" authorId="0">
      <x:text>
        <x:r>
          <x:t>Historical operating cash flow in USD millions.
Formula: ='Historical Inputs'!H80</x:t>
        </x:r>
      </x:text>
    </x:comment>
    <x:comment ref="F86" authorId="0">
      <x:text>
        <x:r>
          <x:t>Annual change in ln revenue.
Formula: =F15-F14</x:t>
        </x:r>
      </x:text>
    </x:comment>
    <x:comment ref="G86" authorId="0">
      <x:text>
        <x:r>
          <x:t>Annual change in ln CFO.
Formula: =G15-G14</x:t>
        </x:r>
      </x:text>
    </x:comment>
    <x:comment ref="H86" authorId="0">
      <x:text>
        <x:r>
          <x:t>x minus sample mean x.
Formula: =F86-$E$100</x:t>
        </x:r>
      </x:text>
    </x:comment>
    <x:comment ref="I86" authorId="0">
      <x:text>
        <x:r>
          <x:t>Squared centered regressor. Summed to Sxx.
Formula: =H86^2</x:t>
        </x:r>
      </x:text>
    </x:comment>
    <x:comment ref="J86" authorId="0">
      <x:text>
        <x:r>
          <x:t>Centered x multiplied by y. Summed and divided by Sxx for the slope.
Formula: =H86*G86</x:t>
        </x:r>
      </x:text>
    </x:comment>
    <x:comment ref="K86" authorId="0">
      <x:text>
        <x:r>
          <x:t>OLS fitted value in the model's logarithmic units.
Formula: =$E$104+$E$103*F86</x:t>
        </x:r>
      </x:text>
    </x:comment>
    <x:comment ref="L86" authorId="0">
      <x:text>
        <x:r>
          <x:t>Observed y less fitted y.
Formula: =G86-K86</x:t>
        </x:r>
      </x:text>
    </x:comment>
    <x:comment ref="M86" authorId="0">
      <x:text>
        <x:r>
          <x:t>Leverage: 1/n plus centered x squared / Sxx. High values amplify the HC3 correction.
Formula: =1/$E$98+I86/$E$102</x:t>
        </x:r>
      </x:text>
    </x:comment>
    <x:comment ref="N86" authorId="0">
      <x:text>
        <x:r>
          <x:t>HC3 weight: residual squared divided by (1 minus leverage) squared.
Formula: =L86^2/(1-M86)^2</x:t>
        </x:r>
      </x:text>
    </x:comment>
    <x:comment ref="O86" authorId="0">
      <x:text>
        <x:r>
          <x:t>EXP(fitted log change)-1: predicted proportional CFO change.
Formula: =EXP(K86)-1</x:t>
        </x:r>
      </x:text>
    </x:comment>
    <x:comment ref="P86" authorId="0">
      <x:text>
        <x:r>
          <x:t>Squared OLS residual. Summed to RSS.
Formula: =L86^2</x:t>
        </x:r>
      </x:text>
    </x:comment>
    <x:comment ref="Q86" authorId="0">
      <x:text>
        <x:r>
          <x:t>Squared y minus mean y. Summed to SST.
Formula: =(G86-$E$101)^2</x:t>
        </x:r>
      </x:text>
    </x:comment>
    <x:comment ref="R86" authorId="0">
      <x:text>
        <x:r>
          <x:t>Centered x times HC3 weight, used in the intercept variance.
Formula: =H86*N86</x:t>
        </x:r>
      </x:text>
    </x:comment>
    <x:comment ref="S86" authorId="0">
      <x:text>
        <x:r>
          <x:t>Centered x squared times HC3 weight, used in the slope variance.
Formula: =I86*N86</x:t>
        </x:r>
      </x:text>
    </x:comment>
    <x:comment ref="T86" authorId="0">
      <x:text>
        <x:r>
          <x:t>Squared change in consecutive residuals. The first row is zero by construction, used in Durbin Watson.
Formula: =(L86-L85)^2</x:t>
        </x:r>
      </x:text>
    </x:comment>
    <x:comment ref="C87" authorId="0">
      <x:text>
        <x:r>
          <x:t>Fiscal year. Actual observations only.
Formula: =2021</x:t>
        </x:r>
      </x:text>
    </x:comment>
    <x:comment ref="D87" authorId="0">
      <x:text>
        <x:r>
          <x:t>Historical revenue in USD millions.
Formula: ='Historical Inputs'!I9</x:t>
        </x:r>
      </x:text>
    </x:comment>
    <x:comment ref="E87" authorId="0">
      <x:text>
        <x:r>
          <x:t>Historical operating cash flow in USD millions.
Formula: ='Historical Inputs'!I80</x:t>
        </x:r>
      </x:text>
    </x:comment>
    <x:comment ref="F87" authorId="0">
      <x:text>
        <x:r>
          <x:t>Annual change in ln revenue.
Formula: =F16-F15</x:t>
        </x:r>
      </x:text>
    </x:comment>
    <x:comment ref="G87" authorId="0">
      <x:text>
        <x:r>
          <x:t>Annual change in ln CFO.
Formula: =G16-G15</x:t>
        </x:r>
      </x:text>
    </x:comment>
    <x:comment ref="H87" authorId="0">
      <x:text>
        <x:r>
          <x:t>x minus sample mean x.
Formula: =F87-$E$100</x:t>
        </x:r>
      </x:text>
    </x:comment>
    <x:comment ref="I87" authorId="0">
      <x:text>
        <x:r>
          <x:t>Squared centered regressor. Summed to Sxx.
Formula: =H87^2</x:t>
        </x:r>
      </x:text>
    </x:comment>
    <x:comment ref="J87" authorId="0">
      <x:text>
        <x:r>
          <x:t>Centered x multiplied by y. Summed and divided by Sxx for the slope.
Formula: =H87*G87</x:t>
        </x:r>
      </x:text>
    </x:comment>
    <x:comment ref="K87" authorId="0">
      <x:text>
        <x:r>
          <x:t>OLS fitted value in the model's logarithmic units.
Formula: =$E$104+$E$103*F87</x:t>
        </x:r>
      </x:text>
    </x:comment>
    <x:comment ref="L87" authorId="0">
      <x:text>
        <x:r>
          <x:t>Observed y less fitted y.
Formula: =G87-K87</x:t>
        </x:r>
      </x:text>
    </x:comment>
    <x:comment ref="M87" authorId="0">
      <x:text>
        <x:r>
          <x:t>Leverage: 1/n plus centered x squared / Sxx. High values amplify the HC3 correction.
Formula: =1/$E$98+I87/$E$102</x:t>
        </x:r>
      </x:text>
    </x:comment>
    <x:comment ref="N87" authorId="0">
      <x:text>
        <x:r>
          <x:t>HC3 weight: residual squared divided by (1 minus leverage) squared.
Formula: =L87^2/(1-M87)^2</x:t>
        </x:r>
      </x:text>
    </x:comment>
    <x:comment ref="O87" authorId="0">
      <x:text>
        <x:r>
          <x:t>EXP(fitted log change)-1: predicted proportional CFO change.
Formula: =EXP(K87)-1</x:t>
        </x:r>
      </x:text>
    </x:comment>
    <x:comment ref="P87" authorId="0">
      <x:text>
        <x:r>
          <x:t>Squared OLS residual. Summed to RSS.
Formula: =L87^2</x:t>
        </x:r>
      </x:text>
    </x:comment>
    <x:comment ref="Q87" authorId="0">
      <x:text>
        <x:r>
          <x:t>Squared y minus mean y. Summed to SST.
Formula: =(G87-$E$101)^2</x:t>
        </x:r>
      </x:text>
    </x:comment>
    <x:comment ref="R87" authorId="0">
      <x:text>
        <x:r>
          <x:t>Centered x times HC3 weight, used in the intercept variance.
Formula: =H87*N87</x:t>
        </x:r>
      </x:text>
    </x:comment>
    <x:comment ref="S87" authorId="0">
      <x:text>
        <x:r>
          <x:t>Centered x squared times HC3 weight, used in the slope variance.
Formula: =I87*N87</x:t>
        </x:r>
      </x:text>
    </x:comment>
    <x:comment ref="T87" authorId="0">
      <x:text>
        <x:r>
          <x:t>Squared change in consecutive residuals. The first row is zero by construction, used in Durbin Watson.
Formula: =(L87-L86)^2</x:t>
        </x:r>
      </x:text>
    </x:comment>
    <x:comment ref="C88" authorId="0">
      <x:text>
        <x:r>
          <x:t>Fiscal year. Actual observations only.
Formula: =2022</x:t>
        </x:r>
      </x:text>
    </x:comment>
    <x:comment ref="D88" authorId="0">
      <x:text>
        <x:r>
          <x:t>Historical revenue in USD millions.
Formula: ='Historical Inputs'!J9</x:t>
        </x:r>
      </x:text>
    </x:comment>
    <x:comment ref="E88" authorId="0">
      <x:text>
        <x:r>
          <x:t>Historical operating cash flow in USD millions.
Formula: ='Historical Inputs'!J80</x:t>
        </x:r>
      </x:text>
    </x:comment>
    <x:comment ref="F88" authorId="0">
      <x:text>
        <x:r>
          <x:t>Annual change in ln revenue.
Formula: =F17-F16</x:t>
        </x:r>
      </x:text>
    </x:comment>
    <x:comment ref="G88" authorId="0">
      <x:text>
        <x:r>
          <x:t>Annual change in ln CFO.
Formula: =G17-G16</x:t>
        </x:r>
      </x:text>
    </x:comment>
    <x:comment ref="H88" authorId="0">
      <x:text>
        <x:r>
          <x:t>x minus sample mean x.
Formula: =F88-$E$100</x:t>
        </x:r>
      </x:text>
    </x:comment>
    <x:comment ref="I88" authorId="0">
      <x:text>
        <x:r>
          <x:t>Squared centered regressor. Summed to Sxx.
Formula: =H88^2</x:t>
        </x:r>
      </x:text>
    </x:comment>
    <x:comment ref="J88" authorId="0">
      <x:text>
        <x:r>
          <x:t>Centered x multiplied by y. Summed and divided by Sxx for the slope.
Formula: =H88*G88</x:t>
        </x:r>
      </x:text>
    </x:comment>
    <x:comment ref="K88" authorId="0">
      <x:text>
        <x:r>
          <x:t>OLS fitted value in the model's logarithmic units.
Formula: =$E$104+$E$103*F88</x:t>
        </x:r>
      </x:text>
    </x:comment>
    <x:comment ref="L88" authorId="0">
      <x:text>
        <x:r>
          <x:t>Observed y less fitted y.
Formula: =G88-K88</x:t>
        </x:r>
      </x:text>
    </x:comment>
    <x:comment ref="M88" authorId="0">
      <x:text>
        <x:r>
          <x:t>Leverage: 1/n plus centered x squared / Sxx. High values amplify the HC3 correction.
Formula: =1/$E$98+I88/$E$102</x:t>
        </x:r>
      </x:text>
    </x:comment>
    <x:comment ref="N88" authorId="0">
      <x:text>
        <x:r>
          <x:t>HC3 weight: residual squared divided by (1 minus leverage) squared.
Formula: =L88^2/(1-M88)^2</x:t>
        </x:r>
      </x:text>
    </x:comment>
    <x:comment ref="O88" authorId="0">
      <x:text>
        <x:r>
          <x:t>EXP(fitted log change)-1: predicted proportional CFO change.
Formula: =EXP(K88)-1</x:t>
        </x:r>
      </x:text>
    </x:comment>
    <x:comment ref="P88" authorId="0">
      <x:text>
        <x:r>
          <x:t>Squared OLS residual. Summed to RSS.
Formula: =L88^2</x:t>
        </x:r>
      </x:text>
    </x:comment>
    <x:comment ref="Q88" authorId="0">
      <x:text>
        <x:r>
          <x:t>Squared y minus mean y. Summed to SST.
Formula: =(G88-$E$101)^2</x:t>
        </x:r>
      </x:text>
    </x:comment>
    <x:comment ref="R88" authorId="0">
      <x:text>
        <x:r>
          <x:t>Centered x times HC3 weight, used in the intercept variance.
Formula: =H88*N88</x:t>
        </x:r>
      </x:text>
    </x:comment>
    <x:comment ref="S88" authorId="0">
      <x:text>
        <x:r>
          <x:t>Centered x squared times HC3 weight, used in the slope variance.
Formula: =I88*N88</x:t>
        </x:r>
      </x:text>
    </x:comment>
    <x:comment ref="T88" authorId="0">
      <x:text>
        <x:r>
          <x:t>Squared change in consecutive residuals. The first row is zero by construction, used in Durbin Watson.
Formula: =(L88-L87)^2</x:t>
        </x:r>
      </x:text>
    </x:comment>
    <x:comment ref="C89" authorId="0">
      <x:text>
        <x:r>
          <x:t>Fiscal year. Actual observations only.
Formula: =2023</x:t>
        </x:r>
      </x:text>
    </x:comment>
    <x:comment ref="D89" authorId="0">
      <x:text>
        <x:r>
          <x:t>Historical revenue in USD millions.
Formula: ='Historical Inputs'!K9</x:t>
        </x:r>
      </x:text>
    </x:comment>
    <x:comment ref="E89" authorId="0">
      <x:text>
        <x:r>
          <x:t>Historical operating cash flow in USD millions.
Formula: ='Historical Inputs'!K80</x:t>
        </x:r>
      </x:text>
    </x:comment>
    <x:comment ref="F89" authorId="0">
      <x:text>
        <x:r>
          <x:t>Annual change in ln revenue.
Formula: =F18-F17</x:t>
        </x:r>
      </x:text>
    </x:comment>
    <x:comment ref="G89" authorId="0">
      <x:text>
        <x:r>
          <x:t>Annual change in ln CFO.
Formula: =G18-G17</x:t>
        </x:r>
      </x:text>
    </x:comment>
    <x:comment ref="H89" authorId="0">
      <x:text>
        <x:r>
          <x:t>x minus sample mean x.
Formula: =F89-$E$100</x:t>
        </x:r>
      </x:text>
    </x:comment>
    <x:comment ref="I89" authorId="0">
      <x:text>
        <x:r>
          <x:t>Squared centered regressor. Summed to Sxx.
Formula: =H89^2</x:t>
        </x:r>
      </x:text>
    </x:comment>
    <x:comment ref="J89" authorId="0">
      <x:text>
        <x:r>
          <x:t>Centered x multiplied by y. Summed and divided by Sxx for the slope.
Formula: =H89*G89</x:t>
        </x:r>
      </x:text>
    </x:comment>
    <x:comment ref="K89" authorId="0">
      <x:text>
        <x:r>
          <x:t>OLS fitted value in the model's logarithmic units.
Formula: =$E$104+$E$103*F89</x:t>
        </x:r>
      </x:text>
    </x:comment>
    <x:comment ref="L89" authorId="0">
      <x:text>
        <x:r>
          <x:t>Observed y less fitted y.
Formula: =G89-K89</x:t>
        </x:r>
      </x:text>
    </x:comment>
    <x:comment ref="M89" authorId="0">
      <x:text>
        <x:r>
          <x:t>Leverage: 1/n plus centered x squared / Sxx. High values amplify the HC3 correction.
Formula: =1/$E$98+I89/$E$102</x:t>
        </x:r>
      </x:text>
    </x:comment>
    <x:comment ref="N89" authorId="0">
      <x:text>
        <x:r>
          <x:t>HC3 weight: residual squared divided by (1 minus leverage) squared.
Formula: =L89^2/(1-M89)^2</x:t>
        </x:r>
      </x:text>
    </x:comment>
    <x:comment ref="O89" authorId="0">
      <x:text>
        <x:r>
          <x:t>EXP(fitted log change)-1: predicted proportional CFO change.
Formula: =EXP(K89)-1</x:t>
        </x:r>
      </x:text>
    </x:comment>
    <x:comment ref="P89" authorId="0">
      <x:text>
        <x:r>
          <x:t>Squared OLS residual. Summed to RSS.
Formula: =L89^2</x:t>
        </x:r>
      </x:text>
    </x:comment>
    <x:comment ref="Q89" authorId="0">
      <x:text>
        <x:r>
          <x:t>Squared y minus mean y. Summed to SST.
Formula: =(G89-$E$101)^2</x:t>
        </x:r>
      </x:text>
    </x:comment>
    <x:comment ref="R89" authorId="0">
      <x:text>
        <x:r>
          <x:t>Centered x times HC3 weight, used in the intercept variance.
Formula: =H89*N89</x:t>
        </x:r>
      </x:text>
    </x:comment>
    <x:comment ref="S89" authorId="0">
      <x:text>
        <x:r>
          <x:t>Centered x squared times HC3 weight, used in the slope variance.
Formula: =I89*N89</x:t>
        </x:r>
      </x:text>
    </x:comment>
    <x:comment ref="T89" authorId="0">
      <x:text>
        <x:r>
          <x:t>Squared change in consecutive residuals. The first row is zero by construction, used in Durbin Watson.
Formula: =(L89-L88)^2</x:t>
        </x:r>
      </x:text>
    </x:comment>
    <x:comment ref="C90" authorId="0">
      <x:text>
        <x:r>
          <x:t>Fiscal year. Actual observations only.
Formula: =2024</x:t>
        </x:r>
      </x:text>
    </x:comment>
    <x:comment ref="D90" authorId="0">
      <x:text>
        <x:r>
          <x:t>Historical revenue in USD millions.
Formula: ='Historical Inputs'!L9</x:t>
        </x:r>
      </x:text>
    </x:comment>
    <x:comment ref="E90" authorId="0">
      <x:text>
        <x:r>
          <x:t>Historical operating cash flow in USD millions.
Formula: ='Historical Inputs'!L80</x:t>
        </x:r>
      </x:text>
    </x:comment>
    <x:comment ref="F90" authorId="0">
      <x:text>
        <x:r>
          <x:t>Annual change in ln revenue.
Formula: =F19-F18</x:t>
        </x:r>
      </x:text>
    </x:comment>
    <x:comment ref="G90" authorId="0">
      <x:text>
        <x:r>
          <x:t>Annual change in ln CFO.
Formula: =G19-G18</x:t>
        </x:r>
      </x:text>
    </x:comment>
    <x:comment ref="H90" authorId="0">
      <x:text>
        <x:r>
          <x:t>x minus sample mean x.
Formula: =F90-$E$100</x:t>
        </x:r>
      </x:text>
    </x:comment>
    <x:comment ref="I90" authorId="0">
      <x:text>
        <x:r>
          <x:t>Squared centered regressor. Summed to Sxx.
Formula: =H90^2</x:t>
        </x:r>
      </x:text>
    </x:comment>
    <x:comment ref="J90" authorId="0">
      <x:text>
        <x:r>
          <x:t>Centered x multiplied by y. Summed and divided by Sxx for the slope.
Formula: =H90*G90</x:t>
        </x:r>
      </x:text>
    </x:comment>
    <x:comment ref="K90" authorId="0">
      <x:text>
        <x:r>
          <x:t>OLS fitted value in the model's logarithmic units.
Formula: =$E$104+$E$103*F90</x:t>
        </x:r>
      </x:text>
    </x:comment>
    <x:comment ref="L90" authorId="0">
      <x:text>
        <x:r>
          <x:t>Observed y less fitted y.
Formula: =G90-K90</x:t>
        </x:r>
      </x:text>
    </x:comment>
    <x:comment ref="M90" authorId="0">
      <x:text>
        <x:r>
          <x:t>Leverage: 1/n plus centered x squared / Sxx. High values amplify the HC3 correction.
Formula: =1/$E$98+I90/$E$102</x:t>
        </x:r>
      </x:text>
    </x:comment>
    <x:comment ref="N90" authorId="0">
      <x:text>
        <x:r>
          <x:t>HC3 weight: residual squared divided by (1 minus leverage) squared.
Formula: =L90^2/(1-M90)^2</x:t>
        </x:r>
      </x:text>
    </x:comment>
    <x:comment ref="O90" authorId="0">
      <x:text>
        <x:r>
          <x:t>EXP(fitted log change)-1: predicted proportional CFO change.
Formula: =EXP(K90)-1</x:t>
        </x:r>
      </x:text>
    </x:comment>
    <x:comment ref="P90" authorId="0">
      <x:text>
        <x:r>
          <x:t>Squared OLS residual. Summed to RSS.
Formula: =L90^2</x:t>
        </x:r>
      </x:text>
    </x:comment>
    <x:comment ref="Q90" authorId="0">
      <x:text>
        <x:r>
          <x:t>Squared y minus mean y. Summed to SST.
Formula: =(G90-$E$101)^2</x:t>
        </x:r>
      </x:text>
    </x:comment>
    <x:comment ref="R90" authorId="0">
      <x:text>
        <x:r>
          <x:t>Centered x times HC3 weight, used in the intercept variance.
Formula: =H90*N90</x:t>
        </x:r>
      </x:text>
    </x:comment>
    <x:comment ref="S90" authorId="0">
      <x:text>
        <x:r>
          <x:t>Centered x squared times HC3 weight, used in the slope variance.
Formula: =I90*N90</x:t>
        </x:r>
      </x:text>
    </x:comment>
    <x:comment ref="T90" authorId="0">
      <x:text>
        <x:r>
          <x:t>Squared change in consecutive residuals. The first row is zero by construction, used in Durbin Watson.
Formula: =(L90-L89)^2</x:t>
        </x:r>
      </x:text>
    </x:comment>
    <x:comment ref="C91" authorId="0">
      <x:text>
        <x:r>
          <x:t>Fiscal year. Actual observations only.
Formula: =2025</x:t>
        </x:r>
      </x:text>
    </x:comment>
    <x:comment ref="D91" authorId="0">
      <x:text>
        <x:r>
          <x:t>Historical revenue in USD millions.
Formula: ='Historical Inputs'!M9</x:t>
        </x:r>
      </x:text>
    </x:comment>
    <x:comment ref="E91" authorId="0">
      <x:text>
        <x:r>
          <x:t>Historical operating cash flow in USD millions.
Formula: ='Historical Inputs'!M80</x:t>
        </x:r>
      </x:text>
    </x:comment>
    <x:comment ref="F91" authorId="0">
      <x:text>
        <x:r>
          <x:t>Annual change in ln revenue.
Formula: =F20-F19</x:t>
        </x:r>
      </x:text>
    </x:comment>
    <x:comment ref="G91" authorId="0">
      <x:text>
        <x:r>
          <x:t>Annual change in ln CFO.
Formula: =G20-G19</x:t>
        </x:r>
      </x:text>
    </x:comment>
    <x:comment ref="H91" authorId="0">
      <x:text>
        <x:r>
          <x:t>x minus sample mean x.
Formula: =F91-$E$100</x:t>
        </x:r>
      </x:text>
    </x:comment>
    <x:comment ref="I91" authorId="0">
      <x:text>
        <x:r>
          <x:t>Squared centered regressor. Summed to Sxx.
Formula: =H91^2</x:t>
        </x:r>
      </x:text>
    </x:comment>
    <x:comment ref="J91" authorId="0">
      <x:text>
        <x:r>
          <x:t>Centered x multiplied by y. Summed and divided by Sxx for the slope.
Formula: =H91*G91</x:t>
        </x:r>
      </x:text>
    </x:comment>
    <x:comment ref="K91" authorId="0">
      <x:text>
        <x:r>
          <x:t>OLS fitted value in the model's logarithmic units.
Formula: =$E$104+$E$103*F91</x:t>
        </x:r>
      </x:text>
    </x:comment>
    <x:comment ref="L91" authorId="0">
      <x:text>
        <x:r>
          <x:t>Observed y less fitted y.
Formula: =G91-K91</x:t>
        </x:r>
      </x:text>
    </x:comment>
    <x:comment ref="M91" authorId="0">
      <x:text>
        <x:r>
          <x:t>Leverage: 1/n plus centered x squared / Sxx. High values amplify the HC3 correction.
Formula: =1/$E$98+I91/$E$102</x:t>
        </x:r>
      </x:text>
    </x:comment>
    <x:comment ref="N91" authorId="0">
      <x:text>
        <x:r>
          <x:t>HC3 weight: residual squared divided by (1 minus leverage) squared.
Formula: =L91^2/(1-M91)^2</x:t>
        </x:r>
      </x:text>
    </x:comment>
    <x:comment ref="O91" authorId="0">
      <x:text>
        <x:r>
          <x:t>EXP(fitted log change)-1: predicted proportional CFO change.
Formula: =EXP(K91)-1</x:t>
        </x:r>
      </x:text>
    </x:comment>
    <x:comment ref="P91" authorId="0">
      <x:text>
        <x:r>
          <x:t>Squared OLS residual. Summed to RSS.
Formula: =L91^2</x:t>
        </x:r>
      </x:text>
    </x:comment>
    <x:comment ref="Q91" authorId="0">
      <x:text>
        <x:r>
          <x:t>Squared y minus mean y. Summed to SST.
Formula: =(G91-$E$101)^2</x:t>
        </x:r>
      </x:text>
    </x:comment>
    <x:comment ref="R91" authorId="0">
      <x:text>
        <x:r>
          <x:t>Centered x times HC3 weight, used in the intercept variance.
Formula: =H91*N91</x:t>
        </x:r>
      </x:text>
    </x:comment>
    <x:comment ref="S91" authorId="0">
      <x:text>
        <x:r>
          <x:t>Centered x squared times HC3 weight, used in the slope variance.
Formula: =I91*N91</x:t>
        </x:r>
      </x:text>
    </x:comment>
    <x:comment ref="T91" authorId="0">
      <x:text>
        <x:r>
          <x:t>Squared change in consecutive residuals. The first row is zero by construction, used in Durbin Watson.
Formula: =(L91-L90)^2</x:t>
        </x:r>
      </x:text>
    </x:comment>
    <x:comment ref="C92" authorId="0">
      <x:text>
        <x:r>
          <x:t>Fiscal year. Actual observations only.
Formula: =2026</x:t>
        </x:r>
      </x:text>
    </x:comment>
    <x:comment ref="D92" authorId="0">
      <x:text>
        <x:r>
          <x:t>Historical revenue in USD millions.
Formula: ='Historical Inputs'!N9</x:t>
        </x:r>
      </x:text>
    </x:comment>
    <x:comment ref="E92" authorId="0">
      <x:text>
        <x:r>
          <x:t>Historical operating cash flow in USD millions.
Formula: ='Historical Inputs'!N80</x:t>
        </x:r>
      </x:text>
    </x:comment>
    <x:comment ref="F92" authorId="0">
      <x:text>
        <x:r>
          <x:t>Annual change in ln revenue.
Formula: =F21-F20</x:t>
        </x:r>
      </x:text>
    </x:comment>
    <x:comment ref="G92" authorId="0">
      <x:text>
        <x:r>
          <x:t>Annual change in ln CFO.
Formula: =G21-G20</x:t>
        </x:r>
      </x:text>
    </x:comment>
    <x:comment ref="H92" authorId="0">
      <x:text>
        <x:r>
          <x:t>x minus sample mean x.
Formula: =F92-$E$100</x:t>
        </x:r>
      </x:text>
    </x:comment>
    <x:comment ref="I92" authorId="0">
      <x:text>
        <x:r>
          <x:t>Squared centered regressor. Summed to Sxx.
Formula: =H92^2</x:t>
        </x:r>
      </x:text>
    </x:comment>
    <x:comment ref="J92" authorId="0">
      <x:text>
        <x:r>
          <x:t>Centered x multiplied by y. Summed and divided by Sxx for the slope.
Formula: =H92*G92</x:t>
        </x:r>
      </x:text>
    </x:comment>
    <x:comment ref="K92" authorId="0">
      <x:text>
        <x:r>
          <x:t>OLS fitted value in the model's logarithmic units.
Formula: =$E$104+$E$103*F92</x:t>
        </x:r>
      </x:text>
    </x:comment>
    <x:comment ref="L92" authorId="0">
      <x:text>
        <x:r>
          <x:t>Observed y less fitted y.
Formula: =G92-K92</x:t>
        </x:r>
      </x:text>
    </x:comment>
    <x:comment ref="M92" authorId="0">
      <x:text>
        <x:r>
          <x:t>Leverage: 1/n plus centered x squared / Sxx. High values amplify the HC3 correction.
Formula: =1/$E$98+I92/$E$102</x:t>
        </x:r>
      </x:text>
    </x:comment>
    <x:comment ref="N92" authorId="0">
      <x:text>
        <x:r>
          <x:t>HC3 weight: residual squared divided by (1 minus leverage) squared.
Formula: =L92^2/(1-M92)^2</x:t>
        </x:r>
      </x:text>
    </x:comment>
    <x:comment ref="O92" authorId="0">
      <x:text>
        <x:r>
          <x:t>EXP(fitted log change)-1: predicted proportional CFO change.
Formula: =EXP(K92)-1</x:t>
        </x:r>
      </x:text>
    </x:comment>
    <x:comment ref="P92" authorId="0">
      <x:text>
        <x:r>
          <x:t>Squared OLS residual. Summed to RSS.
Formula: =L92^2</x:t>
        </x:r>
      </x:text>
    </x:comment>
    <x:comment ref="Q92" authorId="0">
      <x:text>
        <x:r>
          <x:t>Squared y minus mean y. Summed to SST.
Formula: =(G92-$E$101)^2</x:t>
        </x:r>
      </x:text>
    </x:comment>
    <x:comment ref="R92" authorId="0">
      <x:text>
        <x:r>
          <x:t>Centered x times HC3 weight, used in the intercept variance.
Formula: =H92*N92</x:t>
        </x:r>
      </x:text>
    </x:comment>
    <x:comment ref="S92" authorId="0">
      <x:text>
        <x:r>
          <x:t>Centered x squared times HC3 weight, used in the slope variance.
Formula: =I92*N92</x:t>
        </x:r>
      </x:text>
    </x:comment>
    <x:comment ref="T92" authorId="0">
      <x:text>
        <x:r>
          <x:t>Squared change in consecutive residuals. The first row is zero by construction, used in Durbin Watson.
Formula: =(L92-L91)^2</x:t>
        </x:r>
      </x:text>
    </x:comment>
    <x:comment ref="E98" authorId="0">
      <x:text>
        <x:r>
          <x:t>Observations. 
Formula: =COUNT(F84:F92)</x:t>
        </x:r>
      </x:text>
    </x:comment>
    <x:comment ref="E99" authorId="0">
      <x:text>
        <x:r>
          <x:t>Residual degrees of freedom. 
Formula: =$E$98-2</x:t>
        </x:r>
      </x:text>
    </x:comment>
    <x:comment ref="E100" authorId="0">
      <x:text>
        <x:r>
          <x:t>Mean x. 
Formula: =AVERAGE(F84:F92)</x:t>
        </x:r>
      </x:text>
    </x:comment>
    <x:comment ref="E101" authorId="0">
      <x:text>
        <x:r>
          <x:t>Mean y. 
Formula: =AVERAGE(G84:G92)</x:t>
        </x:r>
      </x:text>
    </x:comment>
    <x:comment ref="E102" authorId="0">
      <x:text>
        <x:r>
          <x:t>Sxx. 
Formula: =SUM(I84:I92)</x:t>
        </x:r>
      </x:text>
    </x:comment>
    <x:comment ref="E103" authorId="0">
      <x:text>
        <x:r>
          <x:t>Slope. 
Formula: =SUM(J84:J92)/$E$102</x:t>
        </x:r>
      </x:text>
    </x:comment>
    <x:comment ref="E104" authorId="0">
      <x:text>
        <x:r>
          <x:t>Intercept. 
Formula: =$E$101-$E$103*$E$100</x:t>
        </x:r>
      </x:text>
    </x:comment>
    <x:comment ref="E105" authorId="0">
      <x:text>
        <x:r>
          <x:t>Residual sum of squares. 
Formula: =SUM(P84:P92)</x:t>
        </x:r>
      </x:text>
    </x:comment>
    <x:comment ref="E106" authorId="0">
      <x:text>
        <x:r>
          <x:t>Total sum of squares. 
Formula: =SUM(Q84:Q92)</x:t>
        </x:r>
      </x:text>
    </x:comment>
    <x:comment ref="E107" authorId="0">
      <x:text>
        <x:r>
          <x:t>R squared. 
Formula: =1-$E$105/$E$106</x:t>
        </x:r>
      </x:text>
    </x:comment>
    <x:comment ref="E108" authorId="0">
      <x:text>
        <x:r>
          <x:t>Adjusted R squared. 
Formula: =1-($E$105/$E$99)/($E$106/($E$98-1))</x:t>
        </x:r>
      </x:text>
    </x:comment>
    <x:comment ref="E109" authorId="0">
      <x:text>
        <x:r>
          <x:t>OLS residual standard error. 
Formula: =SQRT($E$105/$E$99)</x:t>
        </x:r>
      </x:text>
    </x:comment>
    <x:comment ref="E110" authorId="0">
      <x:text>
        <x:r>
          <x:t>OLS slope standard error. 
Formula: =$E$109/SQRT($E$102)</x:t>
        </x:r>
      </x:text>
    </x:comment>
    <x:comment ref="E111" authorId="0">
      <x:text>
        <x:r>
          <x:t>OLS intercept standard error. 
Formula: =$E$109*SQRT(1/$E$98+$E$100^2/$E$102)</x:t>
        </x:r>
      </x:text>
    </x:comment>
    <x:comment ref="E112" authorId="0">
      <x:text>
        <x:r>
          <x:t>HC3 slope standard error. HC3 covariance changes uncertainty estimates while retaining OLS coefficients. Student t inference uses n-2 degrees of freedom and is approximate in this short sample. 
Formula: =SQRT(SUM(S84:S92))/$E$102</x:t>
        </x:r>
      </x:text>
    </x:comment>
    <x:comment ref="E113" authorId="0">
      <x:text>
        <x:r>
          <x:t>HC3 intercept standard error. HC3 covariance changes uncertainty estimates while retaining OLS coefficients. Student t inference uses n-2 degrees of freedom and is approximate in this short sample. 
Formula: =SQRT(SUM(N84:N92)/$E$98^2+$E$100^2*$E$112^2-2*$E$100*SUM(R84:R92)/($E$98*$E$102))</x:t>
        </x:r>
      </x:text>
    </x:comment>
    <x:comment ref="E114" authorId="0">
      <x:text>
        <x:r>
          <x:t>HC3 slope t statistic. HC3 covariance changes uncertainty estimates while retaining OLS coefficients. Student t inference uses n-2 degrees of freedom and is approximate in this short sample. 
Formula: =$E$103/$E$112</x:t>
        </x:r>
      </x:text>
    </x:comment>
    <x:comment ref="E115" authorId="0">
      <x:text>
        <x:r>
          <x:t>HC3 slope p value. HC3 covariance changes uncertainty estimates while retaining OLS coefficients. Student t inference uses n-2 degrees of freedom and is approximate in this short sample. 
Formula: =TDIST(ABS($E$114),$E$99,2)</x:t>
        </x:r>
      </x:text>
    </x:comment>
    <x:comment ref="E116" authorId="0">
      <x:text>
        <x:r>
          <x:t>95% t critical value. 
Formula: =VLOOKUP($E$99,$V$11:$W$40,2,FALSE)</x:t>
        </x:r>
      </x:text>
    </x:comment>
    <x:comment ref="E117" authorId="0">
      <x:text>
        <x:r>
          <x:t>HC3 slope CI lower. HC3 covariance changes uncertainty estimates while retaining OLS coefficients. Student t inference uses n-2 degrees of freedom and is approximate in this short sample. 
Formula: =$E$103-$E$116*$E$112</x:t>
        </x:r>
      </x:text>
    </x:comment>
    <x:comment ref="E118" authorId="0">
      <x:text>
        <x:r>
          <x:t>HC3 slope CI upper. HC3 covariance changes uncertainty estimates while retaining OLS coefficients. Student t inference uses n-2 degrees of freedom and is approximate in this short sample. 
Formula: =$E$103+$E$116*$E$112</x:t>
        </x:r>
      </x:text>
    </x:comment>
    <x:comment ref="E119" authorId="0">
      <x:text>
        <x:r>
          <x:t>Durbin Watson. 
Formula: =SUM(T84:T92)/$E$105</x:t>
        </x:r>
      </x:text>
    </x:comment>
    <x:comment ref="E120" authorId="0">
      <x:text>
        <x:r>
          <x:t>Maximum leverage. 
Formula: =MAX(M84:M92)</x:t>
        </x:r>
      </x:text>
    </x:comment>
    <x:comment ref="E121" authorId="0">
      <x:text>
        <x:r>
          <x:t>Leverage reference 4/n. 
Formula: =4/$E$98</x:t>
        </x:r>
      </x:text>
    </x:comment>
    <x:comment ref="E122" authorId="0">
      <x:text>
        <x:r>
          <x:t>HC3 intercept t statistic. HC3 covariance changes uncertainty estimates while retaining OLS coefficients. Student t inference uses n-2 degrees of freedom and is approximate in this short sample. 
Formula: =$E$104/$E$113</x:t>
        </x:r>
      </x:text>
    </x:comment>
    <x:comment ref="E123" authorId="0">
      <x:text>
        <x:r>
          <x:t>HC3 intercept p value. HC3 covariance changes uncertainty estimates while retaining OLS coefficients. Student t inference uses n-2 degrees of freedom and is approximate in this short sample. 
Formula: =TDIST(ABS($E$122),$E$99,2)</x:t>
        </x:r>
      </x:text>
    </x:comment>
    <x:comment ref="E124" authorId="0">
      <x:text>
        <x:r>
          <x:t>HC3 intercept CI lower. HC3 covariance changes uncertainty estimates while retaining OLS coefficients. Student t inference uses n-2 degrees of freedom and is approximate in this short sample. 
Formula: =$E$104-$E$116*$E$113</x:t>
        </x:r>
      </x:text>
    </x:comment>
    <x:comment ref="E125" authorId="0">
      <x:text>
        <x:r>
          <x:t>HC3 intercept CI upper. HC3 covariance changes uncertainty estimates while retaining OLS coefficients. Student t inference uses n-2 degrees of freedom and is approximate in this short sample. 
Formula: =$E$104+$E$116*$E$113</x:t>
        </x:r>
      </x:text>
    </x:comment>
    <x:comment ref="C2" authorId="0">
      <x:text>
        <x:r>
          <x:t>Standalone historical regression. This worksheet never feeds the three-statement model. All coefficients and HC3 statistics are calculated with editable Excel formulas.</x:t>
        </x:r>
      </x:text>
    </x:comment>
    <x:comment ref="C151" authorId="0">
      <x:text>
        <x:r>
          <x:t>The complete code below is supplied in src/regression_analysis.py. It runs outside Excel with NumPy and SciPy. Excel does not require a Python-in-Excel subscription.</x:t>
        </x:r>
      </x:text>
    </x:comment>
    <x:comment ref="C160" authorId="0">
      <x:text>
        <x:r>
          <x:t>Beginning of the complete Python file. Copy the indicated single-column range so each cell becomes one Python source line.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6">
    <x:numFmt numFmtId="200" formatCode="#,##0;(#,##0);&quot;–&quot;"/>
    <x:numFmt numFmtId="201" formatCode="0.00;(0.00);&quot;–&quot;"/>
    <x:numFmt numFmtId="202" formatCode="#,##0.0;(#,##0.0);&quot;–&quot;"/>
    <x:numFmt numFmtId="203" formatCode="0.0%;(0.0%);&quot;–&quot;"/>
    <x:numFmt numFmtId="204" formatCode="0.0;(#,##0.0);&quot;–&quot;"/>
    <x:numFmt numFmtId="205" formatCode="0.00"/>
    <x:numFmt numFmtId="206" formatCode="0.00;(0.00);0.00"/>
    <x:numFmt numFmtId="207" formatCode="0.0%"/>
    <x:numFmt numFmtId="208" formatCode="0"/>
    <x:numFmt numFmtId="209" formatCode="0.000000"/>
    <x:numFmt numFmtId="210" formatCode="&quot;FY&quot;0"/>
    <x:numFmt numFmtId="211" formatCode="#,##0"/>
    <x:numFmt numFmtId="212" formatCode="0.000E+00"/>
    <x:numFmt numFmtId="213" formatCode="#,##0;[Red](#,##0);&quot;–&quot;"/>
    <x:numFmt numFmtId="214" formatCode="0.0%;[Red](0.0%);&quot;–&quot;"/>
    <x:numFmt numFmtId="215" formatCode="0.00;[Red](0.00);&quot;-&quot;"/>
    <x:numFmt numFmtId="216" formatCode="0.00;[Red](0.00);&quot;–&quot;"/>
    <x:numFmt numFmtId="217" formatCode="#,##0.0;[Red](#,##0.0);&quot;–&quot;"/>
    <x:numFmt numFmtId="218" formatCode="0.0%;[Red](0.0%);&quot;-&quot;"/>
    <x:numFmt numFmtId="219" formatCode="0.0;[Red](#,##0.0);&quot;–&quot;"/>
    <x:numFmt numFmtId="220" formatCode="0.00;[Red](0.00);0.00"/>
    <x:numFmt numFmtId="221" formatCode="0;[Red](0);&quot;-&quot;"/>
    <x:numFmt numFmtId="222" formatCode="0.000000;[Red](0.000000);&quot;-&quot;"/>
    <x:numFmt numFmtId="223" formatCode="&quot;FY&quot;0;[Red](&quot;FY&quot;0);&quot;-&quot;"/>
    <x:numFmt numFmtId="224" formatCode="#,##0;[Red](#,##0);&quot;-&quot;"/>
    <x:numFmt numFmtId="225" formatCode="0.000E+00;[Red](0.000E+00);&quot;-&quot;"/>
  </x:numFmts>
  <x:fonts count="38">
    <x:font>
      <x:sz val="11"/>
      <x:name val="Carlito"/>
    </x:font>
    <x:font>
      <x:sz val="10"/>
      <x:color rgb="FF172B46"/>
      <x:name val="Arial"/>
    </x:font>
    <x:font>
      <x:b/>
      <x:sz val="15"/>
      <x:color rgb="FF172B46"/>
      <x:name val="Arial"/>
    </x:font>
    <x:font>
      <x:i/>
      <x:sz val="10"/>
      <x:color rgb="FF607083"/>
      <x:name val="Arial"/>
    </x:font>
    <x:font>
      <x:b/>
      <x:sz val="10"/>
      <x:color rgb="FF008000"/>
      <x:name val="Arial"/>
    </x:font>
    <x:font>
      <x:b/>
      <x:sz val="10"/>
      <x:color rgb="FFFFFFFF"/>
      <x:name val="Arial"/>
    </x:font>
    <x:font>
      <x:b/>
      <x:sz val="10"/>
      <x:color rgb="FF17365A"/>
      <x:name val="Arial"/>
    </x:font>
    <x:font>
      <x:sz val="10"/>
      <x:color rgb="FF0000FF"/>
      <x:name val="Arial"/>
    </x:font>
    <x:font>
      <x:sz val="10"/>
      <x:color rgb="FF6B7280"/>
      <x:name val="Arial"/>
    </x:font>
    <x:font>
      <x:i/>
      <x:sz val="10"/>
      <x:color rgb="FF172B46"/>
      <x:name val="Arial"/>
    </x:font>
    <x:font>
      <x:i/>
      <x:sz val="10"/>
      <x:color rgb="FF008000"/>
      <x:name val="Arial"/>
    </x:font>
    <x:font>
      <x:b/>
      <x:sz val="10"/>
      <x:color rgb="FF0000FF"/>
      <x:name val="Arial"/>
    </x:font>
    <x:font>
      <x:b/>
      <x:i/>
      <x:sz val="10"/>
      <x:color rgb="FF172B46"/>
      <x:name val="Arial"/>
    </x:font>
    <x:font>
      <x:i/>
      <x:sz val="10"/>
      <x:color rgb="FF0000FF"/>
      <x:name val="Arial"/>
    </x:font>
    <x:font>
      <x:b/>
      <x:i/>
      <x:sz val="10"/>
      <x:color rgb="FF000000"/>
      <x:name val="Arial"/>
    </x:font>
    <x:font>
      <x:b/>
      <x:sz val="10"/>
      <x:color rgb="FF172B46"/>
      <x:name val="Arial"/>
    </x:font>
    <x:font>
      <x:b/>
      <x:sz val="10"/>
      <x:color rgb="FF000000"/>
      <x:name val="Arial"/>
    </x:font>
    <x:font>
      <x:sz val="10"/>
      <x:color rgb="FF008000"/>
      <x:name val="Arial"/>
    </x:font>
    <x:font>
      <x:i/>
      <x:sz val="10"/>
      <x:color rgb="FF000000"/>
      <x:name val="Arial"/>
    </x:font>
    <x:font>
      <x:i/>
      <x:sz val="10"/>
      <x:color rgb="FF6B7280"/>
      <x:name val="Arial"/>
    </x:font>
    <x:font>
      <x:sz val="10"/>
      <x:color rgb="FF000000"/>
      <x:name val="Arial"/>
    </x:font>
    <x:font>
      <x:b/>
      <x:i/>
      <x:sz val="10"/>
      <x:color rgb="FF008000"/>
      <x:name val="Arial"/>
    </x:font>
    <x:font>
      <x:b/>
      <x:sz val="10"/>
      <x:color rgb="FF6B7280"/>
      <x:name val="Arial"/>
    </x:font>
    <x:font>
      <x:b/>
      <x:sz val="11"/>
      <x:color rgb="FF17365A"/>
      <x:name val="Arial"/>
    </x:font>
    <x:font>
      <x:sz val="10"/>
      <x:name val="Arial"/>
    </x:font>
    <x:font>
      <x:b/>
      <x:sz val="16"/>
      <x:color rgb="FF17365A"/>
      <x:name val="Arial"/>
    </x:font>
    <x:font>
      <x:b/>
      <x:sz val="10"/>
      <x:name val="Arial"/>
    </x:font>
    <x:font>
      <x:sz val="9"/>
      <x:color rgb="FF172B46"/>
      <x:name val="Courier New"/>
    </x:font>
    <x:font>
      <x:sz val="10"/>
      <x:color rgb="FF000000"/>
      <x:name val="Arial"/>
    </x:font>
    <x:font>
      <x:b/>
      <x:sz val="10"/>
      <x:color rgb="FF000000"/>
      <x:name val="Arial"/>
    </x:font>
    <x:font>
      <x:i/>
      <x:sz val="10"/>
      <x:color rgb="FF000000"/>
      <x:name val="Arial"/>
    </x:font>
    <x:font>
      <x:b/>
      <x:sz val="10"/>
      <x:color rgb="FFFFFFFF"/>
      <x:name val="Arial"/>
    </x:font>
    <x:font>
      <x:b/>
      <x:sz val="11"/>
      <x:color rgb="FF000000"/>
      <x:name val="Arial"/>
    </x:font>
    <x:font>
      <x:sz val="11"/>
      <x:color rgb="FF000000"/>
      <x:name val="Arial"/>
    </x:font>
    <x:font>
      <x:b/>
      <x:sz val="10"/>
      <x:color rgb="FF0000FF"/>
      <x:name val="Arial"/>
    </x:font>
    <x:font>
      <x:i/>
      <x:sz val="10"/>
      <x:color rgb="FF0000FF"/>
      <x:name val="Arial"/>
    </x:font>
    <x:font>
      <x:sz val="10"/>
      <x:color rgb="FF0000FF"/>
      <x:name val="Arial"/>
    </x:font>
    <x:font>
      <x:sz val="10"/>
      <x:color rgb="FF000000"/>
      <x:name val="Consolas"/>
    </x:font>
  </x:fonts>
  <x:fills count="12">
    <x:fill>
      <x:patternFill patternType="none"/>
    </x:fill>
    <x:fill>
      <x:patternFill patternType="gray125"/>
    </x:fill>
    <x:fill>
      <x:patternFill patternType="solid">
        <x:fgColor rgb="FF17365A"/>
      </x:patternFill>
    </x:fill>
    <x:fill>
      <x:patternFill patternType="solid">
        <x:fgColor rgb="FFE8EEF5"/>
      </x:patternFill>
    </x:fill>
    <x:fill>
      <x:patternFill patternType="solid">
        <x:fgColor rgb="FFFFF2CC"/>
      </x:patternFill>
    </x:fill>
    <x:fill>
      <x:patternFill patternType="solid">
        <x:fgColor rgb="FFE9F1FA"/>
      </x:patternFill>
    </x:fill>
    <x:fill>
      <x:patternFill patternType="solid">
        <x:fgColor rgb="FFE7EEF7"/>
      </x:patternFill>
    </x:fill>
    <x:fill>
      <x:patternFill patternType="solid">
        <x:fgColor rgb="FF17365A"/>
      </x:patternFill>
    </x:fill>
    <x:fill>
      <x:patternFill patternType="solid">
        <x:fgColor rgb="FF002060"/>
      </x:patternFill>
    </x:fill>
    <x:fill>
      <x:patternFill patternType="solid">
        <x:fgColor rgb="FFD9D9D9"/>
      </x:patternFill>
    </x:fill>
    <x:fill>
      <x:patternFill patternType="solid">
        <x:fgColor rgb="FFFFFF9A"/>
      </x:patternFill>
    </x:fill>
    <x:fill>
      <x:patternFill patternType="solid">
        <x:fgColor rgb="FFBFBFBF"/>
      </x:patternFill>
    </x:fill>
  </x:fills>
  <x:borders count="4">
    <x:border>
      <x:left/>
      <x:right/>
      <x:top/>
      <x:bottom/>
      <x:diagonal/>
    </x:border>
    <x:border>
      <x:left/>
      <x:right/>
      <x:top style="thin">
        <x:color rgb="FFCCD5DF"/>
      </x:top>
      <x:bottom/>
      <x:diagonal/>
    </x:border>
    <x:border>
      <x:left/>
      <x:right/>
      <x:top style="thin">
        <x:color rgb="FF000000"/>
      </x:top>
      <x:bottom/>
      <x:diagonal/>
    </x:border>
    <x:border>
      <x:left/>
      <x:right/>
      <x:top style="thin">
        <x:color rgb="FF000000"/>
      </x:top>
      <x:bottom style="thin">
        <x:color rgb="FF000000"/>
      </x:bottom>
      <x:diagonal/>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horizontal="center"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7"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200" fontId="8" fillId="0" borderId="0" xfId="0" applyNumberFormat="1" applyFont="1" applyFill="1" applyBorder="1" applyAlignment="1">
      <x:alignment vertical="center"/>
    </x:xf>
    <x:xf numFmtId="0" fontId="9" fillId="0" borderId="0" xfId="0" applyNumberFormat="1" applyFont="1" applyFill="1" applyBorder="1" applyAlignment="1">
      <x:alignment vertical="center"/>
    </x:xf>
    <x:xf numFmtId="203" fontId="9"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11"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0" xfId="0" applyNumberFormat="1" applyFont="1" applyFill="1" applyBorder="1" applyAlignment="1">
      <x:alignment vertical="center"/>
    </x:xf>
    <x:xf numFmtId="203" fontId="9" fillId="5" borderId="0" xfId="0" applyNumberFormat="1" applyFont="1" applyFill="1" applyBorder="1" applyAlignment="1">
      <x:alignment vertical="center"/>
    </x:xf>
    <x:xf numFmtId="0" fontId="12" fillId="5" borderId="0" xfId="0" applyNumberFormat="1" applyFont="1" applyFill="1" applyBorder="1" applyAlignment="1">
      <x:alignment vertical="center" wrapText="1"/>
    </x:xf>
    <x:xf numFmtId="0" fontId="12" fillId="5" borderId="0" xfId="0" applyNumberFormat="1" applyFont="1" applyFill="1" applyBorder="1" applyAlignment="1">
      <x:alignment vertical="center"/>
    </x:xf>
    <x:xf numFmtId="203" fontId="12" fillId="5" borderId="0" xfId="0" applyNumberFormat="1" applyFont="1" applyFill="1" applyBorder="1" applyAlignment="1">
      <x:alignment vertical="center"/>
    </x:xf>
    <x:xf numFmtId="203" fontId="13" fillId="0" borderId="0" xfId="0" applyNumberFormat="1" applyFont="1" applyFill="1" applyBorder="1" applyAlignment="1">
      <x:alignment vertical="center"/>
    </x:xf>
    <x:xf numFmtId="203" fontId="14" fillId="5"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204" fontId="1"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15" fillId="5" borderId="0" xfId="0" applyNumberFormat="1" applyFont="1" applyFill="1" applyBorder="1" applyAlignment="1">
      <x:alignment vertical="center"/>
    </x:xf>
    <x:xf numFmtId="204" fontId="15" fillId="5" borderId="0" xfId="0" applyNumberFormat="1" applyFont="1" applyFill="1" applyBorder="1" applyAlignment="1">
      <x:alignment vertical="center"/>
    </x:xf>
    <x:xf numFmtId="204" fontId="7" fillId="0" borderId="0" xfId="0" applyNumberFormat="1" applyFont="1" applyFill="1" applyBorder="1" applyAlignment="1">
      <x:alignment vertical="center"/>
    </x:xf>
    <x:xf numFmtId="204" fontId="16"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5" fillId="5" borderId="0" xfId="0" applyNumberFormat="1" applyFont="1" applyFill="1" applyBorder="1" applyAlignment="1">
      <x:alignment vertical="center"/>
    </x:xf>
    <x:xf numFmtId="200" fontId="16" fillId="5"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horizontal="center" vertical="center"/>
    </x:xf>
    <x:xf numFmtId="0" fontId="6" fillId="3" borderId="0" xfId="0" applyNumberFormat="1" applyFont="1" applyFill="1" applyBorder="1" applyAlignment="1">
      <x:alignment horizontal="center" vertical="center"/>
    </x:xf>
    <x:xf numFmtId="200" fontId="17" fillId="0" borderId="0" xfId="0" applyNumberFormat="1" applyFont="1" applyFill="1" applyBorder="1" applyAlignment="1">
      <x:alignment vertical="center"/>
    </x:xf>
    <x:xf numFmtId="202" fontId="17" fillId="0" borderId="0" xfId="0" applyNumberFormat="1" applyFont="1" applyFill="1" applyBorder="1" applyAlignment="1">
      <x:alignment vertical="center"/>
    </x:xf>
    <x:xf numFmtId="201" fontId="17" fillId="0" borderId="0" xfId="0" applyNumberFormat="1" applyFont="1" applyFill="1" applyBorder="1" applyAlignment="1">
      <x:alignment vertical="center"/>
    </x:xf>
    <x:xf numFmtId="203" fontId="18" fillId="0" borderId="0" xfId="0" applyNumberFormat="1" applyFont="1" applyFill="1" applyBorder="1" applyAlignment="1">
      <x:alignment vertical="center"/>
    </x:xf>
    <x:xf numFmtId="203" fontId="19" fillId="0" borderId="0" xfId="0" applyNumberFormat="1" applyFont="1" applyFill="1" applyBorder="1" applyAlignment="1">
      <x:alignment vertical="center"/>
    </x:xf>
    <x:xf numFmtId="202" fontId="8" fillId="0" borderId="0" xfId="0" applyNumberFormat="1" applyFont="1" applyFill="1" applyBorder="1" applyAlignment="1">
      <x:alignment vertical="center"/>
    </x:xf>
    <x:xf numFmtId="200" fontId="20" fillId="0" borderId="0" xfId="0" applyNumberFormat="1" applyFont="1" applyFill="1" applyBorder="1" applyAlignment="1">
      <x:alignment vertical="center"/>
    </x:xf>
    <x:xf numFmtId="204" fontId="17" fillId="0" borderId="0" xfId="0" applyNumberFormat="1" applyFont="1" applyFill="1" applyBorder="1" applyAlignment="1">
      <x:alignment vertical="center"/>
    </x:xf>
    <x:xf numFmtId="204" fontId="20" fillId="0" borderId="0" xfId="0" applyNumberFormat="1" applyFont="1" applyFill="1" applyBorder="1" applyAlignment="1">
      <x:alignment vertical="center"/>
    </x:xf>
    <x:xf numFmtId="202" fontId="20" fillId="0" borderId="0" xfId="0" applyNumberFormat="1" applyFont="1" applyFill="1" applyBorder="1" applyAlignment="1">
      <x:alignment vertical="center"/>
    </x:xf>
    <x:xf numFmtId="201" fontId="20" fillId="0" borderId="0" xfId="0" applyNumberFormat="1" applyFont="1" applyFill="1" applyBorder="1" applyAlignment="1">
      <x:alignment vertical="center"/>
    </x:xf>
    <x:xf numFmtId="203" fontId="21" fillId="5" borderId="0" xfId="0" applyNumberFormat="1" applyFont="1" applyFill="1" applyBorder="1" applyAlignment="1">
      <x:alignment vertical="center"/>
    </x:xf>
    <x:xf numFmtId="204" fontId="4" fillId="5" borderId="0" xfId="0" applyNumberFormat="1" applyFont="1" applyFill="1" applyBorder="1" applyAlignment="1">
      <x:alignment vertical="center"/>
    </x:xf>
    <x:xf numFmtId="0" fontId="15"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1" xfId="0" applyNumberFormat="1" applyFont="1" applyFill="1" applyBorder="1" applyAlignment="1">
      <x:alignment vertical="center"/>
    </x:xf>
    <x:xf numFmtId="200" fontId="16" fillId="0" borderId="0" xfId="0" applyNumberFormat="1" applyFont="1" applyFill="1" applyBorder="1" applyAlignment="1">
      <x:alignment vertical="center"/>
    </x:xf>
    <x:xf numFmtId="200" fontId="16" fillId="0" borderId="1" xfId="0" applyNumberFormat="1" applyFont="1" applyFill="1" applyBorder="1" applyAlignment="1">
      <x:alignment vertical="center"/>
    </x:xf>
    <x:xf numFmtId="200" fontId="15" fillId="0" borderId="0" xfId="0" applyNumberFormat="1" applyFont="1" applyFill="1" applyBorder="1" applyAlignment="1">
      <x:alignment vertical="center"/>
    </x:xf>
    <x:xf numFmtId="200" fontId="15" fillId="0" borderId="1" xfId="0" applyNumberFormat="1" applyFont="1" applyFill="1" applyBorder="1" applyAlignment="1">
      <x:alignment vertical="center"/>
    </x:xf>
    <x:xf numFmtId="200" fontId="22" fillId="0" borderId="0" xfId="0" applyNumberFormat="1" applyFont="1" applyFill="1" applyBorder="1" applyAlignment="1">
      <x:alignment vertical="center"/>
    </x:xf>
    <x:xf numFmtId="200" fontId="22" fillId="0" borderId="1" xfId="0" applyNumberFormat="1" applyFont="1" applyFill="1" applyBorder="1" applyAlignment="1">
      <x:alignment vertical="center"/>
    </x:xf>
    <x:xf numFmtId="205" fontId="1" fillId="0" borderId="0" xfId="0" applyNumberFormat="1" applyFont="1" applyFill="1" applyBorder="1" applyAlignment="1">
      <x:alignment vertical="center"/>
    </x:xf>
    <x:xf numFmtId="206" fontId="17" fillId="0" borderId="0" xfId="0" applyNumberFormat="1" applyFont="1" applyFill="1" applyBorder="1" applyAlignment="1">
      <x:alignment vertical="center"/>
    </x:xf>
    <x:xf numFmtId="206" fontId="20"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0" fontId="23" fillId="0"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24" fillId="0" borderId="0" xfId="0" applyNumberFormat="1" applyFont="1" applyFill="1" applyBorder="1"/>
    <x:xf numFmtId="207" fontId="1" fillId="0" borderId="0" xfId="0" applyNumberFormat="1" applyFont="1" applyFill="1" applyBorder="1" applyAlignment="1">
      <x:alignment vertical="center"/>
    </x:xf>
    <x:xf numFmtId="207" fontId="24" fillId="0" borderId="0" xfId="0" applyNumberFormat="1" applyFont="1" applyFill="1" applyBorder="1"/>
    <x:xf numFmtId="202" fontId="24" fillId="0" borderId="0" xfId="0" applyNumberFormat="1" applyFont="1" applyFill="1" applyBorder="1"/>
    <x:xf numFmtId="0" fontId="24" fillId="6" borderId="0" xfId="0" applyNumberFormat="1" applyFont="1" applyFill="1" applyBorder="1"/>
    <x:xf numFmtId="0" fontId="23" fillId="0" borderId="0" xfId="0" applyNumberFormat="1" applyFont="1" applyFill="1" applyBorder="1"/>
    <x:xf numFmtId="0" fontId="25" fillId="0" borderId="0" xfId="0" applyNumberFormat="1" applyFont="1" applyFill="1" applyBorder="1"/>
    <x:xf numFmtId="0" fontId="17" fillId="0" borderId="0" xfId="0" applyNumberFormat="1" applyFont="1" applyFill="1" applyBorder="1"/>
    <x:xf numFmtId="0" fontId="0" fillId="6" borderId="0" xfId="0" applyNumberFormat="1" applyFont="1" applyFill="1" applyBorder="1"/>
    <x:xf numFmtId="0" fontId="26" fillId="6" borderId="0" xfId="0" applyNumberFormat="1" applyFont="1" applyFill="1" applyBorder="1"/>
    <x:xf numFmtId="0" fontId="26" fillId="6" borderId="0" xfId="0" applyNumberFormat="1" applyFont="1" applyFill="1" applyBorder="1" applyAlignment="1">
      <x:alignment wrapText="1"/>
    </x:xf>
    <x:xf numFmtId="208" fontId="0" fillId="0" borderId="0" xfId="0" applyNumberFormat="1" applyFont="1" applyFill="1" applyBorder="1"/>
    <x:xf numFmtId="209" fontId="0" fillId="0" borderId="0" xfId="0" applyNumberFormat="1" applyFont="1" applyFill="1" applyBorder="1"/>
    <x:xf numFmtId="0" fontId="1"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210" fontId="1" fillId="0" borderId="0" xfId="0" applyNumberFormat="1" applyFont="1" applyFill="1" applyBorder="1"/>
    <x:xf numFmtId="211" fontId="1" fillId="0" borderId="0" xfId="0" applyNumberFormat="1" applyFont="1" applyFill="1" applyBorder="1"/>
    <x:xf numFmtId="209" fontId="1" fillId="0" borderId="0" xfId="0" applyNumberFormat="1" applyFont="1" applyFill="1" applyBorder="1"/>
    <x:xf numFmtId="211" fontId="17" fillId="0" borderId="0" xfId="0" applyNumberFormat="1" applyFont="1" applyFill="1" applyBorder="1"/>
    <x:xf numFmtId="212" fontId="1" fillId="0" borderId="0" xfId="0" applyNumberFormat="1" applyFont="1" applyFill="1" applyBorder="1"/>
    <x:xf numFmtId="207" fontId="1" fillId="0" borderId="0" xfId="0" applyNumberFormat="1" applyFont="1" applyFill="1" applyBorder="1"/>
    <x:xf numFmtId="0" fontId="27" fillId="0" borderId="0" xfId="0" applyNumberFormat="1" applyFont="1" applyFill="1" applyBorder="1"/>
    <x:xf numFmtId="0" fontId="28" fillId="0" borderId="0" xfId="0" applyNumberFormat="1" applyFont="1" applyFill="1" applyBorder="1" applyAlignment="1">
      <x:alignment vertical="center"/>
    </x:xf>
    <x:xf numFmtId="0" fontId="29" fillId="0" borderId="0" xfId="0" applyNumberFormat="1" applyFont="1" applyFill="1" applyBorder="1" applyAlignment="1">
      <x:alignment vertical="center"/>
    </x:xf>
    <x:xf numFmtId="0" fontId="30" fillId="0" borderId="0" xfId="0" applyNumberFormat="1" applyFont="1" applyFill="1" applyBorder="1" applyAlignment="1">
      <x:alignment vertical="center"/>
    </x:xf>
    <x:xf numFmtId="0" fontId="5" fillId="8" borderId="0" xfId="0" applyNumberFormat="1" applyFont="1" applyFill="1" applyBorder="1" applyAlignment="1">
      <x:alignment vertical="center"/>
    </x:xf>
    <x:xf numFmtId="0" fontId="31" fillId="8" borderId="0" xfId="0" applyNumberFormat="1" applyFont="1" applyFill="1" applyBorder="1" applyAlignment="1">
      <x:alignment vertical="center"/>
    </x:xf>
    <x:xf numFmtId="200" fontId="28" fillId="0" borderId="0" xfId="0" applyNumberFormat="1" applyFont="1" applyFill="1" applyBorder="1" applyAlignment="1">
      <x:alignment vertical="center"/>
    </x:xf>
    <x:xf numFmtId="213" fontId="28" fillId="0" borderId="0" xfId="0" applyNumberFormat="1" applyFont="1" applyFill="1" applyBorder="1" applyAlignment="1">
      <x:alignment vertical="center"/>
    </x:xf>
    <x:xf numFmtId="203" fontId="28" fillId="0" borderId="0" xfId="0" applyNumberFormat="1" applyFont="1" applyFill="1" applyBorder="1" applyAlignment="1">
      <x:alignment vertical="center"/>
    </x:xf>
    <x:xf numFmtId="214" fontId="28" fillId="0" borderId="0" xfId="0" applyNumberFormat="1" applyFont="1" applyFill="1" applyBorder="1" applyAlignment="1">
      <x:alignment vertical="center"/>
    </x:xf>
    <x:xf numFmtId="205" fontId="28" fillId="0" borderId="0" xfId="0" applyNumberFormat="1" applyFont="1" applyFill="1" applyBorder="1" applyAlignment="1">
      <x:alignment vertical="center"/>
    </x:xf>
    <x:xf numFmtId="215" fontId="28" fillId="0" borderId="0" xfId="0" applyNumberFormat="1" applyFont="1" applyFill="1" applyBorder="1" applyAlignment="1">
      <x:alignment vertical="center"/>
    </x:xf>
    <x:xf numFmtId="0" fontId="32" fillId="0" borderId="0" xfId="0" applyNumberFormat="1" applyFont="1" applyFill="1" applyBorder="1" applyAlignment="1">
      <x:alignment vertical="center"/>
    </x:xf>
    <x:xf numFmtId="0" fontId="33" fillId="0" borderId="0" xfId="0" applyNumberFormat="1" applyFont="1" applyFill="1" applyBorder="1" applyAlignment="1">
      <x:alignment vertical="center"/>
    </x:xf>
    <x:xf numFmtId="0" fontId="5" fillId="8" borderId="0" xfId="0" applyNumberFormat="1" applyFont="1" applyFill="1" applyBorder="1" applyAlignment="1">
      <x:alignment horizontal="center" vertical="center"/>
    </x:xf>
    <x:xf numFmtId="0" fontId="31" fillId="8" borderId="0" xfId="0" applyNumberFormat="1" applyFont="1" applyFill="1" applyBorder="1" applyAlignment="1">
      <x:alignment horizontal="center" vertical="center"/>
    </x:xf>
    <x:xf numFmtId="203" fontId="30" fillId="0" borderId="0" xfId="0" applyNumberFormat="1" applyFont="1" applyFill="1" applyBorder="1" applyAlignment="1">
      <x:alignment vertical="center"/>
    </x:xf>
    <x:xf numFmtId="214" fontId="30" fillId="0" borderId="0" xfId="0" applyNumberFormat="1" applyFont="1" applyFill="1" applyBorder="1" applyAlignment="1">
      <x:alignment vertical="center"/>
    </x:xf>
    <x:xf numFmtId="201" fontId="28" fillId="0" borderId="0" xfId="0" applyNumberFormat="1" applyFont="1" applyFill="1" applyBorder="1" applyAlignment="1">
      <x:alignment vertical="center"/>
    </x:xf>
    <x:xf numFmtId="216" fontId="28" fillId="0"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28" fillId="9" borderId="0" xfId="0" applyNumberFormat="1" applyFont="1" applyFill="1" applyBorder="1" applyAlignment="1">
      <x:alignment vertical="center"/>
    </x:xf>
    <x:xf numFmtId="202" fontId="28" fillId="0" borderId="0" xfId="0" applyNumberFormat="1" applyFont="1" applyFill="1" applyBorder="1" applyAlignment="1">
      <x:alignment vertical="center"/>
    </x:xf>
    <x:xf numFmtId="217" fontId="28" fillId="0" borderId="0" xfId="0" applyNumberFormat="1" applyFont="1" applyFill="1" applyBorder="1" applyAlignment="1">
      <x:alignment vertical="center"/>
    </x:xf>
    <x:xf numFmtId="207" fontId="28" fillId="0" borderId="0" xfId="0" applyNumberFormat="1" applyFont="1" applyFill="1" applyBorder="1" applyAlignment="1">
      <x:alignment vertical="center"/>
    </x:xf>
    <x:xf numFmtId="218" fontId="28" fillId="0" borderId="0" xfId="0" applyNumberFormat="1" applyFont="1" applyFill="1" applyBorder="1" applyAlignment="1">
      <x:alignment vertical="center"/>
    </x:xf>
    <x:xf numFmtId="0" fontId="28" fillId="0" borderId="0" xfId="0" applyNumberFormat="1" applyFont="1" applyFill="1" applyBorder="1"/>
    <x:xf numFmtId="207" fontId="28" fillId="0" borderId="0" xfId="0" applyNumberFormat="1" applyFont="1" applyFill="1" applyBorder="1"/>
    <x:xf numFmtId="218" fontId="28" fillId="0" borderId="0" xfId="0" applyNumberFormat="1" applyFont="1" applyFill="1" applyBorder="1"/>
    <x:xf numFmtId="204" fontId="28" fillId="0" borderId="0" xfId="0" applyNumberFormat="1" applyFont="1" applyFill="1" applyBorder="1" applyAlignment="1">
      <x:alignment vertical="center"/>
    </x:xf>
    <x:xf numFmtId="219" fontId="28" fillId="0" borderId="0" xfId="0" applyNumberFormat="1" applyFont="1" applyFill="1" applyBorder="1" applyAlignment="1">
      <x:alignment vertical="center"/>
    </x:xf>
    <x:xf numFmtId="202" fontId="28" fillId="0" borderId="0" xfId="0" applyNumberFormat="1" applyFont="1" applyFill="1" applyBorder="1"/>
    <x:xf numFmtId="217" fontId="28" fillId="0" borderId="0" xfId="0" applyNumberFormat="1" applyFont="1" applyFill="1" applyBorder="1"/>
    <x:xf numFmtId="0" fontId="6" fillId="9" borderId="0" xfId="0" applyNumberFormat="1" applyFont="1" applyFill="1" applyBorder="1" applyAlignment="1">
      <x:alignment vertical="center"/>
    </x:xf>
    <x:xf numFmtId="0" fontId="29" fillId="9" borderId="0" xfId="0" applyNumberFormat="1" applyFont="1" applyFill="1" applyBorder="1" applyAlignment="1">
      <x:alignment vertical="center"/>
    </x:xf>
    <x:xf numFmtId="0" fontId="24" fillId="9" borderId="0" xfId="0" applyNumberFormat="1" applyFont="1" applyFill="1" applyBorder="1"/>
    <x:xf numFmtId="0" fontId="28" fillId="9" borderId="0" xfId="0" applyNumberFormat="1" applyFont="1" applyFill="1" applyBorder="1"/>
    <x:xf numFmtId="0" fontId="11" fillId="10" borderId="0" xfId="0" applyNumberFormat="1" applyFont="1" applyFill="1" applyBorder="1" applyAlignment="1">
      <x:alignment vertical="center"/>
    </x:xf>
    <x:xf numFmtId="0" fontId="34" fillId="10" borderId="0" xfId="0" applyNumberFormat="1" applyFont="1" applyFill="1" applyBorder="1" applyAlignment="1">
      <x:alignment vertical="center"/>
    </x:xf>
    <x:xf numFmtId="0" fontId="12" fillId="9" borderId="0" xfId="0" applyNumberFormat="1" applyFont="1" applyFill="1" applyBorder="1" applyAlignment="1">
      <x:alignment vertical="center" wrapText="1"/>
    </x:xf>
    <x:xf numFmtId="0" fontId="14" fillId="9" borderId="0" xfId="0" applyNumberFormat="1" applyFont="1" applyFill="1" applyBorder="1" applyAlignment="1">
      <x:alignment vertical="center" wrapText="1"/>
    </x:xf>
    <x:xf numFmtId="0" fontId="12" fillId="9" borderId="0" xfId="0" applyNumberFormat="1" applyFont="1" applyFill="1" applyBorder="1" applyAlignment="1">
      <x:alignment vertical="center"/>
    </x:xf>
    <x:xf numFmtId="0" fontId="14" fillId="9" borderId="0" xfId="0" applyNumberFormat="1" applyFont="1" applyFill="1" applyBorder="1" applyAlignment="1">
      <x:alignment vertical="center"/>
    </x:xf>
    <x:xf numFmtId="203" fontId="21" fillId="9" borderId="0" xfId="0" applyNumberFormat="1" applyFont="1" applyFill="1" applyBorder="1" applyAlignment="1">
      <x:alignment vertical="center"/>
    </x:xf>
    <x:xf numFmtId="203" fontId="14" fillId="9" borderId="0" xfId="0" applyNumberFormat="1" applyFont="1" applyFill="1" applyBorder="1" applyAlignment="1">
      <x:alignment vertical="center"/>
    </x:xf>
    <x:xf numFmtId="214" fontId="14" fillId="9" borderId="0" xfId="0" applyNumberFormat="1" applyFont="1" applyFill="1" applyBorder="1" applyAlignment="1">
      <x:alignment vertical="center"/>
    </x:xf>
    <x:xf numFmtId="203" fontId="35" fillId="0" borderId="0" xfId="0" applyNumberFormat="1" applyFont="1" applyFill="1" applyBorder="1" applyAlignment="1">
      <x:alignment vertical="center"/>
    </x:xf>
    <x:xf numFmtId="214" fontId="35" fillId="0" borderId="0" xfId="0" applyNumberFormat="1" applyFont="1" applyFill="1" applyBorder="1" applyAlignment="1">
      <x:alignment vertical="center"/>
    </x:xf>
    <x:xf numFmtId="203" fontId="12" fillId="9" borderId="0" xfId="0" applyNumberFormat="1" applyFont="1" applyFill="1" applyBorder="1" applyAlignment="1">
      <x:alignment vertical="center"/>
    </x:xf>
    <x:xf numFmtId="0" fontId="15" fillId="9" borderId="0" xfId="0" applyNumberFormat="1" applyFont="1" applyFill="1" applyBorder="1" applyAlignment="1">
      <x:alignment vertical="center" wrapText="1"/>
    </x:xf>
    <x:xf numFmtId="0" fontId="29" fillId="9" borderId="0" xfId="0" applyNumberFormat="1" applyFont="1" applyFill="1" applyBorder="1" applyAlignment="1">
      <x:alignment vertical="center" wrapText="1"/>
    </x:xf>
    <x:xf numFmtId="0" fontId="15" fillId="9" borderId="0" xfId="0" applyNumberFormat="1" applyFont="1" applyFill="1" applyBorder="1" applyAlignment="1">
      <x:alignment vertical="center"/>
    </x:xf>
    <x:xf numFmtId="204" fontId="15" fillId="9" borderId="0" xfId="0" applyNumberFormat="1" applyFont="1" applyFill="1" applyBorder="1" applyAlignment="1">
      <x:alignment vertical="center"/>
    </x:xf>
    <x:xf numFmtId="204" fontId="29" fillId="9" borderId="0" xfId="0" applyNumberFormat="1" applyFont="1" applyFill="1" applyBorder="1" applyAlignment="1">
      <x:alignment vertical="center"/>
    </x:xf>
    <x:xf numFmtId="219" fontId="29" fillId="9" borderId="0" xfId="0" applyNumberFormat="1" applyFont="1" applyFill="1" applyBorder="1" applyAlignment="1">
      <x:alignment vertical="center"/>
    </x:xf>
    <x:xf numFmtId="204" fontId="16" fillId="9" borderId="0" xfId="0" applyNumberFormat="1" applyFont="1" applyFill="1" applyBorder="1" applyAlignment="1">
      <x:alignment vertical="center"/>
    </x:xf>
    <x:xf numFmtId="204" fontId="36" fillId="0" borderId="0" xfId="0" applyNumberFormat="1" applyFont="1" applyFill="1" applyBorder="1" applyAlignment="1">
      <x:alignment vertical="center"/>
    </x:xf>
    <x:xf numFmtId="219" fontId="36" fillId="0" borderId="0" xfId="0" applyNumberFormat="1" applyFont="1" applyFill="1" applyBorder="1" applyAlignment="1">
      <x:alignment vertical="center"/>
    </x:xf>
    <x:xf numFmtId="204" fontId="4" fillId="9" borderId="0" xfId="0" applyNumberFormat="1" applyFont="1" applyFill="1" applyBorder="1" applyAlignment="1">
      <x:alignment vertical="center"/>
    </x:xf>
    <x:xf numFmtId="200" fontId="15" fillId="9" borderId="0" xfId="0" applyNumberFormat="1" applyFont="1" applyFill="1" applyBorder="1" applyAlignment="1">
      <x:alignment vertical="center"/>
    </x:xf>
    <x:xf numFmtId="200" fontId="29" fillId="9" borderId="0" xfId="0" applyNumberFormat="1" applyFont="1" applyFill="1" applyBorder="1" applyAlignment="1">
      <x:alignment vertical="center"/>
    </x:xf>
    <x:xf numFmtId="213" fontId="29" fillId="9" borderId="0" xfId="0" applyNumberFormat="1" applyFont="1" applyFill="1" applyBorder="1" applyAlignment="1">
      <x:alignment vertical="center"/>
    </x:xf>
    <x:xf numFmtId="200" fontId="16" fillId="9" borderId="0" xfId="0" applyNumberFormat="1" applyFont="1" applyFill="1" applyBorder="1" applyAlignment="1">
      <x:alignment vertical="center"/>
    </x:xf>
    <x:xf numFmtId="200" fontId="36" fillId="0" borderId="0" xfId="0" applyNumberFormat="1" applyFont="1" applyFill="1" applyBorder="1" applyAlignment="1">
      <x:alignment vertical="center"/>
    </x:xf>
    <x:xf numFmtId="213" fontId="36" fillId="0" borderId="0" xfId="0" applyNumberFormat="1" applyFont="1" applyFill="1" applyBorder="1" applyAlignment="1">
      <x:alignment vertical="center"/>
    </x:xf>
    <x:xf numFmtId="203" fontId="36" fillId="0" borderId="0" xfId="0" applyNumberFormat="1" applyFont="1" applyFill="1" applyBorder="1" applyAlignment="1">
      <x:alignment vertical="center"/>
    </x:xf>
    <x:xf numFmtId="214" fontId="36" fillId="0" borderId="0" xfId="0" applyNumberFormat="1" applyFont="1" applyFill="1" applyBorder="1" applyAlignment="1">
      <x:alignment vertical="center"/>
    </x:xf>
    <x:xf numFmtId="200" fontId="29" fillId="0" borderId="1" xfId="0" applyNumberFormat="1" applyFont="1" applyFill="1" applyBorder="1" applyAlignment="1">
      <x:alignment vertical="center"/>
    </x:xf>
    <x:xf numFmtId="200" fontId="29" fillId="0" borderId="2" xfId="0" applyNumberFormat="1" applyFont="1" applyFill="1" applyBorder="1" applyAlignment="1">
      <x:alignment vertical="center"/>
    </x:xf>
    <x:xf numFmtId="213" fontId="29" fillId="0" borderId="2" xfId="0" applyNumberFormat="1" applyFont="1" applyFill="1" applyBorder="1" applyAlignment="1">
      <x:alignment vertical="center"/>
    </x:xf>
    <x:xf numFmtId="0" fontId="29" fillId="11" borderId="0" xfId="0" applyNumberFormat="1" applyFont="1" applyFill="1" applyBorder="1" applyAlignment="1">
      <x:alignment vertical="center"/>
    </x:xf>
    <x:xf numFmtId="213" fontId="29" fillId="11" borderId="2" xfId="0" applyNumberFormat="1" applyFont="1" applyFill="1" applyBorder="1" applyAlignment="1">
      <x:alignment vertical="center"/>
    </x:xf>
    <x:xf numFmtId="0" fontId="29" fillId="11" borderId="3" xfId="0" applyNumberFormat="1" applyFont="1" applyFill="1" applyBorder="1" applyAlignment="1">
      <x:alignment vertical="center"/>
    </x:xf>
    <x:xf numFmtId="213" fontId="29" fillId="11" borderId="3" xfId="0" applyNumberFormat="1" applyFont="1" applyFill="1" applyBorder="1" applyAlignment="1">
      <x:alignment vertical="center"/>
    </x:xf>
    <x:xf numFmtId="213" fontId="29" fillId="0" borderId="1" xfId="0" applyNumberFormat="1" applyFont="1" applyFill="1" applyBorder="1" applyAlignment="1">
      <x:alignment vertical="center"/>
    </x:xf>
    <x:xf numFmtId="213" fontId="29" fillId="11" borderId="1" xfId="0" applyNumberFormat="1" applyFont="1" applyFill="1" applyBorder="1" applyAlignment="1">
      <x:alignment vertical="center"/>
    </x:xf>
    <x:xf numFmtId="0" fontId="6" fillId="9" borderId="0" xfId="0" applyNumberFormat="1" applyFont="1" applyFill="1" applyBorder="1" applyAlignment="1">
      <x:alignment horizontal="center" vertical="center"/>
    </x:xf>
    <x:xf numFmtId="0" fontId="29" fillId="9" borderId="0" xfId="0" applyNumberFormat="1" applyFont="1" applyFill="1" applyBorder="1" applyAlignment="1">
      <x:alignment horizontal="center" vertical="center"/>
    </x:xf>
    <x:xf numFmtId="0" fontId="28" fillId="0" borderId="0" xfId="0" applyNumberFormat="1" applyFont="1" applyFill="1" applyBorder="1" applyAlignment="1">
      <x:alignment vertical="center" wrapText="1"/>
    </x:xf>
    <x:xf numFmtId="0" fontId="29" fillId="0" borderId="0" xfId="0" applyNumberFormat="1" applyFont="1" applyFill="1" applyBorder="1"/>
    <x:xf numFmtId="201" fontId="36" fillId="0" borderId="0" xfId="0" applyNumberFormat="1" applyFont="1" applyFill="1" applyBorder="1" applyAlignment="1">
      <x:alignment vertical="center"/>
    </x:xf>
    <x:xf numFmtId="216" fontId="36" fillId="0" borderId="0" xfId="0" applyNumberFormat="1" applyFont="1" applyFill="1" applyBorder="1" applyAlignment="1">
      <x:alignment vertical="center"/>
    </x:xf>
    <x:xf numFmtId="202" fontId="36" fillId="0" borderId="0" xfId="0" applyNumberFormat="1" applyFont="1" applyFill="1" applyBorder="1" applyAlignment="1">
      <x:alignment vertical="center"/>
    </x:xf>
    <x:xf numFmtId="217" fontId="36" fillId="0" borderId="0" xfId="0" applyNumberFormat="1" applyFont="1" applyFill="1" applyBorder="1" applyAlignment="1">
      <x:alignment vertical="center"/>
    </x:xf>
    <x:xf numFmtId="206" fontId="28" fillId="0" borderId="0" xfId="0" applyNumberFormat="1" applyFont="1" applyFill="1" applyBorder="1" applyAlignment="1">
      <x:alignment vertical="center"/>
    </x:xf>
    <x:xf numFmtId="220" fontId="28" fillId="0" borderId="0" xfId="0" applyNumberFormat="1" applyFont="1" applyFill="1" applyBorder="1" applyAlignment="1">
      <x:alignment vertical="center"/>
    </x:xf>
    <x:xf numFmtId="0" fontId="26" fillId="9" borderId="0" xfId="0" applyNumberFormat="1" applyFont="1" applyFill="1" applyBorder="1" applyAlignment="1">
      <x:alignment wrapText="1"/>
    </x:xf>
    <x:xf numFmtId="0" fontId="29" fillId="9"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31" fillId="8" borderId="0" xfId="0" applyNumberFormat="1" applyFont="1" applyFill="1" applyBorder="1" applyAlignment="1">
      <x:alignment vertical="center" wrapText="1"/>
    </x:xf>
    <x:xf numFmtId="208" fontId="28" fillId="0" borderId="0" xfId="0" applyNumberFormat="1" applyFont="1" applyFill="1" applyBorder="1"/>
    <x:xf numFmtId="221" fontId="28" fillId="0" borderId="0" xfId="0" applyNumberFormat="1" applyFont="1" applyFill="1" applyBorder="1"/>
    <x:xf numFmtId="209" fontId="28" fillId="0" borderId="0" xfId="0" applyNumberFormat="1" applyFont="1" applyFill="1" applyBorder="1"/>
    <x:xf numFmtId="222" fontId="28" fillId="0" borderId="0" xfId="0" applyNumberFormat="1" applyFont="1" applyFill="1" applyBorder="1"/>
    <x:xf numFmtId="210" fontId="28" fillId="0" borderId="0" xfId="0" applyNumberFormat="1" applyFont="1" applyFill="1" applyBorder="1"/>
    <x:xf numFmtId="223" fontId="28" fillId="0" borderId="0" xfId="0" applyNumberFormat="1" applyFont="1" applyFill="1" applyBorder="1"/>
    <x:xf numFmtId="211" fontId="28" fillId="0" borderId="0" xfId="0" applyNumberFormat="1" applyFont="1" applyFill="1" applyBorder="1"/>
    <x:xf numFmtId="224" fontId="28" fillId="0" borderId="0" xfId="0" applyNumberFormat="1" applyFont="1" applyFill="1" applyBorder="1"/>
    <x:xf numFmtId="212" fontId="28" fillId="0" borderId="0" xfId="0" applyNumberFormat="1" applyFont="1" applyFill="1" applyBorder="1"/>
    <x:xf numFmtId="225" fontId="28" fillId="0" borderId="0" xfId="0" applyNumberFormat="1" applyFont="1" applyFill="1" applyBorder="1"/>
    <x:xf numFmtId="0" fontId="37" fillId="0" borderId="0" xfId="0" applyNumberFormat="1" applyFont="1" applyFill="1" applyBorder="1"/>
    <x:xf numFmtId="0" fontId="32" fillId="0" borderId="0" xfId="0" applyNumberFormat="1" applyFont="1" applyFill="1" applyBorder="1"/>
    <x:xf numFmtId="0" fontId="33" fillId="0" borderId="0" xfId="0" applyNumberFormat="1" applyFont="1" applyFill="1" applyBorder="1"/>
  </x:cellXfs>
  <x:cellStyles count="1">
    <x:cellStyle name="Normal" xfId="0"/>
  </x:cellStyles>
  <x:dxfs count="1">
    <x:dxf>
      <x:font>
        <x:b/>
        <x:color rgb="FFA61C1C"/>
      </x:font>
      <x:fill>
        <x:patternFill>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6112b41498460f" /><Relationship Type="http://schemas.openxmlformats.org/officeDocument/2006/relationships/theme" Target="/xl/theme/theme1.xml" Id="R9a0f3689baea4d21" /><Relationship Type="http://schemas.openxmlformats.org/officeDocument/2006/relationships/sharedStrings" Target="/xl/sharedStrings.xml" Id="R8f4bd6690a204c6d" /><Relationship Type="http://schemas.openxmlformats.org/officeDocument/2006/relationships/worksheet" Target="/xl/worksheets/sheet1.xml" Id="R0db7b88a9a76418b" /><Relationship Type="http://schemas.openxmlformats.org/officeDocument/2006/relationships/worksheet" Target="/xl/worksheets/sheet2.xml" Id="R7b0d4616592e41f3" /><Relationship Type="http://schemas.openxmlformats.org/officeDocument/2006/relationships/worksheet" Target="/xl/worksheets/sheet3.xml" Id="Re23d62bad23b4916" /><Relationship Type="http://schemas.openxmlformats.org/officeDocument/2006/relationships/worksheet" Target="/xl/worksheets/sheet4.xml" Id="R96cc42d763424028" /><Relationship Type="http://schemas.openxmlformats.org/officeDocument/2006/relationships/worksheet" Target="/xl/worksheets/sheet5.xml" Id="Ra80ab8472cb945d3" /><Relationship Type="http://schemas.openxmlformats.org/officeDocument/2006/relationships/worksheet" Target="/xl/worksheets/sheet6.xml" Id="Rb0933f202b0d4f0c" /><Relationship Type="http://schemas.openxmlformats.org/officeDocument/2006/relationships/worksheet" Target="/xl/worksheets/sheet7.xml" Id="Rc30b73cb6eac4fd1" /><Relationship Type="http://schemas.openxmlformats.org/officeDocument/2006/relationships/worksheet" Target="/xl/worksheets/sheet8.xml" Id="R0ff9fd2c27ca4037" /><Relationship Type="http://schemas.openxmlformats.org/officeDocument/2006/relationships/worksheet" Target="/xl/worksheets/sheet9.xml" Id="Rdbe81aa3ceba4942" /><Relationship Type="http://schemas.openxmlformats.org/officeDocument/2006/relationships/worksheet" Target="/xl/worksheets/sheet10.xml" Id="R70d6bcb382b44534" /><Relationship Type="http://schemas.openxmlformats.org/officeDocument/2006/relationships/worksheet" Target="/xl/worksheets/sheet11.xml" Id="Rfe691cb0fe1d449f" /><Relationship Type="http://schemas.openxmlformats.org/officeDocument/2006/relationships/worksheet" Target="/xl/worksheets/sheet12.xml" Id="Rfcd2463c13f348ca" /><Relationship Type="http://schemas.openxmlformats.org/officeDocument/2006/relationships/worksheet" Target="/xl/worksheets/sheet13.xml" Id="R64ee5e88d0254295" /><Relationship Type="http://schemas.openxmlformats.org/officeDocument/2006/relationships/worksheet" Target="/xl/worksheets/sheet14.xml" Id="Re46bb78578e147d7" /><Relationship Type="http://schemas.openxmlformats.org/officeDocument/2006/relationships/worksheet" Target="/xl/worksheets/sheet15.xml" Id="R9c7fd24dd53f4b33" /><Relationship Type="http://schemas.openxmlformats.org/officeDocument/2006/relationships/worksheet" Target="/xl/worksheets/sheet16.xml" Id="Rc4561c0dac9e4ec0" /><Relationship Type="http://schemas.openxmlformats.org/officeDocument/2006/relationships/worksheet" Target="/xl/worksheets/sheet17.xml" Id="Rc081e795c4254207" /><Relationship Type="http://schemas.openxmlformats.org/officeDocument/2006/relationships/worksheet" Target="/xl/worksheets/sheet18.xml" Id="Ra5653a73413a4a0e" /><Relationship Type="http://schemas.openxmlformats.org/officeDocument/2006/relationships/worksheet" Target="/xl/worksheets/sheet19.xml" Id="Rc349fb8de6e9422f" /><Relationship Type="http://schemas.openxmlformats.org/officeDocument/2006/relationships/worksheet" Target="/xl/worksheets/sheet20.xml" Id="Rd3448e55544541bc" /><Relationship Type="http://schemas.openxmlformats.org/officeDocument/2006/relationships/worksheet" Target="/xl/worksheets/sheet21.xml" Id="R8aec620c8ed64422" /><Relationship Type="http://schemas.microsoft.com/office/2017/10/relationships/person" Target="/xl/persons/person.xml" Id="R122cc3173af2407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60e0dcd52b481b" /><Relationship Type="http://schemas.openxmlformats.org/officeDocument/2006/relationships/chart" Target="/xl/drawings/charts/chart2.xml" Id="Rbb883a678de949bb" /></Relationships>
</file>

<file path=xl/drawings/_rels/drawing2.xml.rels>&#65279;<?xml version="1.0" encoding="utf-8"?><Relationships xmlns="http://schemas.openxmlformats.org/package/2006/relationships"><Relationship Type="http://schemas.openxmlformats.org/officeDocument/2006/relationships/chart" Target="/xl/drawings/charts/chart3.xml" Id="Rcd19e6d3c4e84e36" /><Relationship Type="http://schemas.openxmlformats.org/officeDocument/2006/relationships/chart" Target="/xl/drawings/charts/chart4.xml" Id="Rcb8bde132f1c4707" /></Relationships>
</file>

<file path=xl/drawings/_rels/drawing3.xml.rels>&#65279;<?xml version="1.0" encoding="utf-8"?><Relationships xmlns="http://schemas.openxmlformats.org/package/2006/relationships"><Relationship Type="http://schemas.openxmlformats.org/officeDocument/2006/relationships/chart" Target="/xl/drawings/charts/chart5.xml" Id="Rebe01563f5174466" /><Relationship Type="http://schemas.openxmlformats.org/officeDocument/2006/relationships/chart" Target="/xl/drawings/charts/chart6.xml" Id="R989040da4c9140ab" /></Relationships>
</file>

<file path=xl/drawings/_rels/drawing4.xml.rels>&#65279;<?xml version="1.0" encoding="utf-8"?><Relationships xmlns="http://schemas.openxmlformats.org/package/2006/relationships"><Relationship Type="http://schemas.openxmlformats.org/officeDocument/2006/relationships/chart" Target="/xl/drawings/charts/chart7.xml" Id="Ra0731568380c4aa6" /><Relationship Type="http://schemas.openxmlformats.org/officeDocument/2006/relationships/chart" Target="/xl/drawings/charts/chart8.xml" Id="Rd75b4413876c47da" /></Relationships>
</file>

<file path=xl/drawings/_rels/drawing5.xml.rels>&#65279;<?xml version="1.0" encoding="utf-8"?><Relationships xmlns="http://schemas.openxmlformats.org/package/2006/relationships"><Relationship Type="http://schemas.openxmlformats.org/officeDocument/2006/relationships/chart" Target="/xl/drawings/charts/chart9.xml" Id="R257831f46f5844bd" /><Relationship Type="http://schemas.openxmlformats.org/officeDocument/2006/relationships/chart" Target="/xl/drawings/charts/chart10.xml" Id="Rcb794d59d35c4bde" /></Relationships>
</file>

<file path=xl/drawings/_rels/drawing6.xml.rels>&#65279;<?xml version="1.0" encoding="utf-8"?><Relationships xmlns="http://schemas.openxmlformats.org/package/2006/relationships"><Relationship Type="http://schemas.openxmlformats.org/officeDocument/2006/relationships/chart" Target="/xl/drawings/charts/chart11.xml" Id="R68c87d18de814d08" /><Relationship Type="http://schemas.openxmlformats.org/officeDocument/2006/relationships/chart" Target="/xl/drawings/charts/chart12.xml" Id="R4b7d9a478f0741de" /></Relationships>
</file>

<file path=xl/drawings/_rels/drawing7.xml.rels>&#65279;<?xml version="1.0" encoding="utf-8"?><Relationships xmlns="http://schemas.openxmlformats.org/package/2006/relationships"><Relationship Type="http://schemas.openxmlformats.org/officeDocument/2006/relationships/chart" Target="/xl/drawings/charts/chart13.xml" Id="R2d3b55a58ae24a7c" /><Relationship Type="http://schemas.openxmlformats.org/officeDocument/2006/relationships/chart" Target="/xl/drawings/charts/chart14.xml" Id="Rf7311b31e50f4dc4" /></Relationships>
</file>

<file path=xl/drawings/_rels/drawing8.xml.rels>&#65279;<?xml version="1.0" encoding="utf-8"?><Relationships xmlns="http://schemas.openxmlformats.org/package/2006/relationships"><Relationship Type="http://schemas.openxmlformats.org/officeDocument/2006/relationships/chart" Target="/xl/drawings/charts/chart15.xml" Id="R33d26ef713ad452f" /><Relationship Type="http://schemas.openxmlformats.org/officeDocument/2006/relationships/chart" Target="/xl/drawings/charts/chart16.xml" Id="R2e83c0eca3b34331" /></Relationships>
</file>

<file path=xl/drawings/_rels/drawing9.xml.rels>&#65279;<?xml version="1.0" encoding="utf-8"?><Relationships xmlns="http://schemas.openxmlformats.org/package/2006/relationships"><Relationship Type="http://schemas.openxmlformats.org/officeDocument/2006/relationships/chart" Target="/xl/drawings/charts/chart17.xml" Id="Rf021eb6bd3b04afe" /><Relationship Type="http://schemas.openxmlformats.org/officeDocument/2006/relationships/chart" Target="/xl/drawings/charts/chart18.xml" Id="Rd3a9c7bd81f247ed" /></Relationships>
</file>

<file path=xl/drawings/_rels/drawing10.xml.rels>&#65279;<?xml version="1.0" encoding="utf-8"?><Relationships xmlns="http://schemas.openxmlformats.org/package/2006/relationships"><Relationship Type="http://schemas.openxmlformats.org/officeDocument/2006/relationships/chart" Target="/xl/drawings/charts/chart19.xml" Id="R6bf4aef108c84dff" /><Relationship Type="http://schemas.openxmlformats.org/officeDocument/2006/relationships/chart" Target="/xl/drawings/charts/chart20.xml" Id="R93b56f7754cb4182" /></Relationships>
</file>

<file path=xl/drawings/_rels/drawing11.xml.rels>&#65279;<?xml version="1.0" encoding="utf-8"?><Relationships xmlns="http://schemas.openxmlformats.org/package/2006/relationships"><Relationship Type="http://schemas.openxmlformats.org/officeDocument/2006/relationships/chart" Target="/xl/drawings/charts/chart21.xml" Id="R0ccc410e117c43c9" /><Relationship Type="http://schemas.openxmlformats.org/officeDocument/2006/relationships/chart" Target="/xl/drawings/charts/chart22.xml" Id="R5023021f30694ea7" /></Relationships>
</file>

<file path=xl/drawings/_rels/drawing12.xml.rels>&#65279;<?xml version="1.0" encoding="utf-8"?><Relationships xmlns="http://schemas.openxmlformats.org/package/2006/relationships"><Relationship Type="http://schemas.openxmlformats.org/officeDocument/2006/relationships/chart" Target="/xl/drawings/charts/chart23.xml" Id="R378374ac791740ce" /><Relationship Type="http://schemas.openxmlformats.org/officeDocument/2006/relationships/chart" Target="/xl/drawings/charts/chart24.xml" Id="R8a825c767d98441b" /></Relationships>
</file>

<file path=xl/drawings/_rels/drawing13.xml.rels>&#65279;<?xml version="1.0" encoding="utf-8"?><Relationships xmlns="http://schemas.openxmlformats.org/package/2006/relationships"><Relationship Type="http://schemas.openxmlformats.org/officeDocument/2006/relationships/chart" Target="/xl/drawings/charts/chart25.xml" Id="Re8004ae3c9524a14" /><Relationship Type="http://schemas.openxmlformats.org/officeDocument/2006/relationships/chart" Target="/xl/drawings/charts/chart26.xml" Id="R019cf6dab4b14cd3" /></Relationships>
</file>

<file path=xl/drawings/_rels/drawing14.xml.rels>&#65279;<?xml version="1.0" encoding="utf-8"?><Relationships xmlns="http://schemas.openxmlformats.org/package/2006/relationships"><Relationship Type="http://schemas.openxmlformats.org/officeDocument/2006/relationships/chart" Target="/xl/drawings/charts/chart27.xml" Id="Rfa5a9cd4dd8842c2" /><Relationship Type="http://schemas.openxmlformats.org/officeDocument/2006/relationships/chart" Target="/xl/drawings/charts/chart28.xml" Id="R8f3a773f73334205" /></Relationships>
</file>

<file path=xl/drawings/_rels/drawing15.xml.rels>&#65279;<?xml version="1.0" encoding="utf-8"?><Relationships xmlns="http://schemas.openxmlformats.org/package/2006/relationships"><Relationship Type="http://schemas.openxmlformats.org/officeDocument/2006/relationships/chart" Target="/xl/drawings/charts/chart29.xml" Id="R73c2b71777a34ee1" /><Relationship Type="http://schemas.openxmlformats.org/officeDocument/2006/relationships/chart" Target="/xl/drawings/charts/chart30.xml" Id="Ra46e278b73df4518" /></Relationships>
</file>

<file path=xl/drawings/_rels/drawing17.xml.rels>&#65279;<?xml version="1.0" encoding="utf-8"?><Relationships xmlns="http://schemas.openxmlformats.org/package/2006/relationships"><Relationship Type="http://schemas.openxmlformats.org/officeDocument/2006/relationships/chart" Target="/xl/drawings/charts/chart31.xml" Id="R69e9125fe8fe4606" /></Relationships>
</file>

<file path=xl/drawings/_rels/drawing18.xml.rels>&#65279;<?xml version="1.0" encoding="utf-8"?><Relationships xmlns="http://schemas.openxmlformats.org/package/2006/relationships"><Relationship Type="http://schemas.openxmlformats.org/officeDocument/2006/relationships/chart" Target="/xl/drawings/charts/chart32.xml" Id="R4d878233d800490b" /><Relationship Type="http://schemas.openxmlformats.org/officeDocument/2006/relationships/chart" Target="/xl/drawings/charts/chart33.xml" Id="Rab31a144fa8c4749" /></Relationships>
</file>

<file path=xl/drawings/_rels/drawing21.xml.rels>&#65279;<?xml version="1.0" encoding="utf-8"?><Relationships xmlns="http://schemas.openxmlformats.org/package/2006/relationships"><Relationship Type="http://schemas.openxmlformats.org/officeDocument/2006/relationships/chart" Target="/xl/drawings/charts/chart34.xml" Id="Raa2b3cc4ffa84abd" /><Relationship Type="http://schemas.openxmlformats.org/officeDocument/2006/relationships/chart" Target="/xl/drawings/charts/chart35.xml" Id="Rbe5bdb5906e44173" /><Relationship Type="http://schemas.openxmlformats.org/officeDocument/2006/relationships/chart" Target="/xl/drawings/charts/chart36.xml" Id="R18b9886d73554dae" /><Relationship Type="http://schemas.openxmlformats.org/officeDocument/2006/relationships/chart" Target="/xl/drawings/charts/chart37.xml" Id="R6e674f60f9d845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Revenue and operating income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'Overview'!$C$25:$C$34</c:f>
              <c:strCache>
                <c:ptCount val="0"/>
              </c:strCache>
            </c:strRef>
          </c:cat>
          <c:val>
            <c:numRef>
              <c:f>'Overview'!$D$25:$D$34</c:f>
              <c:numCache>
                <c:formatCode>#,##0;(#,##0);"–"</c:formatCode>
                <c:ptCount val="0"/>
              </c:numCache>
            </c:numRef>
          </c:val>
          <c:smooth val="0"/>
        </c:ser>
        <c:ser>
          <c:idx val="1"/>
          <c:order val="1"/>
          <c:tx>
            <c:v>Operating income</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'Overview'!$C$25:$C$34</c:f>
              <c:strCache>
                <c:ptCount val="0"/>
              </c:strCache>
            </c:strRef>
          </c:cat>
          <c:val>
            <c:numRef>
              <c:f>'Overview'!$E$25:$E$34</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Capital investment and free cash flow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capex</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'Overview'!$C$25:$C$34</c:f>
              <c:strCache>
                <c:ptCount val="0"/>
              </c:strCache>
            </c:strRef>
          </c:cat>
          <c:val>
            <c:numRef>
              <c:f>'Overview'!$F$25:$F$34</c:f>
              <c:numCache>
                <c:formatCode>#,##0;(#,##0);"–"</c:formatCode>
                <c:ptCount val="0"/>
              </c:numCache>
            </c:numRef>
          </c:val>
          <c:smooth val="0"/>
        </c:ser>
        <c:ser>
          <c:idx val="1"/>
          <c:order val="1"/>
          <c:tx>
            <c:v>Free cash flow</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'Overview'!$C$25:$C$34</c:f>
              <c:strCache>
                <c:ptCount val="0"/>
              </c:strCache>
            </c:strRef>
          </c:cat>
          <c:val>
            <c:numRef>
              <c:f>'Overview'!$G$25:$G$34</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Cash conversion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CFO</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'Equity Research'!$C$70:$C$79</c:f>
              <c:strCache>
                <c:ptCount val="0"/>
              </c:strCache>
            </c:strRef>
          </c:cat>
          <c:val>
            <c:numRef>
              <c:f>'Equity Research'!$D$70:$D$79</c:f>
              <c:numCache>
                <c:formatCode>#,##0.0;(#,##0.0);"–"</c:formatCode>
                <c:ptCount val="0"/>
              </c:numCache>
            </c:numRef>
          </c:val>
          <c:smooth val="0"/>
        </c:ser>
        <c:ser>
          <c:idx val="1"/>
          <c:order val="1"/>
          <c:tx>
            <c:v>FCF</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'Equity Research'!$C$70:$C$79</c:f>
              <c:strCache>
                <c:ptCount val="0"/>
              </c:strCache>
            </c:strRef>
          </c:cat>
          <c:val>
            <c:numRef>
              <c:f>'Equity Research'!$E$70:$E$79</c:f>
              <c:numCache>
                <c:formatCode>#,##0.0;(#,##0.0);"–"</c:formatCode>
                <c:ptCount val="0"/>
              </c:numCache>
            </c:numRef>
          </c:val>
          <c:smooth val="0"/>
        </c:ser>
        <c:ser>
          <c:idx val="2"/>
          <c:order val="2"/>
          <c:tx>
            <c:v>FCF after lease principal</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'Equity Research'!$C$70:$C$79</c:f>
              <c:strCache>
                <c:ptCount val="0"/>
              </c:strCache>
            </c:strRef>
          </c:cat>
          <c:val>
            <c:numRef>
              <c:f>'Equity Research'!$F$70:$F$79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and FCF margins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Operating margin</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'Equity Research'!$C$89:$C$98</c:f>
              <c:strCache>
                <c:ptCount val="0"/>
              </c:strCache>
            </c:strRef>
          </c:cat>
          <c:val>
            <c:numRef>
              <c:f>'Equity Research'!$D$89:$D$98</c:f>
              <c:numCache>
                <c:formatCode>0.0%</c:formatCode>
                <c:ptCount val="0"/>
              </c:numCache>
            </c:numRef>
          </c:val>
          <c:smooth val="0"/>
        </c:ser>
        <c:ser>
          <c:idx val="1"/>
          <c:order val="1"/>
          <c:tx>
            <c:v>FCF margin</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'Equity Research'!$C$89:$C$98</c:f>
              <c:strCache>
                <c:ptCount val="0"/>
              </c:strCache>
            </c:strRef>
          </c:cat>
          <c:val>
            <c:numRef>
              <c:f>'Equity Research'!$E$89:$E$98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Debt, leases and liquidity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Debt</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'Investment Banking'!$C$70:$C$79</c:f>
              <c:strCache>
                <c:ptCount val="0"/>
              </c:strCache>
            </c:strRef>
          </c:cat>
          <c:val>
            <c:numRef>
              <c:f>'Investment Banking'!$D$70:$D$79</c:f>
              <c:numCache>
                <c:formatCode>#,##0.0;(#,##0.0);"–"</c:formatCode>
                <c:ptCount val="0"/>
              </c:numCache>
            </c:numRef>
          </c:val>
          <c:smooth val="0"/>
        </c:ser>
        <c:ser>
          <c:idx val="1"/>
          <c:order val="1"/>
          <c:tx>
            <c:v>Finance leases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'Investment Banking'!$C$70:$C$79</c:f>
              <c:strCache>
                <c:ptCount val="0"/>
              </c:strCache>
            </c:strRef>
          </c:cat>
          <c:val>
            <c:numRef>
              <c:f>'Investment Banking'!$E$70:$E$79</c:f>
              <c:numCache>
                <c:formatCode>#,##0.0;(#,##0.0);"–"</c:formatCode>
                <c:ptCount val="0"/>
              </c:numCache>
            </c:numRef>
          </c:val>
          <c:smooth val="0"/>
        </c:ser>
        <c:ser>
          <c:idx val="2"/>
          <c:order val="2"/>
          <c:tx>
            <c:v>Liquid assets</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'Investment Banking'!$C$70:$C$79</c:f>
              <c:strCache>
                <c:ptCount val="0"/>
              </c:strCache>
            </c:strRef>
          </c:cat>
          <c:val>
            <c:numRef>
              <c:f>'Investment Banking'!$F$70:$F$79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Debt / earnings proxy</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Debt only</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'Investment Banking'!$C$89:$C$98</c:f>
              <c:strCache>
                <c:ptCount val="0"/>
              </c:strCache>
            </c:strRef>
          </c:cat>
          <c:val>
            <c:numRef>
              <c:f>'Investment Banking'!$D$89:$D$98</c:f>
              <c:numCache>
                <c:formatCode>#,##0.0;(#,##0.0);"–"</c:formatCode>
                <c:ptCount val="0"/>
              </c:numCache>
            </c:numRef>
          </c:val>
          <c:smooth val="0"/>
        </c:ser>
        <c:ser>
          <c:idx val="1"/>
          <c:order val="1"/>
          <c:tx>
            <c:v>Including finance leases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'Investment Banking'!$C$89:$C$98</c:f>
              <c:strCache>
                <c:ptCount val="0"/>
              </c:strCache>
            </c:strRef>
          </c:cat>
          <c:val>
            <c:numRef>
              <c:f>'Investment Banking'!$E$89:$E$98</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x&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Cash and noncash investment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capex</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'Private Equity'!$C$70:$C$79</c:f>
              <c:strCache>
                <c:ptCount val="0"/>
              </c:strCache>
            </c:strRef>
          </c:cat>
          <c:val>
            <c:numRef>
              <c:f>'Private Equity'!$D$70:$D$79</c:f>
              <c:numCache>
                <c:formatCode>#,##0.0;(#,##0.0);"–"</c:formatCode>
                <c:ptCount val="0"/>
              </c:numCache>
            </c:numRef>
          </c:val>
          <c:smooth val="0"/>
        </c:ser>
        <c:ser>
          <c:idx val="1"/>
          <c:order val="1"/>
          <c:tx>
            <c:v>Finance lease additions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'Private Equity'!$C$70:$C$79</c:f>
              <c:strCache>
                <c:ptCount val="0"/>
              </c:strCache>
            </c:strRef>
          </c:cat>
          <c:val>
            <c:numRef>
              <c:f>'Private Equity'!$E$70:$E$79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Cash conversion and capex / earnings proxy</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conversion</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'Private Equity'!$C$89:$C$98</c:f>
              <c:strCache>
                <c:ptCount val="0"/>
              </c:strCache>
            </c:strRef>
          </c:cat>
          <c:val>
            <c:numRef>
              <c:f>'Private Equity'!$D$89:$D$98</c:f>
              <c:numCache>
                <c:formatCode>0.0%</c:formatCode>
                <c:ptCount val="0"/>
              </c:numCache>
            </c:numRef>
          </c:val>
          <c:smooth val="0"/>
        </c:ser>
        <c:ser>
          <c:idx val="1"/>
          <c:order val="1"/>
          <c:tx>
            <c:v>Cash capex / earnings proxy</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'Private Equity'!$C$89:$C$98</c:f>
              <c:strCache>
                <c:ptCount val="0"/>
              </c:strCache>
            </c:strRef>
          </c:cat>
          <c:val>
            <c:numRef>
              <c:f>'Private Equity'!$E$89:$E$98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Segment revenue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PBP</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'FP&amp;A'!$C$85:$C$93</c:f>
              <c:strCache>
                <c:ptCount val="0"/>
              </c:strCache>
            </c:strRef>
          </c:cat>
          <c:val>
            <c:numRef>
              <c:f>'FP&amp;A'!$D$85:$D$93</c:f>
              <c:numCache>
                <c:formatCode>#,##0.0;(#,##0.0);"–"</c:formatCode>
                <c:ptCount val="0"/>
              </c:numCache>
            </c:numRef>
          </c:val>
          <c:smooth val="0"/>
        </c:ser>
        <c:ser>
          <c:idx val="1"/>
          <c:order val="1"/>
          <c:tx>
            <c:v>Intelligent Cloud</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'FP&amp;A'!$C$85:$C$93</c:f>
              <c:strCache>
                <c:ptCount val="0"/>
              </c:strCache>
            </c:strRef>
          </c:cat>
          <c:val>
            <c:numRef>
              <c:f>'FP&amp;A'!$E$85:$E$93</c:f>
              <c:numCache>
                <c:formatCode>#,##0.0;(#,##0.0);"–"</c:formatCode>
                <c:ptCount val="0"/>
              </c:numCache>
            </c:numRef>
          </c:val>
          <c:smooth val="0"/>
        </c:ser>
        <c:ser>
          <c:idx val="2"/>
          <c:order val="2"/>
          <c:tx>
            <c:v>MPC</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'FP&amp;A'!$C$85:$C$93</c:f>
              <c:strCache>
                <c:ptCount val="0"/>
              </c:strCache>
            </c:strRef>
          </c:cat>
          <c:val>
            <c:numRef>
              <c:f>'FP&amp;A'!$F$85:$F$93</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expenses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R&amp;D</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'FP&amp;A'!$C$104:$C$113</c:f>
              <c:strCache>
                <c:ptCount val="0"/>
              </c:strCache>
            </c:strRef>
          </c:cat>
          <c:val>
            <c:numRef>
              <c:f>'FP&amp;A'!$D$104:$D$113</c:f>
              <c:numCache>
                <c:formatCode>#,##0.0;(#,##0.0);"–"</c:formatCode>
                <c:ptCount val="0"/>
              </c:numCache>
            </c:numRef>
          </c:val>
          <c:smooth val="0"/>
        </c:ser>
        <c:ser>
          <c:idx val="1"/>
          <c:order val="1"/>
          <c:tx>
            <c:v>Sales and marketing</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'FP&amp;A'!$C$104:$C$113</c:f>
              <c:strCache>
                <c:ptCount val="0"/>
              </c:strCache>
            </c:strRef>
          </c:cat>
          <c:val>
            <c:numRef>
              <c:f>'FP&amp;A'!$E$104:$E$113</c:f>
              <c:numCache>
                <c:formatCode>#,##0.0;(#,##0.0);"–"</c:formatCode>
                <c:ptCount val="0"/>
              </c:numCache>
            </c:numRef>
          </c:val>
          <c:smooth val="0"/>
        </c:ser>
        <c:ser>
          <c:idx val="2"/>
          <c:order val="2"/>
          <c:tx>
            <c:v>G&amp;A</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'FP&amp;A'!$C$104:$C$113</c:f>
              <c:strCache>
                <c:ptCount val="0"/>
              </c:strCache>
            </c:strRef>
          </c:cat>
          <c:val>
            <c:numRef>
              <c:f>'FP&amp;A'!$F$104:$F$113</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Active segment revenue growth</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PBP</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'Assumptions'!$C$257:$C$261</c:f>
              <c:strCache>
                <c:ptCount val="0"/>
              </c:strCache>
            </c:strRef>
          </c:cat>
          <c:val>
            <c:numRef>
              <c:f>'Assumptions'!$D$257:$D$261</c:f>
              <c:numCache>
                <c:formatCode>0.0%</c:formatCode>
                <c:ptCount val="0"/>
              </c:numCache>
            </c:numRef>
          </c:val>
          <c:smooth val="0"/>
        </c:ser>
        <c:ser>
          <c:idx val="1"/>
          <c:order val="1"/>
          <c:tx>
            <c:v>Intelligent Cloud</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'Assumptions'!$C$257:$C$261</c:f>
              <c:strCache>
                <c:ptCount val="0"/>
              </c:strCache>
            </c:strRef>
          </c:cat>
          <c:val>
            <c:numRef>
              <c:f>'Assumptions'!$E$257:$E$261</c:f>
              <c:numCache>
                <c:formatCode>0.0%</c:formatCode>
                <c:ptCount val="0"/>
              </c:numCache>
            </c:numRef>
          </c:val>
          <c:smooth val="0"/>
        </c:ser>
        <c:ser>
          <c:idx val="2"/>
          <c:order val="2"/>
          <c:tx>
            <c:v>MPC</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'Assumptions'!$C$257:$C$261</c:f>
              <c:strCache>
                <c:ptCount val="0"/>
              </c:strCache>
            </c:strRef>
          </c:cat>
          <c:val>
            <c:numRef>
              <c:f>'Assumptions'!$F$257:$F$261</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Active capital investment ratios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capex / 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'Assumptions'!$C$276:$C$280</c:f>
              <c:strCache>
                <c:ptCount val="0"/>
              </c:strCache>
            </c:strRef>
          </c:cat>
          <c:val>
            <c:numRef>
              <c:f>'Assumptions'!$D$276:$D$280</c:f>
              <c:numCache>
                <c:formatCode>0.0%</c:formatCode>
                <c:ptCount val="0"/>
              </c:numCache>
            </c:numRef>
          </c:val>
          <c:smooth val="0"/>
        </c:ser>
        <c:ser>
          <c:idx val="1"/>
          <c:order val="1"/>
          <c:tx>
            <c:v>Finance lease additions / revenue</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'Assumptions'!$C$276:$C$280</c:f>
              <c:strCache>
                <c:ptCount val="0"/>
              </c:strCache>
            </c:strRef>
          </c:cat>
          <c:val>
            <c:numRef>
              <c:f>'Assumptions'!$E$276:$E$280</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Revenue and earnings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'Income Statement'!$C$81:$C$95</c:f>
              <c:strCache>
                <c:ptCount val="0"/>
              </c:strCache>
            </c:strRef>
          </c:cat>
          <c:val>
            <c:numRef>
              <c:f>'Income Statement'!$D$81:$D$95</c:f>
              <c:numCache>
                <c:formatCode>#,##0.0;(#,##0.0);"–"</c:formatCode>
                <c:ptCount val="0"/>
              </c:numCache>
            </c:numRef>
          </c:val>
          <c:smooth val="0"/>
        </c:ser>
        <c:ser>
          <c:idx val="1"/>
          <c:order val="1"/>
          <c:tx>
            <c:v>Operating income</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'Income Statement'!$C$81:$C$95</c:f>
              <c:strCache>
                <c:ptCount val="0"/>
              </c:strCache>
            </c:strRef>
          </c:cat>
          <c:val>
            <c:numRef>
              <c:f>'Income Statement'!$E$81:$E$95</c:f>
              <c:numCache>
                <c:formatCode>#,##0.0;(#,##0.0);"–"</c:formatCode>
                <c:ptCount val="0"/>
              </c:numCache>
            </c:numRef>
          </c:val>
          <c:smooth val="0"/>
        </c:ser>
        <c:ser>
          <c:idx val="2"/>
          <c:order val="2"/>
          <c:tx>
            <c:v>Net income</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'Income Statement'!$C$81:$C$95</c:f>
              <c:strCache>
                <c:ptCount val="0"/>
              </c:strCache>
            </c:strRef>
          </c:cat>
          <c:val>
            <c:numRef>
              <c:f>'Income Statement'!$F$81:$F$95</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Profit margins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Gross margin</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'Income Statement'!$C$100:$C$114</c:f>
              <c:strCache>
                <c:ptCount val="0"/>
              </c:strCache>
            </c:strRef>
          </c:cat>
          <c:val>
            <c:numRef>
              <c:f>'Income Statement'!$D$100:$D$114</c:f>
              <c:numCache>
                <c:formatCode>0.0%</c:formatCode>
                <c:ptCount val="0"/>
              </c:numCache>
            </c:numRef>
          </c:val>
          <c:smooth val="0"/>
        </c:ser>
        <c:ser>
          <c:idx val="1"/>
          <c:order val="1"/>
          <c:tx>
            <c:v>Operating margin</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'Income Statement'!$C$100:$C$114</c:f>
              <c:strCache>
                <c:ptCount val="0"/>
              </c:strCache>
            </c:strRef>
          </c:cat>
          <c:val>
            <c:numRef>
              <c:f>'Income Statement'!$E$100:$E$114</c:f>
              <c:numCache>
                <c:formatCode>0.0%</c:formatCode>
                <c:ptCount val="0"/>
              </c:numCache>
            </c:numRef>
          </c:val>
          <c:smooth val="0"/>
        </c:ser>
        <c:ser>
          <c:idx val="2"/>
          <c:order val="2"/>
          <c:tx>
            <c:v>Net margin</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'Income Statement'!$C$100:$C$114</c:f>
              <c:strCache>
                <c:ptCount val="0"/>
              </c:strCache>
            </c:strRef>
          </c:cat>
          <c:val>
            <c:numRef>
              <c:f>'Income Statement'!$F$100:$F$114</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Asset composition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Liquid assets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'Balance Sheet'!$C$94:$C$108</c:f>
              <c:strCache>
                <c:ptCount val="0"/>
              </c:strCache>
            </c:strRef>
          </c:cat>
          <c:val>
            <c:numRef>
              <c:f>'Balance Sheet'!$D$94:$D$108</c:f>
              <c:numCache>
                <c:formatCode>#,##0.0;(#,##0.0);"–"</c:formatCode>
                <c:ptCount val="0"/>
              </c:numCache>
            </c:numRef>
          </c:val>
          <c:smooth val="0"/>
        </c:ser>
        <c:ser>
          <c:idx val="1"/>
          <c:order val="1"/>
          <c:tx>
            <c:v>Net PPE</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'Balance Sheet'!$C$94:$C$108</c:f>
              <c:strCache>
                <c:ptCount val="0"/>
              </c:strCache>
            </c:strRef>
          </c:cat>
          <c:val>
            <c:numRef>
              <c:f>'Balance Sheet'!$E$94:$E$108</c:f>
              <c:numCache>
                <c:formatCode>#,##0.0;(#,##0.0);"–"</c:formatCode>
                <c:ptCount val="0"/>
              </c:numCache>
            </c:numRef>
          </c:val>
          <c:smooth val="0"/>
        </c:ser>
        <c:ser>
          <c:idx val="2"/>
          <c:order val="2"/>
          <c:tx>
            <c:v>Total assets</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'Balance Sheet'!$C$94:$C$108</c:f>
              <c:strCache>
                <c:ptCount val="0"/>
              </c:strCache>
            </c:strRef>
          </c:cat>
          <c:val>
            <c:numRef>
              <c:f>'Balance Sheet'!$F$94:$F$108</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Liability and equity funding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Liabilities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'Balance Sheet'!$C$113:$C$127</c:f>
              <c:strCache>
                <c:ptCount val="0"/>
              </c:strCache>
            </c:strRef>
          </c:cat>
          <c:val>
            <c:numRef>
              <c:f>'Balance Sheet'!$D$113:$D$127</c:f>
              <c:numCache>
                <c:formatCode>#,##0.0;(#,##0.0);"–"</c:formatCode>
                <c:ptCount val="0"/>
              </c:numCache>
            </c:numRef>
          </c:val>
          <c:smooth val="0"/>
        </c:ser>
        <c:ser>
          <c:idx val="1"/>
          <c:order val="1"/>
          <c:tx>
            <c:v>Equity</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'Balance Sheet'!$C$113:$C$127</c:f>
              <c:strCache>
                <c:ptCount val="0"/>
              </c:strCache>
            </c:strRef>
          </c:cat>
          <c:val>
            <c:numRef>
              <c:f>'Balance Sheet'!$E$113:$E$127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cash and reinvestment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CFO</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'Cash Flow'!$C$107:$C$121</c:f>
              <c:strCache>
                <c:ptCount val="0"/>
              </c:strCache>
            </c:strRef>
          </c:cat>
          <c:val>
            <c:numRef>
              <c:f>'Cash Flow'!$D$107:$D$121</c:f>
              <c:numCache>
                <c:formatCode>#,##0.0;(#,##0.0);"–"</c:formatCode>
                <c:ptCount val="0"/>
              </c:numCache>
            </c:numRef>
          </c:val>
          <c:smooth val="0"/>
        </c:ser>
        <c:ser>
          <c:idx val="1"/>
          <c:order val="1"/>
          <c:tx>
            <c:v>Cash capex</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'Cash Flow'!$C$107:$C$121</c:f>
              <c:strCache>
                <c:ptCount val="0"/>
              </c:strCache>
            </c:strRef>
          </c:cat>
          <c:val>
            <c:numRef>
              <c:f>'Cash Flow'!$E$107:$E$121</c:f>
              <c:numCache>
                <c:formatCode>#,##0.0;(#,##0.0);"–"</c:formatCode>
                <c:ptCount val="0"/>
              </c:numCache>
            </c:numRef>
          </c:val>
          <c:smooth val="0"/>
        </c:ser>
        <c:ser>
          <c:idx val="2"/>
          <c:order val="2"/>
          <c:tx>
            <c:v>FCF</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'Cash Flow'!$C$107:$C$121</c:f>
              <c:strCache>
                <c:ptCount val="0"/>
              </c:strCache>
            </c:strRef>
          </c:cat>
          <c:val>
            <c:numRef>
              <c:f>'Cash Flow'!$F$107:$F$121</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FCF before and after lease principal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FCF</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'Cash Flow'!$C$126:$C$140</c:f>
              <c:strCache>
                <c:ptCount val="0"/>
              </c:strCache>
            </c:strRef>
          </c:cat>
          <c:val>
            <c:numRef>
              <c:f>'Cash Flow'!$D$126:$D$140</c:f>
              <c:numCache>
                <c:formatCode>#,##0.0;(#,##0.0);"–"</c:formatCode>
                <c:ptCount val="0"/>
              </c:numCache>
            </c:numRef>
          </c:val>
          <c:smooth val="0"/>
        </c:ser>
        <c:ser>
          <c:idx val="1"/>
          <c:order val="1"/>
          <c:tx>
            <c:v>After finance lease principal</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'Cash Flow'!$C$126:$C$140</c:f>
              <c:strCache>
                <c:ptCount val="0"/>
              </c:strCache>
            </c:strRef>
          </c:cat>
          <c:val>
            <c:numRef>
              <c:f>'Cash Flow'!$E$126:$E$140</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Revenue on the current segment definition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PBP</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'Segments'!$C$99:$C$107</c:f>
              <c:strCache>
                <c:ptCount val="0"/>
              </c:strCache>
            </c:strRef>
          </c:cat>
          <c:val>
            <c:numRef>
              <c:f>'Segments'!$D$99:$D$107</c:f>
              <c:numCache>
                <c:formatCode>#,##0.0;(#,##0.0);"–"</c:formatCode>
                <c:ptCount val="0"/>
              </c:numCache>
            </c:numRef>
          </c:val>
          <c:smooth val="0"/>
        </c:ser>
        <c:ser>
          <c:idx val="1"/>
          <c:order val="1"/>
          <c:tx>
            <c:v>Intelligent Cloud</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'Segments'!$C$99:$C$107</c:f>
              <c:strCache>
                <c:ptCount val="0"/>
              </c:strCache>
            </c:strRef>
          </c:cat>
          <c:val>
            <c:numRef>
              <c:f>'Segments'!$E$99:$E$107</c:f>
              <c:numCache>
                <c:formatCode>#,##0.0;(#,##0.0);"–"</c:formatCode>
                <c:ptCount val="0"/>
              </c:numCache>
            </c:numRef>
          </c:val>
          <c:smooth val="0"/>
        </c:ser>
        <c:ser>
          <c:idx val="2"/>
          <c:order val="2"/>
          <c:tx>
            <c:v>MPC</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'Segments'!$C$99:$C$107</c:f>
              <c:strCache>
                <c:ptCount val="0"/>
              </c:strCache>
            </c:strRef>
          </c:cat>
          <c:val>
            <c:numRef>
              <c:f>'Segments'!$F$99:$F$107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Modeled segment operating margins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PBP</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'Segments'!$C$118:$C$126</c:f>
              <c:strCache>
                <c:ptCount val="0"/>
              </c:strCache>
            </c:strRef>
          </c:cat>
          <c:val>
            <c:numRef>
              <c:f>'Segments'!$D$118:$D$126</c:f>
              <c:numCache>
                <c:formatCode>0.0%</c:formatCode>
                <c:ptCount val="0"/>
              </c:numCache>
            </c:numRef>
          </c:val>
          <c:smooth val="0"/>
        </c:ser>
        <c:ser>
          <c:idx val="1"/>
          <c:order val="1"/>
          <c:tx>
            <c:v>Intelligent Cloud</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'Segments'!$C$118:$C$126</c:f>
              <c:strCache>
                <c:ptCount val="0"/>
              </c:strCache>
            </c:strRef>
          </c:cat>
          <c:val>
            <c:numRef>
              <c:f>'Segments'!$E$118:$E$126</c:f>
              <c:numCache>
                <c:formatCode>0.0%</c:formatCode>
                <c:ptCount val="0"/>
              </c:numCache>
            </c:numRef>
          </c:val>
          <c:smooth val="0"/>
        </c:ser>
        <c:ser>
          <c:idx val="2"/>
          <c:order val="2"/>
          <c:tx>
            <c:v>MPC</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'Segments'!$C$118:$C$126</c:f>
              <c:strCache>
                <c:ptCount val="0"/>
              </c:strCache>
            </c:strRef>
          </c:cat>
          <c:val>
            <c:numRef>
              <c:f>'Segments'!$F$118:$F$126</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expense categories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R&amp;D</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'Expense Plan'!$C$70:$C$84</c:f>
              <c:strCache>
                <c:ptCount val="0"/>
              </c:strCache>
            </c:strRef>
          </c:cat>
          <c:val>
            <c:numRef>
              <c:f>'Expense Plan'!$D$70:$D$84</c:f>
              <c:numCache>
                <c:formatCode>#,##0.0;(#,##0.0);"–"</c:formatCode>
                <c:ptCount val="0"/>
              </c:numCache>
            </c:numRef>
          </c:val>
          <c:smooth val="0"/>
        </c:ser>
        <c:ser>
          <c:idx val="1"/>
          <c:order val="1"/>
          <c:tx>
            <c:v>Sales and marketing</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'Expense Plan'!$C$70:$C$84</c:f>
              <c:strCache>
                <c:ptCount val="0"/>
              </c:strCache>
            </c:strRef>
          </c:cat>
          <c:val>
            <c:numRef>
              <c:f>'Expense Plan'!$E$70:$E$84</c:f>
              <c:numCache>
                <c:formatCode>#,##0.0;(#,##0.0);"–"</c:formatCode>
                <c:ptCount val="0"/>
              </c:numCache>
            </c:numRef>
          </c:val>
          <c:smooth val="0"/>
        </c:ser>
        <c:ser>
          <c:idx val="2"/>
          <c:order val="2"/>
          <c:tx>
            <c:v>G&amp;A</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'Expense Plan'!$C$70:$C$84</c:f>
              <c:strCache>
                <c:ptCount val="0"/>
              </c:strCache>
            </c:strRef>
          </c:cat>
          <c:val>
            <c:numRef>
              <c:f>'Expense Plan'!$F$70:$F$84</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Infrastructure expense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PPE depreciation</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'Expense Plan'!$C$89:$C$103</c:f>
              <c:strCache>
                <c:ptCount val="0"/>
              </c:strCache>
            </c:strRef>
          </c:cat>
          <c:val>
            <c:numRef>
              <c:f>'Expense Plan'!$D$89:$D$103</c:f>
              <c:numCache>
                <c:formatCode>#,##0.0;(#,##0.0);"–"</c:formatCode>
                <c:ptCount val="0"/>
              </c:numCache>
            </c:numRef>
          </c:val>
          <c:smooth val="0"/>
        </c:ser>
        <c:ser>
          <c:idx val="1"/>
          <c:order val="1"/>
          <c:tx>
            <c:v>Intangible amortization</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'Expense Plan'!$C$89:$C$103</c:f>
              <c:strCache>
                <c:ptCount val="0"/>
              </c:strCache>
            </c:strRef>
          </c:cat>
          <c:val>
            <c:numRef>
              <c:f>'Expense Plan'!$E$89:$E$103</c:f>
              <c:numCache>
                <c:formatCode>#,##0.0;(#,##0.0);"–"</c:formatCode>
                <c:ptCount val="0"/>
              </c:numCache>
            </c:numRef>
          </c:val>
          <c:smooth val="0"/>
        </c:ser>
        <c:ser>
          <c:idx val="2"/>
          <c:order val="2"/>
          <c:tx>
            <c:v>Operating leases</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'Expense Plan'!$C$89:$C$103</c:f>
              <c:strCache>
                <c:ptCount val="0"/>
              </c:strCache>
            </c:strRef>
          </c:cat>
          <c:val>
            <c:numRef>
              <c:f>'Expense Plan'!$F$89:$F$103</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working-capital days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Receivables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'Working Capital'!$C$85:$C$90</c:f>
              <c:strCache>
                <c:ptCount val="0"/>
              </c:strCache>
            </c:strRef>
          </c:cat>
          <c:val>
            <c:numRef>
              <c:f>'Working Capital'!$D$85:$D$90</c:f>
              <c:numCache>
                <c:formatCode>#,##0.0;(#,##0.0);"–"</c:formatCode>
                <c:ptCount val="0"/>
              </c:numCache>
            </c:numRef>
          </c:val>
          <c:smooth val="0"/>
        </c:ser>
        <c:ser>
          <c:idx val="1"/>
          <c:order val="1"/>
          <c:tx>
            <c:v>Inventory</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'Working Capital'!$C$85:$C$90</c:f>
              <c:strCache>
                <c:ptCount val="0"/>
              </c:strCache>
            </c:strRef>
          </c:cat>
          <c:val>
            <c:numRef>
              <c:f>'Working Capital'!$E$85:$E$90</c:f>
              <c:numCache>
                <c:formatCode>#,##0.0;(#,##0.0);"–"</c:formatCode>
                <c:ptCount val="0"/>
              </c:numCache>
            </c:numRef>
          </c:val>
          <c:smooth val="0"/>
        </c:ser>
        <c:ser>
          <c:idx val="2"/>
          <c:order val="2"/>
          <c:tx>
            <c:v>Operating payables</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'Working Capital'!$C$85:$C$90</c:f>
              <c:strCache>
                <c:ptCount val="0"/>
              </c:strCache>
            </c:strRef>
          </c:cat>
          <c:val>
            <c:numRef>
              <c:f>'Working Capital'!$F$85:$F$90</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Operating balance cash effects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Receivables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'Working Capital'!$C$104:$C$108</c:f>
              <c:strCache>
                <c:ptCount val="0"/>
              </c:strCache>
            </c:strRef>
          </c:cat>
          <c:val>
            <c:numRef>
              <c:f>'Working Capital'!$D$104:$D$108</c:f>
              <c:numCache>
                <c:formatCode>#,##0.0;(#,##0.0);"–"</c:formatCode>
                <c:ptCount val="0"/>
              </c:numCache>
            </c:numRef>
          </c:val>
          <c:smooth val="0"/>
        </c:ser>
        <c:ser>
          <c:idx val="1"/>
          <c:order val="1"/>
          <c:tx>
            <c:v>Operating payables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'Working Capital'!$C$104:$C$108</c:f>
              <c:strCache>
                <c:ptCount val="0"/>
              </c:strCache>
            </c:strRef>
          </c:cat>
          <c:val>
            <c:numRef>
              <c:f>'Working Capital'!$E$104:$E$108</c:f>
              <c:numCache>
                <c:formatCode>#,##0.0;(#,##0.0);"–"</c:formatCode>
                <c:ptCount val="0"/>
              </c:numCache>
            </c:numRef>
          </c:val>
          <c:smooth val="0"/>
        </c:ser>
        <c:ser>
          <c:idx val="2"/>
          <c:order val="2"/>
          <c:tx>
            <c:v>Unearned revenue</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'Working Capital'!$C$104:$C$108</c:f>
              <c:strCache>
                <c:ptCount val="0"/>
              </c:strCache>
            </c:strRef>
          </c:cat>
          <c:val>
            <c:numRef>
              <c:f>'Working Capital'!$F$104:$F$108</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PPE additions and depreciation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Cash capex</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'PPE and Intangibles'!$C$89:$C$94</c:f>
              <c:strCache>
                <c:ptCount val="0"/>
              </c:strCache>
            </c:strRef>
          </c:cat>
          <c:val>
            <c:numRef>
              <c:f>'PPE and Intangibles'!$D$89:$D$94</c:f>
              <c:numCache>
                <c:formatCode>#,##0.0;(#,##0.0);"–"</c:formatCode>
                <c:ptCount val="0"/>
              </c:numCache>
            </c:numRef>
          </c:val>
          <c:smooth val="0"/>
        </c:ser>
        <c:ser>
          <c:idx val="1"/>
          <c:order val="1"/>
          <c:tx>
            <c:v>Total additions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'PPE and Intangibles'!$C$89:$C$94</c:f>
              <c:strCache>
                <c:ptCount val="0"/>
              </c:strCache>
            </c:strRef>
          </c:cat>
          <c:val>
            <c:numRef>
              <c:f>'PPE and Intangibles'!$E$89:$E$94</c:f>
              <c:numCache>
                <c:formatCode>#,##0.0;(#,##0.0);"–"</c:formatCode>
                <c:ptCount val="0"/>
              </c:numCache>
            </c:numRef>
          </c:val>
          <c:smooth val="0"/>
        </c:ser>
        <c:ser>
          <c:idx val="2"/>
          <c:order val="2"/>
          <c:tx>
            <c:v>Depreciation</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'PPE and Intangibles'!$C$89:$C$94</c:f>
              <c:strCache>
                <c:ptCount val="0"/>
              </c:strCache>
            </c:strRef>
          </c:cat>
          <c:val>
            <c:numRef>
              <c:f>'PPE and Intangibles'!$F$89:$F$94</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Net PPE and intangible balances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Net PPE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'PPE and Intangibles'!$C$108:$C$113</c:f>
              <c:strCache>
                <c:ptCount val="0"/>
              </c:strCache>
            </c:strRef>
          </c:cat>
          <c:val>
            <c:numRef>
              <c:f>'PPE and Intangibles'!$D$108:$D$113</c:f>
              <c:numCache>
                <c:formatCode>#,##0.0;(#,##0.0);"–"</c:formatCode>
                <c:ptCount val="0"/>
              </c:numCache>
            </c:numRef>
          </c:val>
          <c:smooth val="0"/>
        </c:ser>
        <c:ser>
          <c:idx val="1"/>
          <c:order val="1"/>
          <c:tx>
            <c:v>Intangibles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'PPE and Intangibles'!$C$108:$C$113</c:f>
              <c:strCache>
                <c:ptCount val="0"/>
              </c:strCache>
            </c:strRef>
          </c:cat>
          <c:val>
            <c:numRef>
              <c:f>'PPE and Intangibles'!$E$108:$E$113</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Debt and lease obligations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Debt carrying amount</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'Debt and Leases'!$C$143:$C$148</c:f>
              <c:strCache>
                <c:ptCount val="0"/>
              </c:strCache>
            </c:strRef>
          </c:cat>
          <c:val>
            <c:numRef>
              <c:f>'Debt and Leases'!$D$143:$D$148</c:f>
              <c:numCache>
                <c:formatCode>#,##0.0;(#,##0.0);"–"</c:formatCode>
                <c:ptCount val="0"/>
              </c:numCache>
            </c:numRef>
          </c:val>
          <c:smooth val="0"/>
        </c:ser>
        <c:ser>
          <c:idx val="1"/>
          <c:order val="1"/>
          <c:tx>
            <c:v>Finance leases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'Debt and Leases'!$C$143:$C$148</c:f>
              <c:strCache>
                <c:ptCount val="0"/>
              </c:strCache>
            </c:strRef>
          </c:cat>
          <c:val>
            <c:numRef>
              <c:f>'Debt and Leases'!$E$143:$E$148</c:f>
              <c:numCache>
                <c:formatCode>#,##0.0;(#,##0.0);"–"</c:formatCode>
                <c:ptCount val="0"/>
              </c:numCache>
            </c:numRef>
          </c:val>
          <c:smooth val="0"/>
        </c:ser>
        <c:ser>
          <c:idx val="2"/>
          <c:order val="2"/>
          <c:tx>
            <c:v>Operating leases</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'Debt and Leases'!$C$143:$C$148</c:f>
              <c:strCache>
                <c:ptCount val="0"/>
              </c:strCache>
            </c:strRef>
          </c:cat>
          <c:val>
            <c:numRef>
              <c:f>'Debt and Leases'!$F$143:$F$148</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Liquid assets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Short-term investments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'Debt and Leases'!$C$162:$C$167</c:f>
              <c:strCache>
                <c:ptCount val="0"/>
              </c:strCache>
            </c:strRef>
          </c:cat>
          <c:val>
            <c:numRef>
              <c:f>'Debt and Leases'!$D$162:$D$167</c:f>
              <c:numCache>
                <c:formatCode>#,##0.0;(#,##0.0);"–"</c:formatCode>
                <c:ptCount val="0"/>
              </c:numCache>
            </c:numRef>
          </c:val>
          <c:smooth val="0"/>
        </c:ser>
        <c:ser>
          <c:idx val="1"/>
          <c:order val="1"/>
          <c:tx>
            <c:v>Cash</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'Debt and Leases'!$C$162:$C$167</c:f>
              <c:strCache>
                <c:ptCount val="0"/>
              </c:strCache>
            </c:strRef>
          </c:cat>
          <c:val>
            <c:numRef>
              <c:f>'Debt and Leases'!$E$162:$E$167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Income and tax expense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Net income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'Tax and Equity'!$C$82:$C$96</c:f>
              <c:strCache>
                <c:ptCount val="0"/>
              </c:strCache>
            </c:strRef>
          </c:cat>
          <c:val>
            <c:numRef>
              <c:f>'Tax and Equity'!$D$82:$D$96</c:f>
              <c:numCache>
                <c:formatCode>#,##0.0;(#,##0.0);"–"</c:formatCode>
                <c:ptCount val="0"/>
              </c:numCache>
            </c:numRef>
          </c:val>
          <c:smooth val="0"/>
        </c:ser>
        <c:ser>
          <c:idx val="1"/>
          <c:order val="1"/>
          <c:tx>
            <c:v>Income tax</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'Tax and Equity'!$C$82:$C$96</c:f>
              <c:strCache>
                <c:ptCount val="0"/>
              </c:strCache>
            </c:strRef>
          </c:cat>
          <c:val>
            <c:numRef>
              <c:f>'Tax and Equity'!$E$82:$E$96</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Shareholder cash distributions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Repurchases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'Tax and Equity'!$C$101:$C$115</c:f>
              <c:strCache>
                <c:ptCount val="0"/>
              </c:strCache>
            </c:strRef>
          </c:cat>
          <c:val>
            <c:numRef>
              <c:f>'Tax and Equity'!$D$101:$D$115</c:f>
              <c:numCache>
                <c:formatCode>#,##0.0;(#,##0.0);"–"</c:formatCode>
                <c:ptCount val="0"/>
              </c:numCache>
            </c:numRef>
          </c:val>
          <c:smooth val="0"/>
        </c:ser>
        <c:ser>
          <c:idx val="1"/>
          <c:order val="1"/>
          <c:tx>
            <c:v>Dividends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'Tax and Equity'!$C$101:$C$115</c:f>
              <c:strCache>
                <c:ptCount val="0"/>
              </c:strCache>
            </c:strRef>
          </c:cat>
          <c:val>
            <c:numRef>
              <c:f>'Tax and Equity'!$E$101:$E$115</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Historical revenue and operating cash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Revenue</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'Historical Inputs'!$C$165:$C$174</c:f>
              <c:strCache>
                <c:ptCount val="0"/>
              </c:strCache>
            </c:strRef>
          </c:cat>
          <c:val>
            <c:numRef>
              <c:f>'Historical Inputs'!$D$165:$D$174</c:f>
              <c:numCache>
                <c:formatCode>#,##0.0;(#,##0.0);"–"</c:formatCode>
                <c:ptCount val="0"/>
              </c:numCache>
            </c:numRef>
          </c:val>
          <c:smooth val="0"/>
        </c:ser>
        <c:ser>
          <c:idx val="1"/>
          <c:order val="1"/>
          <c:tx>
            <c:v>CFO</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'Historical Inputs'!$C$165:$C$174</c:f>
              <c:strCache>
                <c:ptCount val="0"/>
              </c:strCache>
            </c:strRef>
          </c:cat>
          <c:val>
            <c:numRef>
              <c:f>'Historical Inputs'!$E$165:$E$174</c:f>
              <c:numCache>
                <c:formatCode>#,##0.0;(#,##0.0);"–"</c:formatCode>
                <c:ptCount val="0"/>
              </c:numCache>
            </c:numRef>
          </c:val>
          <c:smooth val="0"/>
        </c:ser>
        <c:ser>
          <c:idx val="2"/>
          <c:order val="2"/>
          <c:tx>
            <c:v>Cash capex</c:v>
          </c:tx>
          <c:spPr>
            <a:solidFill xmlns:a="http://schemas.openxmlformats.org/drawingml/2006/main">
              <a:srgbClr val="BFBFBF"/>
            </a:solidFill>
            <a:ln xmlns:a="http://schemas.openxmlformats.org/drawingml/2006/main" w="19050">
              <a:solidFill>
                <a:srgbClr val="BFBFBF"/>
              </a:solidFill>
              <a:prstDash val="solid"/>
            </a:ln>
          </c:spPr>
          <c:marker>
            <c:symbol val="none"/>
          </c:marker>
          <c:cat>
            <c:strRef>
              <c:f>'Historical Inputs'!$C$165:$C$174</c:f>
              <c:strCache>
                <c:ptCount val="0"/>
              </c:strCache>
            </c:strRef>
          </c:cat>
          <c:val>
            <c:numRef>
              <c:f>'Historical Inputs'!$F$165:$F$174</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Disclosed lease liabilities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Finance leases</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'Filing Notes'!$C$104:$C$107</c:f>
              <c:strCache>
                <c:ptCount val="0"/>
              </c:strCache>
            </c:strRef>
          </c:cat>
          <c:val>
            <c:numRef>
              <c:f>'Filing Notes'!$D$104:$D$107</c:f>
              <c:numCache>
                <c:formatCode>#,##0.0;(#,##0.0);"–"</c:formatCode>
                <c:ptCount val="0"/>
              </c:numCache>
            </c:numRef>
          </c:val>
          <c:smooth val="0"/>
        </c:ser>
        <c:ser>
          <c:idx val="1"/>
          <c:order val="1"/>
          <c:tx>
            <c:v>Operating leases</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'Filing Notes'!$C$104:$C$107</c:f>
              <c:strCache>
                <c:ptCount val="0"/>
              </c:strCache>
            </c:strRef>
          </c:cat>
          <c:val>
            <c:numRef>
              <c:f>'Filing Notes'!$E$104:$E$107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Disclosed depreciation and amortization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PPE depreciation</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'Filing Notes'!$C$123:$C$126</c:f>
              <c:strCache>
                <c:ptCount val="0"/>
              </c:strCache>
            </c:strRef>
          </c:cat>
          <c:val>
            <c:numRef>
              <c:f>'Filing Notes'!$D$123:$D$126</c:f>
              <c:numCache>
                <c:formatCode>#,##0.0;(#,##0.0);"–"</c:formatCode>
                <c:ptCount val="0"/>
              </c:numCache>
            </c:numRef>
          </c:val>
          <c:smooth val="0"/>
        </c:ser>
        <c:ser>
          <c:idx val="1"/>
          <c:order val="1"/>
          <c:tx>
            <c:v>Intangible amortization</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'Filing Notes'!$C$123:$C$126</c:f>
              <c:strCache>
                <c:ptCount val="0"/>
              </c:strCache>
            </c:strRef>
          </c:cat>
          <c:val>
            <c:numRef>
              <c:f>'Filing Notes'!$E$123:$E$126</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Actual and fitted CFO (USD billions)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CFO</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'Financial Modeling'!$C$12:$C$21</c:f>
              <c:strCache>
                <c:ptCount val="0"/>
              </c:strCache>
            </c:strRef>
          </c:cat>
          <c:val>
            <c:numRef>
              <c:f>'Financial Modeling'!$E$12:$E$21</c:f>
              <c:numCache>
                <c:formatCode>#,##0</c:formatCode>
                <c:ptCount val="0"/>
              </c:numCache>
            </c:numRef>
          </c:val>
          <c:smooth val="0"/>
        </c:ser>
        <c:ser>
          <c:idx val="1"/>
          <c:order val="1"/>
          <c:tx>
            <c:v>Fitted median CFO</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'Financial Modeling'!$C$12:$C$21</c:f>
              <c:strCache>
                <c:ptCount val="0"/>
              </c:strCache>
            </c:strRef>
          </c:cat>
          <c:val>
            <c:numRef>
              <c:f>'Financial Modeling'!$O$12:$O$21</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bn&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Log-level residuals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Residual</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'Financial Modeling'!$C$12:$C$21</c:f>
              <c:strCache>
                <c:ptCount val="0"/>
              </c:strCache>
            </c:strRef>
          </c:cat>
          <c:val>
            <c:numRef>
              <c:f>'Financial Modeling'!$L$12:$L$21</c:f>
              <c:numCache>
                <c:formatCode>0.000000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Actual and fitted CFO log changes</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Delta ln CFO</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'Financial Modeling'!$C$84:$C$92</c:f>
              <c:strCache>
                <c:ptCount val="0"/>
              </c:strCache>
            </c:strRef>
          </c:cat>
          <c:val>
            <c:numRef>
              <c:f>'Financial Modeling'!$G$84:$G$92</c:f>
              <c:numCache>
                <c:formatCode>0.000000</c:formatCode>
                <c:ptCount val="0"/>
              </c:numCache>
            </c:numRef>
          </c:val>
          <c:smooth val="0"/>
        </c:ser>
        <c:ser>
          <c:idx val="1"/>
          <c:order val="1"/>
          <c:tx>
            <c:v>Fitted y</c:v>
          </c:tx>
          <c:spPr>
            <a:solidFill xmlns:a="http://schemas.openxmlformats.org/drawingml/2006/main">
              <a:srgbClr val="808080"/>
            </a:solidFill>
            <a:ln xmlns:a="http://schemas.openxmlformats.org/drawingml/2006/main" w="19050">
              <a:solidFill>
                <a:srgbClr val="808080"/>
              </a:solidFill>
              <a:prstDash val="solid"/>
            </a:ln>
          </c:spPr>
          <c:marker>
            <c:symbol val="none"/>
          </c:marker>
          <c:cat>
            <c:strRef>
              <c:f>'Financial Modeling'!$C$84:$C$92</c:f>
              <c:strCache>
                <c:ptCount val="0"/>
              </c:strCache>
            </c:strRef>
          </c:cat>
          <c:val>
            <c:numRef>
              <c:f>'Financial Modeling'!$K$84:$K$92</c:f>
              <c:numCache>
                <c:formatCode>0.000000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750">
                <a:latin typeface="Arial"/>
                <a:ea typeface="Arial"/>
                <a:cs typeface="Arial"/>
              </a:rPr>
              <a:t>First-difference leverage</a:t>
            </a:r>
          </a:p>
        </c:rich>
      </c:tx>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title>
    <c:plotArea>
      <c:lineChart>
        <c:grouping val="standard"/>
        <c:varyColors val="0"/>
        <c:ser>
          <c:idx val="0"/>
          <c:order val="0"/>
          <c:tx>
            <c:v>Leverage h</c:v>
          </c:tx>
          <c:spPr>
            <a:solidFill xmlns:a="http://schemas.openxmlformats.org/drawingml/2006/main">
              <a:srgbClr val="002060"/>
            </a:solidFill>
            <a:ln xmlns:a="http://schemas.openxmlformats.org/drawingml/2006/main" w="19050">
              <a:solidFill>
                <a:srgbClr val="002060"/>
              </a:solidFill>
              <a:prstDash val="solid"/>
            </a:ln>
          </c:spPr>
          <c:marker>
            <c:symbol val="none"/>
          </c:marker>
          <c:cat>
            <c:strRef>
              <c:f>'Financial Modeling'!$C$84:$C$92</c:f>
              <c:strCache>
                <c:ptCount val="0"/>
              </c:strCache>
            </c:strRef>
          </c:cat>
          <c:val>
            <c:numRef>
              <c:f>'Financial Modeling'!$M$84:$M$92</c:f>
              <c:numCache>
                <c:formatCode>0.000000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6</xdr:row>
      <xdr:rowOff>0</xdr:rowOff>
    </xdr:from>
    <xdr:to>
      <xdr:col>18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60e0dcd52b481b"/>
        </a:graphicData>
      </a:graphic>
    </xdr:graphicFrame>
    <xdr:clientData/>
  </xdr:twoCellAnchor>
  <xdr:twoCellAnchor>
    <xdr:from>
      <xdr:col>8</xdr:col>
      <xdr:colOff>0</xdr:colOff>
      <xdr:row>25</xdr:row>
      <xdr:rowOff>0</xdr:rowOff>
    </xdr:from>
    <xdr:to>
      <xdr:col>18</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883a678de949bb"/>
        </a:graphicData>
      </a:graphic>
    </xdr:graphicFrame>
    <xdr:clientData/>
  </xdr:twoCellAnchor>
  <xdr:oneCellAnchor>
    <xdr:from>
      <xdr:col>2</xdr:col>
      <xdr:colOff>0</xdr:colOff>
      <xdr:row>44</xdr:row>
      <xdr:rowOff>0</xdr:rowOff>
    </xdr:from>
    <xdr:ext cx="16668750" cy="2143125"/>
    <xdr:sp>
      <xdr:nvSpPr>
        <xdr:cNvPr id="3" name="Read the model"/>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Read the model</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Use the case selector on Assumptions. Blue numbers are inputs; black numbers are formulas, links to other worksheets or summary results. Historical sources remain unchanged when a forecast case is selected. Forecasts are research assumptions.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Revenue can expand while the operating margin falls if infrastructure depreciation grows faster than revenue. Review the cash capex and free cash flow chart together. A lower capex-to-revenue ratio releases cash, but does not remove finance lease principal payments. The separate lease balance shows the obligations attached to noncash capacity additions. Ending liquidity also depends on dividends, repurchases and investment-reserve assumptions. Use the linked observations below to compare FY2026 with the active FY2031 case, then investigate the underlying schedules before interpreting the increase as distributable cash.</a:t>
          </a:r>
          <a:endParaRPr/>
        </a:p>
      </xdr:txBody>
    </xdr:sp>
    <xdr:clientData/>
  </xdr:oneCellAnchor>
</xdr:wsDr>
</file>

<file path=xl/drawings/drawing2.xml><?xml version="1.0" encoding="utf-8"?>
<xdr:wsDr xmlns:xdr="http://schemas.openxmlformats.org/drawingml/2006/spreadsheetDrawing">
  <xdr:twoCellAnchor>
    <xdr:from>
      <xdr:col>2</xdr:col>
      <xdr:colOff>0</xdr:colOff>
      <xdr:row>47</xdr:row>
      <xdr:rowOff>0</xdr:rowOff>
    </xdr:from>
    <xdr:to>
      <xdr:col>10</xdr:col>
      <xdr:colOff>0</xdr:colOff>
      <xdr:row>65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d19e6d3c4e84e36"/>
        </a:graphicData>
      </a:graphic>
    </xdr:graphicFrame>
    <xdr:clientData/>
  </xdr:twoCellAnchor>
  <xdr:twoCellAnchor>
    <xdr:from>
      <xdr:col>10</xdr:col>
      <xdr:colOff>0</xdr:colOff>
      <xdr:row>47</xdr:row>
      <xdr:rowOff>0</xdr:rowOff>
    </xdr:from>
    <xdr:to>
      <xdr:col>20</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8bde132f1c4707"/>
        </a:graphicData>
      </a:graphic>
    </xdr:graphicFrame>
    <xdr:clientData/>
  </xdr:twoCellAnchor>
  <xdr:oneCellAnchor>
    <xdr:from>
      <xdr:col>2</xdr:col>
      <xdr:colOff>0</xdr:colOff>
      <xdr:row>28</xdr:row>
      <xdr:rowOff>0</xdr:rowOff>
    </xdr:from>
    <xdr:ext cx="16668750" cy="2143125"/>
    <xdr:sp>
      <xdr:nvSpPr>
        <xdr:cNvPr id="3" name="Research question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Research questions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Assess earnings quality, cash conversion and capital intensity before forming an investment thesis. The model provides operating forecasts; it does not contain a target price or the author's investment recommendation.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difference between net income and operating cash flow identifies the role of noncash charges and operating balance changes. Compare FCF with FCF after finance lease principal to avoid overlooking leased-capacity funding. A strong EPS path can coexist with a lower operating margin because the diluted share count changes independently. FY2026 investment gains should not be treated as a recurring operating driver. Assess the capex decline, receivable days and lease payment schedule together before translating these forecasts into a valuation. The charts and observations update with the selected case.</a:t>
          </a:r>
          <a:endParaRPr/>
        </a:p>
      </xdr:txBody>
    </xdr:sp>
    <xdr:clientData/>
  </xdr:oneCellAnchor>
</xdr:wsDr>
</file>

<file path=xl/drawings/drawing3.xml><?xml version="1.0" encoding="utf-8"?>
<xdr:wsDr xmlns:xdr="http://schemas.openxmlformats.org/drawingml/2006/spreadsheetDrawing">
  <xdr:twoCellAnchor>
    <xdr:from>
      <xdr:col>2</xdr:col>
      <xdr:colOff>0</xdr:colOff>
      <xdr:row>47</xdr:row>
      <xdr:rowOff>0</xdr:rowOff>
    </xdr:from>
    <xdr:to>
      <xdr:col>10</xdr:col>
      <xdr:colOff>0</xdr:colOff>
      <xdr:row>65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e01563f5174466"/>
        </a:graphicData>
      </a:graphic>
    </xdr:graphicFrame>
    <xdr:clientData/>
  </xdr:twoCellAnchor>
  <xdr:twoCellAnchor>
    <xdr:from>
      <xdr:col>10</xdr:col>
      <xdr:colOff>0</xdr:colOff>
      <xdr:row>47</xdr:row>
      <xdr:rowOff>0</xdr:rowOff>
    </xdr:from>
    <xdr:to>
      <xdr:col>20</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9040da4c9140ab"/>
        </a:graphicData>
      </a:graphic>
    </xdr:graphicFrame>
    <xdr:clientData/>
  </xdr:twoCellAnchor>
  <xdr:oneCellAnchor>
    <xdr:from>
      <xdr:col>2</xdr:col>
      <xdr:colOff>0</xdr:colOff>
      <xdr:row>28</xdr:row>
      <xdr:rowOff>0</xdr:rowOff>
    </xdr:from>
    <xdr:ext cx="16668750" cy="2143125"/>
    <xdr:sp>
      <xdr:nvSpPr>
        <xdr:cNvPr id="3" name="Debt and earnings definition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Debt and earnings definitions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Debt is measured at carrying amount. Lease-adjusted net debt adds finance lease liabilities. Operating income plus disclosed D&amp;A is an analytical earnings proxy, not a Microsoft-reported EBITDA measure.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Compare both debt definitions before assessing financing capacity. A company can show net cash excluding leases and still carry substantial finance lease commitments. An increase in the earnings proxy partly reflects noncash D&amp;A and does not itself provide cash for debt service. Current-ratio improvement measures short-term coverage but does not establish a committed borrowing facility. Shareholder distributions compete with capex and lease payments for operating cash. Review the debt face-to-book bridge and contractual maturities before using these metrics in a financing or transaction analysis.</a:t>
          </a:r>
          <a:endParaRPr/>
        </a:p>
      </xdr:txBody>
    </xdr:sp>
    <xdr:clientData/>
  </xdr:oneCellAnchor>
</xdr:wsDr>
</file>

<file path=xl/drawings/drawing4.xml><?xml version="1.0" encoding="utf-8"?>
<xdr:wsDr xmlns:xdr="http://schemas.openxmlformats.org/drawingml/2006/spreadsheetDrawing">
  <xdr:twoCellAnchor>
    <xdr:from>
      <xdr:col>2</xdr:col>
      <xdr:colOff>0</xdr:colOff>
      <xdr:row>47</xdr:row>
      <xdr:rowOff>0</xdr:rowOff>
    </xdr:from>
    <xdr:to>
      <xdr:col>10</xdr:col>
      <xdr:colOff>0</xdr:colOff>
      <xdr:row>65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731568380c4aa6"/>
        </a:graphicData>
      </a:graphic>
    </xdr:graphicFrame>
    <xdr:clientData/>
  </xdr:twoCellAnchor>
  <xdr:twoCellAnchor>
    <xdr:from>
      <xdr:col>10</xdr:col>
      <xdr:colOff>0</xdr:colOff>
      <xdr:row>47</xdr:row>
      <xdr:rowOff>0</xdr:rowOff>
    </xdr:from>
    <xdr:to>
      <xdr:col>20</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5b4413876c47da"/>
        </a:graphicData>
      </a:graphic>
    </xdr:graphicFrame>
    <xdr:clientData/>
  </xdr:twoCellAnchor>
  <xdr:oneCellAnchor>
    <xdr:from>
      <xdr:col>2</xdr:col>
      <xdr:colOff>0</xdr:colOff>
      <xdr:row>28</xdr:row>
      <xdr:rowOff>0</xdr:rowOff>
    </xdr:from>
    <xdr:ext cx="16668750" cy="2143125"/>
    <xdr:sp>
      <xdr:nvSpPr>
        <xdr:cNvPr id="3" name="Operating diligence scope"/>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Operating diligence scope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Use these metrics to assess reinvestment needs, SBC and cash conversion. Microsoft is analyzed as a public operating company. This worksheet does not assume a leveraged buyout or private equity ownership.</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Separate cash capex from noncash finance lease additions when estimating total infrastructure commitments. SBC increases the difference between accounting earnings and cash, while also affecting shareholder dilution. FCF after finance lease principal is more informative for cash availability than the earnings proxy alone. The working-capital measure excludes cash, debt and capital payables so it can support operating diligence. The incremental PPE ratio is sensitive to the size of the revenue increase and is not an investment return. These measures support operating diligence without assuming an acquisition or an LBO.</a:t>
          </a:r>
          <a:endParaRPr/>
        </a:p>
      </xdr:txBody>
    </xdr:sp>
    <xdr:clientData/>
  </xdr:oneCellAnchor>
</xdr:wsDr>
</file>

<file path=xl/drawings/drawing5.xml><?xml version="1.0" encoding="utf-8"?>
<xdr:wsDr xmlns:xdr="http://schemas.openxmlformats.org/drawingml/2006/spreadsheetDrawing">
  <xdr:twoCellAnchor>
    <xdr:from>
      <xdr:col>2</xdr:col>
      <xdr:colOff>0</xdr:colOff>
      <xdr:row>62</xdr:row>
      <xdr:rowOff>0</xdr:rowOff>
    </xdr:from>
    <xdr:to>
      <xdr:col>10</xdr:col>
      <xdr:colOff>0</xdr:colOff>
      <xdr:row>80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7831f46f5844bd"/>
        </a:graphicData>
      </a:graphic>
    </xdr:graphicFrame>
    <xdr:clientData/>
  </xdr:twoCellAnchor>
  <xdr:twoCellAnchor>
    <xdr:from>
      <xdr:col>10</xdr:col>
      <xdr:colOff>0</xdr:colOff>
      <xdr:row>62</xdr:row>
      <xdr:rowOff>0</xdr:rowOff>
    </xdr:from>
    <xdr:to>
      <xdr:col>20</xdr:col>
      <xdr:colOff>0</xdr:colOff>
      <xdr:row>80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794d59d35c4bde"/>
        </a:graphicData>
      </a:graphic>
    </xdr:graphicFrame>
    <xdr:clientData/>
  </xdr:twoCellAnchor>
  <xdr:oneCellAnchor>
    <xdr:from>
      <xdr:col>2</xdr:col>
      <xdr:colOff>0</xdr:colOff>
      <xdr:row>43</xdr:row>
      <xdr:rowOff>0</xdr:rowOff>
    </xdr:from>
    <xdr:ext cx="16668750" cy="2143125"/>
    <xdr:sp>
      <xdr:nvSpPr>
        <xdr:cNvPr id="3" name="How to explain forecast variance"/>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How to explain forecast variance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bridge starts with FY2026 operating income, adds each segment's revenue change and subtracts the changes in cost of revenue and operating expenses. It updates when the case selector or a forecast driver changes.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Explain the operating income change by revenue contributions and changes in each cost category. The bridge is additive and should end at the same FY2027 operating income as the income statement. Forecast segment demand also increases capex, lease additions and subsequent depreciation, so revenue growth does not flow directly to profit. The expense chart separates R&amp;D, marketing and administration to show where spending assumptions change. Use the active-case observations to identify the largest planning trade-offs, then change the owning driver on Assumptions and review cash as well as profit.</a:t>
          </a:r>
          <a:endParaRPr/>
        </a:p>
      </xdr:txBody>
    </xdr:sp>
    <xdr:clientData/>
  </xdr:oneCellAnchor>
</xdr:wsDr>
</file>

<file path=xl/drawings/drawing6.xml><?xml version="1.0" encoding="utf-8"?>
<xdr:wsDr xmlns:xdr="http://schemas.openxmlformats.org/drawingml/2006/spreadsheetDrawing">
  <xdr:twoCellAnchor>
    <xdr:from>
      <xdr:col>2</xdr:col>
      <xdr:colOff>0</xdr:colOff>
      <xdr:row>234</xdr:row>
      <xdr:rowOff>0</xdr:rowOff>
    </xdr:from>
    <xdr:to>
      <xdr:col>10</xdr:col>
      <xdr:colOff>0</xdr:colOff>
      <xdr:row>252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c87d18de814d08"/>
        </a:graphicData>
      </a:graphic>
    </xdr:graphicFrame>
    <xdr:clientData/>
  </xdr:twoCellAnchor>
  <xdr:twoCellAnchor>
    <xdr:from>
      <xdr:col>10</xdr:col>
      <xdr:colOff>0</xdr:colOff>
      <xdr:row>234</xdr:row>
      <xdr:rowOff>0</xdr:rowOff>
    </xdr:from>
    <xdr:to>
      <xdr:col>20</xdr:col>
      <xdr:colOff>0</xdr:colOff>
      <xdr:row>252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7d9a478f0741de"/>
        </a:graphicData>
      </a:graphic>
    </xdr:graphicFrame>
    <xdr:clientData/>
  </xdr:twoCellAnchor>
  <xdr:oneCellAnchor>
    <xdr:from>
      <xdr:col>2</xdr:col>
      <xdr:colOff>0</xdr:colOff>
      <xdr:row>215</xdr:row>
      <xdr:rowOff>0</xdr:rowOff>
    </xdr:from>
    <xdr:ext cx="16668750" cy="2143125"/>
    <xdr:sp>
      <xdr:nvSpPr>
        <xdr:cNvPr id="3" name="How to change a case"/>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How to change a case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Choose 1, 2 or 3 in D4. Edit the blue forecast drivers for that case. The active row feeds every schedule. D&amp;A and lease expense allocation percentages are model assumptions because Microsoft does not disclose these expenses by segment.</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Compare the three revenue growth drivers with investment intensity before editing a case. Faster demand may increase depreciation and finance lease obligations even when cash capex is a lower share of sales. Receivable and payable days change cash conversion rather than revenue recognition. The useful-life inputs affect expense timing and net PPE, not the initial cash capex budget. Allocation percentages distribute already calculated expenses and must total 100%. Tail assumptions affect current versus long-term classification in the final forecast year. Change one driver at a time and review its statement and schedule consequences.</a:t>
          </a:r>
          <a:endParaRPr/>
        </a:p>
      </xdr:txBody>
    </xdr:sp>
    <xdr:clientData/>
  </xdr:oneCellAnchor>
</xdr:wsDr>
</file>

<file path=xl/drawings/drawing7.xml><?xml version="1.0" encoding="utf-8"?>
<xdr:wsDr xmlns:xdr="http://schemas.openxmlformats.org/drawingml/2006/spreadsheetDrawing">
  <xdr:twoCellAnchor>
    <xdr:from>
      <xdr:col>2</xdr:col>
      <xdr:colOff>0</xdr:colOff>
      <xdr:row>58</xdr:row>
      <xdr:rowOff>0</xdr:rowOff>
    </xdr:from>
    <xdr:to>
      <xdr:col>10</xdr:col>
      <xdr:colOff>0</xdr:colOff>
      <xdr:row>76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3b55a58ae24a7c"/>
        </a:graphicData>
      </a:graphic>
    </xdr:graphicFrame>
    <xdr:clientData/>
  </xdr:twoCellAnchor>
  <xdr:twoCellAnchor>
    <xdr:from>
      <xdr:col>10</xdr:col>
      <xdr:colOff>0</xdr:colOff>
      <xdr:row>58</xdr:row>
      <xdr:rowOff>0</xdr:rowOff>
    </xdr:from>
    <xdr:to>
      <xdr:col>20</xdr:col>
      <xdr:colOff>0</xdr:colOff>
      <xdr:row>76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311b31e50f4dc4"/>
        </a:graphicData>
      </a:graphic>
    </xdr:graphicFrame>
    <xdr:clientData/>
  </xdr:twoCellAnchor>
  <xdr:oneCellAnchor>
    <xdr:from>
      <xdr:col>2</xdr:col>
      <xdr:colOff>0</xdr:colOff>
      <xdr:row>39</xdr:row>
      <xdr:rowOff>0</xdr:rowOff>
    </xdr:from>
    <xdr:ext cx="16668750" cy="2143125"/>
    <xdr:sp>
      <xdr:nvSpPr>
        <xdr:cNvPr id="3" name="How earnings are calculated"/>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How earnings are calculated</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Segment revenue and cost forecasts feed gross profit. Operating costs include their allocated depreciation, intangible amortization and operating lease expense. Tax expense links to the tax schedule. FY2026 investment gains are not extrapolated into forecast earnings.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Revenue growth and the operating margin should be interpreted together. Segment cost rates exclude the D&amp;A and lease costs that the expense schedules add separately. A rising depreciation burden can reduce margin even if the underlying operating cost ratios improve. Net income also depends on opening-balance investment income, recognized interest and the effective tax rate. EPS reflects the independent diluted-share driver. The forecast does not repeat FY2026 investment gains. Use the profit and margin charts to distinguish revenue expansion from changes in operating profitability and nonoperating income.</a:t>
          </a:r>
          <a:endParaRPr/>
        </a:p>
      </xdr:txBody>
    </xdr:sp>
    <xdr:clientData/>
  </xdr:oneCellAnchor>
</xdr:wsDr>
</file>

<file path=xl/drawings/drawing8.xml><?xml version="1.0" encoding="utf-8"?>
<xdr:wsDr xmlns:xdr="http://schemas.openxmlformats.org/drawingml/2006/spreadsheetDrawing">
  <xdr:twoCellAnchor>
    <xdr:from>
      <xdr:col>2</xdr:col>
      <xdr:colOff>0</xdr:colOff>
      <xdr:row>71</xdr:row>
      <xdr:rowOff>0</xdr:rowOff>
    </xdr:from>
    <xdr:to>
      <xdr:col>10</xdr:col>
      <xdr:colOff>0</xdr:colOff>
      <xdr:row>89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d26ef713ad452f"/>
        </a:graphicData>
      </a:graphic>
    </xdr:graphicFrame>
    <xdr:clientData/>
  </xdr:twoCellAnchor>
  <xdr:twoCellAnchor>
    <xdr:from>
      <xdr:col>10</xdr:col>
      <xdr:colOff>0</xdr:colOff>
      <xdr:row>71</xdr:row>
      <xdr:rowOff>0</xdr:rowOff>
    </xdr:from>
    <xdr:to>
      <xdr:col>20</xdr:col>
      <xdr:colOff>0</xdr:colOff>
      <xdr:row>89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83c0eca3b34331"/>
        </a:graphicData>
      </a:graphic>
    </xdr:graphicFrame>
    <xdr:clientData/>
  </xdr:twoCellAnchor>
  <xdr:oneCellAnchor>
    <xdr:from>
      <xdr:col>2</xdr:col>
      <xdr:colOff>0</xdr:colOff>
      <xdr:row>52</xdr:row>
      <xdr:rowOff>0</xdr:rowOff>
    </xdr:from>
    <xdr:ext cx="16668750" cy="2143125"/>
    <xdr:sp>
      <xdr:nvSpPr>
        <xdr:cNvPr id="3" name="How the balance sheet stays integrated"/>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How the balance sheet stays integrated</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Cash comes from the cash flow statement. PPE and intangibles use asset roll-forwards. Debt and lease liabilities use payment schedules. Paid-in capital and retained earnings reflect earnings, SBC, share issuance, dividends and buybacks. No asset or equity balancing plug is used.</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Growing PPE and lease assets show the capital committed to infrastructure. Cash is an output of the cash-flow calculation and funding policy. It is not entered to force the balance sheet to reconcile. Receivables, deferred revenue and operating liabilities are tied to planning drivers, while goodwill, land and AOCI remain constant. Finance lease current liabilities are included in other current liabilities and their noncurrent portion in other long-term liabilities. Compare asset growth with equity and liability funding, then check the independent reconciliations on Audit.</a:t>
          </a:r>
          <a:endParaRPr/>
        </a:p>
      </xdr:txBody>
    </xdr:sp>
    <xdr:clientData/>
  </xdr:oneCellAnchor>
</xdr:wsDr>
</file>

<file path=xl/drawings/drawing9.xml><?xml version="1.0" encoding="utf-8"?>
<xdr:wsDr xmlns:xdr="http://schemas.openxmlformats.org/drawingml/2006/spreadsheetDrawing">
  <xdr:twoCellAnchor>
    <xdr:from>
      <xdr:col>2</xdr:col>
      <xdr:colOff>0</xdr:colOff>
      <xdr:row>84</xdr:row>
      <xdr:rowOff>0</xdr:rowOff>
    </xdr:from>
    <xdr:to>
      <xdr:col>10</xdr:col>
      <xdr:colOff>0</xdr:colOff>
      <xdr:row>102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21eb6bd3b04afe"/>
        </a:graphicData>
      </a:graphic>
    </xdr:graphicFrame>
    <xdr:clientData/>
  </xdr:twoCellAnchor>
  <xdr:twoCellAnchor>
    <xdr:from>
      <xdr:col>10</xdr:col>
      <xdr:colOff>0</xdr:colOff>
      <xdr:row>84</xdr:row>
      <xdr:rowOff>0</xdr:rowOff>
    </xdr:from>
    <xdr:to>
      <xdr:col>20</xdr:col>
      <xdr:colOff>0</xdr:colOff>
      <xdr:row>102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a9c7bd81f247ed"/>
        </a:graphicData>
      </a:graphic>
    </xdr:graphicFrame>
    <xdr:clientData/>
  </xdr:twoCellAnchor>
  <xdr:oneCellAnchor>
    <xdr:from>
      <xdr:col>2</xdr:col>
      <xdr:colOff>0</xdr:colOff>
      <xdr:row>65</xdr:row>
      <xdr:rowOff>0</xdr:rowOff>
    </xdr:from>
    <xdr:ext cx="16668750" cy="2143125"/>
    <xdr:sp>
      <xdr:nvSpPr>
        <xdr:cNvPr id="3" name="Cash flow signs and noncash item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Cash flow signs and noncash items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Inflows are positive and outflows negative. Depreciation, amortization and SBC are added back once. Operating payables exclude capital expenditure payables. Finance lease principal is a financing outflow. Cash capex already includes capitalized cash interest.</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Read the profit-to-cash adjustments before evaluating FCF. Operating asset increases consume cash and operating liability increases release cash. Historical cash-flow changes need not equal simple balance-sheet differences because reported cash-flow statements can include acquisitions, FX and reclassifications. Forecast cash capex already includes capitalized cash interest, and finance lease principal appears in financing cash flow. The reserve liquidation and borrowing lines show the funding sequence. Compare the two FCF measures in the charts to see the cash burden of finance leases and assess the payout assumptions alongside reinvestment.</a:t>
          </a:r>
          <a:endParaRPr/>
        </a:p>
      </xdr:txBody>
    </xdr:sp>
    <xdr:clientData/>
  </xdr:oneCellAnchor>
</xdr:wsDr>
</file>

<file path=xl/drawings/drawing10.xml><?xml version="1.0" encoding="utf-8"?>
<xdr:wsDr xmlns:xdr="http://schemas.openxmlformats.org/drawingml/2006/spreadsheetDrawing">
  <xdr:twoCellAnchor>
    <xdr:from>
      <xdr:col>2</xdr:col>
      <xdr:colOff>0</xdr:colOff>
      <xdr:row>76</xdr:row>
      <xdr:rowOff>0</xdr:rowOff>
    </xdr:from>
    <xdr:to>
      <xdr:col>10</xdr:col>
      <xdr:colOff>0</xdr:colOff>
      <xdr:row>94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f4aef108c84dff"/>
        </a:graphicData>
      </a:graphic>
    </xdr:graphicFrame>
    <xdr:clientData/>
  </xdr:twoCellAnchor>
  <xdr:twoCellAnchor>
    <xdr:from>
      <xdr:col>10</xdr:col>
      <xdr:colOff>0</xdr:colOff>
      <xdr:row>76</xdr:row>
      <xdr:rowOff>0</xdr:rowOff>
    </xdr:from>
    <xdr:to>
      <xdr:col>20</xdr:col>
      <xdr:colOff>0</xdr:colOff>
      <xdr:row>94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b56f7754cb4182"/>
        </a:graphicData>
      </a:graphic>
    </xdr:graphicFrame>
    <xdr:clientData/>
  </xdr:twoCellAnchor>
  <xdr:oneCellAnchor>
    <xdr:from>
      <xdr:col>2</xdr:col>
      <xdr:colOff>0</xdr:colOff>
      <xdr:row>57</xdr:row>
      <xdr:rowOff>0</xdr:rowOff>
    </xdr:from>
    <xdr:ext cx="16668750" cy="2143125"/>
    <xdr:sp>
      <xdr:nvSpPr>
        <xdr:cNvPr id="3" name="Segment comparability and allocation"/>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Segment comparability and allocation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FY2023–FY2026 use the current segment definition. Earlier years retain their latest available historical presentation. FY2023 segment growth is unavailable across the definition change. Forecast D&amp;A, operating lease and operating expense allocations are explicit modeling assumptions.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three revenue paths identify which businesses generate the forecast expansion. Segment margins also include explicitly allocated D&amp;A, lease expense and operating costs. They therefore reflect allocation assumptions as well as segment growth and base cost rates. FY2023 to FY2026 have the current segment definition, making those years the appropriate common historical comparison for the new charts. Earlier definitions remain in the original data and should not be joined into a continuous growth series. Consolidated operating income deducts unallocated corporate expense after summing segment operating income.</a:t>
          </a:r>
          <a:endParaRPr/>
        </a:p>
      </xdr:txBody>
    </xdr:sp>
    <xdr:clientData/>
  </xdr:oneCellAnchor>
</xdr:wsDr>
</file>

<file path=xl/drawings/drawing11.xml><?xml version="1.0" encoding="utf-8"?>
<xdr:wsDr xmlns:xdr="http://schemas.openxmlformats.org/drawingml/2006/spreadsheetDrawing">
  <xdr:twoCellAnchor>
    <xdr:from>
      <xdr:col>2</xdr:col>
      <xdr:colOff>0</xdr:colOff>
      <xdr:row>47</xdr:row>
      <xdr:rowOff>0</xdr:rowOff>
    </xdr:from>
    <xdr:to>
      <xdr:col>10</xdr:col>
      <xdr:colOff>0</xdr:colOff>
      <xdr:row>65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cc410e117c43c9"/>
        </a:graphicData>
      </a:graphic>
    </xdr:graphicFrame>
    <xdr:clientData/>
  </xdr:twoCellAnchor>
  <xdr:twoCellAnchor>
    <xdr:from>
      <xdr:col>10</xdr:col>
      <xdr:colOff>0</xdr:colOff>
      <xdr:row>47</xdr:row>
      <xdr:rowOff>0</xdr:rowOff>
    </xdr:from>
    <xdr:to>
      <xdr:col>20</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23021f30694ea7"/>
        </a:graphicData>
      </a:graphic>
    </xdr:graphicFrame>
    <xdr:clientData/>
  </xdr:twoCellAnchor>
  <xdr:oneCellAnchor>
    <xdr:from>
      <xdr:col>2</xdr:col>
      <xdr:colOff>0</xdr:colOff>
      <xdr:row>28</xdr:row>
      <xdr:rowOff>0</xdr:rowOff>
    </xdr:from>
    <xdr:ext cx="16668750" cy="2143125"/>
    <xdr:sp>
      <xdr:nvSpPr>
        <xdr:cNvPr id="3" name="Costs and noncash expense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Costs and noncash expenses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forecast rates exclude the separately allocated D&amp;A and operating lease expense. SBC remains embedded in these cost rates and is added back once in CFO. Segment operating expense allocation uses the FY2026 reported distribution.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base R&amp;D rate and separately allocated D&amp;A and leases together produce total R&amp;D. SBC remains embedded in the operating cost assumptions and is added back once in CFO. Adding it again as a separate expense would double count it. Depreciation increases as successive PPE cohorts enter service, so expense can keep rising after capex intensity declines. Compare the category chart with the infrastructure expense chart to distinguish revenue-driven spending from accumulated asset costs. The segment allocation changes presentation by business without changing the consolidated expense total.</a:t>
          </a:r>
          <a:endParaRPr/>
        </a:p>
      </xdr:txBody>
    </xdr:sp>
    <xdr:clientData/>
  </xdr:oneCellAnchor>
</xdr:wsDr>
</file>

<file path=xl/drawings/drawing12.xml><?xml version="1.0" encoding="utf-8"?>
<xdr:wsDr xmlns:xdr="http://schemas.openxmlformats.org/drawingml/2006/spreadsheetDrawing">
  <xdr:twoCellAnchor>
    <xdr:from>
      <xdr:col>2</xdr:col>
      <xdr:colOff>0</xdr:colOff>
      <xdr:row>62</xdr:row>
      <xdr:rowOff>0</xdr:rowOff>
    </xdr:from>
    <xdr:to>
      <xdr:col>10</xdr:col>
      <xdr:colOff>0</xdr:colOff>
      <xdr:row>80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8374ac791740ce"/>
        </a:graphicData>
      </a:graphic>
    </xdr:graphicFrame>
    <xdr:clientData/>
  </xdr:twoCellAnchor>
  <xdr:twoCellAnchor>
    <xdr:from>
      <xdr:col>10</xdr:col>
      <xdr:colOff>0</xdr:colOff>
      <xdr:row>62</xdr:row>
      <xdr:rowOff>0</xdr:rowOff>
    </xdr:from>
    <xdr:to>
      <xdr:col>20</xdr:col>
      <xdr:colOff>0</xdr:colOff>
      <xdr:row>80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825c767d98441b"/>
        </a:graphicData>
      </a:graphic>
    </xdr:graphicFrame>
    <xdr:clientData/>
  </xdr:twoCellAnchor>
  <xdr:oneCellAnchor>
    <xdr:from>
      <xdr:col>2</xdr:col>
      <xdr:colOff>0</xdr:colOff>
      <xdr:row>43</xdr:row>
      <xdr:rowOff>0</xdr:rowOff>
    </xdr:from>
    <xdr:ext cx="16668750" cy="2143125"/>
    <xdr:sp>
      <xdr:nvSpPr>
        <xdr:cNvPr id="3" name="Operating and capital payable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Operating and capital payables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Operating payables are driven by cost of revenue and payable days. Capital expenditure payables are driven by the cash capex budget and add to PPE when they accrue. Their change is excluded from operating cash flow to avoid double counting capital funding.</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Receivable days determine how much recognized revenue remains uncollected at year-end. Inventory and payable days use cost of revenue rather than sales. Capital payables are separated from operating payables to prevent unpaid capex from being counted as operating cash generation. Changes in unearned revenue can release operating cash before revenue is recognized. The cash-effect rows reverse the sign of operating asset increases and retain the sign of operating liability increases. Review the day-based assumptions and cash effects together rather than treating a growing balance as automatically favorable.</a:t>
          </a:r>
          <a:endParaRPr/>
        </a:p>
      </xdr:txBody>
    </xdr:sp>
    <xdr:clientData/>
  </xdr:oneCellAnchor>
</xdr:wsDr>
</file>

<file path=xl/drawings/drawing13.xml><?xml version="1.0" encoding="utf-8"?>
<xdr:wsDr xmlns:xdr="http://schemas.openxmlformats.org/drawingml/2006/spreadsheetDrawing">
  <xdr:twoCellAnchor>
    <xdr:from>
      <xdr:col>2</xdr:col>
      <xdr:colOff>0</xdr:colOff>
      <xdr:row>66</xdr:row>
      <xdr:rowOff>0</xdr:rowOff>
    </xdr:from>
    <xdr:to>
      <xdr:col>10</xdr:col>
      <xdr:colOff>0</xdr:colOff>
      <xdr:row>84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004ae3c9524a14"/>
        </a:graphicData>
      </a:graphic>
    </xdr:graphicFrame>
    <xdr:clientData/>
  </xdr:twoCellAnchor>
  <xdr:twoCellAnchor>
    <xdr:from>
      <xdr:col>10</xdr:col>
      <xdr:colOff>0</xdr:colOff>
      <xdr:row>66</xdr:row>
      <xdr:rowOff>0</xdr:rowOff>
    </xdr:from>
    <xdr:to>
      <xdr:col>20</xdr:col>
      <xdr:colOff>0</xdr:colOff>
      <xdr:row>84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9cf6dab4b14cd3"/>
        </a:graphicData>
      </a:graphic>
    </xdr:graphicFrame>
    <xdr:clientData/>
  </xdr:twoCellAnchor>
  <xdr:oneCellAnchor>
    <xdr:from>
      <xdr:col>2</xdr:col>
      <xdr:colOff>0</xdr:colOff>
      <xdr:row>47</xdr:row>
      <xdr:rowOff>0</xdr:rowOff>
    </xdr:from>
    <xdr:ext cx="16668750" cy="2143125"/>
    <xdr:sp>
      <xdr:nvSpPr>
        <xdr:cNvPr id="3" name="PPE cohorts and half-year convention"/>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PPE cohorts and half-year convention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Legacy depreciable net PPE uses an assumed remaining life. Each new annual cohort uses its own useful-life input and half-year depreciation in the commissioning year. Land is held constant. FY2027–FY2031 intangible amortization uses the FY2026 disclosed schedule.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Cash capex, the change in capital payables and new finance lease assets jointly determine total PPE additions. These are different funding routes for capital assets and cannot be added to cash outflow a second time. Legacy assets and each new cohort have separate depreciation calculations. The half-year convention recognizes partial commissioning-year expense. Increasing useful lives lowers near-term depreciation and raises net carrying value, so it changes profit timing rather than investment cost. Intangibles follow the disclosed amortization schedule. Compare additions and depreciation to explain the forecast net PPE path.</a:t>
          </a:r>
          <a:endParaRPr/>
        </a:p>
      </xdr:txBody>
    </xdr:sp>
    <xdr:clientData/>
  </xdr:oneCellAnchor>
</xdr:wsDr>
</file>

<file path=xl/drawings/drawing14.xml><?xml version="1.0" encoding="utf-8"?>
<xdr:wsDr xmlns:xdr="http://schemas.openxmlformats.org/drawingml/2006/spreadsheetDrawing">
  <xdr:twoCellAnchor>
    <xdr:from>
      <xdr:col>2</xdr:col>
      <xdr:colOff>0</xdr:colOff>
      <xdr:row>120</xdr:row>
      <xdr:rowOff>0</xdr:rowOff>
    </xdr:from>
    <xdr:to>
      <xdr:col>10</xdr:col>
      <xdr:colOff>0</xdr:colOff>
      <xdr:row>138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5a9cd4dd8842c2"/>
        </a:graphicData>
      </a:graphic>
    </xdr:graphicFrame>
    <xdr:clientData/>
  </xdr:twoCellAnchor>
  <xdr:twoCellAnchor>
    <xdr:from>
      <xdr:col>10</xdr:col>
      <xdr:colOff>0</xdr:colOff>
      <xdr:row>120</xdr:row>
      <xdr:rowOff>0</xdr:rowOff>
    </xdr:from>
    <xdr:to>
      <xdr:col>20</xdr:col>
      <xdr:colOff>0</xdr:colOff>
      <xdr:row>138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f3a773f73334205"/>
        </a:graphicData>
      </a:graphic>
    </xdr:graphicFrame>
    <xdr:clientData/>
  </xdr:twoCellAnchor>
  <xdr:oneCellAnchor>
    <xdr:from>
      <xdr:col>2</xdr:col>
      <xdr:colOff>0</xdr:colOff>
      <xdr:row>88</xdr:row>
      <xdr:rowOff>0</xdr:rowOff>
    </xdr:from>
    <xdr:ext cx="16668750" cy="2143125"/>
    <xdr:sp>
      <xdr:nvSpPr>
        <xdr:cNvPr id="3" name="Liquidity funding and interest timing"/>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Liquidity funding and interest timing</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Short-term investments above the minimum reserve are liquidated before new borrowing. The borrowing amount is a model funding requirement, not a committed credit line. New liquidity borrowing occurs at year-end; its interest starts in the following year.</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Contractual debt principal, accounting adjustments and lease principal have distinct schedules. The face-to-book bridge matters when comparing balance-sheet debt with contractual repayment amounts. Legacy lease cash payments contain interest, while new leases use modeled terms and rates. Finance lease principal is a financing outflow. Operating lease expense and liability reductions need a cash-flow reconciliation because their timing differs. Liquidating investments above the reserve precedes additional borrowing. Evaluate financing obligations alongside liquid assets and the shareholder payout plan before describing excess cash as available for distribution.</a:t>
          </a:r>
          <a:endParaRPr/>
        </a:p>
      </xdr:txBody>
    </xdr:sp>
    <xdr:clientData/>
  </xdr:oneCellAnchor>
  <xdr:oneCellAnchor>
    <xdr:from>
      <xdr:col>2</xdr:col>
      <xdr:colOff>0</xdr:colOff>
      <xdr:row>101</xdr:row>
      <xdr:rowOff>0</xdr:rowOff>
    </xdr:from>
    <xdr:ext cx="16668750" cy="2143125"/>
    <xdr:sp>
      <xdr:nvSpPr>
        <xdr:cNvPr id="4" name="Lease payments and accounting"/>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Lease payments and accounting</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Contractual legacy lease payments include interest. Finance lease principal is classified in financing cash flow. Operating ROU amortization less lease principal reduction reconciles operating cash flow. New lease assets and liabilities are recognized together.</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Contractual debt principal, accounting adjustments and lease principal have distinct schedules. The face-to-book bridge matters when comparing balance-sheet debt with contractual repayment amounts. Legacy lease cash payments contain interest, while new leases use modeled terms and rates. Finance lease principal is a financing outflow. Operating lease expense and liability reductions need a cash-flow reconciliation because their timing differs. Liquidating investments above the reserve precedes additional borrowing. Evaluate financing obligations alongside liquid assets and the shareholder payout plan before describing excess cash as available for distribution.</a:t>
          </a:r>
          <a:endParaRPr/>
        </a:p>
      </xdr:txBody>
    </xdr:sp>
    <xdr:clientData/>
  </xdr:oneCellAnchor>
</xdr:wsDr>
</file>

<file path=xl/drawings/drawing15.xml><?xml version="1.0" encoding="utf-8"?>
<xdr:wsDr xmlns:xdr="http://schemas.openxmlformats.org/drawingml/2006/spreadsheetDrawing">
  <xdr:twoCellAnchor>
    <xdr:from>
      <xdr:col>2</xdr:col>
      <xdr:colOff>0</xdr:colOff>
      <xdr:row>59</xdr:row>
      <xdr:rowOff>0</xdr:rowOff>
    </xdr:from>
    <xdr:to>
      <xdr:col>10</xdr:col>
      <xdr:colOff>0</xdr:colOff>
      <xdr:row>77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c2b71777a34ee1"/>
        </a:graphicData>
      </a:graphic>
    </xdr:graphicFrame>
    <xdr:clientData/>
  </xdr:twoCellAnchor>
  <xdr:twoCellAnchor>
    <xdr:from>
      <xdr:col>10</xdr:col>
      <xdr:colOff>0</xdr:colOff>
      <xdr:row>59</xdr:row>
      <xdr:rowOff>0</xdr:rowOff>
    </xdr:from>
    <xdr:to>
      <xdr:col>20</xdr:col>
      <xdr:colOff>0</xdr:colOff>
      <xdr:row>77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6e278b73df4518"/>
        </a:graphicData>
      </a:graphic>
    </xdr:graphicFrame>
    <xdr:clientData/>
  </xdr:twoCellAnchor>
  <xdr:oneCellAnchor>
    <xdr:from>
      <xdr:col>2</xdr:col>
      <xdr:colOff>0</xdr:colOff>
      <xdr:row>40</xdr:row>
      <xdr:rowOff>0</xdr:rowOff>
    </xdr:from>
    <xdr:ext cx="16668750" cy="2143125"/>
    <xdr:sp>
      <xdr:nvSpPr>
        <xdr:cNvPr id="3" name="Equity and share-count assumption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Equity and share-count assumptions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SBC and cash share issuance increase paid-in capital. Share repurchases are allocated between paid-in capital and retained earnings. Dividends are assumed declared and paid within the same year. Diluted weighted average shares use a separate net-change assumption.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tax-rate assumption affects earnings and equity, while tax balance changes also affect cash. SBC and employee share issuance increase paid-in capital, and repurchases are divided between paid-in capital and retained earnings. Dividends reduce retained earnings and financing cash flow under the same-year payment assumption. Diluted shares remain an independent forecast input, so buyback cash does not guarantee a matching EPS increase. Review distributions against FCF after lease principal before interpreting rising equity or earnings as spare funding capacity.</a:t>
          </a:r>
          <a:endParaRPr/>
        </a:p>
      </xdr:txBody>
    </xdr:sp>
    <xdr:clientData/>
  </xdr:oneCellAnchor>
</xdr:wsDr>
</file>

<file path=xl/drawings/drawing16.xml><?xml version="1.0" encoding="utf-8"?>
<xdr:wsDr xmlns:xdr="http://schemas.openxmlformats.org/drawingml/2006/spreadsheetDrawing">
  <xdr:oneCellAnchor>
    <xdr:from>
      <xdr:col>2</xdr:col>
      <xdr:colOff>0</xdr:colOff>
      <xdr:row>11</xdr:row>
      <xdr:rowOff>0</xdr:rowOff>
    </xdr:from>
    <xdr:ext cx="16668750" cy="2143125"/>
    <xdr:sp>
      <xdr:nvSpPr>
        <xdr:cNvPr id="1" name="Data interpretation"/>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Data interpretation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Historical Inputs contains the audited statements, Filing Notes contains supporting disclosures, and Audit checks the resulting model. The primary source and fiscal-year cutoff remain unchanged in this revision. Source rows preserve reported meanings and signs. The regression worksheet reads revenue and CFO from historical cells and never feeds back into those inputs. Notes explain the key source and calculation cells. Use the source report year and URLs to trace an observation before updating it. Charts display the existing data and formula-linked forecast rather than an additional dataset.</a:t>
          </a:r>
          <a:endParaRPr/>
        </a:p>
      </xdr:txBody>
    </xdr:sp>
    <xdr:clientData/>
  </xdr:oneCellAnchor>
</xdr:wsDr>
</file>

<file path=xl/drawings/drawing17.xml><?xml version="1.0" encoding="utf-8"?>
<xdr:wsDr xmlns:xdr="http://schemas.openxmlformats.org/drawingml/2006/spreadsheetDrawing">
  <xdr:twoCellAnchor>
    <xdr:from>
      <xdr:col>2</xdr:col>
      <xdr:colOff>0</xdr:colOff>
      <xdr:row>142</xdr:row>
      <xdr:rowOff>0</xdr:rowOff>
    </xdr:from>
    <xdr:to>
      <xdr:col>19</xdr:col>
      <xdr:colOff>0</xdr:colOff>
      <xdr:row>160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e9125fe8fe4606"/>
        </a:graphicData>
      </a:graphic>
    </xdr:graphicFrame>
    <xdr:clientData/>
  </xdr:twoCellAnchor>
  <xdr:oneCellAnchor>
    <xdr:from>
      <xdr:col>2</xdr:col>
      <xdr:colOff>0</xdr:colOff>
      <xdr:row>123</xdr:row>
      <xdr:rowOff>0</xdr:rowOff>
    </xdr:from>
    <xdr:ext cx="16668750" cy="2143125"/>
    <xdr:sp>
      <xdr:nvSpPr>
        <xdr:cNvPr id="2" name="Source selection"/>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Source selection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Each year uses the latest comparative statement available by 8 October 2026. FY2017 includes revenue and lease accounting restatements. The CSV dataset records the source report and table for every observation.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source report year identifies the filing supplying the latest comparative presentation by the fixed cutoff. It can differ from the fiscal year of the observation. Restatements and reclassifications are retained rather than replaced with older original values. Reported cash-flow adjustments preserve their signs. Blank or unavailable note observations must not be treated as zero. The new chart compares revenue, CFO and cash capex using the ten actual years only. These historical cells feed both the operating model and the separate regression worksheet. Refresh the underlying sources before extending the fiscal-year horizon.</a:t>
          </a:r>
          <a:endParaRPr/>
        </a:p>
      </xdr:txBody>
    </xdr:sp>
    <xdr:clientData/>
  </xdr:oneCellAnchor>
</xdr:wsDr>
</file>

<file path=xl/drawings/drawing18.xml><?xml version="1.0" encoding="utf-8"?>
<xdr:wsDr xmlns:xdr="http://schemas.openxmlformats.org/drawingml/2006/spreadsheetDrawing">
  <xdr:twoCellAnchor>
    <xdr:from>
      <xdr:col>2</xdr:col>
      <xdr:colOff>0</xdr:colOff>
      <xdr:row>81</xdr:row>
      <xdr:rowOff>0</xdr:rowOff>
    </xdr:from>
    <xdr:to>
      <xdr:col>10</xdr:col>
      <xdr:colOff>0</xdr:colOff>
      <xdr:row>99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878233d800490b"/>
        </a:graphicData>
      </a:graphic>
    </xdr:graphicFrame>
    <xdr:clientData/>
  </xdr:twoCellAnchor>
  <xdr:twoCellAnchor>
    <xdr:from>
      <xdr:col>10</xdr:col>
      <xdr:colOff>0</xdr:colOff>
      <xdr:row>81</xdr:row>
      <xdr:rowOff>0</xdr:rowOff>
    </xdr:from>
    <xdr:to>
      <xdr:col>20</xdr:col>
      <xdr:colOff>0</xdr:colOff>
      <xdr:row>99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b31a144fa8c4749"/>
        </a:graphicData>
      </a:graphic>
    </xdr:graphicFrame>
    <xdr:clientData/>
  </xdr:twoCellAnchor>
  <xdr:oneCellAnchor>
    <xdr:from>
      <xdr:col>2</xdr:col>
      <xdr:colOff>0</xdr:colOff>
      <xdr:row>49</xdr:row>
      <xdr:rowOff>0</xdr:rowOff>
    </xdr:from>
    <xdr:ext cx="16668750" cy="2143125"/>
    <xdr:sp>
      <xdr:nvSpPr>
        <xdr:cNvPr id="3" name="Debt face value and carrying amount"/>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Debt face value and carrying amount</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$46,136m debt maturity schedule is a face-value schedule. Book debt is $40,294m after $1,081m of discounts and issuance costs, $11m of hedge adjustments and $4,750m of exchange premiums. The debt schedule carries these adjustments explicitly.</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Face debt describes principal owed, whereas carrying debt reflects accounting adjustments. Lease additions recognize assets and liabilities without a matching immediate cash capex payment. Capital payables also bridge asset additions and cash paid. The disclosed maturity and amortization schedules provide the starting point for forecast timing. Amounts rounded in notes can differ slightly from statement aggregates. FY2032 tail assumptions are identified separately on Assumptions. The charts use recent disclosed years and preserve unavailable observations rather than inserting zeros.</a:t>
          </a:r>
          <a:endParaRPr/>
        </a:p>
      </xdr:txBody>
    </xdr:sp>
    <xdr:clientData/>
  </xdr:oneCellAnchor>
  <xdr:oneCellAnchor>
    <xdr:from>
      <xdr:col>2</xdr:col>
      <xdr:colOff>0</xdr:colOff>
      <xdr:row>62</xdr:row>
      <xdr:rowOff>0</xdr:rowOff>
    </xdr:from>
    <xdr:ext cx="16668750" cy="2143125"/>
    <xdr:sp>
      <xdr:nvSpPr>
        <xdr:cNvPr id="4" name="Cash capex and noncash asset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Cash capex and noncash assets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Cash capex excludes new finance lease assets. Capital expenditure payables are part of accounts payable. These amounts are separated in the forecast so noncash capital additions are not counted as operating cash inflows.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Face debt describes principal owed, whereas carrying debt reflects accounting adjustments. Lease additions recognize assets and liabilities without a matching immediate cash capex payment. Capital payables also bridge asset additions and cash paid. The disclosed maturity and amortization schedules provide the starting point for forecast timing. Amounts rounded in notes can differ slightly from statement aggregates. FY2032 tail assumptions are identified separately on Assumptions. The charts use recent disclosed years and preserve unavailable observations rather than inserting zeros.</a:t>
          </a:r>
          <a:endParaRPr/>
        </a:p>
      </xdr:txBody>
    </xdr:sp>
    <xdr:clientData/>
  </xdr:oneCellAnchor>
</xdr:wsDr>
</file>

<file path=xl/drawings/drawing19.xml><?xml version="1.0" encoding="utf-8"?>
<xdr:wsDr xmlns:xdr="http://schemas.openxmlformats.org/drawingml/2006/spreadsheetDrawing">
  <xdr:oneCellAnchor>
    <xdr:from>
      <xdr:col>2</xdr:col>
      <xdr:colOff>0</xdr:colOff>
      <xdr:row>33</xdr:row>
      <xdr:rowOff>0</xdr:rowOff>
    </xdr:from>
    <xdr:ext cx="16668750" cy="2143125"/>
    <xdr:sp>
      <xdr:nvSpPr>
        <xdr:cNvPr id="1" name="Interpreting difference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Interpreting differences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Numeric differences should be within $0.01m. A value of n.a. means that the check does not apply to that period. Independent Python checks also compare all three forecast cases. Accounting definitions and source precision are documented in the Word report.</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Read each difference against its stated accounting relationship and units. A small floating-point residual is different from a missing input or a genuine imbalance. Forecast balance-sheet, cash, PPE, debt and equity checks should remain within the existing USD 0.01 million tolerance. Allocation checks use percentages rather than USD amounts. The audit sheet reads the model and does not drive business calculations. A case change requires recalculation before judging the differences. The independent Python verification compares saved statement values, while the added regression verification compares the OLS and HC3 outputs separately.</a:t>
          </a:r>
          <a:endParaRPr/>
        </a:p>
      </xdr:txBody>
    </xdr:sp>
    <xdr:clientData/>
  </xdr:oneCellAnchor>
</xdr:wsDr>
</file>

<file path=xl/drawings/drawing20.xml><?xml version="1.0" encoding="utf-8"?>
<xdr:wsDr xmlns:xdr="http://schemas.openxmlformats.org/drawingml/2006/spreadsheetDrawing">
  <xdr:oneCellAnchor>
    <xdr:from>
      <xdr:col>2</xdr:col>
      <xdr:colOff>0</xdr:colOff>
      <xdr:row>6</xdr:row>
      <xdr:rowOff>0</xdr:rowOff>
    </xdr:from>
    <xdr:ext cx="16668750" cy="2143125"/>
    <xdr:sp>
      <xdr:nvSpPr>
        <xdr:cNvPr id="1" name="Model scope"/>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Model scope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Microsoft Corporation. Ten historical fiscal years FY2017–FY2026 and five forecast years FY2027–FY2031. All amounts are USD millions unless otherwise stated. FY2016 is retained only as an opening balance.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Read the three statements together. Revenue and profit describe annual performance, the balance sheet records year-end resources and obligations, and cash flow explains funding. An increasing earnings forecast can require substantial asset investment. The original financial-data cutoff remains fixed. The new analytical worksheet uses actuals only and does not extend the forecast horizon.</a:t>
          </a:r>
          <a:endParaRPr/>
        </a:p>
      </xdr:txBody>
    </xdr:sp>
    <xdr:clientData/>
  </xdr:oneCellAnchor>
  <xdr:oneCellAnchor>
    <xdr:from>
      <xdr:col>2</xdr:col>
      <xdr:colOff>0</xdr:colOff>
      <xdr:row>19</xdr:row>
      <xdr:rowOff>0</xdr:rowOff>
    </xdr:from>
    <xdr:ext cx="16668750" cy="2143125"/>
    <xdr:sp>
      <xdr:nvSpPr>
        <xdr:cNvPr id="2" name="Scenario workflow"/>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Scenario workflow</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On Assumptions, select 1 Base, 2 Upside or 3 Downside in D4. Each driver has one active row followed by three editable case rows. All forecast statements and professional views update from that active row.</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Charts and live observations follow the same authoritative selector. Historical statements remain fixed. Review a later-year driver as well as the first forecast year when comparing cases, because asset cohorts and lease balances accumulate through time. Changes in one driver can affect several later statements. Excel and Python forecast input stores remain separate.</a:t>
          </a:r>
          <a:endParaRPr/>
        </a:p>
      </xdr:txBody>
    </xdr:sp>
    <xdr:clientData/>
  </xdr:oneCellAnchor>
  <xdr:oneCellAnchor>
    <xdr:from>
      <xdr:col>2</xdr:col>
      <xdr:colOff>0</xdr:colOff>
      <xdr:row>32</xdr:row>
      <xdr:rowOff>0</xdr:rowOff>
    </xdr:from>
    <xdr:ext cx="16668750" cy="2143125"/>
    <xdr:sp>
      <xdr:nvSpPr>
        <xdr:cNvPr id="3" name="Calculation sequence"/>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Calculation sequence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Segment revenue determines the capex budget and lease additions. PPE cohorts and leases determine allocated expenses. Operating profit, interest and tax determine earnings. Working capital, financing and shareholder distributions determine cash and closing balances.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A useful analysis follows the economic sequence rather than reading each statement in isolation. Higher segment revenue can raise cash capex and lease additions. These additions increase future depreciation and lease expense, which affect earnings. Working-capital balances, distributions and contractual payments then determine cash. Audit observes the result without driving it.</a:t>
          </a:r>
          <a:endParaRPr/>
        </a:p>
      </xdr:txBody>
    </xdr:sp>
    <xdr:clientData/>
  </xdr:oneCellAnchor>
  <xdr:oneCellAnchor>
    <xdr:from>
      <xdr:col>2</xdr:col>
      <xdr:colOff>0</xdr:colOff>
      <xdr:row>45</xdr:row>
      <xdr:rowOff>0</xdr:rowOff>
    </xdr:from>
    <xdr:ext cx="16668750" cy="2143125"/>
    <xdr:sp>
      <xdr:nvSpPr>
        <xdr:cNvPr id="4" name="Accounting assumption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Accounting assumptions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Land, goodwill and AOCI are held constant. No unannounced acquisitions are forecast. Dividends are declared and paid in the same year. New liquidity borrowing is drawn at year-end. Forecast diluted share counts are an independent driver.</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Constant asset or equity balances are explicit planning choices rather than forecasts of every possible event. Useful-life and allocation assumptions affect profit timing and segment presentation. Independent share counts mean repurchase cash does not determine diluted EPS mechanically. Review these assumptions when interpreting cash accumulation, operating margins and earnings growth.</a:t>
          </a:r>
          <a:endParaRPr/>
        </a:p>
      </xdr:txBody>
    </xdr:sp>
    <xdr:clientData/>
  </xdr:oneCellAnchor>
  <xdr:oneCellAnchor>
    <xdr:from>
      <xdr:col>2</xdr:col>
      <xdr:colOff>0</xdr:colOff>
      <xdr:row>58</xdr:row>
      <xdr:rowOff>0</xdr:rowOff>
    </xdr:from>
    <xdr:ext cx="16668750" cy="2143125"/>
    <xdr:sp>
      <xdr:nvSpPr>
        <xdr:cNvPr id="5" name="Historical comparability"/>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Historical comparability</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FY2017 includes retrospective revenue and lease accounting changes. Segment data for FY2023–FY2026 use the current definition. Earlier segment data use the latest available historical presentation; cross-definition segment growth is not computed.</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Use the current segment definition for comparisons beginning FY2023. Do not treat the older definition as a continuous growth series. Annual statement comparatives can contain restatements or classification changes, so their source report year matters. The regression uses consolidated revenue and CFO, preserving the selected comparative presentations rather than constructing an alternative history.</a:t>
          </a:r>
          <a:endParaRPr/>
        </a:p>
      </xdr:txBody>
    </xdr:sp>
    <xdr:clientData/>
  </xdr:oneCellAnchor>
  <xdr:oneCellAnchor>
    <xdr:from>
      <xdr:col>2</xdr:col>
      <xdr:colOff>0</xdr:colOff>
      <xdr:row>71</xdr:row>
      <xdr:rowOff>0</xdr:rowOff>
    </xdr:from>
    <xdr:ext cx="16668750" cy="2143125"/>
    <xdr:sp>
      <xdr:nvSpPr>
        <xdr:cNvPr id="6" name="Sources and unit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Sources and units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Primary statements come from Microsoft annual reports and the FY2026 SEC Form 10-K. Selected SEC XBRL facts independently control revenue, net income and note disclosures. The data CSV retains source report year, source table and URL for each value.</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Use Historical Inputs for reported statement values and Filing Notes for debt, lease and asset disclosures. Amounts are USD millions, while shares are millions and per-share values are dollars. Ratios use decimals. Notes can be rounded differently from statement aggregates. Trace the source report year and URL before refreshing an observation or extending the sample.</a:t>
          </a:r>
          <a:endParaRPr/>
        </a:p>
      </xdr:txBody>
    </xdr:sp>
    <xdr:clientData/>
  </xdr:oneCellAnchor>
  <xdr:oneCellAnchor>
    <xdr:from>
      <xdr:col>2</xdr:col>
      <xdr:colOff>0</xdr:colOff>
      <xdr:row>84</xdr:row>
      <xdr:rowOff>0</xdr:rowOff>
    </xdr:from>
    <xdr:ext cx="16668750" cy="2143125"/>
    <xdr:sp>
      <xdr:nvSpPr>
        <xdr:cNvPr id="7" name="Model boundaries"/>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Model boundaries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workbook provides operating forecasts and four analytical views. Equity Research has no target price or author investment recommendation. Investment Banking has no transaction valuation. Private Equity has no assumed Microsoft LBO. Separate portfolio projects will cover those outputs.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Professional views apply different financial questions to one operating model. They do not create separate forecasts. The regression is another diagnostic view of historical relationships and does not produce an investment recommendation. Small-sample fit does not establish valuation, acquisition feasibility or a stable causal relationship. Preserve the separation between a model output and the interpretation it supports.</a:t>
          </a:r>
          <a:endParaRPr/>
        </a:p>
      </xdr:txBody>
    </xdr:sp>
    <xdr:clientData/>
  </xdr:oneCellAnchor>
  <xdr:oneCellAnchor>
    <xdr:from>
      <xdr:col>2</xdr:col>
      <xdr:colOff>0</xdr:colOff>
      <xdr:row>97</xdr:row>
      <xdr:rowOff>0</xdr:rowOff>
    </xdr:from>
    <xdr:ext cx="16668750" cy="2143125"/>
    <xdr:sp>
      <xdr:nvSpPr>
        <xdr:cNvPr id="8" name="Python reproduction"/>
        <xdr:cNvSpPr>
          <a:spLocks xmlns:a="http://schemas.openxmlformats.org/drawingml/2006/main" noGrp="1"/>
        </xdr:cNvSpPr>
      </xdr:nvSpPr>
      <xdr:spPr>
        <a:xfrm xmlns:a="http://schemas.openxmlformats.org/drawingml/2006/main">
          <a:off x="0" y="0"/>
          <a:ext cx="1666875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prstDash val="solid"/>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Python reproduction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Run src/model.py on the supplied processed data to recalculate all three cases offline. Edit assumptions.json to change Python assumptions. Excel inputs are independent; changes made only in Excel are not automatically written back into the Python JSON.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Use cell Notes for definitions and exact formula references, and the larger analytical panels for interpretation. All added operating charts read the same active forecast case. Financial Modeling uses actual FY2017 to FY2026 observations, so switching forecast cases does not change its historical regression. Its Excel formulas calculate OLS and HC3 without an embedded Python service. Copy the displayed code into VSCode to reproduce the historical results with NumPy and SciPy. Regression estimates describe historical association and do not replace the linked operating forecast.</a:t>
          </a:r>
          <a:endParaRPr/>
        </a:p>
      </xdr:txBody>
    </xdr:sp>
    <xdr:clientData/>
  </xdr:oneCellAnchor>
</xdr:wsDr>
</file>

<file path=xl/drawings/drawing21.xml><?xml version="1.0" encoding="utf-8"?>
<xdr:wsDr xmlns:xdr="http://schemas.openxmlformats.org/drawingml/2006/spreadsheetDrawing">
  <xdr:twoCellAnchor>
    <xdr:from>
      <xdr:col>2</xdr:col>
      <xdr:colOff>0</xdr:colOff>
      <xdr:row>58</xdr:row>
      <xdr:rowOff>0</xdr:rowOff>
    </xdr:from>
    <xdr:to>
      <xdr:col>10</xdr:col>
      <xdr:colOff>0</xdr:colOff>
      <xdr:row>76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2b3cc4ffa84abd"/>
        </a:graphicData>
      </a:graphic>
    </xdr:graphicFrame>
    <xdr:clientData/>
  </xdr:twoCellAnchor>
  <xdr:twoCellAnchor>
    <xdr:from>
      <xdr:col>10</xdr:col>
      <xdr:colOff>0</xdr:colOff>
      <xdr:row>58</xdr:row>
      <xdr:rowOff>0</xdr:rowOff>
    </xdr:from>
    <xdr:to>
      <xdr:col>20</xdr:col>
      <xdr:colOff>0</xdr:colOff>
      <xdr:row>76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5bdb5906e44173"/>
        </a:graphicData>
      </a:graphic>
    </xdr:graphicFrame>
    <xdr:clientData/>
  </xdr:twoCellAnchor>
  <xdr:twoCellAnchor>
    <xdr:from>
      <xdr:col>2</xdr:col>
      <xdr:colOff>0</xdr:colOff>
      <xdr:row>130</xdr:row>
      <xdr:rowOff>0</xdr:rowOff>
    </xdr:from>
    <xdr:to>
      <xdr:col>10</xdr:col>
      <xdr:colOff>0</xdr:colOff>
      <xdr:row>148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b9886d73554dae"/>
        </a:graphicData>
      </a:graphic>
    </xdr:graphicFrame>
    <xdr:clientData/>
  </xdr:twoCellAnchor>
  <xdr:twoCellAnchor>
    <xdr:from>
      <xdr:col>10</xdr:col>
      <xdr:colOff>0</xdr:colOff>
      <xdr:row>130</xdr:row>
      <xdr:rowOff>0</xdr:rowOff>
    </xdr:from>
    <xdr:to>
      <xdr:col>20</xdr:col>
      <xdr:colOff>0</xdr:colOff>
      <xdr:row>148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e674f60f9d845dc"/>
        </a:graphicData>
      </a:graphic>
    </xdr:graphicFrame>
    <xdr:clientData/>
  </xdr:twoCellAnchor>
  <xdr:oneCellAnchor>
    <xdr:from>
      <xdr:col>7</xdr:col>
      <xdr:colOff>0</xdr:colOff>
      <xdr:row>26</xdr:row>
      <xdr:rowOff>0</xdr:rowOff>
    </xdr:from>
    <xdr:ext cx="12954000" cy="2047875"/>
    <xdr:sp>
      <xdr:nvSpPr>
        <xdr:cNvPr id="5" name="Interpreting the levels regression"/>
        <xdr:cNvSpPr>
          <a:spLocks xmlns:a="http://schemas.openxmlformats.org/drawingml/2006/main" noGrp="1"/>
        </xdr:cNvSpPr>
      </xdr:nvSpPr>
      <xdr:spPr>
        <a:xfrm xmlns:a="http://schemas.openxmlformats.org/drawingml/2006/main">
          <a:off x="0" y="0"/>
          <a:ext cx="12954000" cy="204787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Interpreting the levels regression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OLS estimates the historical association between ln(CFO) and ln(revenue). The slope is an elasticity: a 1% revenue difference corresponds approximately to the slope percent difference in fitted CFO. The high in-sample fit partly reflects the common upward time trend. Ten annual observations provide little evidence about future structural stability.</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fitted CFO series uses EXP(fitted ln CFO), so it is a conditional median rather than a bias-corrected conditional mean. It is a diagnostic comparison and does not replace the integrated forecast.</a:t>
          </a:r>
          <a:endParaRPr/>
        </a:p>
      </xdr:txBody>
    </xdr:sp>
    <xdr:clientData/>
  </xdr:oneCellAnchor>
  <xdr:oneCellAnchor>
    <xdr:from>
      <xdr:col>7</xdr:col>
      <xdr:colOff>0</xdr:colOff>
      <xdr:row>38</xdr:row>
      <xdr:rowOff>0</xdr:rowOff>
    </xdr:from>
    <xdr:ext cx="12954000" cy="2143125"/>
    <xdr:sp>
      <xdr:nvSpPr>
        <xdr:cNvPr id="6" name="What HC3 changes"/>
        <xdr:cNvSpPr>
          <a:spLocks xmlns:a="http://schemas.openxmlformats.org/drawingml/2006/main" noGrp="1"/>
        </xdr:cNvSpPr>
      </xdr:nvSpPr>
      <xdr:spPr>
        <a:xfrm xmlns:a="http://schemas.openxmlformats.org/drawingml/2006/main">
          <a:off x="0" y="0"/>
          <a:ext cx="12954000" cy="2143125"/>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What HC3 changes</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HC3 uses squared residuals divided by (1 minus leverage) squared in the covariance calculation. It changes standard errors, t statistics, p values and confidence intervals, while leaving OLS coefficients and fitted values unchanged. The visible helper columns show each observation's contribution.</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Inference uses Student t with n minus two degrees of freedom. This is an explicit small-sample approximation. HC3 does not correct serial correlation, omitted variables, shared trends or structural breaks. Durbin Watson and leverage are descriptive diagnostics here, not proof that these problems are absent.</a:t>
          </a:r>
          <a:endParaRPr/>
        </a:p>
      </xdr:txBody>
    </xdr:sp>
    <xdr:clientData/>
  </xdr:oneCellAnchor>
  <xdr:oneCellAnchor>
    <xdr:from>
      <xdr:col>7</xdr:col>
      <xdr:colOff>0</xdr:colOff>
      <xdr:row>97</xdr:row>
      <xdr:rowOff>0</xdr:rowOff>
    </xdr:from>
    <xdr:ext cx="12954000" cy="3429000"/>
    <xdr:sp>
      <xdr:nvSpPr>
        <xdr:cNvPr id="7" name="Reading the first differences result"/>
        <xdr:cNvSpPr>
          <a:spLocks xmlns:a="http://schemas.openxmlformats.org/drawingml/2006/main" noGrp="1"/>
        </xdr:cNvSpPr>
      </xdr:nvSpPr>
      <xdr:spPr>
        <a:xfrm xmlns:a="http://schemas.openxmlformats.org/drawingml/2006/main">
          <a:off x="0" y="0"/>
          <a:ext cx="12954000" cy="3429000"/>
        </a:xfrm>
        <a:prstGeom xmlns:a="http://schemas.openxmlformats.org/drawingml/2006/main" prst="rect">
          <a:avLst/>
        </a:prstGeom>
        <a:solidFill xmlns:a="http://schemas.openxmlformats.org/drawingml/2006/main">
          <a:srgbClr val="F2F2F2"/>
        </a:solidFill>
        <a:ln xmlns:a="http://schemas.openxmlformats.org/drawingml/2006/main" w="9525">
          <a:solidFill>
            <a:srgbClr val="808080"/>
          </a:solidFill>
        </a:ln>
      </xdr:spPr>
      <xdr:txBody>
        <a:bodyPr xmlns:a="http://schemas.openxmlformats.org/drawingml/2006/main" wrap="square" lIns="152400" tIns="114300" rIns="152400" bIns="114300" anchor="t">
          <a:noAutofit/>
        </a:bodyPr>
        <a:lstStyle xmlns:a="http://schemas.openxmlformats.org/drawingml/2006/main"/>
        <a:p xmlns:a="http://schemas.openxmlformats.org/drawingml/2006/main">
          <a:pPr algn="l">
            <a:lnSpc>
              <a:spcPct val="115000"/>
            </a:lnSpc>
            <a:spcAft>
              <a:spcPts val="600"/>
            </a:spcAft>
            <a:buNone/>
          </a:pPr>
          <a:r>
            <a:rPr sz="1100" b="1">
              <a:solidFill>
                <a:srgbClr val="17365A"/>
              </a:solidFill>
              <a:latin typeface="Arial"/>
              <a:ea typeface="Arial"/>
              <a:cs typeface="Arial"/>
            </a:rPr>
            <a:t>Reading the first differences result</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The second regression uses annual log changes in CFO and revenue. It removes the level trend and leaves nine observations. The slope describes the association between growth changes, so it is not directly interchangeable with the levels elasticity.</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A wider confidence interval reflects the short sample and limited variation. Review the maximum leverage and the individual leverage column. A large leverage value makes one fiscal year influential and increases its HC3 weight. The 4/n reference is a descriptive screening threshold, not a statistical test.</a:t>
          </a:r>
          <a:endParaRPr/>
        </a:p>
        <a:p xmlns:a="http://schemas.openxmlformats.org/drawingml/2006/main">
          <a:pPr algn="l">
            <a:lnSpc>
              <a:spcPct val="115000"/>
            </a:lnSpc>
            <a:spcAft>
              <a:spcPts val="600"/>
            </a:spcAft>
            <a:buNone/>
          </a:pPr>
          <a:r>
            <a:rPr sz="1050" b="0">
              <a:solidFill>
                <a:srgbClr val="17365A"/>
              </a:solidFill>
              <a:latin typeface="Arial"/>
              <a:ea typeface="Arial"/>
              <a:cs typeface="Arial"/>
            </a:rPr>
            <a:t>Compare coefficients and residuals in both specifications. Agreement does not establish causality. The original operating forecast retains its segment, expense, asset, lease, working-capital and payout assumptions.</a:t>
          </a:r>
          <a:endParaRPr/>
        </a:p>
      </xdr:txBody>
    </xdr:sp>
    <xdr:clientData/>
  </xdr:oneCellAnchor>
</xdr:wsDr>
</file>

<file path=xl/persons/person.xml><?xml version="1.0" encoding="utf-8"?>
<xltc:personList xmlns:xltc="http://schemas.microsoft.com/office/spreadsheetml/2018/threadedcomments">
  <xltc:person displayName="Goran Brkich" id="{8F8AF3CD-7B69-4DA0-8E65-C10AFA0B5E48}"/>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eef43635f0774a1a" /><Relationship Type="http://schemas.openxmlformats.org/officeDocument/2006/relationships/vmlDrawing" Target="/xl/drawings/vmldrawing.vml" Id="R46881aee6b68471b" /><Relationship Type="http://schemas.openxmlformats.org/officeDocument/2006/relationships/drawing" Target="/xl/drawings/drawing1.xml" Id="R086fa620dba94c6e" /></Relationships>
</file>

<file path=xl/worksheets/_rels/sheet2.xml.rels>&#65279;<?xml version="1.0" encoding="utf-8"?><Relationships xmlns="http://schemas.openxmlformats.org/package/2006/relationships"><Relationship Type="http://schemas.openxmlformats.org/officeDocument/2006/relationships/comments" Target="/xl/comments2.xml" Id="R205b7b08336048b0" /><Relationship Type="http://schemas.openxmlformats.org/officeDocument/2006/relationships/vmlDrawing" Target="/xl/drawings/vmldrawing2.vml" Id="R61b9208f3f3345bd" /><Relationship Type="http://schemas.openxmlformats.org/officeDocument/2006/relationships/drawing" Target="/xl/drawings/drawing2.xml" Id="R8c5ddcee24c4416e" /></Relationships>
</file>

<file path=xl/worksheets/_rels/sheet3.xml.rels>&#65279;<?xml version="1.0" encoding="utf-8"?><Relationships xmlns="http://schemas.openxmlformats.org/package/2006/relationships"><Relationship Type="http://schemas.openxmlformats.org/officeDocument/2006/relationships/comments" Target="/xl/comments3.xml" Id="R6dbc4e195bf24212" /><Relationship Type="http://schemas.openxmlformats.org/officeDocument/2006/relationships/vmlDrawing" Target="/xl/drawings/vmldrawing3.vml" Id="R96cd7f1ea31b480d" /><Relationship Type="http://schemas.openxmlformats.org/officeDocument/2006/relationships/drawing" Target="/xl/drawings/drawing3.xml" Id="R1d40ae11215c4edc" /></Relationships>
</file>

<file path=xl/worksheets/_rels/sheet4.xml.rels>&#65279;<?xml version="1.0" encoding="utf-8"?><Relationships xmlns="http://schemas.openxmlformats.org/package/2006/relationships"><Relationship Type="http://schemas.openxmlformats.org/officeDocument/2006/relationships/comments" Target="/xl/comments4.xml" Id="Re7cfe8cf98eb4df5" /><Relationship Type="http://schemas.openxmlformats.org/officeDocument/2006/relationships/vmlDrawing" Target="/xl/drawings/vmldrawing4.vml" Id="R15a2ef4102154669" /><Relationship Type="http://schemas.openxmlformats.org/officeDocument/2006/relationships/drawing" Target="/xl/drawings/drawing4.xml" Id="Rd1d936e096c9411c" /></Relationships>
</file>

<file path=xl/worksheets/_rels/sheet5.xml.rels>&#65279;<?xml version="1.0" encoding="utf-8"?><Relationships xmlns="http://schemas.openxmlformats.org/package/2006/relationships"><Relationship Type="http://schemas.openxmlformats.org/officeDocument/2006/relationships/comments" Target="/xl/comments5.xml" Id="R15b126a3ce44462e" /><Relationship Type="http://schemas.openxmlformats.org/officeDocument/2006/relationships/vmlDrawing" Target="/xl/drawings/vmldrawing5.vml" Id="R16235989442e4074" /><Relationship Type="http://schemas.openxmlformats.org/officeDocument/2006/relationships/drawing" Target="/xl/drawings/drawing5.xml" Id="Re58e58d8e8904254" /></Relationships>
</file>

<file path=xl/worksheets/_rels/sheet6.xml.rels>&#65279;<?xml version="1.0" encoding="utf-8"?><Relationships xmlns="http://schemas.openxmlformats.org/package/2006/relationships"><Relationship Type="http://schemas.openxmlformats.org/officeDocument/2006/relationships/comments" Target="/xl/comments6.xml" Id="R65232012468b4e64" /><Relationship Type="http://schemas.openxmlformats.org/officeDocument/2006/relationships/vmlDrawing" Target="/xl/drawings/vmldrawing6.vml" Id="R49fdfc4ace734210" /><Relationship Type="http://schemas.openxmlformats.org/officeDocument/2006/relationships/drawing" Target="/xl/drawings/drawing6.xml" Id="R37a1db6db2314fb9" /></Relationships>
</file>

<file path=xl/worksheets/_rels/sheet7.xml.rels>&#65279;<?xml version="1.0" encoding="utf-8"?><Relationships xmlns="http://schemas.openxmlformats.org/package/2006/relationships"><Relationship Type="http://schemas.openxmlformats.org/officeDocument/2006/relationships/comments" Target="/xl/comments7.xml" Id="R97e4715d5b7c443b" /><Relationship Type="http://schemas.openxmlformats.org/officeDocument/2006/relationships/vmlDrawing" Target="/xl/drawings/vmldrawing7.vml" Id="R0d152a594be84e19" /><Relationship Type="http://schemas.openxmlformats.org/officeDocument/2006/relationships/drawing" Target="/xl/drawings/drawing7.xml" Id="Rba9bd02b2b8c423c" /></Relationships>
</file>

<file path=xl/worksheets/_rels/sheet8.xml.rels>&#65279;<?xml version="1.0" encoding="utf-8"?><Relationships xmlns="http://schemas.openxmlformats.org/package/2006/relationships"><Relationship Type="http://schemas.openxmlformats.org/officeDocument/2006/relationships/comments" Target="/xl/comments8.xml" Id="R74871b2c7d7a4a87" /><Relationship Type="http://schemas.openxmlformats.org/officeDocument/2006/relationships/vmlDrawing" Target="/xl/drawings/vmldrawing8.vml" Id="R3841892fc4ba43cc" /><Relationship Type="http://schemas.openxmlformats.org/officeDocument/2006/relationships/drawing" Target="/xl/drawings/drawing8.xml" Id="R675f92a009684027" /></Relationships>
</file>

<file path=xl/worksheets/_rels/sheet9.xml.rels>&#65279;<?xml version="1.0" encoding="utf-8"?><Relationships xmlns="http://schemas.openxmlformats.org/package/2006/relationships"><Relationship Type="http://schemas.openxmlformats.org/officeDocument/2006/relationships/comments" Target="/xl/comments9.xml" Id="R8eba563d18174052" /><Relationship Type="http://schemas.openxmlformats.org/officeDocument/2006/relationships/vmlDrawing" Target="/xl/drawings/vmldrawing9.vml" Id="R94b7b56d78e04d79" /><Relationship Type="http://schemas.openxmlformats.org/officeDocument/2006/relationships/drawing" Target="/xl/drawings/drawing9.xml" Id="R673f4840dbd24097" /></Relationships>
</file>

<file path=xl/worksheets/_rels/sheet10.xml.rels>&#65279;<?xml version="1.0" encoding="utf-8"?><Relationships xmlns="http://schemas.openxmlformats.org/package/2006/relationships"><Relationship Type="http://schemas.openxmlformats.org/officeDocument/2006/relationships/comments" Target="/xl/comments10.xml" Id="R1dcb016f605848a0" /><Relationship Type="http://schemas.openxmlformats.org/officeDocument/2006/relationships/vmlDrawing" Target="/xl/drawings/vmldrawing10.vml" Id="R6b0dafebeb664410" /><Relationship Type="http://schemas.openxmlformats.org/officeDocument/2006/relationships/drawing" Target="/xl/drawings/drawing10.xml" Id="Racea83bf698341c8" /></Relationships>
</file>

<file path=xl/worksheets/_rels/sheet11.xml.rels>&#65279;<?xml version="1.0" encoding="utf-8"?><Relationships xmlns="http://schemas.openxmlformats.org/package/2006/relationships"><Relationship Type="http://schemas.openxmlformats.org/officeDocument/2006/relationships/comments" Target="/xl/comments11.xml" Id="Rf8d9582fb1f147fc" /><Relationship Type="http://schemas.openxmlformats.org/officeDocument/2006/relationships/vmlDrawing" Target="/xl/drawings/vmldrawing11.vml" Id="R9718d7cca813428d" /><Relationship Type="http://schemas.openxmlformats.org/officeDocument/2006/relationships/drawing" Target="/xl/drawings/drawing11.xml" Id="R47f72aff70794dce" /></Relationships>
</file>

<file path=xl/worksheets/_rels/sheet12.xml.rels>&#65279;<?xml version="1.0" encoding="utf-8"?><Relationships xmlns="http://schemas.openxmlformats.org/package/2006/relationships"><Relationship Type="http://schemas.openxmlformats.org/officeDocument/2006/relationships/comments" Target="/xl/comments12.xml" Id="R46d30033fb584147" /><Relationship Type="http://schemas.openxmlformats.org/officeDocument/2006/relationships/vmlDrawing" Target="/xl/drawings/vmldrawing12.vml" Id="Rca33a4af0c8446b4" /><Relationship Type="http://schemas.openxmlformats.org/officeDocument/2006/relationships/drawing" Target="/xl/drawings/drawing12.xml" Id="R764a70263a334c6a" /></Relationships>
</file>

<file path=xl/worksheets/_rels/sheet13.xml.rels>&#65279;<?xml version="1.0" encoding="utf-8"?><Relationships xmlns="http://schemas.openxmlformats.org/package/2006/relationships"><Relationship Type="http://schemas.openxmlformats.org/officeDocument/2006/relationships/comments" Target="/xl/comments13.xml" Id="R8e428aa2743243be" /><Relationship Type="http://schemas.openxmlformats.org/officeDocument/2006/relationships/vmlDrawing" Target="/xl/drawings/vmldrawing13.vml" Id="R10ef8c85f5ee46a2" /><Relationship Type="http://schemas.openxmlformats.org/officeDocument/2006/relationships/drawing" Target="/xl/drawings/drawing13.xml" Id="R6dcc2e8e4f7f4684" /></Relationships>
</file>

<file path=xl/worksheets/_rels/sheet14.xml.rels>&#65279;<?xml version="1.0" encoding="utf-8"?><Relationships xmlns="http://schemas.openxmlformats.org/package/2006/relationships"><Relationship Type="http://schemas.openxmlformats.org/officeDocument/2006/relationships/comments" Target="/xl/comments14.xml" Id="Rcfd1d44517a349de" /><Relationship Type="http://schemas.openxmlformats.org/officeDocument/2006/relationships/vmlDrawing" Target="/xl/drawings/vmldrawing14.vml" Id="Rb2103c697f9d44c5" /><Relationship Type="http://schemas.openxmlformats.org/officeDocument/2006/relationships/drawing" Target="/xl/drawings/drawing14.xml" Id="R801911fc342e4db2" /></Relationships>
</file>

<file path=xl/worksheets/_rels/sheet15.xml.rels>&#65279;<?xml version="1.0" encoding="utf-8"?><Relationships xmlns="http://schemas.openxmlformats.org/package/2006/relationships"><Relationship Type="http://schemas.openxmlformats.org/officeDocument/2006/relationships/comments" Target="/xl/comments15.xml" Id="R4d05debb4cbb453a" /><Relationship Type="http://schemas.openxmlformats.org/officeDocument/2006/relationships/vmlDrawing" Target="/xl/drawings/vmldrawing15.vml" Id="Rbf5e1fdb040d4867" /><Relationship Type="http://schemas.openxmlformats.org/officeDocument/2006/relationships/drawing" Target="/xl/drawings/drawing15.xml" Id="Rb50a2e4bd4b547e4" /></Relationships>
</file>

<file path=xl/worksheets/_rels/sheet16.xml.rels>&#65279;<?xml version="1.0" encoding="utf-8"?><Relationships xmlns="http://schemas.openxmlformats.org/package/2006/relationships"><Relationship Type="http://schemas.openxmlformats.org/officeDocument/2006/relationships/comments" Target="/xl/comments16.xml" Id="Rb0ea29ddc9c945b2" /><Relationship Type="http://schemas.openxmlformats.org/officeDocument/2006/relationships/vmlDrawing" Target="/xl/drawings/vmldrawing16.vml" Id="Rec52514b1cd14a8e" /><Relationship Type="http://schemas.openxmlformats.org/officeDocument/2006/relationships/drawing" Target="/xl/drawings/drawing16.xml" Id="R4d95cfebda484c85" /></Relationships>
</file>

<file path=xl/worksheets/_rels/sheet17.xml.rels>&#65279;<?xml version="1.0" encoding="utf-8"?><Relationships xmlns="http://schemas.openxmlformats.org/package/2006/relationships"><Relationship Type="http://schemas.openxmlformats.org/officeDocument/2006/relationships/comments" Target="/xl/comments17.xml" Id="Rfda15dcf28dc460e" /><Relationship Type="http://schemas.openxmlformats.org/officeDocument/2006/relationships/vmlDrawing" Target="/xl/drawings/vmldrawing17.vml" Id="R124a1c148a8f40a1" /><Relationship Type="http://schemas.openxmlformats.org/officeDocument/2006/relationships/drawing" Target="/xl/drawings/drawing17.xml" Id="R00f4a22c892e438b" /></Relationships>
</file>

<file path=xl/worksheets/_rels/sheet18.xml.rels>&#65279;<?xml version="1.0" encoding="utf-8"?><Relationships xmlns="http://schemas.openxmlformats.org/package/2006/relationships"><Relationship Type="http://schemas.openxmlformats.org/officeDocument/2006/relationships/comments" Target="/xl/comments18.xml" Id="R319f818c2c6746c2" /><Relationship Type="http://schemas.openxmlformats.org/officeDocument/2006/relationships/vmlDrawing" Target="/xl/drawings/vmldrawing18.vml" Id="Rece7151e0ae3490c" /><Relationship Type="http://schemas.openxmlformats.org/officeDocument/2006/relationships/drawing" Target="/xl/drawings/drawing18.xml" Id="Raedeff9775274ecd" /></Relationships>
</file>

<file path=xl/worksheets/_rels/sheet19.xml.rels>&#65279;<?xml version="1.0" encoding="utf-8"?><Relationships xmlns="http://schemas.openxmlformats.org/package/2006/relationships"><Relationship Type="http://schemas.openxmlformats.org/officeDocument/2006/relationships/comments" Target="/xl/comments19.xml" Id="R6acb4ba2551c4025" /><Relationship Type="http://schemas.openxmlformats.org/officeDocument/2006/relationships/vmlDrawing" Target="/xl/drawings/vmldrawing19.vml" Id="Rc27a431abeff4ae8" /><Relationship Type="http://schemas.openxmlformats.org/officeDocument/2006/relationships/drawing" Target="/xl/drawings/drawing19.xml" Id="R145bc15c0404462b" /></Relationships>
</file>

<file path=xl/worksheets/_rels/sheet20.xml.rels>&#65279;<?xml version="1.0" encoding="utf-8"?><Relationships xmlns="http://schemas.openxmlformats.org/package/2006/relationships"><Relationship Type="http://schemas.openxmlformats.org/officeDocument/2006/relationships/comments" Target="/xl/comments20.xml" Id="R8d26280ee5ec4fbb" /><Relationship Type="http://schemas.openxmlformats.org/officeDocument/2006/relationships/vmlDrawing" Target="/xl/drawings/vmldrawing20.vml" Id="R82eca47a93434d24" /><Relationship Type="http://schemas.openxmlformats.org/officeDocument/2006/relationships/drawing" Target="/xl/drawings/drawing20.xml" Id="R7b443fa3cd644d1f" /></Relationships>
</file>

<file path=xl/worksheets/_rels/sheet21.xml.rels>&#65279;<?xml version="1.0" encoding="utf-8"?><Relationships xmlns="http://schemas.openxmlformats.org/package/2006/relationships"><Relationship Type="http://schemas.openxmlformats.org/officeDocument/2006/relationships/comments" Target="/xl/comments21.xml" Id="Rce994a0284f2486f" /><Relationship Type="http://schemas.openxmlformats.org/officeDocument/2006/relationships/vmlDrawing" Target="/xl/drawings/vmldrawing21.vml" Id="R45caa80d311d4f29" /><Relationship Type="http://schemas.openxmlformats.org/officeDocument/2006/relationships/drawing" Target="/xl/drawings/drawing21.xml" Id="R9f85ace1311a4c06" /></Relationships>
</file>

<file path=xl/worksheets/sheet1.xml><?xml version="1.0" encoding="utf-8"?>
<x:worksheet xmlns:x="http://schemas.openxmlformats.org/spreadsheetml/2006/main">
  <x:sheetPr>
    <x:tabColor rgb="FF002060"/>
  </x:sheetPr>
  <x:sheetViews>
    <x:sheetView showGridLines="0" workbookViewId="0"/>
  </x:sheetViews>
  <x:sheetFormatPr defaultRowHeight="15"/>
  <x:cols>
    <x:col min="1" max="1" width="2" hidden="0" customWidth="1"/>
    <x:col min="2" max="2" width="2" hidden="0" customWidth="1"/>
    <x:col min="3" max="3" width="54" hidden="0" customWidth="1"/>
    <x:col min="4" max="4" width="17"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Microsoft financial model</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07" t="str">
        <x:v>FY2026 actual</x:v>
      </x:c>
      <x:c r="F7" s="107"/>
      <x:c r="G7" s="107" t="str">
        <x:v>FY2031 forecast</x:v>
      </x:c>
      <x:c r="H7" s="103"/>
      <x:c r="I7" s="103"/>
      <x:c r="J7" s="103"/>
      <x:c r="K7" s="103"/>
      <x:c r="L7" s="103"/>
      <x:c r="M7" s="103"/>
      <x:c r="N7" s="103"/>
      <x:c r="O7" s="103"/>
      <x:c r="P7" s="103"/>
      <x:c r="Q7" s="103"/>
      <x:c r="R7" s="103"/>
      <x:c r="S7" s="103"/>
      <x:c r="T7" s="103"/>
      <x:c r="U7" s="103"/>
    </x:row>
    <x:row r="8" ht="24" customHeight="1">
      <x:c r="A8" s="103"/>
      <x:c r="B8" s="103"/>
      <x:c r="C8" s="103" t="str">
        <x:v>Revenue</x:v>
      </x:c>
      <x:c r="D8" s="103"/>
      <x:c r="E8" s="109" t="n">
        <x:f>'Income Statement'!N8</x:f>
        <x:v>331839</x:v>
      </x:c>
      <x:c r="F8" s="109"/>
      <x:c r="G8" s="109" t="n">
        <x:f>'Income Statement'!S8</x:f>
        <x:v>648107.1509938752</x:v>
      </x:c>
      <x:c r="H8" s="103"/>
      <x:c r="I8" s="103"/>
      <x:c r="J8" s="103"/>
      <x:c r="K8" s="103"/>
      <x:c r="L8" s="103"/>
      <x:c r="M8" s="103"/>
      <x:c r="N8" s="103"/>
      <x:c r="O8" s="103"/>
      <x:c r="P8" s="103"/>
      <x:c r="Q8" s="103"/>
      <x:c r="R8" s="103"/>
      <x:c r="S8" s="103"/>
      <x:c r="T8" s="103"/>
      <x:c r="U8" s="103"/>
    </x:row>
    <x:row r="9" ht="24" customHeight="1">
      <x:c r="A9" s="103"/>
      <x:c r="B9" s="103"/>
      <x:c r="C9" s="103" t="str">
        <x:v>Operating income</x:v>
      </x:c>
      <x:c r="D9" s="103"/>
      <x:c r="E9" s="109" t="n">
        <x:f>'Income Statement'!N19</x:f>
        <x:v>155237</x:v>
      </x:c>
      <x:c r="F9" s="109"/>
      <x:c r="G9" s="109" t="n">
        <x:f>'Income Statement'!S19</x:f>
        <x:v>242804.5507215888</x:v>
      </x:c>
      <x:c r="H9" s="103"/>
      <x:c r="I9" s="103"/>
      <x:c r="J9" s="103"/>
      <x:c r="K9" s="103"/>
      <x:c r="L9" s="103"/>
      <x:c r="M9" s="103"/>
      <x:c r="N9" s="103"/>
      <x:c r="O9" s="103"/>
      <x:c r="P9" s="103"/>
      <x:c r="Q9" s="103"/>
      <x:c r="R9" s="103"/>
      <x:c r="S9" s="103"/>
      <x:c r="T9" s="103"/>
      <x:c r="U9" s="103"/>
    </x:row>
    <x:row r="10" ht="24" customHeight="1">
      <x:c r="A10" s="103"/>
      <x:c r="B10" s="103"/>
      <x:c r="C10" s="103" t="str">
        <x:v>Operating margin</x:v>
      </x:c>
      <x:c r="D10" s="103"/>
      <x:c r="E10" s="111" t="n">
        <x:f>'Income Statement'!N20</x:f>
        <x:v>0.4678081840892722</x:v>
      </x:c>
      <x:c r="F10" s="111"/>
      <x:c r="G10" s="111" t="n">
        <x:f>'Income Statement'!S20</x:f>
        <x:v>0.3746364321844728</x:v>
      </x:c>
      <x:c r="H10" s="103"/>
      <x:c r="I10" s="103"/>
      <x:c r="J10" s="103"/>
      <x:c r="K10" s="103"/>
      <x:c r="L10" s="103"/>
      <x:c r="M10" s="103"/>
      <x:c r="N10" s="103"/>
      <x:c r="O10" s="103"/>
      <x:c r="P10" s="103"/>
      <x:c r="Q10" s="103"/>
      <x:c r="R10" s="103"/>
      <x:c r="S10" s="103"/>
      <x:c r="T10" s="103"/>
      <x:c r="U10" s="103"/>
    </x:row>
    <x:row r="11" ht="24" customHeight="1">
      <x:c r="A11" s="103"/>
      <x:c r="B11" s="103"/>
      <x:c r="C11" s="103" t="str">
        <x:v>Net income</x:v>
      </x:c>
      <x:c r="D11" s="103"/>
      <x:c r="E11" s="109" t="n">
        <x:f>'Income Statement'!N28</x:f>
        <x:v>133749</x:v>
      </x:c>
      <x:c r="F11" s="109"/>
      <x:c r="G11" s="109" t="n">
        <x:f>'Income Statement'!S28</x:f>
        <x:v>198208.54815629864</x:v>
      </x:c>
      <x:c r="H11" s="103"/>
      <x:c r="I11" s="103"/>
      <x:c r="J11" s="103"/>
      <x:c r="K11" s="103"/>
      <x:c r="L11" s="103"/>
      <x:c r="M11" s="103"/>
      <x:c r="N11" s="103"/>
      <x:c r="O11" s="103"/>
      <x:c r="P11" s="103"/>
      <x:c r="Q11" s="103"/>
      <x:c r="R11" s="103"/>
      <x:c r="S11" s="103"/>
      <x:c r="T11" s="103"/>
      <x:c r="U11" s="103"/>
    </x:row>
    <x:row r="12" ht="24" customHeight="1">
      <x:c r="A12" s="103"/>
      <x:c r="B12" s="103"/>
      <x:c r="C12" s="103" t="str">
        <x:v>Diluted EPS</x:v>
      </x:c>
      <x:c r="D12" s="103"/>
      <x:c r="E12" s="113" t="n">
        <x:f>'Income Statement'!N33</x:f>
        <x:v>17.95</x:v>
      </x:c>
      <x:c r="F12" s="113"/>
      <x:c r="G12" s="113" t="n">
        <x:f>'Income Statement'!S33</x:f>
        <x:v>26.996997580794837</x:v>
      </x:c>
      <x:c r="H12" s="103"/>
      <x:c r="I12" s="103"/>
      <x:c r="J12" s="103"/>
      <x:c r="K12" s="103"/>
      <x:c r="L12" s="103"/>
      <x:c r="M12" s="103"/>
      <x:c r="N12" s="103"/>
      <x:c r="O12" s="103"/>
      <x:c r="P12" s="103"/>
      <x:c r="Q12" s="103"/>
      <x:c r="R12" s="103"/>
      <x:c r="S12" s="103"/>
      <x:c r="T12" s="103"/>
      <x:c r="U12" s="103"/>
    </x:row>
    <x:row r="13" ht="24" customHeight="1">
      <x:c r="A13" s="103"/>
      <x:c r="B13" s="103"/>
      <x:c r="C13" s="103" t="str">
        <x:v>Free cash flow</x:v>
      </x:c>
      <x:c r="D13" s="103"/>
      <x:c r="E13" s="109" t="n">
        <x:f>'Cash Flow'!N56</x:f>
        <x:v>66987</x:v>
      </x:c>
      <x:c r="F13" s="109"/>
      <x:c r="G13" s="109" t="n">
        <x:f>'Cash Flow'!S56</x:f>
        <x:v>255661.16321179768</x:v>
      </x:c>
      <x:c r="H13" s="103"/>
      <x:c r="I13" s="103"/>
      <x:c r="J13" s="103"/>
      <x:c r="K13" s="103"/>
      <x:c r="L13" s="103"/>
      <x:c r="M13" s="103"/>
      <x:c r="N13" s="103"/>
      <x:c r="O13" s="103"/>
      <x:c r="P13" s="103"/>
      <x:c r="Q13" s="103"/>
      <x:c r="R13" s="103"/>
      <x:c r="S13" s="103"/>
      <x:c r="T13" s="103"/>
      <x:c r="U13" s="103"/>
    </x:row>
    <x:row r="14" ht="24" customHeight="1">
      <x:c r="A14" s="103"/>
      <x:c r="B14" s="103"/>
      <x:c r="C14" s="103" t="str">
        <x:v>Cash capex</x:v>
      </x:c>
      <x:c r="D14" s="103"/>
      <x:c r="E14" s="109" t="n">
        <x:f>-'Cash Flow'!N30</x:f>
        <x:v>115948</x:v>
      </x:c>
      <x:c r="F14" s="109"/>
      <x:c r="G14" s="109" t="n">
        <x:f>-'Cash Flow'!S30</x:f>
        <x:v>129621.43019877505</x:v>
      </x:c>
      <x:c r="H14" s="103"/>
      <x:c r="I14" s="103"/>
      <x:c r="J14" s="103"/>
      <x:c r="K14" s="103"/>
      <x:c r="L14" s="103"/>
      <x:c r="M14" s="103"/>
      <x:c r="N14" s="103"/>
      <x:c r="O14" s="103"/>
      <x:c r="P14" s="103"/>
      <x:c r="Q14" s="103"/>
      <x:c r="R14" s="103"/>
      <x:c r="S14" s="103"/>
      <x:c r="T14" s="103"/>
      <x:c r="U14" s="103"/>
    </x:row>
    <x:row r="15" ht="24" customHeight="1">
      <x:c r="A15" s="103"/>
      <x:c r="B15" s="103"/>
      <x:c r="C15" s="103" t="str">
        <x:v>Debt carrying amount</x:v>
      </x:c>
      <x:c r="D15" s="103"/>
      <x:c r="E15" s="109" t="n">
        <x:f>'Debt and Leases'!N18</x:f>
        <x:v>40294</x:v>
      </x:c>
      <x:c r="F15" s="109"/>
      <x:c r="G15" s="109" t="n">
        <x:f>'Debt and Leases'!S18</x:f>
        <x:v>29368.2758218606</x:v>
      </x:c>
      <x:c r="H15" s="103"/>
      <x:c r="I15" s="103"/>
      <x:c r="J15" s="103"/>
      <x:c r="K15" s="103"/>
      <x:c r="L15" s="103"/>
      <x:c r="M15" s="103"/>
      <x:c r="N15" s="103"/>
      <x:c r="O15" s="103"/>
      <x:c r="P15" s="103"/>
      <x:c r="Q15" s="103"/>
      <x:c r="R15" s="103"/>
      <x:c r="S15" s="103"/>
      <x:c r="T15" s="103"/>
      <x:c r="U15" s="103"/>
    </x:row>
    <x:row r="16" ht="24" customHeight="1">
      <x:c r="A16" s="103"/>
      <x:c r="B16" s="103"/>
      <x:c r="C16" s="103" t="str">
        <x:v>Finance lease liabilities</x:v>
      </x:c>
      <x:c r="D16" s="103"/>
      <x:c r="E16" s="109" t="n">
        <x:f>'Debt and Leases'!N42</x:f>
        <x:v>66594</x:v>
      </x:c>
      <x:c r="F16" s="109"/>
      <x:c r="G16" s="109" t="n">
        <x:f>'Debt and Leases'!S42</x:f>
        <x:v>181294.08196032187</x:v>
      </x:c>
      <x:c r="H16" s="103"/>
      <x:c r="I16" s="103"/>
      <x:c r="J16" s="103"/>
      <x:c r="K16" s="103"/>
      <x:c r="L16" s="103"/>
      <x:c r="M16" s="103"/>
      <x:c r="N16" s="103"/>
      <x:c r="O16" s="103"/>
      <x:c r="P16" s="103"/>
      <x:c r="Q16" s="103"/>
      <x:c r="R16" s="103"/>
      <x:c r="S16" s="103"/>
      <x:c r="T16" s="103"/>
      <x:c r="U16" s="103"/>
    </x:row>
    <x:row r="17" ht="24" customHeight="1">
      <x:c r="A17" s="103"/>
      <x:c r="B17" s="103"/>
      <x:c r="C17" s="103" t="str">
        <x:v>Cash and short-term investments</x:v>
      </x:c>
      <x:c r="D17" s="103"/>
      <x:c r="E17" s="109" t="n">
        <x:f>'Balance Sheet'!N10</x:f>
        <x:v>76843</x:v>
      </x:c>
      <x:c r="F17" s="109"/>
      <x:c r="G17" s="109" t="n">
        <x:f>'Balance Sheet'!S10</x:f>
        <x:v>513290.5410788633</x:v>
      </x:c>
      <x:c r="H17" s="103"/>
      <x:c r="I17" s="103"/>
      <x:c r="J17" s="103"/>
      <x:c r="K17" s="103"/>
      <x:c r="L17" s="103"/>
      <x:c r="M17" s="103"/>
      <x:c r="N17" s="103"/>
      <x:c r="O17" s="103"/>
      <x:c r="P17" s="103"/>
      <x:c r="Q17" s="103"/>
      <x:c r="R17" s="103"/>
      <x:c r="S17" s="103"/>
      <x:c r="T17" s="103"/>
      <x:c r="U17" s="103"/>
    </x:row>
    <x:row r="18" ht="24" customHeight="1">
      <x:c r="A18" s="103"/>
      <x:c r="B18" s="103"/>
      <x:c r="C18" s="103"/>
      <x:c r="D18" s="103"/>
      <x:c r="E18" s="103"/>
      <x:c r="F18" s="103"/>
      <x:c r="G18" s="103"/>
      <x:c r="H18" s="103"/>
      <x:c r="I18" s="103"/>
      <x:c r="J18" s="103"/>
      <x:c r="K18" s="103"/>
      <x:c r="L18" s="103"/>
      <x:c r="M18" s="103"/>
      <x:c r="N18" s="103"/>
      <x:c r="O18" s="103"/>
      <x:c r="P18" s="103"/>
      <x:c r="Q18" s="103"/>
      <x:c r="R18" s="103"/>
      <x:c r="S18" s="103"/>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5" t="str">
        <x:v>Historical FY2017–FY2026. Forecast FY2027–FY2031. Information cutoff 8 October 2026.</x:v>
      </x:c>
      <x:c r="D20" s="103"/>
      <x:c r="E20" s="103"/>
      <x:c r="F20" s="103"/>
      <x:c r="G20" s="103"/>
      <x:c r="H20" s="103"/>
      <x:c r="I20" s="103"/>
      <x:c r="J20" s="103"/>
      <x:c r="K20" s="103"/>
      <x:c r="L20" s="103"/>
      <x:c r="M20" s="103"/>
      <x:c r="N20" s="103"/>
      <x:c r="O20" s="103"/>
      <x:c r="P20" s="103"/>
      <x:c r="Q20" s="103"/>
      <x:c r="R20" s="103"/>
      <x:c r="S20" s="103"/>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x:c r="D22" s="103"/>
      <x:c r="E22" s="103"/>
      <x:c r="F22" s="103"/>
      <x:c r="G22" s="103"/>
      <x:c r="H22" s="103"/>
      <x:c r="I22" s="103"/>
      <x:c r="J22" s="103"/>
      <x:c r="K22" s="103"/>
      <x:c r="L22" s="103"/>
      <x:c r="M22" s="103"/>
      <x:c r="N22" s="103"/>
      <x:c r="O22" s="103"/>
      <x:c r="P22" s="103"/>
      <x:c r="Q22" s="103"/>
      <x:c r="R22" s="103"/>
      <x:c r="S22" s="103"/>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7" t="str">
        <x:v>Fiscal year</x:v>
      </x:c>
      <x:c r="D24" s="107" t="str">
        <x:v>Revenue</x:v>
      </x:c>
      <x:c r="E24" s="107" t="str">
        <x:v>Operating income</x:v>
      </x:c>
      <x:c r="F24" s="107" t="str">
        <x:v>Cash capex</x:v>
      </x:c>
      <x:c r="G24" s="107" t="str">
        <x:v>Free cash flow</x:v>
      </x:c>
      <x:c r="H24" s="103"/>
      <x:c r="I24" s="103"/>
      <x:c r="J24" s="103"/>
      <x:c r="K24" s="103"/>
      <x:c r="L24" s="103"/>
      <x:c r="M24" s="103"/>
      <x:c r="N24" s="103"/>
      <x:c r="O24" s="103"/>
      <x:c r="P24" s="103"/>
      <x:c r="Q24" s="103"/>
      <x:c r="R24" s="103"/>
      <x:c r="S24" s="103"/>
      <x:c r="T24" s="103"/>
      <x:c r="U24" s="103"/>
    </x:row>
    <x:row r="25" ht="24" customHeight="1">
      <x:c r="A25" s="103"/>
      <x:c r="B25" s="103"/>
      <x:c r="C25" s="103" t="str">
        <x:v>FY2022 A</x:v>
      </x:c>
      <x:c r="D25" s="109" t="n">
        <x:f>'Income Statement'!J8</x:f>
        <x:v>198270</x:v>
      </x:c>
      <x:c r="E25" s="109" t="n">
        <x:f>'Income Statement'!J19</x:f>
        <x:v>83383</x:v>
      </x:c>
      <x:c r="F25" s="109" t="n">
        <x:f>-'Cash Flow'!J30</x:f>
        <x:v>23886</x:v>
      </x:c>
      <x:c r="G25" s="109" t="n">
        <x:f>'Cash Flow'!J56</x:f>
        <x:v>65149</x:v>
      </x:c>
      <x:c r="H25" s="103"/>
      <x:c r="I25" s="103"/>
      <x:c r="J25" s="103"/>
      <x:c r="K25" s="103"/>
      <x:c r="L25" s="103"/>
      <x:c r="M25" s="103"/>
      <x:c r="N25" s="103"/>
      <x:c r="O25" s="103"/>
      <x:c r="P25" s="103"/>
      <x:c r="Q25" s="103"/>
      <x:c r="R25" s="103"/>
      <x:c r="S25" s="103"/>
      <x:c r="T25" s="103"/>
      <x:c r="U25" s="103"/>
    </x:row>
    <x:row r="26" ht="24" customHeight="1">
      <x:c r="A26" s="103"/>
      <x:c r="B26" s="103"/>
      <x:c r="C26" s="103" t="str">
        <x:v>FY2023 A</x:v>
      </x:c>
      <x:c r="D26" s="109" t="n">
        <x:f>'Income Statement'!K8</x:f>
        <x:v>211915</x:v>
      </x:c>
      <x:c r="E26" s="109" t="n">
        <x:f>'Income Statement'!K19</x:f>
        <x:v>88523</x:v>
      </x:c>
      <x:c r="F26" s="109" t="n">
        <x:f>-'Cash Flow'!K30</x:f>
        <x:v>28107</x:v>
      </x:c>
      <x:c r="G26" s="109" t="n">
        <x:f>'Cash Flow'!K56</x:f>
        <x:v>59475</x:v>
      </x:c>
      <x:c r="H26" s="103"/>
      <x:c r="I26" s="103"/>
      <x:c r="J26" s="103"/>
      <x:c r="K26" s="103"/>
      <x:c r="L26" s="103"/>
      <x:c r="M26" s="103"/>
      <x:c r="N26" s="103"/>
      <x:c r="O26" s="103"/>
      <x:c r="P26" s="103"/>
      <x:c r="Q26" s="103"/>
      <x:c r="R26" s="103"/>
      <x:c r="S26" s="103"/>
      <x:c r="T26" s="103"/>
      <x:c r="U26" s="103"/>
    </x:row>
    <x:row r="27" ht="24" customHeight="1">
      <x:c r="A27" s="103"/>
      <x:c r="B27" s="103"/>
      <x:c r="C27" s="103" t="str">
        <x:v>FY2024 A</x:v>
      </x:c>
      <x:c r="D27" s="109" t="n">
        <x:f>'Income Statement'!L8</x:f>
        <x:v>245122</x:v>
      </x:c>
      <x:c r="E27" s="109" t="n">
        <x:f>'Income Statement'!L19</x:f>
        <x:v>109433</x:v>
      </x:c>
      <x:c r="F27" s="109" t="n">
        <x:f>-'Cash Flow'!L30</x:f>
        <x:v>44477</x:v>
      </x:c>
      <x:c r="G27" s="109" t="n">
        <x:f>'Cash Flow'!L56</x:f>
        <x:v>74071</x:v>
      </x:c>
      <x:c r="H27" s="103"/>
      <x:c r="I27" s="103"/>
      <x:c r="J27" s="103"/>
      <x:c r="K27" s="103"/>
      <x:c r="L27" s="103"/>
      <x:c r="M27" s="103"/>
      <x:c r="N27" s="103"/>
      <x:c r="O27" s="103"/>
      <x:c r="P27" s="103"/>
      <x:c r="Q27" s="103"/>
      <x:c r="R27" s="103"/>
      <x:c r="S27" s="103"/>
      <x:c r="T27" s="103"/>
      <x:c r="U27" s="103"/>
    </x:row>
    <x:row r="28" ht="24" customHeight="1">
      <x:c r="A28" s="103"/>
      <x:c r="B28" s="103"/>
      <x:c r="C28" s="103" t="str">
        <x:v>FY2025 A</x:v>
      </x:c>
      <x:c r="D28" s="109" t="n">
        <x:f>'Income Statement'!M8</x:f>
        <x:v>281724</x:v>
      </x:c>
      <x:c r="E28" s="109" t="n">
        <x:f>'Income Statement'!M19</x:f>
        <x:v>128528</x:v>
      </x:c>
      <x:c r="F28" s="109" t="n">
        <x:f>-'Cash Flow'!M30</x:f>
        <x:v>64551</x:v>
      </x:c>
      <x:c r="G28" s="109" t="n">
        <x:f>'Cash Flow'!M56</x:f>
        <x:v>71611</x:v>
      </x:c>
      <x:c r="H28" s="103"/>
      <x:c r="I28" s="103"/>
      <x:c r="J28" s="103"/>
      <x:c r="K28" s="103"/>
      <x:c r="L28" s="103"/>
      <x:c r="M28" s="103"/>
      <x:c r="N28" s="103"/>
      <x:c r="O28" s="103"/>
      <x:c r="P28" s="103"/>
      <x:c r="Q28" s="103"/>
      <x:c r="R28" s="103"/>
      <x:c r="S28" s="103"/>
      <x:c r="T28" s="103"/>
      <x:c r="U28" s="103"/>
    </x:row>
    <x:row r="29" ht="24" customHeight="1">
      <x:c r="A29" s="103"/>
      <x:c r="B29" s="103"/>
      <x:c r="C29" s="103" t="str">
        <x:v>FY2026 A</x:v>
      </x:c>
      <x:c r="D29" s="109" t="n">
        <x:f>'Income Statement'!N8</x:f>
        <x:v>331839</x:v>
      </x:c>
      <x:c r="E29" s="109" t="n">
        <x:f>'Income Statement'!N19</x:f>
        <x:v>155237</x:v>
      </x:c>
      <x:c r="F29" s="109" t="n">
        <x:f>-'Cash Flow'!N30</x:f>
        <x:v>115948</x:v>
      </x:c>
      <x:c r="G29" s="109" t="n">
        <x:f>'Cash Flow'!N56</x:f>
        <x:v>66987</x:v>
      </x:c>
      <x:c r="H29" s="103"/>
      <x:c r="I29" s="103"/>
      <x:c r="J29" s="103"/>
      <x:c r="K29" s="103"/>
      <x:c r="L29" s="103"/>
      <x:c r="M29" s="103"/>
      <x:c r="N29" s="103"/>
      <x:c r="O29" s="103"/>
      <x:c r="P29" s="103"/>
      <x:c r="Q29" s="103"/>
      <x:c r="R29" s="103"/>
      <x:c r="S29" s="103"/>
      <x:c r="T29" s="103"/>
      <x:c r="U29" s="103"/>
    </x:row>
    <x:row r="30" ht="24" customHeight="1">
      <x:c r="A30" s="103"/>
      <x:c r="B30" s="103"/>
      <x:c r="C30" s="103" t="str">
        <x:v>FY2027 E</x:v>
      </x:c>
      <x:c r="D30" s="109" t="n">
        <x:f>'Income Statement'!O8</x:f>
        <x:v>385048.80000000005</x:v>
      </x:c>
      <x:c r="E30" s="109" t="n">
        <x:f>'Income Statement'!O19</x:f>
        <x:v>175728.08703427133</x:v>
      </x:c>
      <x:c r="F30" s="109" t="n">
        <x:f>-'Cash Flow'!O30</x:f>
        <x:v>123215.61600000002</x:v>
      </x:c>
      <x:c r="G30" s="109" t="n">
        <x:f>'Cash Flow'!O56</x:f>
        <x:v>85795.86654010984</x:v>
      </x:c>
      <x:c r="H30" s="103"/>
      <x:c r="I30" s="103"/>
      <x:c r="J30" s="103"/>
      <x:c r="K30" s="103"/>
      <x:c r="L30" s="103"/>
      <x:c r="M30" s="103"/>
      <x:c r="N30" s="103"/>
      <x:c r="O30" s="103"/>
      <x:c r="P30" s="103"/>
      <x:c r="Q30" s="103"/>
      <x:c r="R30" s="103"/>
      <x:c r="S30" s="103"/>
      <x:c r="T30" s="103"/>
      <x:c r="U30" s="103"/>
    </x:row>
    <x:row r="31" ht="24" customHeight="1">
      <x:c r="A31" s="103"/>
      <x:c r="B31" s="103"/>
      <x:c r="C31" s="103" t="str">
        <x:v>FY2028 E</x:v>
      </x:c>
      <x:c r="D31" s="109" t="n">
        <x:f>'Income Statement'!P8</x:f>
        <x:v>444477.44240000006</x:v>
      </x:c>
      <x:c r="E31" s="109" t="n">
        <x:f>'Income Statement'!P19</x:f>
        <x:v>189179.8021021741</x:v>
      </x:c>
      <x:c r="F31" s="109" t="n">
        <x:f>-'Cash Flow'!P30</x:f>
        <x:v>124453.68387200002</x:v>
      </x:c>
      <x:c r="G31" s="109" t="n">
        <x:f>'Cash Flow'!P56</x:f>
        <x:v>125116.27310650697</x:v>
      </x:c>
      <x:c r="H31" s="103"/>
      <x:c r="I31" s="103"/>
      <x:c r="J31" s="103"/>
      <x:c r="K31" s="103"/>
      <x:c r="L31" s="103"/>
      <x:c r="M31" s="103"/>
      <x:c r="N31" s="103"/>
      <x:c r="O31" s="103"/>
      <x:c r="P31" s="103"/>
      <x:c r="Q31" s="103"/>
      <x:c r="R31" s="103"/>
      <x:c r="S31" s="103"/>
      <x:c r="T31" s="103"/>
      <x:c r="U31" s="103"/>
    </x:row>
    <x:row r="32" ht="24" customHeight="1">
      <x:c r="A32" s="103"/>
      <x:c r="B32" s="103"/>
      <x:c r="C32" s="103" t="str">
        <x:v>FY2029 E</x:v>
      </x:c>
      <x:c r="D32" s="109" t="n">
        <x:f>'Income Statement'!Q8</x:f>
        <x:v>508922.316432</x:v>
      </x:c>
      <x:c r="E32" s="109" t="n">
        <x:f>'Income Statement'!Q19</x:f>
        <x:v>204736.39255985775</x:v>
      </x:c>
      <x:c r="F32" s="109" t="n">
        <x:f>-'Cash Flow'!Q30</x:f>
        <x:v>127230.579108</x:v>
      </x:c>
      <x:c r="G32" s="109" t="n">
        <x:f>'Cash Flow'!Q56</x:f>
        <x:v>163586.31437163902</x:v>
      </x:c>
      <x:c r="H32" s="103"/>
      <x:c r="I32" s="103"/>
      <x:c r="J32" s="103"/>
      <x:c r="K32" s="103"/>
      <x:c r="L32" s="103"/>
      <x:c r="M32" s="103"/>
      <x:c r="N32" s="103"/>
      <x:c r="O32" s="103"/>
      <x:c r="P32" s="103"/>
      <x:c r="Q32" s="103"/>
      <x:c r="R32" s="103"/>
      <x:c r="S32" s="103"/>
      <x:c r="T32" s="103"/>
      <x:c r="U32" s="103"/>
    </x:row>
    <x:row r="33" ht="24" customHeight="1">
      <x:c r="A33" s="103"/>
      <x:c r="B33" s="103"/>
      <x:c r="C33" s="103" t="str">
        <x:v>FY2030 E</x:v>
      </x:c>
      <x:c r="D33" s="109" t="n">
        <x:f>'Income Statement'!R8</x:f>
        <x:v>577301.7649200001</x:v>
      </x:c>
      <x:c r="E33" s="109" t="n">
        <x:f>'Income Statement'!R19</x:f>
        <x:v>223012.7156780659</x:v>
      </x:c>
      <x:c r="F33" s="109" t="n">
        <x:f>-'Cash Flow'!R30</x:f>
        <x:v>127006.38828240002</x:v>
      </x:c>
      <x:c r="G33" s="109" t="n">
        <x:f>'Cash Flow'!R56</x:f>
        <x:v>209663.9487791424</x:v>
      </x:c>
      <x:c r="H33" s="103"/>
      <x:c r="I33" s="103"/>
      <x:c r="J33" s="103"/>
      <x:c r="K33" s="103"/>
      <x:c r="L33" s="103"/>
      <x:c r="M33" s="103"/>
      <x:c r="N33" s="103"/>
      <x:c r="O33" s="103"/>
      <x:c r="P33" s="103"/>
      <x:c r="Q33" s="103"/>
      <x:c r="R33" s="103"/>
      <x:c r="S33" s="103"/>
      <x:c r="T33" s="103"/>
      <x:c r="U33" s="103"/>
    </x:row>
    <x:row r="34" ht="24" customHeight="1">
      <x:c r="A34" s="103"/>
      <x:c r="B34" s="103"/>
      <x:c r="C34" s="103" t="str">
        <x:v>FY2031 E</x:v>
      </x:c>
      <x:c r="D34" s="109" t="n">
        <x:f>'Income Statement'!S8</x:f>
        <x:v>648107.1509938752</x:v>
      </x:c>
      <x:c r="E34" s="109" t="n">
        <x:f>'Income Statement'!S19</x:f>
        <x:v>242804.5507215888</x:v>
      </x:c>
      <x:c r="F34" s="109" t="n">
        <x:f>-'Cash Flow'!S30</x:f>
        <x:v>129621.43019877505</x:v>
      </x:c>
      <x:c r="G34" s="109" t="n">
        <x:f>'Cash Flow'!S56</x:f>
        <x:v>255661.16321179768</x:v>
      </x:c>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4" t="str">
        <x:v>Selected-case observations</x:v>
      </x:c>
      <x:c r="D58" s="104"/>
      <x:c r="E58" s="104"/>
      <x:c r="F58" s="104"/>
      <x:c r="G58" s="104"/>
      <x:c r="H58" s="104"/>
      <x:c r="I58" s="104"/>
      <x:c r="J58" s="104"/>
      <x:c r="K58" s="104"/>
      <x:c r="L58" s="104"/>
      <x:c r="M58" s="104"/>
      <x:c r="N58" s="104"/>
      <x:c r="O58" s="104"/>
      <x:c r="P58" s="104"/>
      <x:c r="Q58" s="104"/>
      <x:c r="R58" s="104"/>
      <x:c r="S58" s="104"/>
      <x:c r="T58" s="103"/>
      <x:c r="U58" s="103"/>
    </x:row>
    <x:row r="59" ht="24" customHeight="1">
      <x:c r="A59" s="103"/>
      <x:c r="B59" s="103"/>
      <x:c r="C59" s="103" t="str">
        <x:f>"Selected "&amp;Assumptions!G4&amp;" case: FY2031 revenue is "&amp;FIXED('Income Statement'!S8/1000,1,TRUE)&amp;"bn and operating margin is "&amp;(FIXED(('Income Statement'!S20)*100,1,TRUE)&amp;"%")&amp;"."</x:f>
        <x:v>Selected Base case: FY2031 revenue is 648.1bn and operating margin is 37.5%.</x:v>
      </x:c>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t="str">
        <x:f>"Cash capex falls from "&amp;(FIXED((-'Cash Flow'!N30/'Income Statement'!N8)*100,1,TRUE)&amp;"%")&amp;" of revenue in FY2026 to "&amp;(FIXED((-'Cash Flow'!S30/'Income Statement'!S8)*100,1,TRUE)&amp;"%")&amp;" in FY2031."</x:f>
        <x:v>Cash capex falls from 34.9% of revenue in FY2026 to 20.0% in FY2031.</x:v>
      </x:c>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t="str">
        <x:f>"FY2031 FCF is "&amp;FIXED('Cash Flow'!S56/1000,1,TRUE)&amp;"bn; after finance lease principal it is "&amp;FIXED('Cash Flow'!S57/1000,1,TRUE)&amp;"bn."</x:f>
        <x:v>FY2031 FCF is 255.7bn; after finance lease principal it is 241.5bn.</x:v>
      </x:c>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sheetData>
  <x:mergeCells>
    <x:mergeCell ref="C59:S59"/>
    <x:mergeCell ref="C60:S60"/>
    <x:mergeCell ref="C61:S61"/>
  </x:mergeCells>
  <x:pageMargins left="0.7" right="0.7" top="0.75" bottom="0.75" header="0.3" footer="0.3"/>
  <x:drawing xmlns:r="http://schemas.openxmlformats.org/officeDocument/2006/relationships" r:id="R086fa620dba94c6e"/>
  <x:legacyDrawing xmlns:r="http://schemas.openxmlformats.org/officeDocument/2006/relationships" r:id="R46881aee6b68471b"/>
</x:worksheet>
</file>

<file path=xl/worksheets/sheet2.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Equity Research</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FY:22 A</x:v>
      </x:c>
      <x:c r="F7" s="117" t="str">
        <x:v>FY:23 A</x:v>
      </x:c>
      <x:c r="G7" s="117" t="str">
        <x:v>FY:24 A</x:v>
      </x:c>
      <x:c r="H7" s="117" t="str">
        <x:v>FY:25 A</x:v>
      </x:c>
      <x:c r="I7" s="117" t="str">
        <x:v>FY:26 A</x:v>
      </x:c>
      <x:c r="J7" s="117" t="str">
        <x:v>FY:27 E</x:v>
      </x:c>
      <x:c r="K7" s="117" t="str">
        <x:v>FY:28 E</x:v>
      </x:c>
      <x:c r="L7" s="117" t="str">
        <x:v>FY:29 E</x:v>
      </x:c>
      <x:c r="M7" s="117" t="str">
        <x:v>FY:30 E</x:v>
      </x:c>
      <x:c r="N7" s="117" t="str">
        <x:v>FY:31 E</x:v>
      </x:c>
      <x:c r="O7" s="103"/>
      <x:c r="P7" s="103"/>
      <x:c r="Q7" s="103"/>
      <x:c r="R7" s="103"/>
      <x:c r="S7" s="103"/>
      <x:c r="T7" s="103"/>
      <x:c r="U7" s="103"/>
    </x:row>
    <x:row r="8" ht="24" customHeight="1">
      <x:c r="A8" s="103"/>
      <x:c r="B8" s="103"/>
      <x:c r="C8" s="103" t="str">
        <x:v>Revenue</x:v>
      </x:c>
      <x:c r="D8" s="103"/>
      <x:c r="E8" s="109" t="n">
        <x:f>'Income Statement'!J8</x:f>
        <x:v>198270</x:v>
      </x:c>
      <x:c r="F8" s="109" t="n">
        <x:f>'Income Statement'!K8</x:f>
        <x:v>211915</x:v>
      </x:c>
      <x:c r="G8" s="109" t="n">
        <x:f>'Income Statement'!L8</x:f>
        <x:v>245122</x:v>
      </x:c>
      <x:c r="H8" s="109" t="n">
        <x:f>'Income Statement'!M8</x:f>
        <x:v>281724</x:v>
      </x:c>
      <x:c r="I8" s="109" t="n">
        <x:f>'Income Statement'!N8</x:f>
        <x:v>331839</x:v>
      </x:c>
      <x:c r="J8" s="109" t="n">
        <x:f>'Income Statement'!O8</x:f>
        <x:v>385048.80000000005</x:v>
      </x:c>
      <x:c r="K8" s="109" t="n">
        <x:f>'Income Statement'!P8</x:f>
        <x:v>444477.44240000006</x:v>
      </x:c>
      <x:c r="L8" s="109" t="n">
        <x:f>'Income Statement'!Q8</x:f>
        <x:v>508922.316432</x:v>
      </x:c>
      <x:c r="M8" s="109" t="n">
        <x:f>'Income Statement'!R8</x:f>
        <x:v>577301.7649200001</x:v>
      </x:c>
      <x:c r="N8" s="109" t="n">
        <x:f>'Income Statement'!S8</x:f>
        <x:v>648107.1509938752</x:v>
      </x:c>
      <x:c r="O8" s="109"/>
      <x:c r="P8" s="109"/>
      <x:c r="Q8" s="109"/>
      <x:c r="R8" s="109"/>
      <x:c r="S8" s="109"/>
      <x:c r="T8" s="103"/>
      <x:c r="U8" s="103"/>
    </x:row>
    <x:row r="9" ht="24" customHeight="1">
      <x:c r="A9" s="103"/>
      <x:c r="B9" s="103"/>
      <x:c r="C9" s="105" t="str">
        <x:v>Revenue growth</x:v>
      </x:c>
      <x:c r="D9" s="105"/>
      <x:c r="E9" s="119" t="n">
        <x:f>'Income Statement'!J9</x:f>
        <x:v>0.17956070629670173</x:v>
      </x:c>
      <x:c r="F9" s="119" t="n">
        <x:f>'Income Statement'!K9</x:f>
        <x:v>0.06882029555656421</x:v>
      </x:c>
      <x:c r="G9" s="119" t="n">
        <x:f>'Income Statement'!L9</x:f>
        <x:v>0.1566996201307127</x:v>
      </x:c>
      <x:c r="H9" s="119" t="n">
        <x:f>'Income Statement'!M9</x:f>
        <x:v>0.14932156232406713</x:v>
      </x:c>
      <x:c r="I9" s="119" t="n">
        <x:f>'Income Statement'!N9</x:f>
        <x:v>0.17788686799846665</x:v>
      </x:c>
      <x:c r="J9" s="119" t="n">
        <x:f>'Income Statement'!O9</x:f>
        <x:v>0.16034824116514357</x:v>
      </x:c>
      <x:c r="K9" s="119" t="n">
        <x:f>'Income Statement'!P9</x:f>
        <x:v>0.15434054696443678</x:v>
      </x:c>
      <x:c r="L9" s="119" t="n">
        <x:f>'Income Statement'!Q9</x:f>
        <x:v>0.14499020171647747</x:v>
      </x:c>
      <x:c r="M9" s="119" t="n">
        <x:f>'Income Statement'!R9</x:f>
        <x:v>0.1343612694514973</x:v>
      </x:c>
      <x:c r="N9" s="119" t="n">
        <x:f>'Income Statement'!S9</x:f>
        <x:v>0.12264883008574734</x:v>
      </x:c>
      <x:c r="O9" s="119"/>
      <x:c r="P9" s="119"/>
      <x:c r="Q9" s="119"/>
      <x:c r="R9" s="119"/>
      <x:c r="S9" s="119"/>
      <x:c r="T9" s="103"/>
      <x:c r="U9" s="103"/>
    </x:row>
    <x:row r="10" ht="24" customHeight="1">
      <x:c r="A10" s="103"/>
      <x:c r="B10" s="103"/>
      <x:c r="C10" s="103"/>
      <x:c r="D10" s="103"/>
      <x:c r="E10" s="103"/>
      <x:c r="F10" s="103"/>
      <x:c r="G10" s="103"/>
      <x:c r="H10" s="103"/>
      <x:c r="I10" s="103"/>
      <x:c r="J10" s="103"/>
      <x:c r="K10" s="103"/>
      <x:c r="L10" s="103"/>
      <x:c r="M10" s="103"/>
      <x:c r="N10" s="103"/>
      <x:c r="O10" s="103"/>
      <x:c r="P10" s="103"/>
      <x:c r="Q10" s="103"/>
      <x:c r="R10" s="103"/>
      <x:c r="S10" s="103"/>
      <x:c r="T10" s="103"/>
      <x:c r="U10" s="103"/>
    </x:row>
    <x:row r="11" ht="24" customHeight="1">
      <x:c r="A11" s="103"/>
      <x:c r="B11" s="103"/>
      <x:c r="C11" s="103" t="str">
        <x:v>Operating income</x:v>
      </x:c>
      <x:c r="D11" s="103"/>
      <x:c r="E11" s="109" t="n">
        <x:f>'Income Statement'!J19</x:f>
        <x:v>83383</x:v>
      </x:c>
      <x:c r="F11" s="109" t="n">
        <x:f>'Income Statement'!K19</x:f>
        <x:v>88523</x:v>
      </x:c>
      <x:c r="G11" s="109" t="n">
        <x:f>'Income Statement'!L19</x:f>
        <x:v>109433</x:v>
      </x:c>
      <x:c r="H11" s="109" t="n">
        <x:f>'Income Statement'!M19</x:f>
        <x:v>128528</x:v>
      </x:c>
      <x:c r="I11" s="109" t="n">
        <x:f>'Income Statement'!N19</x:f>
        <x:v>155237</x:v>
      </x:c>
      <x:c r="J11" s="109" t="n">
        <x:f>'Income Statement'!O19</x:f>
        <x:v>175728.08703427133</x:v>
      </x:c>
      <x:c r="K11" s="109" t="n">
        <x:f>'Income Statement'!P19</x:f>
        <x:v>189179.8021021741</x:v>
      </x:c>
      <x:c r="L11" s="109" t="n">
        <x:f>'Income Statement'!Q19</x:f>
        <x:v>204736.39255985775</x:v>
      </x:c>
      <x:c r="M11" s="109" t="n">
        <x:f>'Income Statement'!R19</x:f>
        <x:v>223012.7156780659</x:v>
      </x:c>
      <x:c r="N11" s="109" t="n">
        <x:f>'Income Statement'!S19</x:f>
        <x:v>242804.5507215888</x:v>
      </x:c>
      <x:c r="O11" s="109"/>
      <x:c r="P11" s="109"/>
      <x:c r="Q11" s="109"/>
      <x:c r="R11" s="109"/>
      <x:c r="S11" s="109"/>
      <x:c r="T11" s="103"/>
      <x:c r="U11" s="103"/>
    </x:row>
    <x:row r="12" ht="24" customHeight="1">
      <x:c r="A12" s="103"/>
      <x:c r="B12" s="103"/>
      <x:c r="C12" s="105" t="str">
        <x:v>Operating margin</x:v>
      </x:c>
      <x:c r="D12" s="105"/>
      <x:c r="E12" s="119" t="n">
        <x:f>'Income Statement'!J20</x:f>
        <x:v>0.4205527815604983</x:v>
      </x:c>
      <x:c r="F12" s="119" t="n">
        <x:f>'Income Statement'!K20</x:f>
        <x:v>0.417728806361041</x:v>
      </x:c>
      <x:c r="G12" s="119" t="n">
        <x:f>'Income Statement'!L20</x:f>
        <x:v>0.44644299573273716</x:v>
      </x:c>
      <x:c r="H12" s="119" t="n">
        <x:f>'Income Statement'!M20</x:f>
        <x:v>0.4562195624085985</x:v>
      </x:c>
      <x:c r="I12" s="119" t="n">
        <x:f>'Income Statement'!N20</x:f>
        <x:v>0.4678081840892722</x:v>
      </x:c>
      <x:c r="J12" s="119" t="n">
        <x:f>'Income Statement'!O20</x:f>
        <x:v>0.45637874221208147</x:v>
      </x:c>
      <x:c r="K12" s="119" t="n">
        <x:f>'Income Statement'!P20</x:f>
        <x:v>0.4256229541834091</x:v>
      </x:c>
      <x:c r="L12" s="119" t="n">
        <x:f>'Income Statement'!Q20</x:f>
        <x:v>0.4022939964496796</x:v>
      </x:c>
      <x:c r="M12" s="119" t="n">
        <x:f>'Income Statement'!R20</x:f>
        <x:v>0.38630180822151133</x:v>
      </x:c>
      <x:c r="N12" s="119" t="n">
        <x:f>'Income Statement'!S20</x:f>
        <x:v>0.3746364321844728</x:v>
      </x:c>
      <x:c r="O12" s="119"/>
      <x:c r="P12" s="119"/>
      <x:c r="Q12" s="119"/>
      <x:c r="R12" s="119"/>
      <x:c r="S12" s="119"/>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t="str">
        <x:v>Net income</x:v>
      </x:c>
      <x:c r="D14" s="103"/>
      <x:c r="E14" s="109" t="n">
        <x:f>'Income Statement'!J28</x:f>
        <x:v>72738</x:v>
      </x:c>
      <x:c r="F14" s="109" t="n">
        <x:f>'Income Statement'!K28</x:f>
        <x:v>72361</x:v>
      </x:c>
      <x:c r="G14" s="109" t="n">
        <x:f>'Income Statement'!L28</x:f>
        <x:v>88136</x:v>
      </x:c>
      <x:c r="H14" s="109" t="n">
        <x:f>'Income Statement'!M28</x:f>
        <x:v>101832</x:v>
      </x:c>
      <x:c r="I14" s="109" t="n">
        <x:f>'Income Statement'!N28</x:f>
        <x:v>133749</x:v>
      </x:c>
      <x:c r="J14" s="109" t="n">
        <x:f>'Income Statement'!O28</x:f>
        <x:v>139226.65932341706</x:v>
      </x:c>
      <x:c r="K14" s="109" t="n">
        <x:f>'Income Statement'!P28</x:f>
        <x:v>149959.44033126585</x:v>
      </x:c>
      <x:c r="L14" s="109" t="n">
        <x:f>'Income Statement'!Q28</x:f>
        <x:v>163295.41298470303</x:v>
      </x:c>
      <x:c r="M14" s="109" t="n">
        <x:f>'Income Statement'!R28</x:f>
        <x:v>179624.49119054497</x:v>
      </x:c>
      <x:c r="N14" s="109" t="n">
        <x:f>'Income Statement'!S28</x:f>
        <x:v>198208.54815629864</x:v>
      </x:c>
      <x:c r="O14" s="109"/>
      <x:c r="P14" s="109"/>
      <x:c r="Q14" s="109"/>
      <x:c r="R14" s="109"/>
      <x:c r="S14" s="109"/>
      <x:c r="T14" s="103"/>
      <x:c r="U14" s="103"/>
    </x:row>
    <x:row r="15" ht="24" customHeight="1">
      <x:c r="A15" s="103"/>
      <x:c r="B15" s="103"/>
      <x:c r="C15" s="103" t="str">
        <x:v>Diluted earnings per share</x:v>
      </x:c>
      <x:c r="D15" s="103"/>
      <x:c r="E15" s="121" t="n">
        <x:f>'Income Statement'!J33</x:f>
        <x:v>9.65</x:v>
      </x:c>
      <x:c r="F15" s="121" t="n">
        <x:f>'Income Statement'!K33</x:f>
        <x:v>9.68</x:v>
      </x:c>
      <x:c r="G15" s="121" t="n">
        <x:f>'Income Statement'!L33</x:f>
        <x:v>11.8</x:v>
      </x:c>
      <x:c r="H15" s="121" t="n">
        <x:f>'Income Statement'!M33</x:f>
        <x:v>13.64</x:v>
      </x:c>
      <x:c r="I15" s="121" t="n">
        <x:f>'Income Statement'!N33</x:f>
        <x:v>17.95</x:v>
      </x:c>
      <x:c r="J15" s="121" t="n">
        <x:f>'Income Statement'!O33</x:f>
        <x:v>18.73683028468433</x:v>
      </x:c>
      <x:c r="K15" s="121" t="n">
        <x:f>'Income Statement'!P33</x:f>
        <x:v>20.24195117868173</x:v>
      </x:c>
      <x:c r="L15" s="121" t="n">
        <x:f>'Income Statement'!Q33</x:f>
        <x:v>22.108403856550193</x:v>
      </x:c>
      <x:c r="M15" s="121" t="n">
        <x:f>'Income Statement'!R33</x:f>
        <x:v>24.39235862041523</x:v>
      </x:c>
      <x:c r="N15" s="121" t="n">
        <x:f>'Income Statement'!S33</x:f>
        <x:v>26.996997580794837</x:v>
      </x:c>
      <x:c r="O15" s="121"/>
      <x:c r="P15" s="121"/>
      <x:c r="Q15" s="121"/>
      <x:c r="R15" s="121"/>
      <x:c r="S15" s="121"/>
      <x:c r="T15" s="103"/>
      <x:c r="U15" s="103"/>
    </x:row>
    <x:row r="16" ht="24" customHeight="1">
      <x:c r="A16" s="103"/>
      <x:c r="B16" s="103"/>
      <x:c r="C16" s="103"/>
      <x:c r="D16" s="103"/>
      <x:c r="E16" s="103"/>
      <x:c r="F16" s="103"/>
      <x:c r="G16" s="103"/>
      <x:c r="H16" s="103"/>
      <x:c r="I16" s="103"/>
      <x:c r="J16" s="103"/>
      <x:c r="K16" s="103"/>
      <x:c r="L16" s="103"/>
      <x:c r="M16" s="103"/>
      <x:c r="N16" s="103"/>
      <x:c r="O16" s="103"/>
      <x:c r="P16" s="103"/>
      <x:c r="Q16" s="103"/>
      <x:c r="R16" s="103"/>
      <x:c r="S16" s="103"/>
      <x:c r="T16" s="103"/>
      <x:c r="U16" s="103"/>
    </x:row>
    <x:row r="17" ht="24" customHeight="1">
      <x:c r="A17" s="103"/>
      <x:c r="B17" s="103"/>
      <x:c r="C17" s="103" t="str">
        <x:v>Operating cash flow</x:v>
      </x:c>
      <x:c r="D17" s="103"/>
      <x:c r="E17" s="109" t="n">
        <x:f>'Cash Flow'!J28</x:f>
        <x:v>89035</x:v>
      </x:c>
      <x:c r="F17" s="109" t="n">
        <x:f>'Cash Flow'!K28</x:f>
        <x:v>87582</x:v>
      </x:c>
      <x:c r="G17" s="109" t="n">
        <x:f>'Cash Flow'!L28</x:f>
        <x:v>118548</x:v>
      </x:c>
      <x:c r="H17" s="109" t="n">
        <x:f>'Cash Flow'!M28</x:f>
        <x:v>136162</x:v>
      </x:c>
      <x:c r="I17" s="109" t="n">
        <x:f>'Cash Flow'!N28</x:f>
        <x:v>182935</x:v>
      </x:c>
      <x:c r="J17" s="109" t="n">
        <x:f>'Cash Flow'!O28</x:f>
        <x:v>209011.48254010986</x:v>
      </x:c>
      <x:c r="K17" s="109" t="n">
        <x:f>'Cash Flow'!P28</x:f>
        <x:v>249569.956978507</x:v>
      </x:c>
      <x:c r="L17" s="109" t="n">
        <x:f>'Cash Flow'!Q28</x:f>
        <x:v>290816.893479639</x:v>
      </x:c>
      <x:c r="M17" s="109" t="n">
        <x:f>'Cash Flow'!R28</x:f>
        <x:v>336670.33706154244</x:v>
      </x:c>
      <x:c r="N17" s="109" t="n">
        <x:f>'Cash Flow'!S28</x:f>
        <x:v>385282.59341057274</x:v>
      </x:c>
      <x:c r="O17" s="109"/>
      <x:c r="P17" s="109"/>
      <x:c r="Q17" s="109"/>
      <x:c r="R17" s="109"/>
      <x:c r="S17" s="109"/>
      <x:c r="T17" s="103"/>
      <x:c r="U17" s="103"/>
    </x:row>
    <x:row r="18" ht="24" customHeight="1">
      <x:c r="A18" s="103"/>
      <x:c r="B18" s="103"/>
      <x:c r="C18" s="103" t="str">
        <x:v>Free cash flow</x:v>
      </x:c>
      <x:c r="D18" s="103"/>
      <x:c r="E18" s="109" t="n">
        <x:f>'Cash Flow'!J56</x:f>
        <x:v>65149</x:v>
      </x:c>
      <x:c r="F18" s="109" t="n">
        <x:f>'Cash Flow'!K56</x:f>
        <x:v>59475</x:v>
      </x:c>
      <x:c r="G18" s="109" t="n">
        <x:f>'Cash Flow'!L56</x:f>
        <x:v>74071</x:v>
      </x:c>
      <x:c r="H18" s="109" t="n">
        <x:f>'Cash Flow'!M56</x:f>
        <x:v>71611</x:v>
      </x:c>
      <x:c r="I18" s="109" t="n">
        <x:f>'Cash Flow'!N56</x:f>
        <x:v>66987</x:v>
      </x:c>
      <x:c r="J18" s="109" t="n">
        <x:f>'Cash Flow'!O56</x:f>
        <x:v>85795.86654010984</x:v>
      </x:c>
      <x:c r="K18" s="109" t="n">
        <x:f>'Cash Flow'!P56</x:f>
        <x:v>125116.27310650697</x:v>
      </x:c>
      <x:c r="L18" s="109" t="n">
        <x:f>'Cash Flow'!Q56</x:f>
        <x:v>163586.31437163902</x:v>
      </x:c>
      <x:c r="M18" s="109" t="n">
        <x:f>'Cash Flow'!R56</x:f>
        <x:v>209663.9487791424</x:v>
      </x:c>
      <x:c r="N18" s="109" t="n">
        <x:f>'Cash Flow'!S56</x:f>
        <x:v>255661.16321179768</x:v>
      </x:c>
      <x:c r="O18" s="109"/>
      <x:c r="P18" s="109"/>
      <x:c r="Q18" s="109"/>
      <x:c r="R18" s="109"/>
      <x:c r="S18" s="109"/>
      <x:c r="T18" s="103"/>
      <x:c r="U18" s="103"/>
    </x:row>
    <x:row r="19" ht="24" customHeight="1">
      <x:c r="A19" s="103"/>
      <x:c r="B19" s="103"/>
      <x:c r="C19" s="103" t="str">
        <x:v>FCF after finance lease principal</x:v>
      </x:c>
      <x:c r="D19" s="103"/>
      <x:c r="E19" s="109" t="n">
        <x:f>'Cash Flow'!J57</x:f>
        <x:v>64253</x:v>
      </x:c>
      <x:c r="F19" s="109" t="n">
        <x:f>'Cash Flow'!K57</x:f>
        <x:v>58419</x:v>
      </x:c>
      <x:c r="G19" s="109" t="n">
        <x:f>'Cash Flow'!L57</x:f>
        <x:v>72785</x:v>
      </x:c>
      <x:c r="H19" s="109" t="n">
        <x:f>'Cash Flow'!M57</x:f>
        <x:v>69328</x:v>
      </x:c>
      <x:c r="I19" s="109" t="n">
        <x:f>'Cash Flow'!N57</x:f>
        <x:v>63886</x:v>
      </x:c>
      <x:c r="J19" s="109" t="n">
        <x:f>'Cash Flow'!O57</x:f>
        <x:v>80560.87884780215</x:v>
      </x:c>
      <x:c r="K19" s="109" t="n">
        <x:f>'Cash Flow'!P57</x:f>
        <x:v>117300.74535714602</x:v>
      </x:c>
      <x:c r="L19" s="109" t="n">
        <x:f>'Cash Flow'!Q57</x:f>
        <x:v>153982.44088947584</x:v>
      </x:c>
      <x:c r="M19" s="109" t="n">
        <x:f>'Cash Flow'!R57</x:f>
        <x:v>197797.45826620416</x:v>
      </x:c>
      <x:c r="N19" s="109" t="n">
        <x:f>'Cash Flow'!S57</x:f>
        <x:v>241526.09387294645</x:v>
      </x:c>
      <x:c r="O19" s="109"/>
      <x:c r="P19" s="109"/>
      <x:c r="Q19" s="109"/>
      <x:c r="R19" s="109"/>
      <x:c r="S19" s="109"/>
      <x:c r="T19" s="103"/>
      <x:c r="U19" s="103"/>
    </x:row>
    <x:row r="20" ht="24" customHeight="1">
      <x:c r="A20" s="103"/>
      <x:c r="B20" s="103"/>
      <x:c r="C20" s="103"/>
      <x:c r="D20" s="103"/>
      <x:c r="E20" s="103"/>
      <x:c r="F20" s="103"/>
      <x:c r="G20" s="103"/>
      <x:c r="H20" s="103"/>
      <x:c r="I20" s="103"/>
      <x:c r="J20" s="103"/>
      <x:c r="K20" s="103"/>
      <x:c r="L20" s="103"/>
      <x:c r="M20" s="103"/>
      <x:c r="N20" s="103"/>
      <x:c r="O20" s="103"/>
      <x:c r="P20" s="103"/>
      <x:c r="Q20" s="103"/>
      <x:c r="R20" s="103"/>
      <x:c r="S20" s="103"/>
      <x:c r="T20" s="103"/>
      <x:c r="U20" s="103"/>
    </x:row>
    <x:row r="21" ht="24" customHeight="1">
      <x:c r="A21" s="103"/>
      <x:c r="B21" s="103"/>
      <x:c r="C21" s="105" t="str">
        <x:v>Cash capex / revenue</x:v>
      </x:c>
      <x:c r="D21" s="105"/>
      <x:c r="E21" s="119" t="n">
        <x:f>-'Cash Flow'!J30/'Income Statement'!J8</x:f>
        <x:v>0.12047208352246935</x:v>
      </x:c>
      <x:c r="F21" s="119" t="n">
        <x:f>-'Cash Flow'!K30/'Income Statement'!K8</x:f>
        <x:v>0.13263336715192411</x:v>
      </x:c>
      <x:c r="G21" s="119" t="n">
        <x:f>-'Cash Flow'!L30/'Income Statement'!L8</x:f>
        <x:v>0.18144842160230415</x:v>
      </x:c>
      <x:c r="H21" s="119" t="n">
        <x:f>-'Cash Flow'!M30/'Income Statement'!M8</x:f>
        <x:v>0.22912850875324786</x:v>
      </x:c>
      <x:c r="I21" s="119" t="n">
        <x:f>-'Cash Flow'!N30/'Income Statement'!N8</x:f>
        <x:v>0.34941040685392616</x:v>
      </x:c>
      <x:c r="J21" s="119" t="n">
        <x:f>-'Cash Flow'!O30/'Income Statement'!O8</x:f>
        <x:v>0.32</x:v>
      </x:c>
      <x:c r="K21" s="119" t="n">
        <x:f>-'Cash Flow'!P30/'Income Statement'!P8</x:f>
        <x:v>0.28</x:v>
      </x:c>
      <x:c r="L21" s="119" t="n">
        <x:f>-'Cash Flow'!Q30/'Income Statement'!Q8</x:f>
        <x:v>0.25</x:v>
      </x:c>
      <x:c r="M21" s="119" t="n">
        <x:f>-'Cash Flow'!R30/'Income Statement'!R8</x:f>
        <x:v>0.22</x:v>
      </x:c>
      <x:c r="N21" s="119" t="n">
        <x:f>-'Cash Flow'!S30/'Income Statement'!S8</x:f>
        <x:v>0.2</x:v>
      </x:c>
      <x:c r="O21" s="119"/>
      <x:c r="P21" s="119"/>
      <x:c r="Q21" s="119"/>
      <x:c r="R21" s="119"/>
      <x:c r="S21" s="119"/>
      <x:c r="T21" s="103"/>
      <x:c r="U21" s="103"/>
    </x:row>
    <x:row r="22" ht="24" customHeight="1">
      <x:c r="A22" s="103"/>
      <x:c r="B22" s="103"/>
      <x:c r="C22" s="105" t="str">
        <x:v>FCF margin</x:v>
      </x:c>
      <x:c r="D22" s="105"/>
      <x:c r="E22" s="119" t="n">
        <x:f>'Cash Flow'!J56/'Income Statement'!J8</x:f>
        <x:v>0.3285872799717557</x:v>
      </x:c>
      <x:c r="F22" s="119" t="n">
        <x:f>'Cash Flow'!K56/'Income Statement'!K8</x:f>
        <x:v>0.2806549795908737</x:v>
      </x:c>
      <x:c r="G22" s="119" t="n">
        <x:f>'Cash Flow'!L56/'Income Statement'!L8</x:f>
        <x:v>0.3021801388696241</x:v>
      </x:c>
      <x:c r="H22" s="119" t="n">
        <x:f>'Cash Flow'!M56/'Income Statement'!M8</x:f>
        <x:v>0.2541884965427156</x:v>
      </x:c>
      <x:c r="I22" s="119" t="n">
        <x:f>'Cash Flow'!N56/'Income Statement'!N8</x:f>
        <x:v>0.20186596512164032</x:v>
      </x:c>
      <x:c r="J22" s="119" t="n">
        <x:f>'Cash Flow'!O56/'Income Statement'!O8</x:f>
        <x:v>0.22281816367200685</x:v>
      </x:c>
      <x:c r="K22" s="119" t="n">
        <x:f>'Cash Flow'!P56/'Income Statement'!P8</x:f>
        <x:v>0.28149071509890183</x:v>
      </x:c>
      <x:c r="L22" s="119" t="n">
        <x:f>'Cash Flow'!Q56/'Income Statement'!Q8</x:f>
        <x:v>0.3214367086877329</x:v>
      </x:c>
      <x:c r="M22" s="119" t="n">
        <x:f>'Cash Flow'!R56/'Income Statement'!R8</x:f>
        <x:v>0.363179123154416</x:v>
      </x:c>
      <x:c r="N22" s="119" t="n">
        <x:f>'Cash Flow'!S56/'Income Statement'!S8</x:f>
        <x:v>0.39447360335361237</x:v>
      </x:c>
      <x:c r="O22" s="119"/>
      <x:c r="P22" s="119"/>
      <x:c r="Q22" s="119"/>
      <x:c r="R22" s="119"/>
      <x:c r="S22" s="119"/>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5" t="str">
        <x:v>Net income / operating cash flow</x:v>
      </x:c>
      <x:c r="D24" s="105"/>
      <x:c r="E24" s="119" t="n">
        <x:f>'Income Statement'!J28/'Cash Flow'!J28</x:f>
        <x:v>0.8169596226203178</x:v>
      </x:c>
      <x:c r="F24" s="119" t="n">
        <x:f>'Income Statement'!K28/'Cash Flow'!K28</x:f>
        <x:v>0.826208581672033</x:v>
      </x:c>
      <x:c r="G24" s="119" t="n">
        <x:f>'Income Statement'!L28/'Cash Flow'!L28</x:f>
        <x:v>0.7434625636872828</x:v>
      </x:c>
      <x:c r="H24" s="119" t="n">
        <x:f>'Income Statement'!M28/'Cash Flow'!M28</x:f>
        <x:v>0.7478738561419486</x:v>
      </x:c>
      <x:c r="I24" s="119" t="n">
        <x:f>'Income Statement'!N28/'Cash Flow'!N28</x:f>
        <x:v>0.7311285429250827</x:v>
      </x:c>
      <x:c r="J24" s="119" t="n">
        <x:f>'Income Statement'!O28/'Cash Flow'!O28</x:f>
        <x:v>0.6661196678354697</x:v>
      </x:c>
      <x:c r="K24" s="119" t="n">
        <x:f>'Income Statement'!P28/'Cash Flow'!P28</x:f>
        <x:v>0.6008713634717675</x:v>
      </x:c>
      <x:c r="L24" s="119" t="n">
        <x:f>'Income Statement'!Q28/'Cash Flow'!Q28</x:f>
        <x:v>0.5615059394619929</x:v>
      </x:c>
      <x:c r="M24" s="119" t="n">
        <x:f>'Income Statement'!R28/'Cash Flow'!R28</x:f>
        <x:v>0.5335322759893459</x:v>
      </x:c>
      <x:c r="N24" s="119" t="n">
        <x:f>'Income Statement'!S28/'Cash Flow'!S28</x:f>
        <x:v>0.5144497871075104</x:v>
      </x:c>
      <x:c r="O24" s="119"/>
      <x:c r="P24" s="119"/>
      <x:c r="Q24" s="119"/>
      <x:c r="R24" s="119"/>
      <x:c r="S24" s="119"/>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4" t="str">
        <x:v>Selected-case observations</x:v>
      </x:c>
      <x:c r="D42" s="104"/>
      <x:c r="E42" s="104"/>
      <x:c r="F42" s="104"/>
      <x:c r="G42" s="104"/>
      <x:c r="H42" s="104"/>
      <x:c r="I42" s="104"/>
      <x:c r="J42" s="104"/>
      <x:c r="K42" s="104"/>
      <x:c r="L42" s="104"/>
      <x:c r="M42" s="104"/>
      <x:c r="N42" s="104"/>
      <x:c r="O42" s="104"/>
      <x:c r="P42" s="104"/>
      <x:c r="Q42" s="104"/>
      <x:c r="R42" s="104"/>
      <x:c r="S42" s="104"/>
      <x:c r="T42" s="103"/>
      <x:c r="U42" s="103"/>
    </x:row>
    <x:row r="43" ht="24" customHeight="1">
      <x:c r="A43" s="103"/>
      <x:c r="B43" s="103"/>
      <x:c r="C43" s="103" t="str">
        <x:f>"FY2031 operating margin: "&amp;(FIXED((N12)*100,1,TRUE)&amp;"%")&amp;". FCF margin: "&amp;(FIXED((N22)*100,1,TRUE)&amp;"%")&amp;"."</x:f>
        <x:v>FY2031 operating margin: 37.5%. FCF margin: 39.4%.</x:v>
      </x:c>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t="str">
        <x:f>"FY2031 finance lease principal reduces FCF by "&amp;FIXED((N18-N19)/1000,1,TRUE)&amp;"bn."</x:f>
        <x:v>FY2031 finance lease principal reduces FCF by 14.1bn.</x:v>
      </x:c>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t="str">
        <x:f>"Diluted EPS changes from "&amp;FIXED(I15,2,TRUE)&amp;" in FY2026 to "&amp;FIXED(N15,2,TRUE)&amp;" in FY2031, using an independent share-count driver."</x:f>
        <x:v>Diluted EPS changes from 17.95 in FY2026 to 27.00 in FY2031, using an independent share-count driver.</x:v>
      </x:c>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23" t="str">
        <x:v>Fiscal year</x:v>
      </x:c>
      <x:c r="D69" s="123" t="str">
        <x:v>CFO</x:v>
      </x:c>
      <x:c r="E69" s="123" t="str">
        <x:v>FCF</x:v>
      </x:c>
      <x:c r="F69" s="123" t="str">
        <x:v>FCF after lease principal</x:v>
      </x:c>
      <x:c r="G69" s="103"/>
      <x:c r="H69" s="103"/>
      <x:c r="I69" s="103"/>
      <x:c r="J69" s="103"/>
      <x:c r="K69" s="103"/>
      <x:c r="L69" s="103"/>
      <x:c r="M69" s="103"/>
      <x:c r="N69" s="103"/>
      <x:c r="O69" s="103"/>
      <x:c r="P69" s="103"/>
      <x:c r="Q69" s="103"/>
      <x:c r="R69" s="103"/>
      <x:c r="S69" s="103"/>
      <x:c r="T69" s="103"/>
      <x:c r="U69" s="103"/>
    </x:row>
    <x:row r="70" ht="24" customHeight="1">
      <x:c r="A70" s="103"/>
      <x:c r="B70" s="103"/>
      <x:c r="C70" s="103" t="str">
        <x:f>"FY2022 A"</x:f>
        <x:v>FY2022 A</x:v>
      </x:c>
      <x:c r="D70" s="125" t="n">
        <x:f>IF(OR(E17="n.a.",ISBLANK(E17)),"",E17)</x:f>
        <x:v>89035</x:v>
      </x:c>
      <x:c r="E70" s="125" t="n">
        <x:f>IF(OR(E18="n.a.",ISBLANK(E18)),"",E18)</x:f>
        <x:v>65149</x:v>
      </x:c>
      <x:c r="F70" s="125" t="n">
        <x:f>IF(OR(E19="n.a.",ISBLANK(E19)),"",E19)</x:f>
        <x:v>64253</x:v>
      </x:c>
      <x:c r="G70" s="103"/>
      <x:c r="H70" s="103"/>
      <x:c r="I70" s="103"/>
      <x:c r="J70" s="103"/>
      <x:c r="K70" s="103"/>
      <x:c r="L70" s="103"/>
      <x:c r="M70" s="103"/>
      <x:c r="N70" s="103"/>
      <x:c r="O70" s="103"/>
      <x:c r="P70" s="103"/>
      <x:c r="Q70" s="103"/>
      <x:c r="R70" s="103"/>
      <x:c r="S70" s="103"/>
      <x:c r="T70" s="103"/>
      <x:c r="U70" s="103"/>
    </x:row>
    <x:row r="71" ht="24" customHeight="1">
      <x:c r="A71" s="103"/>
      <x:c r="B71" s="103"/>
      <x:c r="C71" s="103" t="str">
        <x:f>"FY2023 A"</x:f>
        <x:v>FY2023 A</x:v>
      </x:c>
      <x:c r="D71" s="125" t="n">
        <x:f>IF(OR(F17="n.a.",ISBLANK(F17)),"",F17)</x:f>
        <x:v>87582</x:v>
      </x:c>
      <x:c r="E71" s="125" t="n">
        <x:f>IF(OR(F18="n.a.",ISBLANK(F18)),"",F18)</x:f>
        <x:v>59475</x:v>
      </x:c>
      <x:c r="F71" s="125" t="n">
        <x:f>IF(OR(F19="n.a.",ISBLANK(F19)),"",F19)</x:f>
        <x:v>58419</x:v>
      </x:c>
      <x:c r="G71" s="103"/>
      <x:c r="H71" s="103"/>
      <x:c r="I71" s="103"/>
      <x:c r="J71" s="103"/>
      <x:c r="K71" s="103"/>
      <x:c r="L71" s="103"/>
      <x:c r="M71" s="103"/>
      <x:c r="N71" s="103"/>
      <x:c r="O71" s="103"/>
      <x:c r="P71" s="103"/>
      <x:c r="Q71" s="103"/>
      <x:c r="R71" s="103"/>
      <x:c r="S71" s="103"/>
      <x:c r="T71" s="103"/>
      <x:c r="U71" s="103"/>
    </x:row>
    <x:row r="72" ht="24" customHeight="1">
      <x:c r="A72" s="103"/>
      <x:c r="B72" s="103"/>
      <x:c r="C72" s="103" t="str">
        <x:f>"FY2024 A"</x:f>
        <x:v>FY2024 A</x:v>
      </x:c>
      <x:c r="D72" s="125" t="n">
        <x:f>IF(OR(G17="n.a.",ISBLANK(G17)),"",G17)</x:f>
        <x:v>118548</x:v>
      </x:c>
      <x:c r="E72" s="125" t="n">
        <x:f>IF(OR(G18="n.a.",ISBLANK(G18)),"",G18)</x:f>
        <x:v>74071</x:v>
      </x:c>
      <x:c r="F72" s="125" t="n">
        <x:f>IF(OR(G19="n.a.",ISBLANK(G19)),"",G19)</x:f>
        <x:v>72785</x:v>
      </x:c>
      <x:c r="G72" s="103"/>
      <x:c r="H72" s="103"/>
      <x:c r="I72" s="103"/>
      <x:c r="J72" s="103"/>
      <x:c r="K72" s="103"/>
      <x:c r="L72" s="103"/>
      <x:c r="M72" s="103"/>
      <x:c r="N72" s="103"/>
      <x:c r="O72" s="103"/>
      <x:c r="P72" s="103"/>
      <x:c r="Q72" s="103"/>
      <x:c r="R72" s="103"/>
      <x:c r="S72" s="103"/>
      <x:c r="T72" s="103"/>
      <x:c r="U72" s="103"/>
    </x:row>
    <x:row r="73" ht="24" customHeight="1">
      <x:c r="A73" s="103"/>
      <x:c r="B73" s="103"/>
      <x:c r="C73" s="103" t="str">
        <x:f>"FY2025 A"</x:f>
        <x:v>FY2025 A</x:v>
      </x:c>
      <x:c r="D73" s="125" t="n">
        <x:f>IF(OR(H17="n.a.",ISBLANK(H17)),"",H17)</x:f>
        <x:v>136162</x:v>
      </x:c>
      <x:c r="E73" s="125" t="n">
        <x:f>IF(OR(H18="n.a.",ISBLANK(H18)),"",H18)</x:f>
        <x:v>71611</x:v>
      </x:c>
      <x:c r="F73" s="125" t="n">
        <x:f>IF(OR(H19="n.a.",ISBLANK(H19)),"",H19)</x:f>
        <x:v>69328</x:v>
      </x:c>
      <x:c r="G73" s="103"/>
      <x:c r="H73" s="103"/>
      <x:c r="I73" s="103"/>
      <x:c r="J73" s="103"/>
      <x:c r="K73" s="103"/>
      <x:c r="L73" s="103"/>
      <x:c r="M73" s="103"/>
      <x:c r="N73" s="103"/>
      <x:c r="O73" s="103"/>
      <x:c r="P73" s="103"/>
      <x:c r="Q73" s="103"/>
      <x:c r="R73" s="103"/>
      <x:c r="S73" s="103"/>
      <x:c r="T73" s="103"/>
      <x:c r="U73" s="103"/>
    </x:row>
    <x:row r="74" ht="24" customHeight="1">
      <x:c r="A74" s="103"/>
      <x:c r="B74" s="103"/>
      <x:c r="C74" s="103" t="str">
        <x:f>"FY2026 A"</x:f>
        <x:v>FY2026 A</x:v>
      </x:c>
      <x:c r="D74" s="125" t="n">
        <x:f>IF(OR(I17="n.a.",ISBLANK(I17)),"",I17)</x:f>
        <x:v>182935</x:v>
      </x:c>
      <x:c r="E74" s="125" t="n">
        <x:f>IF(OR(I18="n.a.",ISBLANK(I18)),"",I18)</x:f>
        <x:v>66987</x:v>
      </x:c>
      <x:c r="F74" s="125" t="n">
        <x:f>IF(OR(I19="n.a.",ISBLANK(I19)),"",I19)</x:f>
        <x:v>63886</x:v>
      </x:c>
      <x:c r="G74" s="103"/>
      <x:c r="H74" s="103"/>
      <x:c r="I74" s="103"/>
      <x:c r="J74" s="103"/>
      <x:c r="K74" s="103"/>
      <x:c r="L74" s="103"/>
      <x:c r="M74" s="103"/>
      <x:c r="N74" s="103"/>
      <x:c r="O74" s="103"/>
      <x:c r="P74" s="103"/>
      <x:c r="Q74" s="103"/>
      <x:c r="R74" s="103"/>
      <x:c r="S74" s="103"/>
      <x:c r="T74" s="103"/>
      <x:c r="U74" s="103"/>
    </x:row>
    <x:row r="75" ht="24" customHeight="1">
      <x:c r="A75" s="103"/>
      <x:c r="B75" s="103"/>
      <x:c r="C75" s="103" t="str">
        <x:f>"FY2027 E"</x:f>
        <x:v>FY2027 E</x:v>
      </x:c>
      <x:c r="D75" s="125" t="n">
        <x:f>IF(OR(J17="n.a.",ISBLANK(J17)),"",J17)</x:f>
        <x:v>209011.48254010986</x:v>
      </x:c>
      <x:c r="E75" s="125" t="n">
        <x:f>IF(OR(J18="n.a.",ISBLANK(J18)),"",J18)</x:f>
        <x:v>85795.86654010984</x:v>
      </x:c>
      <x:c r="F75" s="125" t="n">
        <x:f>IF(OR(J19="n.a.",ISBLANK(J19)),"",J19)</x:f>
        <x:v>80560.87884780215</x:v>
      </x:c>
      <x:c r="G75" s="103"/>
      <x:c r="H75" s="103"/>
      <x:c r="I75" s="103"/>
      <x:c r="J75" s="103"/>
      <x:c r="K75" s="103"/>
      <x:c r="L75" s="103"/>
      <x:c r="M75" s="103"/>
      <x:c r="N75" s="103"/>
      <x:c r="O75" s="103"/>
      <x:c r="P75" s="103"/>
      <x:c r="Q75" s="103"/>
      <x:c r="R75" s="103"/>
      <x:c r="S75" s="103"/>
      <x:c r="T75" s="103"/>
      <x:c r="U75" s="103"/>
    </x:row>
    <x:row r="76" ht="24" customHeight="1">
      <x:c r="A76" s="103"/>
      <x:c r="B76" s="103"/>
      <x:c r="C76" s="103" t="str">
        <x:f>"FY2028 E"</x:f>
        <x:v>FY2028 E</x:v>
      </x:c>
      <x:c r="D76" s="125" t="n">
        <x:f>IF(OR(K17="n.a.",ISBLANK(K17)),"",K17)</x:f>
        <x:v>249569.956978507</x:v>
      </x:c>
      <x:c r="E76" s="125" t="n">
        <x:f>IF(OR(K18="n.a.",ISBLANK(K18)),"",K18)</x:f>
        <x:v>125116.27310650697</x:v>
      </x:c>
      <x:c r="F76" s="125" t="n">
        <x:f>IF(OR(K19="n.a.",ISBLANK(K19)),"",K19)</x:f>
        <x:v>117300.74535714602</x:v>
      </x:c>
      <x:c r="G76" s="103"/>
      <x:c r="H76" s="103"/>
      <x:c r="I76" s="103"/>
      <x:c r="J76" s="103"/>
      <x:c r="K76" s="103"/>
      <x:c r="L76" s="103"/>
      <x:c r="M76" s="103"/>
      <x:c r="N76" s="103"/>
      <x:c r="O76" s="103"/>
      <x:c r="P76" s="103"/>
      <x:c r="Q76" s="103"/>
      <x:c r="R76" s="103"/>
      <x:c r="S76" s="103"/>
      <x:c r="T76" s="103"/>
      <x:c r="U76" s="103"/>
    </x:row>
    <x:row r="77" ht="24" customHeight="1">
      <x:c r="A77" s="103"/>
      <x:c r="B77" s="103"/>
      <x:c r="C77" s="103" t="str">
        <x:f>"FY2029 E"</x:f>
        <x:v>FY2029 E</x:v>
      </x:c>
      <x:c r="D77" s="125" t="n">
        <x:f>IF(OR(L17="n.a.",ISBLANK(L17)),"",L17)</x:f>
        <x:v>290816.893479639</x:v>
      </x:c>
      <x:c r="E77" s="125" t="n">
        <x:f>IF(OR(L18="n.a.",ISBLANK(L18)),"",L18)</x:f>
        <x:v>163586.31437163902</x:v>
      </x:c>
      <x:c r="F77" s="125" t="n">
        <x:f>IF(OR(L19="n.a.",ISBLANK(L19)),"",L19)</x:f>
        <x:v>153982.44088947584</x:v>
      </x:c>
      <x:c r="G77" s="103"/>
      <x:c r="H77" s="103"/>
      <x:c r="I77" s="103"/>
      <x:c r="J77" s="103"/>
      <x:c r="K77" s="103"/>
      <x:c r="L77" s="103"/>
      <x:c r="M77" s="103"/>
      <x:c r="N77" s="103"/>
      <x:c r="O77" s="103"/>
      <x:c r="P77" s="103"/>
      <x:c r="Q77" s="103"/>
      <x:c r="R77" s="103"/>
      <x:c r="S77" s="103"/>
      <x:c r="T77" s="103"/>
      <x:c r="U77" s="103"/>
    </x:row>
    <x:row r="78" ht="24" customHeight="1">
      <x:c r="A78" s="103"/>
      <x:c r="B78" s="103"/>
      <x:c r="C78" s="103" t="str">
        <x:f>"FY2030 E"</x:f>
        <x:v>FY2030 E</x:v>
      </x:c>
      <x:c r="D78" s="125" t="n">
        <x:f>IF(OR(M17="n.a.",ISBLANK(M17)),"",M17)</x:f>
        <x:v>336670.33706154244</x:v>
      </x:c>
      <x:c r="E78" s="125" t="n">
        <x:f>IF(OR(M18="n.a.",ISBLANK(M18)),"",M18)</x:f>
        <x:v>209663.9487791424</x:v>
      </x:c>
      <x:c r="F78" s="125" t="n">
        <x:f>IF(OR(M19="n.a.",ISBLANK(M19)),"",M19)</x:f>
        <x:v>197797.45826620416</x:v>
      </x:c>
      <x:c r="G78" s="103"/>
      <x:c r="H78" s="103"/>
      <x:c r="I78" s="103"/>
      <x:c r="J78" s="103"/>
      <x:c r="K78" s="103"/>
      <x:c r="L78" s="103"/>
      <x:c r="M78" s="103"/>
      <x:c r="N78" s="103"/>
      <x:c r="O78" s="103"/>
      <x:c r="P78" s="103"/>
      <x:c r="Q78" s="103"/>
      <x:c r="R78" s="103"/>
      <x:c r="S78" s="103"/>
      <x:c r="T78" s="103"/>
      <x:c r="U78" s="103"/>
    </x:row>
    <x:row r="79" ht="24" customHeight="1">
      <x:c r="A79" s="103"/>
      <x:c r="B79" s="103"/>
      <x:c r="C79" s="103" t="str">
        <x:f>"FY2031 E"</x:f>
        <x:v>FY2031 E</x:v>
      </x:c>
      <x:c r="D79" s="125" t="n">
        <x:f>IF(OR(N17="n.a.",ISBLANK(N17)),"",N17)</x:f>
        <x:v>385282.59341057274</x:v>
      </x:c>
      <x:c r="E79" s="125" t="n">
        <x:f>IF(OR(N18="n.a.",ISBLANK(N18)),"",N18)</x:f>
        <x:v>255661.16321179768</x:v>
      </x:c>
      <x:c r="F79" s="125" t="n">
        <x:f>IF(OR(N19="n.a.",ISBLANK(N19)),"",N19)</x:f>
        <x:v>241526.09387294645</x:v>
      </x:c>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23" t="str">
        <x:v>Fiscal year</x:v>
      </x:c>
      <x:c r="D88" s="123" t="str">
        <x:v>Operating margin</x:v>
      </x:c>
      <x:c r="E88" s="123" t="str">
        <x:v>FCF margin</x:v>
      </x:c>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"FY2022 A"</x:f>
        <x:v>FY2022 A</x:v>
      </x:c>
      <x:c r="D89" s="127" t="n">
        <x:f>IF(OR(E12="n.a.",ISBLANK(E12)),"",E12)</x:f>
        <x:v>0.4205527815604983</x:v>
      </x:c>
      <x:c r="E89" s="127" t="n">
        <x:f>IF(OR(E22="n.a.",ISBLANK(E22)),"",E22)</x:f>
        <x:v>0.3285872799717557</x:v>
      </x:c>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"FY2023 A"</x:f>
        <x:v>FY2023 A</x:v>
      </x:c>
      <x:c r="D90" s="127" t="n">
        <x:f>IF(OR(F12="n.a.",ISBLANK(F12)),"",F12)</x:f>
        <x:v>0.417728806361041</x:v>
      </x:c>
      <x:c r="E90" s="127" t="n">
        <x:f>IF(OR(F22="n.a.",ISBLANK(F22)),"",F22)</x:f>
        <x:v>0.2806549795908737</x:v>
      </x:c>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"FY2024 A"</x:f>
        <x:v>FY2024 A</x:v>
      </x:c>
      <x:c r="D91" s="127" t="n">
        <x:f>IF(OR(G12="n.a.",ISBLANK(G12)),"",G12)</x:f>
        <x:v>0.44644299573273716</x:v>
      </x:c>
      <x:c r="E91" s="127" t="n">
        <x:f>IF(OR(G22="n.a.",ISBLANK(G22)),"",G22)</x:f>
        <x:v>0.3021801388696241</x:v>
      </x:c>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"FY2025 A"</x:f>
        <x:v>FY2025 A</x:v>
      </x:c>
      <x:c r="D92" s="127" t="n">
        <x:f>IF(OR(H12="n.a.",ISBLANK(H12)),"",H12)</x:f>
        <x:v>0.4562195624085985</x:v>
      </x:c>
      <x:c r="E92" s="127" t="n">
        <x:f>IF(OR(H22="n.a.",ISBLANK(H22)),"",H22)</x:f>
        <x:v>0.2541884965427156</x:v>
      </x:c>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t="str">
        <x:f>"FY2026 A"</x:f>
        <x:v>FY2026 A</x:v>
      </x:c>
      <x:c r="D93" s="127" t="n">
        <x:f>IF(OR(I12="n.a.",ISBLANK(I12)),"",I12)</x:f>
        <x:v>0.4678081840892722</x:v>
      </x:c>
      <x:c r="E93" s="127" t="n">
        <x:f>IF(OR(I22="n.a.",ISBLANK(I22)),"",I22)</x:f>
        <x:v>0.20186596512164032</x:v>
      </x:c>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t="str">
        <x:f>"FY2027 E"</x:f>
        <x:v>FY2027 E</x:v>
      </x:c>
      <x:c r="D94" s="127" t="n">
        <x:f>IF(OR(J12="n.a.",ISBLANK(J12)),"",J12)</x:f>
        <x:v>0.45637874221208147</x:v>
      </x:c>
      <x:c r="E94" s="127" t="n">
        <x:f>IF(OR(J22="n.a.",ISBLANK(J22)),"",J22)</x:f>
        <x:v>0.22281816367200685</x:v>
      </x:c>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t="str">
        <x:f>"FY2028 E"</x:f>
        <x:v>FY2028 E</x:v>
      </x:c>
      <x:c r="D95" s="127" t="n">
        <x:f>IF(OR(K12="n.a.",ISBLANK(K12)),"",K12)</x:f>
        <x:v>0.4256229541834091</x:v>
      </x:c>
      <x:c r="E95" s="127" t="n">
        <x:f>IF(OR(K22="n.a.",ISBLANK(K22)),"",K22)</x:f>
        <x:v>0.28149071509890183</x:v>
      </x:c>
      <x:c r="F95" s="103"/>
      <x:c r="G95" s="103"/>
      <x:c r="H95" s="103"/>
      <x:c r="I95" s="103"/>
      <x:c r="J95" s="103"/>
      <x:c r="K95" s="103"/>
      <x:c r="L95" s="103"/>
      <x:c r="M95" s="103"/>
      <x:c r="N95" s="103"/>
      <x:c r="O95" s="103"/>
      <x:c r="P95" s="103"/>
      <x:c r="Q95" s="103"/>
      <x:c r="R95" s="103"/>
      <x:c r="S95" s="103"/>
      <x:c r="T95" s="103"/>
      <x:c r="U95" s="103"/>
    </x:row>
    <x:row r="96" ht="24" customHeight="1">
      <x:c r="C96" s="128" t="str">
        <x:f>"FY2029 E"</x:f>
        <x:v>FY2029 E</x:v>
      </x:c>
      <x:c r="D96" s="130" t="n">
        <x:f>IF(OR(L12="n.a.",ISBLANK(L12)),"",L12)</x:f>
        <x:v>0.4022939964496796</x:v>
      </x:c>
      <x:c r="E96" s="130" t="n">
        <x:f>IF(OR(L22="n.a.",ISBLANK(L22)),"",L22)</x:f>
        <x:v>0.3214367086877329</x:v>
      </x:c>
    </x:row>
    <x:row r="97" ht="24" customHeight="1">
      <x:c r="C97" s="128" t="str">
        <x:f>"FY2030 E"</x:f>
        <x:v>FY2030 E</x:v>
      </x:c>
      <x:c r="D97" s="130" t="n">
        <x:f>IF(OR(M12="n.a.",ISBLANK(M12)),"",M12)</x:f>
        <x:v>0.38630180822151133</x:v>
      </x:c>
      <x:c r="E97" s="130" t="n">
        <x:f>IF(OR(M22="n.a.",ISBLANK(M22)),"",M22)</x:f>
        <x:v>0.363179123154416</x:v>
      </x:c>
    </x:row>
    <x:row r="98" ht="24" customHeight="1">
      <x:c r="C98" s="128" t="str">
        <x:f>"FY2031 E"</x:f>
        <x:v>FY2031 E</x:v>
      </x:c>
      <x:c r="D98" s="130" t="n">
        <x:f>IF(OR(N12="n.a.",ISBLANK(N12)),"",N12)</x:f>
        <x:v>0.3746364321844728</x:v>
      </x:c>
      <x:c r="E98" s="130" t="n">
        <x:f>IF(OR(N22="n.a.",ISBLANK(N22)),"",N22)</x:f>
        <x:v>0.39447360335361237</x:v>
      </x:c>
    </x:row>
  </x:sheetData>
  <x:mergeCells>
    <x:mergeCell ref="C43:S43"/>
    <x:mergeCell ref="C44:S44"/>
    <x:mergeCell ref="C45:S45"/>
  </x:mergeCells>
  <x:pageMargins left="0.7" right="0.7" top="0.75" bottom="0.75" header="0.3" footer="0.3"/>
  <x:drawing xmlns:r="http://schemas.openxmlformats.org/officeDocument/2006/relationships" r:id="R8c5ddcee24c4416e"/>
  <x:legacyDrawing xmlns:r="http://schemas.openxmlformats.org/officeDocument/2006/relationships" r:id="R61b9208f3f3345bd"/>
</x:worksheet>
</file>

<file path=xl/worksheets/sheet3.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Investment Banking</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FY:22 A</x:v>
      </x:c>
      <x:c r="F7" s="117" t="str">
        <x:v>FY:23 A</x:v>
      </x:c>
      <x:c r="G7" s="117" t="str">
        <x:v>FY:24 A</x:v>
      </x:c>
      <x:c r="H7" s="117" t="str">
        <x:v>FY:25 A</x:v>
      </x:c>
      <x:c r="I7" s="117" t="str">
        <x:v>FY:26 A</x:v>
      </x:c>
      <x:c r="J7" s="117" t="str">
        <x:v>FY:27 E</x:v>
      </x:c>
      <x:c r="K7" s="117" t="str">
        <x:v>FY:28 E</x:v>
      </x:c>
      <x:c r="L7" s="117" t="str">
        <x:v>FY:29 E</x:v>
      </x:c>
      <x:c r="M7" s="117" t="str">
        <x:v>FY:30 E</x:v>
      </x:c>
      <x:c r="N7" s="117" t="str">
        <x:v>FY:31 E</x:v>
      </x:c>
      <x:c r="O7" s="103"/>
      <x:c r="P7" s="103"/>
      <x:c r="Q7" s="103"/>
      <x:c r="R7" s="103"/>
      <x:c r="S7" s="103"/>
      <x:c r="T7" s="103"/>
      <x:c r="U7" s="103"/>
    </x:row>
    <x:row r="8" ht="24" customHeight="1">
      <x:c r="A8" s="103"/>
      <x:c r="B8" s="103"/>
      <x:c r="C8" s="103" t="str">
        <x:v>Operating income plus disclosed D&amp;A</x:v>
      </x:c>
      <x:c r="D8" s="103"/>
      <x:c r="E8" s="109" t="n">
        <x:f>'Income Statement'!J36</x:f>
        <x:v>97983</x:v>
      </x:c>
      <x:c r="F8" s="109" t="n">
        <x:f>'Income Statement'!K36</x:f>
        <x:v>102023</x:v>
      </x:c>
      <x:c r="G8" s="109" t="n">
        <x:f>'Income Statement'!L36</x:f>
        <x:v>129433</x:v>
      </x:c>
      <x:c r="H8" s="109" t="n">
        <x:f>'Income Statement'!M36</x:f>
        <x:v>156528</x:v>
      </x:c>
      <x:c r="I8" s="109" t="n">
        <x:f>'Income Statement'!N36</x:f>
        <x:v>194237</x:v>
      </x:c>
      <x:c r="J8" s="109" t="n">
        <x:f>'Income Statement'!O36</x:f>
        <x:v>229144.45363427134</x:v>
      </x:c>
      <x:c r="K8" s="109" t="n">
        <x:f>'Income Statement'!P36</x:f>
        <x:v>266920.4223635874</x:v>
      </x:c>
      <x:c r="L8" s="109" t="n">
        <x:f>'Income Statement'!Q36</x:f>
        <x:v>308245.96315238444</x:v>
      </x:c>
      <x:c r="M8" s="109" t="n">
        <x:f>'Income Statement'!R36</x:f>
        <x:v>352499.80753028055</x:v>
      </x:c>
      <x:c r="N8" s="109" t="n">
        <x:f>'Income Statement'!S36</x:f>
        <x:v>398785.1006277711</x:v>
      </x:c>
      <x:c r="O8" s="109"/>
      <x:c r="P8" s="109"/>
      <x:c r="Q8" s="109"/>
      <x:c r="R8" s="109"/>
      <x:c r="S8" s="109"/>
      <x:c r="T8" s="103"/>
      <x:c r="U8" s="103"/>
    </x:row>
    <x:row r="9" ht="24" customHeight="1">
      <x:c r="A9" s="103"/>
      <x:c r="B9" s="103"/>
      <x:c r="C9" s="103" t="str">
        <x:v>Operating income</x:v>
      </x:c>
      <x:c r="D9" s="103"/>
      <x:c r="E9" s="109" t="n">
        <x:f>'Income Statement'!J19</x:f>
        <x:v>83383</x:v>
      </x:c>
      <x:c r="F9" s="109" t="n">
        <x:f>'Income Statement'!K19</x:f>
        <x:v>88523</x:v>
      </x:c>
      <x:c r="G9" s="109" t="n">
        <x:f>'Income Statement'!L19</x:f>
        <x:v>109433</x:v>
      </x:c>
      <x:c r="H9" s="109" t="n">
        <x:f>'Income Statement'!M19</x:f>
        <x:v>128528</x:v>
      </x:c>
      <x:c r="I9" s="109" t="n">
        <x:f>'Income Statement'!N19</x:f>
        <x:v>155237</x:v>
      </x:c>
      <x:c r="J9" s="109" t="n">
        <x:f>'Income Statement'!O19</x:f>
        <x:v>175728.08703427133</x:v>
      </x:c>
      <x:c r="K9" s="109" t="n">
        <x:f>'Income Statement'!P19</x:f>
        <x:v>189179.8021021741</x:v>
      </x:c>
      <x:c r="L9" s="109" t="n">
        <x:f>'Income Statement'!Q19</x:f>
        <x:v>204736.39255985775</x:v>
      </x:c>
      <x:c r="M9" s="109" t="n">
        <x:f>'Income Statement'!R19</x:f>
        <x:v>223012.7156780659</x:v>
      </x:c>
      <x:c r="N9" s="109" t="n">
        <x:f>'Income Statement'!S19</x:f>
        <x:v>242804.5507215888</x:v>
      </x:c>
      <x:c r="O9" s="109"/>
      <x:c r="P9" s="109"/>
      <x:c r="Q9" s="109"/>
      <x:c r="R9" s="109"/>
      <x:c r="S9" s="109"/>
      <x:c r="T9" s="103"/>
      <x:c r="U9" s="103"/>
    </x:row>
    <x:row r="10" ht="24" customHeight="1">
      <x:c r="A10" s="103"/>
      <x:c r="B10" s="103"/>
      <x:c r="C10" s="103"/>
      <x:c r="D10" s="103"/>
      <x:c r="E10" s="103"/>
      <x:c r="F10" s="103"/>
      <x:c r="G10" s="103"/>
      <x:c r="H10" s="103"/>
      <x:c r="I10" s="103"/>
      <x:c r="J10" s="103"/>
      <x:c r="K10" s="103"/>
      <x:c r="L10" s="103"/>
      <x:c r="M10" s="103"/>
      <x:c r="N10" s="103"/>
      <x:c r="O10" s="103"/>
      <x:c r="P10" s="103"/>
      <x:c r="Q10" s="103"/>
      <x:c r="R10" s="103"/>
      <x:c r="S10" s="103"/>
      <x:c r="T10" s="103"/>
      <x:c r="U10" s="103"/>
    </x:row>
    <x:row r="11" ht="24" customHeight="1">
      <x:c r="A11" s="103"/>
      <x:c r="B11" s="103"/>
      <x:c r="C11" s="103" t="str">
        <x:v>Debt carrying amount</x:v>
      </x:c>
      <x:c r="D11" s="103"/>
      <x:c r="E11" s="109" t="n">
        <x:f>'Debt and Leases'!J18</x:f>
        <x:v>49781</x:v>
      </x:c>
      <x:c r="F11" s="109" t="n">
        <x:f>'Debt and Leases'!K18</x:f>
        <x:v>47237</x:v>
      </x:c>
      <x:c r="G11" s="109" t="n">
        <x:f>'Debt and Leases'!L18</x:f>
        <x:v>51630</x:v>
      </x:c>
      <x:c r="H11" s="109" t="n">
        <x:f>'Debt and Leases'!M18</x:f>
        <x:v>43151</x:v>
      </x:c>
      <x:c r="I11" s="109" t="n">
        <x:f>'Debt and Leases'!N18</x:f>
        <x:v>40294</x:v>
      </x:c>
      <x:c r="J11" s="109" t="n">
        <x:f>'Debt and Leases'!O18</x:f>
        <x:v>31219.260000000002</x:v>
      </x:c>
      <x:c r="K11" s="109" t="n">
        <x:f>'Debt and Leases'!P18</x:f>
        <x:v>31389.2622</x:v>
      </x:c>
      <x:c r="L11" s="109" t="n">
        <x:f>'Debt and Leases'!Q18</x:f>
        <x:v>29553.164334</x:v>
      </x:c>
      <x:c r="M11" s="109" t="n">
        <x:f>'Debt and Leases'!R18</x:f>
        <x:v>29713.11940398</x:v>
      </x:c>
      <x:c r="N11" s="109" t="n">
        <x:f>'Debt and Leases'!S18</x:f>
        <x:v>29368.2758218606</x:v>
      </x:c>
      <x:c r="O11" s="109"/>
      <x:c r="P11" s="109"/>
      <x:c r="Q11" s="109"/>
      <x:c r="R11" s="109"/>
      <x:c r="S11" s="109"/>
      <x:c r="T11" s="103"/>
      <x:c r="U11" s="103"/>
    </x:row>
    <x:row r="12" ht="24" customHeight="1">
      <x:c r="A12" s="103"/>
      <x:c r="B12" s="103"/>
      <x:c r="C12" s="103" t="str">
        <x:v>Finance lease liabilities</x:v>
      </x:c>
      <x:c r="D12" s="103"/>
      <x:c r="E12" s="109" t="n">
        <x:f>'Debt and Leases'!J42</x:f>
        <x:v>14902</x:v>
      </x:c>
      <x:c r="F12" s="109" t="n">
        <x:f>'Debt and Leases'!K42</x:f>
        <x:v>17067</x:v>
      </x:c>
      <x:c r="G12" s="109" t="n">
        <x:f>'Debt and Leases'!L42</x:f>
        <x:v>27145</x:v>
      </x:c>
      <x:c r="H12" s="109" t="n">
        <x:f>'Debt and Leases'!M42</x:f>
        <x:v>46172</x:v>
      </x:c>
      <x:c r="I12" s="109" t="n">
        <x:f>'Debt and Leases'!N42</x:f>
        <x:v>66594</x:v>
      </x:c>
      <x:c r="J12" s="109" t="n">
        <x:f>'Debt and Leases'!O42</x:f>
        <x:v>90237.67230769231</x:v>
      </x:c>
      <x:c r="K12" s="109" t="n">
        <x:f>'Debt and Leases'!P42</x:f>
        <x:v>113535.56552633137</x:v>
      </x:c>
      <x:c r="L12" s="109" t="n">
        <x:f>'Debt and Leases'!Q42</x:f>
        <x:v>137011.6426122482</x:v>
      </x:c>
      <x:c r="M12" s="109" t="n">
        <x:f>'Debt and Leases'!R42</x:f>
        <x:v>159783.25799450994</x:v>
      </x:c>
      <x:c r="N12" s="109" t="n">
        <x:f>'Debt and Leases'!S42</x:f>
        <x:v>181294.08196032187</x:v>
      </x:c>
      <x:c r="O12" s="109"/>
      <x:c r="P12" s="109"/>
      <x:c r="Q12" s="109"/>
      <x:c r="R12" s="109"/>
      <x:c r="S12" s="109"/>
      <x:c r="T12" s="103"/>
      <x:c r="U12" s="103"/>
    </x:row>
    <x:row r="13" ht="24" customHeight="1">
      <x:c r="A13" s="103"/>
      <x:c r="B13" s="103"/>
      <x:c r="C13" s="103" t="str">
        <x:v>Operating lease liabilities</x:v>
      </x:c>
      <x:c r="D13" s="103"/>
      <x:c r="E13" s="109" t="n">
        <x:f>'Debt and Leases'!J63</x:f>
        <x:v>13717</x:v>
      </x:c>
      <x:c r="F13" s="109" t="n">
        <x:f>'Debt and Leases'!K63</x:f>
        <x:v>15137</x:v>
      </x:c>
      <x:c r="G13" s="109" t="n">
        <x:f>'Debt and Leases'!L63</x:f>
        <x:v>19077</x:v>
      </x:c>
      <x:c r="H13" s="109" t="n">
        <x:f>'Debt and Leases'!M63</x:f>
        <x:v>22861</x:v>
      </x:c>
      <x:c r="I13" s="109" t="n">
        <x:f>'Debt and Leases'!N63</x:f>
        <x:v>21925</x:v>
      </x:c>
      <x:c r="J13" s="109" t="n">
        <x:f>'Debt and Leases'!O63</x:f>
        <x:v>21948.646</x:v>
      </x:c>
      <x:c r="K13" s="109" t="n">
        <x:f>'Debt and Leases'!P63</x:f>
        <x:v>23460.013658</x:v>
      </x:c>
      <x:c r="L13" s="109" t="n">
        <x:f>'Debt and Leases'!Q63</x:f>
        <x:v>26036.413079131664</x:v>
      </x:c>
      <x:c r="M13" s="109" t="n">
        <x:f>'Debt and Leases'!R63</x:f>
        <x:v>29114.37931443948</x:v>
      </x:c>
      <x:c r="N13" s="109" t="n">
        <x:f>'Debt and Leases'!S63</x:f>
        <x:v>32494.33226083643</x:v>
      </x:c>
      <x:c r="O13" s="109"/>
      <x:c r="P13" s="109"/>
      <x:c r="Q13" s="109"/>
      <x:c r="R13" s="109"/>
      <x:c r="S13" s="109"/>
      <x:c r="T13" s="103"/>
      <x:c r="U13" s="103"/>
    </x:row>
    <x:row r="14" ht="24" customHeight="1">
      <x:c r="A14" s="103"/>
      <x:c r="B14" s="103"/>
      <x:c r="C14" s="103"/>
      <x:c r="D14" s="103"/>
      <x:c r="E14" s="103"/>
      <x:c r="F14" s="103"/>
      <x:c r="G14" s="103"/>
      <x:c r="H14" s="103"/>
      <x:c r="I14" s="103"/>
      <x:c r="J14" s="103"/>
      <x:c r="K14" s="103"/>
      <x:c r="L14" s="103"/>
      <x:c r="M14" s="103"/>
      <x:c r="N14" s="103"/>
      <x:c r="O14" s="103"/>
      <x:c r="P14" s="103"/>
      <x:c r="Q14" s="103"/>
      <x:c r="R14" s="103"/>
      <x:c r="S14" s="103"/>
      <x:c r="T14" s="103"/>
      <x:c r="U14" s="103"/>
    </x:row>
    <x:row r="15" ht="24" customHeight="1">
      <x:c r="A15" s="103"/>
      <x:c r="B15" s="103"/>
      <x:c r="C15" s="103" t="str">
        <x:v>Cash and short-term investments</x:v>
      </x:c>
      <x:c r="D15" s="103"/>
      <x:c r="E15" s="109" t="n">
        <x:f>'Balance Sheet'!J10</x:f>
        <x:v>104757</x:v>
      </x:c>
      <x:c r="F15" s="109" t="n">
        <x:f>'Balance Sheet'!K10</x:f>
        <x:v>111262</x:v>
      </x:c>
      <x:c r="G15" s="109" t="n">
        <x:f>'Balance Sheet'!L10</x:f>
        <x:v>75543</x:v>
      </x:c>
      <x:c r="H15" s="109" t="n">
        <x:f>'Balance Sheet'!M10</x:f>
        <x:v>94565</x:v>
      </x:c>
      <x:c r="I15" s="109" t="n">
        <x:f>'Balance Sheet'!N10</x:f>
        <x:v>76843</x:v>
      </x:c>
      <x:c r="J15" s="109" t="n">
        <x:f>'Balance Sheet'!O10</x:f>
        <x:v>93740.17978311873</x:v>
      </x:c>
      <x:c r="K15" s="109" t="n">
        <x:f>'Balance Sheet'!P10</x:f>
        <x:v>150380.09354841156</x:v>
      </x:c>
      <x:c r="L15" s="109" t="n">
        <x:f>'Balance Sheet'!Q10</x:f>
        <x:v>234586.8120071388</x:v>
      </x:c>
      <x:c r="M15" s="109" t="n">
        <x:f>'Balance Sheet'!R10</x:f>
        <x:v>356625.550255754</x:v>
      </x:c>
      <x:c r="N15" s="109" t="n">
        <x:f>'Balance Sheet'!S10</x:f>
        <x:v>513290.5410788633</x:v>
      </x:c>
      <x:c r="O15" s="109"/>
      <x:c r="P15" s="109"/>
      <x:c r="Q15" s="109"/>
      <x:c r="R15" s="109"/>
      <x:c r="S15" s="109"/>
      <x:c r="T15" s="103"/>
      <x:c r="U15" s="103"/>
    </x:row>
    <x:row r="16" ht="24" customHeight="1">
      <x:c r="A16" s="103"/>
      <x:c r="B16" s="103"/>
      <x:c r="C16" s="103" t="str">
        <x:v>Net debt excluding leases</x:v>
      </x:c>
      <x:c r="D16" s="103"/>
      <x:c r="E16" s="109" t="n">
        <x:f>'Debt and Leases'!J18-'Balance Sheet'!J10</x:f>
        <x:v>-54976</x:v>
      </x:c>
      <x:c r="F16" s="109" t="n">
        <x:f>'Debt and Leases'!K18-'Balance Sheet'!K10</x:f>
        <x:v>-64025</x:v>
      </x:c>
      <x:c r="G16" s="109" t="n">
        <x:f>'Debt and Leases'!L18-'Balance Sheet'!L10</x:f>
        <x:v>-23913</x:v>
      </x:c>
      <x:c r="H16" s="109" t="n">
        <x:f>'Debt and Leases'!M18-'Balance Sheet'!M10</x:f>
        <x:v>-51414</x:v>
      </x:c>
      <x:c r="I16" s="109" t="n">
        <x:f>'Debt and Leases'!N18-'Balance Sheet'!N10</x:f>
        <x:v>-36549</x:v>
      </x:c>
      <x:c r="J16" s="109" t="n">
        <x:f>'Debt and Leases'!O18-'Balance Sheet'!O10</x:f>
        <x:v>-62520.91978311873</x:v>
      </x:c>
      <x:c r="K16" s="109" t="n">
        <x:f>'Debt and Leases'!P18-'Balance Sheet'!P10</x:f>
        <x:v>-118990.83134841156</x:v>
      </x:c>
      <x:c r="L16" s="109" t="n">
        <x:f>'Debt and Leases'!Q18-'Balance Sheet'!Q10</x:f>
        <x:v>-205033.6476731388</x:v>
      </x:c>
      <x:c r="M16" s="109" t="n">
        <x:f>'Debt and Leases'!R18-'Balance Sheet'!R10</x:f>
        <x:v>-326912.430851774</x:v>
      </x:c>
      <x:c r="N16" s="109" t="n">
        <x:f>'Debt and Leases'!S18-'Balance Sheet'!S10</x:f>
        <x:v>-483922.2652570027</x:v>
      </x:c>
      <x:c r="O16" s="109"/>
      <x:c r="P16" s="109"/>
      <x:c r="Q16" s="109"/>
      <x:c r="R16" s="109"/>
      <x:c r="S16" s="109"/>
      <x:c r="T16" s="103"/>
      <x:c r="U16" s="103"/>
    </x:row>
    <x:row r="17" ht="24" customHeight="1">
      <x:c r="A17" s="103"/>
      <x:c r="B17" s="103"/>
      <x:c r="C17" s="103" t="str">
        <x:v>Net debt including finance leases</x:v>
      </x:c>
      <x:c r="D17" s="103"/>
      <x:c r="E17" s="109" t="n">
        <x:f>'Debt and Leases'!J18+'Debt and Leases'!J42-'Balance Sheet'!J10</x:f>
        <x:v>-40074</x:v>
      </x:c>
      <x:c r="F17" s="109" t="n">
        <x:f>'Debt and Leases'!K18+'Debt and Leases'!K42-'Balance Sheet'!K10</x:f>
        <x:v>-46958</x:v>
      </x:c>
      <x:c r="G17" s="109" t="n">
        <x:f>'Debt and Leases'!L18+'Debt and Leases'!L42-'Balance Sheet'!L10</x:f>
        <x:v>3232</x:v>
      </x:c>
      <x:c r="H17" s="109" t="n">
        <x:f>'Debt and Leases'!M18+'Debt and Leases'!M42-'Balance Sheet'!M10</x:f>
        <x:v>-5242</x:v>
      </x:c>
      <x:c r="I17" s="109" t="n">
        <x:f>'Debt and Leases'!N18+'Debt and Leases'!N42-'Balance Sheet'!N10</x:f>
        <x:v>30045</x:v>
      </x:c>
      <x:c r="J17" s="109" t="n">
        <x:f>'Debt and Leases'!O18+'Debt and Leases'!O42-'Balance Sheet'!O10</x:f>
        <x:v>27716.752524573574</x:v>
      </x:c>
      <x:c r="K17" s="109" t="n">
        <x:f>'Debt and Leases'!P18+'Debt and Leases'!P42-'Balance Sheet'!P10</x:f>
        <x:v>-5455.265822080197</x:v>
      </x:c>
      <x:c r="L17" s="109" t="n">
        <x:f>'Debt and Leases'!Q18+'Debt and Leases'!Q42-'Balance Sheet'!Q10</x:f>
        <x:v>-68022.0050608906</x:v>
      </x:c>
      <x:c r="M17" s="109" t="n">
        <x:f>'Debt and Leases'!R18+'Debt and Leases'!R42-'Balance Sheet'!R10</x:f>
        <x:v>-167129.17285726403</x:v>
      </x:c>
      <x:c r="N17" s="109" t="n">
        <x:f>'Debt and Leases'!S18+'Debt and Leases'!S42-'Balance Sheet'!S10</x:f>
        <x:v>-302628.18329668086</x:v>
      </x:c>
      <x:c r="O17" s="109"/>
      <x:c r="P17" s="109"/>
      <x:c r="Q17" s="109"/>
      <x:c r="R17" s="109"/>
      <x:c r="S17" s="109"/>
      <x:c r="T17" s="103"/>
      <x:c r="U17" s="103"/>
    </x:row>
    <x:row r="18" ht="24" customHeight="1">
      <x:c r="A18" s="103"/>
      <x:c r="B18" s="103"/>
      <x:c r="C18" s="103"/>
      <x:c r="D18" s="103"/>
      <x:c r="E18" s="103"/>
      <x:c r="F18" s="103"/>
      <x:c r="G18" s="103"/>
      <x:c r="H18" s="103"/>
      <x:c r="I18" s="103"/>
      <x:c r="J18" s="103"/>
      <x:c r="K18" s="103"/>
      <x:c r="L18" s="103"/>
      <x:c r="M18" s="103"/>
      <x:c r="N18" s="103"/>
      <x:c r="O18" s="103"/>
      <x:c r="P18" s="103"/>
      <x:c r="Q18" s="103"/>
      <x:c r="R18" s="103"/>
      <x:c r="S18" s="103"/>
      <x:c r="T18" s="103"/>
      <x:c r="U18" s="103"/>
    </x:row>
    <x:row r="19" ht="24" customHeight="1">
      <x:c r="A19" s="103"/>
      <x:c r="B19" s="103"/>
      <x:c r="C19" s="103" t="str">
        <x:v>Debt / operating income plus D&amp;A</x:v>
      </x:c>
      <x:c r="D19" s="103"/>
      <x:c r="E19" s="132" t="n">
        <x:f>'Debt and Leases'!J18/'Income Statement'!J36</x:f>
        <x:v>0.5080575201820724</x:v>
      </x:c>
      <x:c r="F19" s="132" t="n">
        <x:f>'Debt and Leases'!K18/'Income Statement'!K36</x:f>
        <x:v>0.46300344040069397</x:v>
      </x:c>
      <x:c r="G19" s="132" t="n">
        <x:f>'Debt and Leases'!L18/'Income Statement'!L36</x:f>
        <x:v>0.39889363608971434</x:v>
      </x:c>
      <x:c r="H19" s="132" t="n">
        <x:f>'Debt and Leases'!M18/'Income Statement'!M36</x:f>
        <x:v>0.27567591740774816</x:v>
      </x:c>
      <x:c r="I19" s="132" t="n">
        <x:f>'Debt and Leases'!N18/'Income Statement'!N36</x:f>
        <x:v>0.20744760267096382</x:v>
      </x:c>
      <x:c r="J19" s="132" t="n">
        <x:f>'Debt and Leases'!O18/'Income Statement'!O36</x:f>
        <x:v>0.13624270413207498</x:v>
      </x:c>
      <x:c r="K19" s="132" t="n">
        <x:f>'Debt and Leases'!P18/'Income Statement'!P36</x:f>
        <x:v>0.11759782905349561</x:v>
      </x:c>
      <x:c r="L19" s="132" t="n">
        <x:f>'Debt and Leases'!Q18/'Income Statement'!Q36</x:f>
        <x:v>0.09587526802221284</x:v>
      </x:c>
      <x:c r="M19" s="132" t="n">
        <x:f>'Debt and Leases'!R18/'Income Statement'!R36</x:f>
        <x:v>0.08429258334113438</x:v>
      </x:c>
      <x:c r="N19" s="132" t="n">
        <x:f>'Debt and Leases'!S18/'Income Statement'!S36</x:f>
        <x:v>0.07364436578906482</x:v>
      </x:c>
      <x:c r="O19" s="132"/>
      <x:c r="P19" s="132"/>
      <x:c r="Q19" s="132"/>
      <x:c r="R19" s="132"/>
      <x:c r="S19" s="132"/>
      <x:c r="T19" s="103"/>
      <x:c r="U19" s="103"/>
    </x:row>
    <x:row r="20" ht="24" customHeight="1">
      <x:c r="A20" s="103"/>
      <x:c r="B20" s="103"/>
      <x:c r="C20" s="103" t="str">
        <x:v>Debt including finance leases / earnings proxy</x:v>
      </x:c>
      <x:c r="D20" s="103"/>
      <x:c r="E20" s="132" t="n">
        <x:f>('Debt and Leases'!J18+'Debt and Leases'!J42)/'Income Statement'!J36</x:f>
        <x:v>0.6601451272159456</x:v>
      </x:c>
      <x:c r="F20" s="132" t="n">
        <x:f>('Debt and Leases'!K18+'Debt and Leases'!K42)/'Income Statement'!K36</x:f>
        <x:v>0.6302892485027886</x:v>
      </x:c>
      <x:c r="G20" s="132" t="n">
        <x:f>('Debt and Leases'!L18+'Debt and Leases'!L42)/'Income Statement'!L36</x:f>
        <x:v>0.6086160407314981</x:v>
      </x:c>
      <x:c r="H20" s="132" t="n">
        <x:f>('Debt and Leases'!M18+'Debt and Leases'!M42)/'Income Statement'!M36</x:f>
        <x:v>0.5706518961463763</x:v>
      </x:c>
      <x:c r="I20" s="132" t="n">
        <x:f>('Debt and Leases'!N18+'Debt and Leases'!N42)/'Income Statement'!N36</x:f>
        <x:v>0.5502968023600036</x:v>
      </x:c>
      <x:c r="J20" s="132" t="n">
        <x:f>('Debt and Leases'!O18+'Debt and Leases'!O42)/'Income Statement'!O36</x:f>
        <x:v>0.5300452635067705</x:v>
      </x:c>
      <x:c r="K20" s="132" t="n">
        <x:f>('Debt and Leases'!P18+'Debt and Leases'!P42)/'Income Statement'!P36</x:f>
        <x:v>0.5429514401446625</x:v>
      </x:c>
      <x:c r="L20" s="132" t="n">
        <x:f>('Debt and Leases'!Q18+'Debt and Leases'!Q42)/'Income Statement'!Q36</x:f>
        <x:v>0.5403633035216919</x:v>
      </x:c>
      <x:c r="M20" s="132" t="n">
        <x:f>('Debt and Leases'!R18+'Debt and Leases'!R42)/'Income Statement'!R36</x:f>
        <x:v>0.5375786691237038</x:v>
      </x:c>
      <x:c r="N20" s="132" t="n">
        <x:f>('Debt and Leases'!S18+'Debt and Leases'!S42)/'Income Statement'!S36</x:f>
        <x:v>0.5282603523816609</x:v>
      </x:c>
      <x:c r="O20" s="132"/>
      <x:c r="P20" s="132"/>
      <x:c r="Q20" s="132"/>
      <x:c r="R20" s="132"/>
      <x:c r="S20" s="132"/>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t="str">
        <x:v>Current assets / current liabilities</x:v>
      </x:c>
      <x:c r="D22" s="103"/>
      <x:c r="E22" s="132" t="n">
        <x:f>'Balance Sheet'!J14/'Balance Sheet'!J32</x:f>
        <x:v>1.7846069708251824</x:v>
      </x:c>
      <x:c r="F22" s="132" t="n">
        <x:f>'Balance Sheet'!K14/'Balance Sheet'!K32</x:f>
        <x:v>1.76916725076573</x:v>
      </x:c>
      <x:c r="G22" s="132" t="n">
        <x:f>'Balance Sheet'!L14/'Balance Sheet'!L32</x:f>
        <x:v>1.2749549031815206</x:v>
      </x:c>
      <x:c r="H22" s="132" t="n">
        <x:f>'Balance Sheet'!M14/'Balance Sheet'!M32</x:f>
        <x:v>1.3534464445042416</x:v>
      </x:c>
      <x:c r="I22" s="132" t="n">
        <x:f>'Balance Sheet'!N14/'Balance Sheet'!N32</x:f>
        <x:v>1.2303272619576484</x:v>
      </x:c>
      <x:c r="J22" s="132" t="n">
        <x:f>'Balance Sheet'!O14/'Balance Sheet'!O32</x:f>
        <x:v>1.3480789786691252</x:v>
      </x:c>
      <x:c r="K22" s="132" t="n">
        <x:f>'Balance Sheet'!P14/'Balance Sheet'!P32</x:f>
        <x:v>1.5529562819446492</x:v>
      </x:c>
      <x:c r="L22" s="132" t="n">
        <x:f>'Balance Sheet'!Q14/'Balance Sheet'!Q32</x:f>
        <x:v>1.8545208368280581</x:v>
      </x:c>
      <x:c r="M22" s="132" t="n">
        <x:f>'Balance Sheet'!R14/'Balance Sheet'!R32</x:f>
        <x:v>2.220580397995885</x:v>
      </x:c>
      <x:c r="N22" s="132" t="n">
        <x:f>'Balance Sheet'!S14/'Balance Sheet'!S32</x:f>
        <x:v>2.637435876923882</x:v>
      </x:c>
      <x:c r="O22" s="132"/>
      <x:c r="P22" s="132"/>
      <x:c r="Q22" s="132"/>
      <x:c r="R22" s="132"/>
      <x:c r="S22" s="132"/>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t="str">
        <x:v>Cash dividends and repurchases</x:v>
      </x:c>
      <x:c r="D24" s="103"/>
      <x:c r="E24" s="109" t="n">
        <x:f>-'Cash Flow'!J44-'Cash Flow'!J45</x:f>
        <x:v>50831</x:v>
      </x:c>
      <x:c r="F24" s="109" t="n">
        <x:f>-'Cash Flow'!K44-'Cash Flow'!K45</x:f>
        <x:v>42045</x:v>
      </x:c>
      <x:c r="G24" s="109" t="n">
        <x:f>-'Cash Flow'!L44-'Cash Flow'!L45</x:f>
        <x:v>39025</x:v>
      </x:c>
      <x:c r="H24" s="109" t="n">
        <x:f>-'Cash Flow'!M44-'Cash Flow'!M45</x:f>
        <x:v>42502</x:v>
      </x:c>
      <x:c r="I24" s="109" t="n">
        <x:f>-'Cash Flow'!N44-'Cash Flow'!N45</x:f>
        <x:v>48716</x:v>
      </x:c>
      <x:c r="J24" s="109" t="n">
        <x:f>-'Cash Flow'!O44-'Cash Flow'!O45</x:f>
        <x:v>52873.503864683415</x:v>
      </x:c>
      <x:c r="K24" s="109" t="n">
        <x:f>-'Cash Flow'!P44-'Cash Flow'!P45</x:f>
        <x:v>58882.92182225318</x:v>
      </x:c>
      <x:c r="L24" s="109" t="n">
        <x:f>-'Cash Flow'!Q44-'Cash Flow'!Q45</x:f>
        <x:v>65739.0331650206</x:v>
      </x:c>
      <x:c r="M24" s="109" t="n">
        <x:f>-'Cash Flow'!R44-'Cash Flow'!R45</x:f>
        <x:v>73449.512957909</x:v>
      </x:c>
      <x:c r="N24" s="109" t="n">
        <x:f>-'Cash Flow'!S44-'Cash Flow'!S45</x:f>
        <x:v>81768.67444586162</x:v>
      </x:c>
      <x:c r="O24" s="109"/>
      <x:c r="P24" s="109"/>
      <x:c r="Q24" s="109"/>
      <x:c r="R24" s="109"/>
      <x:c r="S24" s="109"/>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4" t="str">
        <x:v>Selected-case observations</x:v>
      </x:c>
      <x:c r="D42" s="104"/>
      <x:c r="E42" s="104"/>
      <x:c r="F42" s="104"/>
      <x:c r="G42" s="104"/>
      <x:c r="H42" s="104"/>
      <x:c r="I42" s="104"/>
      <x:c r="J42" s="104"/>
      <x:c r="K42" s="104"/>
      <x:c r="L42" s="104"/>
      <x:c r="M42" s="104"/>
      <x:c r="N42" s="104"/>
      <x:c r="O42" s="104"/>
      <x:c r="P42" s="104"/>
      <x:c r="Q42" s="104"/>
      <x:c r="R42" s="104"/>
      <x:c r="S42" s="104"/>
      <x:c r="T42" s="103"/>
      <x:c r="U42" s="103"/>
    </x:row>
    <x:row r="43" ht="24" customHeight="1">
      <x:c r="A43" s="103"/>
      <x:c r="B43" s="103"/>
      <x:c r="C43" s="103" t="str">
        <x:f>"FY2031 net debt excluding leases: "&amp;FIXED(N16/1000,1,TRUE)&amp;"bn; including finance leases: "&amp;FIXED(N17/1000,1,TRUE)&amp;"bn."</x:f>
        <x:v>FY2031 net debt excluding leases: -483.9bn; including finance leases: -302.6bn.</x:v>
      </x:c>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t="str">
        <x:f>"FY2031 finance lease liabilities: "&amp;FIXED(N12/1000,1,TRUE)&amp;"bn. Operating leases: "&amp;FIXED(N13/1000,1,TRUE)&amp;"bn."</x:f>
        <x:v>FY2031 finance lease liabilities: 181.3bn. Operating leases: 32.5bn.</x:v>
      </x:c>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t="str">
        <x:f>"FY2031 lease-inclusive debt / earnings proxy: "&amp;FIXED(N20,2,TRUE)&amp;"x. The denominator is not reported EBITDA."</x:f>
        <x:v>FY2031 lease-inclusive debt / earnings proxy: 0.53x. The denominator is not reported EBITDA.</x:v>
      </x:c>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23" t="str">
        <x:v>Fiscal year</x:v>
      </x:c>
      <x:c r="D69" s="123" t="str">
        <x:v>Debt</x:v>
      </x:c>
      <x:c r="E69" s="123" t="str">
        <x:v>Finance leases</x:v>
      </x:c>
      <x:c r="F69" s="123" t="str">
        <x:v>Liquid assets</x:v>
      </x:c>
      <x:c r="G69" s="103"/>
      <x:c r="H69" s="103"/>
      <x:c r="I69" s="103"/>
      <x:c r="J69" s="103"/>
      <x:c r="K69" s="103"/>
      <x:c r="L69" s="103"/>
      <x:c r="M69" s="103"/>
      <x:c r="N69" s="103"/>
      <x:c r="O69" s="103"/>
      <x:c r="P69" s="103"/>
      <x:c r="Q69" s="103"/>
      <x:c r="R69" s="103"/>
      <x:c r="S69" s="103"/>
      <x:c r="T69" s="103"/>
      <x:c r="U69" s="103"/>
    </x:row>
    <x:row r="70" ht="24" customHeight="1">
      <x:c r="A70" s="103"/>
      <x:c r="B70" s="103"/>
      <x:c r="C70" s="103" t="str">
        <x:f>"FY2022 A"</x:f>
        <x:v>FY2022 A</x:v>
      </x:c>
      <x:c r="D70" s="125" t="n">
        <x:f>IF(OR(E11="n.a.",ISBLANK(E11)),"",E11)</x:f>
        <x:v>49781</x:v>
      </x:c>
      <x:c r="E70" s="125" t="n">
        <x:f>IF(OR(E12="n.a.",ISBLANK(E12)),"",E12)</x:f>
        <x:v>14902</x:v>
      </x:c>
      <x:c r="F70" s="125" t="n">
        <x:f>IF(OR(E15="n.a.",ISBLANK(E15)),"",E15)</x:f>
        <x:v>104757</x:v>
      </x:c>
      <x:c r="G70" s="103"/>
      <x:c r="H70" s="103"/>
      <x:c r="I70" s="103"/>
      <x:c r="J70" s="103"/>
      <x:c r="K70" s="103"/>
      <x:c r="L70" s="103"/>
      <x:c r="M70" s="103"/>
      <x:c r="N70" s="103"/>
      <x:c r="O70" s="103"/>
      <x:c r="P70" s="103"/>
      <x:c r="Q70" s="103"/>
      <x:c r="R70" s="103"/>
      <x:c r="S70" s="103"/>
      <x:c r="T70" s="103"/>
      <x:c r="U70" s="103"/>
    </x:row>
    <x:row r="71" ht="24" customHeight="1">
      <x:c r="A71" s="103"/>
      <x:c r="B71" s="103"/>
      <x:c r="C71" s="103" t="str">
        <x:f>"FY2023 A"</x:f>
        <x:v>FY2023 A</x:v>
      </x:c>
      <x:c r="D71" s="125" t="n">
        <x:f>IF(OR(F11="n.a.",ISBLANK(F11)),"",F11)</x:f>
        <x:v>47237</x:v>
      </x:c>
      <x:c r="E71" s="125" t="n">
        <x:f>IF(OR(F12="n.a.",ISBLANK(F12)),"",F12)</x:f>
        <x:v>17067</x:v>
      </x:c>
      <x:c r="F71" s="125" t="n">
        <x:f>IF(OR(F15="n.a.",ISBLANK(F15)),"",F15)</x:f>
        <x:v>111262</x:v>
      </x:c>
      <x:c r="G71" s="103"/>
      <x:c r="H71" s="103"/>
      <x:c r="I71" s="103"/>
      <x:c r="J71" s="103"/>
      <x:c r="K71" s="103"/>
      <x:c r="L71" s="103"/>
      <x:c r="M71" s="103"/>
      <x:c r="N71" s="103"/>
      <x:c r="O71" s="103"/>
      <x:c r="P71" s="103"/>
      <x:c r="Q71" s="103"/>
      <x:c r="R71" s="103"/>
      <x:c r="S71" s="103"/>
      <x:c r="T71" s="103"/>
      <x:c r="U71" s="103"/>
    </x:row>
    <x:row r="72" ht="24" customHeight="1">
      <x:c r="A72" s="103"/>
      <x:c r="B72" s="103"/>
      <x:c r="C72" s="103" t="str">
        <x:f>"FY2024 A"</x:f>
        <x:v>FY2024 A</x:v>
      </x:c>
      <x:c r="D72" s="125" t="n">
        <x:f>IF(OR(G11="n.a.",ISBLANK(G11)),"",G11)</x:f>
        <x:v>51630</x:v>
      </x:c>
      <x:c r="E72" s="125" t="n">
        <x:f>IF(OR(G12="n.a.",ISBLANK(G12)),"",G12)</x:f>
        <x:v>27145</x:v>
      </x:c>
      <x:c r="F72" s="125" t="n">
        <x:f>IF(OR(G15="n.a.",ISBLANK(G15)),"",G15)</x:f>
        <x:v>75543</x:v>
      </x:c>
      <x:c r="G72" s="103"/>
      <x:c r="H72" s="103"/>
      <x:c r="I72" s="103"/>
      <x:c r="J72" s="103"/>
      <x:c r="K72" s="103"/>
      <x:c r="L72" s="103"/>
      <x:c r="M72" s="103"/>
      <x:c r="N72" s="103"/>
      <x:c r="O72" s="103"/>
      <x:c r="P72" s="103"/>
      <x:c r="Q72" s="103"/>
      <x:c r="R72" s="103"/>
      <x:c r="S72" s="103"/>
      <x:c r="T72" s="103"/>
      <x:c r="U72" s="103"/>
    </x:row>
    <x:row r="73" ht="24" customHeight="1">
      <x:c r="A73" s="103"/>
      <x:c r="B73" s="103"/>
      <x:c r="C73" s="103" t="str">
        <x:f>"FY2025 A"</x:f>
        <x:v>FY2025 A</x:v>
      </x:c>
      <x:c r="D73" s="125" t="n">
        <x:f>IF(OR(H11="n.a.",ISBLANK(H11)),"",H11)</x:f>
        <x:v>43151</x:v>
      </x:c>
      <x:c r="E73" s="125" t="n">
        <x:f>IF(OR(H12="n.a.",ISBLANK(H12)),"",H12)</x:f>
        <x:v>46172</x:v>
      </x:c>
      <x:c r="F73" s="125" t="n">
        <x:f>IF(OR(H15="n.a.",ISBLANK(H15)),"",H15)</x:f>
        <x:v>94565</x:v>
      </x:c>
      <x:c r="G73" s="103"/>
      <x:c r="H73" s="103"/>
      <x:c r="I73" s="103"/>
      <x:c r="J73" s="103"/>
      <x:c r="K73" s="103"/>
      <x:c r="L73" s="103"/>
      <x:c r="M73" s="103"/>
      <x:c r="N73" s="103"/>
      <x:c r="O73" s="103"/>
      <x:c r="P73" s="103"/>
      <x:c r="Q73" s="103"/>
      <x:c r="R73" s="103"/>
      <x:c r="S73" s="103"/>
      <x:c r="T73" s="103"/>
      <x:c r="U73" s="103"/>
    </x:row>
    <x:row r="74" ht="24" customHeight="1">
      <x:c r="A74" s="103"/>
      <x:c r="B74" s="103"/>
      <x:c r="C74" s="103" t="str">
        <x:f>"FY2026 A"</x:f>
        <x:v>FY2026 A</x:v>
      </x:c>
      <x:c r="D74" s="125" t="n">
        <x:f>IF(OR(I11="n.a.",ISBLANK(I11)),"",I11)</x:f>
        <x:v>40294</x:v>
      </x:c>
      <x:c r="E74" s="125" t="n">
        <x:f>IF(OR(I12="n.a.",ISBLANK(I12)),"",I12)</x:f>
        <x:v>66594</x:v>
      </x:c>
      <x:c r="F74" s="125" t="n">
        <x:f>IF(OR(I15="n.a.",ISBLANK(I15)),"",I15)</x:f>
        <x:v>76843</x:v>
      </x:c>
      <x:c r="G74" s="103"/>
      <x:c r="H74" s="103"/>
      <x:c r="I74" s="103"/>
      <x:c r="J74" s="103"/>
      <x:c r="K74" s="103"/>
      <x:c r="L74" s="103"/>
      <x:c r="M74" s="103"/>
      <x:c r="N74" s="103"/>
      <x:c r="O74" s="103"/>
      <x:c r="P74" s="103"/>
      <x:c r="Q74" s="103"/>
      <x:c r="R74" s="103"/>
      <x:c r="S74" s="103"/>
      <x:c r="T74" s="103"/>
      <x:c r="U74" s="103"/>
    </x:row>
    <x:row r="75" ht="24" customHeight="1">
      <x:c r="A75" s="103"/>
      <x:c r="B75" s="103"/>
      <x:c r="C75" s="103" t="str">
        <x:f>"FY2027 E"</x:f>
        <x:v>FY2027 E</x:v>
      </x:c>
      <x:c r="D75" s="125" t="n">
        <x:f>IF(OR(J11="n.a.",ISBLANK(J11)),"",J11)</x:f>
        <x:v>31219.260000000002</x:v>
      </x:c>
      <x:c r="E75" s="125" t="n">
        <x:f>IF(OR(J12="n.a.",ISBLANK(J12)),"",J12)</x:f>
        <x:v>90237.67230769231</x:v>
      </x:c>
      <x:c r="F75" s="125" t="n">
        <x:f>IF(OR(J15="n.a.",ISBLANK(J15)),"",J15)</x:f>
        <x:v>93740.17978311873</x:v>
      </x:c>
      <x:c r="G75" s="103"/>
      <x:c r="H75" s="103"/>
      <x:c r="I75" s="103"/>
      <x:c r="J75" s="103"/>
      <x:c r="K75" s="103"/>
      <x:c r="L75" s="103"/>
      <x:c r="M75" s="103"/>
      <x:c r="N75" s="103"/>
      <x:c r="O75" s="103"/>
      <x:c r="P75" s="103"/>
      <x:c r="Q75" s="103"/>
      <x:c r="R75" s="103"/>
      <x:c r="S75" s="103"/>
      <x:c r="T75" s="103"/>
      <x:c r="U75" s="103"/>
    </x:row>
    <x:row r="76" ht="24" customHeight="1">
      <x:c r="A76" s="103"/>
      <x:c r="B76" s="103"/>
      <x:c r="C76" s="103" t="str">
        <x:f>"FY2028 E"</x:f>
        <x:v>FY2028 E</x:v>
      </x:c>
      <x:c r="D76" s="125" t="n">
        <x:f>IF(OR(K11="n.a.",ISBLANK(K11)),"",K11)</x:f>
        <x:v>31389.2622</x:v>
      </x:c>
      <x:c r="E76" s="125" t="n">
        <x:f>IF(OR(K12="n.a.",ISBLANK(K12)),"",K12)</x:f>
        <x:v>113535.56552633137</x:v>
      </x:c>
      <x:c r="F76" s="125" t="n">
        <x:f>IF(OR(K15="n.a.",ISBLANK(K15)),"",K15)</x:f>
        <x:v>150380.09354841156</x:v>
      </x:c>
      <x:c r="G76" s="103"/>
      <x:c r="H76" s="103"/>
      <x:c r="I76" s="103"/>
      <x:c r="J76" s="103"/>
      <x:c r="K76" s="103"/>
      <x:c r="L76" s="103"/>
      <x:c r="M76" s="103"/>
      <x:c r="N76" s="103"/>
      <x:c r="O76" s="103"/>
      <x:c r="P76" s="103"/>
      <x:c r="Q76" s="103"/>
      <x:c r="R76" s="103"/>
      <x:c r="S76" s="103"/>
      <x:c r="T76" s="103"/>
      <x:c r="U76" s="103"/>
    </x:row>
    <x:row r="77" ht="24" customHeight="1">
      <x:c r="A77" s="103"/>
      <x:c r="B77" s="103"/>
      <x:c r="C77" s="103" t="str">
        <x:f>"FY2029 E"</x:f>
        <x:v>FY2029 E</x:v>
      </x:c>
      <x:c r="D77" s="125" t="n">
        <x:f>IF(OR(L11="n.a.",ISBLANK(L11)),"",L11)</x:f>
        <x:v>29553.164334</x:v>
      </x:c>
      <x:c r="E77" s="125" t="n">
        <x:f>IF(OR(L12="n.a.",ISBLANK(L12)),"",L12)</x:f>
        <x:v>137011.6426122482</x:v>
      </x:c>
      <x:c r="F77" s="125" t="n">
        <x:f>IF(OR(L15="n.a.",ISBLANK(L15)),"",L15)</x:f>
        <x:v>234586.8120071388</x:v>
      </x:c>
      <x:c r="G77" s="103"/>
      <x:c r="H77" s="103"/>
      <x:c r="I77" s="103"/>
      <x:c r="J77" s="103"/>
      <x:c r="K77" s="103"/>
      <x:c r="L77" s="103"/>
      <x:c r="M77" s="103"/>
      <x:c r="N77" s="103"/>
      <x:c r="O77" s="103"/>
      <x:c r="P77" s="103"/>
      <x:c r="Q77" s="103"/>
      <x:c r="R77" s="103"/>
      <x:c r="S77" s="103"/>
      <x:c r="T77" s="103"/>
      <x:c r="U77" s="103"/>
    </x:row>
    <x:row r="78" ht="24" customHeight="1">
      <x:c r="A78" s="103"/>
      <x:c r="B78" s="103"/>
      <x:c r="C78" s="103" t="str">
        <x:f>"FY2030 E"</x:f>
        <x:v>FY2030 E</x:v>
      </x:c>
      <x:c r="D78" s="125" t="n">
        <x:f>IF(OR(M11="n.a.",ISBLANK(M11)),"",M11)</x:f>
        <x:v>29713.11940398</x:v>
      </x:c>
      <x:c r="E78" s="125" t="n">
        <x:f>IF(OR(M12="n.a.",ISBLANK(M12)),"",M12)</x:f>
        <x:v>159783.25799450994</x:v>
      </x:c>
      <x:c r="F78" s="125" t="n">
        <x:f>IF(OR(M15="n.a.",ISBLANK(M15)),"",M15)</x:f>
        <x:v>356625.550255754</x:v>
      </x:c>
      <x:c r="G78" s="103"/>
      <x:c r="H78" s="103"/>
      <x:c r="I78" s="103"/>
      <x:c r="J78" s="103"/>
      <x:c r="K78" s="103"/>
      <x:c r="L78" s="103"/>
      <x:c r="M78" s="103"/>
      <x:c r="N78" s="103"/>
      <x:c r="O78" s="103"/>
      <x:c r="P78" s="103"/>
      <x:c r="Q78" s="103"/>
      <x:c r="R78" s="103"/>
      <x:c r="S78" s="103"/>
      <x:c r="T78" s="103"/>
      <x:c r="U78" s="103"/>
    </x:row>
    <x:row r="79" ht="24" customHeight="1">
      <x:c r="A79" s="103"/>
      <x:c r="B79" s="103"/>
      <x:c r="C79" s="103" t="str">
        <x:f>"FY2031 E"</x:f>
        <x:v>FY2031 E</x:v>
      </x:c>
      <x:c r="D79" s="125" t="n">
        <x:f>IF(OR(N11="n.a.",ISBLANK(N11)),"",N11)</x:f>
        <x:v>29368.2758218606</x:v>
      </x:c>
      <x:c r="E79" s="125" t="n">
        <x:f>IF(OR(N12="n.a.",ISBLANK(N12)),"",N12)</x:f>
        <x:v>181294.08196032187</x:v>
      </x:c>
      <x:c r="F79" s="125" t="n">
        <x:f>IF(OR(N15="n.a.",ISBLANK(N15)),"",N15)</x:f>
        <x:v>513290.5410788633</x:v>
      </x:c>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23" t="str">
        <x:v>Fiscal year</x:v>
      </x:c>
      <x:c r="D88" s="123" t="str">
        <x:v>Debt only</x:v>
      </x:c>
      <x:c r="E88" s="123" t="str">
        <x:v>Including finance leases</x:v>
      </x:c>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"FY2022 A"</x:f>
        <x:v>FY2022 A</x:v>
      </x:c>
      <x:c r="D89" s="125" t="n">
        <x:f>IF(OR(E19="n.a.",ISBLANK(E19)),"",E19)</x:f>
        <x:v>0.5080575201820724</x:v>
      </x:c>
      <x:c r="E89" s="125" t="n">
        <x:f>IF(OR(E20="n.a.",ISBLANK(E20)),"",E20)</x:f>
        <x:v>0.6601451272159456</x:v>
      </x:c>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"FY2023 A"</x:f>
        <x:v>FY2023 A</x:v>
      </x:c>
      <x:c r="D90" s="125" t="n">
        <x:f>IF(OR(F19="n.a.",ISBLANK(F19)),"",F19)</x:f>
        <x:v>0.46300344040069397</x:v>
      </x:c>
      <x:c r="E90" s="125" t="n">
        <x:f>IF(OR(F20="n.a.",ISBLANK(F20)),"",F20)</x:f>
        <x:v>0.6302892485027886</x:v>
      </x:c>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"FY2024 A"</x:f>
        <x:v>FY2024 A</x:v>
      </x:c>
      <x:c r="D91" s="125" t="n">
        <x:f>IF(OR(G19="n.a.",ISBLANK(G19)),"",G19)</x:f>
        <x:v>0.39889363608971434</x:v>
      </x:c>
      <x:c r="E91" s="125" t="n">
        <x:f>IF(OR(G20="n.a.",ISBLANK(G20)),"",G20)</x:f>
        <x:v>0.6086160407314981</x:v>
      </x:c>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"FY2025 A"</x:f>
        <x:v>FY2025 A</x:v>
      </x:c>
      <x:c r="D92" s="125" t="n">
        <x:f>IF(OR(H19="n.a.",ISBLANK(H19)),"",H19)</x:f>
        <x:v>0.27567591740774816</x:v>
      </x:c>
      <x:c r="E92" s="125" t="n">
        <x:f>IF(OR(H20="n.a.",ISBLANK(H20)),"",H20)</x:f>
        <x:v>0.5706518961463763</x:v>
      </x:c>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t="str">
        <x:f>"FY2026 A"</x:f>
        <x:v>FY2026 A</x:v>
      </x:c>
      <x:c r="D93" s="125" t="n">
        <x:f>IF(OR(I19="n.a.",ISBLANK(I19)),"",I19)</x:f>
        <x:v>0.20744760267096382</x:v>
      </x:c>
      <x:c r="E93" s="125" t="n">
        <x:f>IF(OR(I20="n.a.",ISBLANK(I20)),"",I20)</x:f>
        <x:v>0.5502968023600036</x:v>
      </x:c>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t="str">
        <x:f>"FY2027 E"</x:f>
        <x:v>FY2027 E</x:v>
      </x:c>
      <x:c r="D94" s="125" t="n">
        <x:f>IF(OR(J19="n.a.",ISBLANK(J19)),"",J19)</x:f>
        <x:v>0.13624270413207498</x:v>
      </x:c>
      <x:c r="E94" s="125" t="n">
        <x:f>IF(OR(J20="n.a.",ISBLANK(J20)),"",J20)</x:f>
        <x:v>0.5300452635067705</x:v>
      </x:c>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t="str">
        <x:f>"FY2028 E"</x:f>
        <x:v>FY2028 E</x:v>
      </x:c>
      <x:c r="D95" s="125" t="n">
        <x:f>IF(OR(K19="n.a.",ISBLANK(K19)),"",K19)</x:f>
        <x:v>0.11759782905349561</x:v>
      </x:c>
      <x:c r="E95" s="125" t="n">
        <x:f>IF(OR(K20="n.a.",ISBLANK(K20)),"",K20)</x:f>
        <x:v>0.5429514401446625</x:v>
      </x:c>
      <x:c r="F95" s="103"/>
      <x:c r="G95" s="103"/>
      <x:c r="H95" s="103"/>
      <x:c r="I95" s="103"/>
      <x:c r="J95" s="103"/>
      <x:c r="K95" s="103"/>
      <x:c r="L95" s="103"/>
      <x:c r="M95" s="103"/>
      <x:c r="N95" s="103"/>
      <x:c r="O95" s="103"/>
      <x:c r="P95" s="103"/>
      <x:c r="Q95" s="103"/>
      <x:c r="R95" s="103"/>
      <x:c r="S95" s="103"/>
      <x:c r="T95" s="103"/>
      <x:c r="U95" s="103"/>
    </x:row>
    <x:row r="96" ht="24" customHeight="1">
      <x:c r="C96" s="128" t="str">
        <x:f>"FY2029 E"</x:f>
        <x:v>FY2029 E</x:v>
      </x:c>
      <x:c r="D96" s="134" t="n">
        <x:f>IF(OR(L19="n.a.",ISBLANK(L19)),"",L19)</x:f>
        <x:v>0.09587526802221284</x:v>
      </x:c>
      <x:c r="E96" s="134" t="n">
        <x:f>IF(OR(L20="n.a.",ISBLANK(L20)),"",L20)</x:f>
        <x:v>0.5403633035216919</x:v>
      </x:c>
    </x:row>
    <x:row r="97" ht="24" customHeight="1">
      <x:c r="C97" s="128" t="str">
        <x:f>"FY2030 E"</x:f>
        <x:v>FY2030 E</x:v>
      </x:c>
      <x:c r="D97" s="134" t="n">
        <x:f>IF(OR(M19="n.a.",ISBLANK(M19)),"",M19)</x:f>
        <x:v>0.08429258334113438</x:v>
      </x:c>
      <x:c r="E97" s="134" t="n">
        <x:f>IF(OR(M20="n.a.",ISBLANK(M20)),"",M20)</x:f>
        <x:v>0.5375786691237038</x:v>
      </x:c>
    </x:row>
    <x:row r="98" ht="24" customHeight="1">
      <x:c r="C98" s="128" t="str">
        <x:f>"FY2031 E"</x:f>
        <x:v>FY2031 E</x:v>
      </x:c>
      <x:c r="D98" s="134" t="n">
        <x:f>IF(OR(N19="n.a.",ISBLANK(N19)),"",N19)</x:f>
        <x:v>0.07364436578906482</x:v>
      </x:c>
      <x:c r="E98" s="134" t="n">
        <x:f>IF(OR(N20="n.a.",ISBLANK(N20)),"",N20)</x:f>
        <x:v>0.5282603523816609</x:v>
      </x:c>
    </x:row>
  </x:sheetData>
  <x:mergeCells>
    <x:mergeCell ref="C43:S43"/>
    <x:mergeCell ref="C44:S44"/>
    <x:mergeCell ref="C45:S45"/>
  </x:mergeCells>
  <x:pageMargins left="0.7" right="0.7" top="0.75" bottom="0.75" header="0.3" footer="0.3"/>
  <x:drawing xmlns:r="http://schemas.openxmlformats.org/officeDocument/2006/relationships" r:id="R1d40ae11215c4edc"/>
  <x:legacyDrawing xmlns:r="http://schemas.openxmlformats.org/officeDocument/2006/relationships" r:id="R96cd7f1ea31b480d"/>
</x:worksheet>
</file>

<file path=xl/worksheets/sheet4.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Private Equity</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FY:22 A</x:v>
      </x:c>
      <x:c r="F7" s="117" t="str">
        <x:v>FY:23 A</x:v>
      </x:c>
      <x:c r="G7" s="117" t="str">
        <x:v>FY:24 A</x:v>
      </x:c>
      <x:c r="H7" s="117" t="str">
        <x:v>FY:25 A</x:v>
      </x:c>
      <x:c r="I7" s="117" t="str">
        <x:v>FY:26 A</x:v>
      </x:c>
      <x:c r="J7" s="117" t="str">
        <x:v>FY:27 E</x:v>
      </x:c>
      <x:c r="K7" s="117" t="str">
        <x:v>FY:28 E</x:v>
      </x:c>
      <x:c r="L7" s="117" t="str">
        <x:v>FY:29 E</x:v>
      </x:c>
      <x:c r="M7" s="117" t="str">
        <x:v>FY:30 E</x:v>
      </x:c>
      <x:c r="N7" s="117" t="str">
        <x:v>FY:31 E</x:v>
      </x:c>
      <x:c r="O7" s="103"/>
      <x:c r="P7" s="103"/>
      <x:c r="Q7" s="103"/>
      <x:c r="R7" s="103"/>
      <x:c r="S7" s="103"/>
      <x:c r="T7" s="103"/>
      <x:c r="U7" s="103"/>
    </x:row>
    <x:row r="8" ht="24" customHeight="1">
      <x:c r="A8" s="103"/>
      <x:c r="B8" s="103"/>
      <x:c r="C8" s="103" t="str">
        <x:v>Operating income plus disclosed D&amp;A</x:v>
      </x:c>
      <x:c r="D8" s="103"/>
      <x:c r="E8" s="109" t="n">
        <x:f>'Income Statement'!J36</x:f>
        <x:v>97983</x:v>
      </x:c>
      <x:c r="F8" s="109" t="n">
        <x:f>'Income Statement'!K36</x:f>
        <x:v>102023</x:v>
      </x:c>
      <x:c r="G8" s="109" t="n">
        <x:f>'Income Statement'!L36</x:f>
        <x:v>129433</x:v>
      </x:c>
      <x:c r="H8" s="109" t="n">
        <x:f>'Income Statement'!M36</x:f>
        <x:v>156528</x:v>
      </x:c>
      <x:c r="I8" s="109" t="n">
        <x:f>'Income Statement'!N36</x:f>
        <x:v>194237</x:v>
      </x:c>
      <x:c r="J8" s="109" t="n">
        <x:f>'Income Statement'!O36</x:f>
        <x:v>229144.45363427134</x:v>
      </x:c>
      <x:c r="K8" s="109" t="n">
        <x:f>'Income Statement'!P36</x:f>
        <x:v>266920.4223635874</x:v>
      </x:c>
      <x:c r="L8" s="109" t="n">
        <x:f>'Income Statement'!Q36</x:f>
        <x:v>308245.96315238444</x:v>
      </x:c>
      <x:c r="M8" s="109" t="n">
        <x:f>'Income Statement'!R36</x:f>
        <x:v>352499.80753028055</x:v>
      </x:c>
      <x:c r="N8" s="109" t="n">
        <x:f>'Income Statement'!S36</x:f>
        <x:v>398785.1006277711</x:v>
      </x:c>
      <x:c r="O8" s="109"/>
      <x:c r="P8" s="109"/>
      <x:c r="Q8" s="109"/>
      <x:c r="R8" s="109"/>
      <x:c r="S8" s="109"/>
      <x:c r="T8" s="103"/>
      <x:c r="U8" s="103"/>
    </x:row>
    <x:row r="9" ht="24" customHeight="1">
      <x:c r="A9" s="103"/>
      <x:c r="B9" s="103"/>
      <x:c r="C9" s="103"/>
      <x:c r="D9" s="103"/>
      <x:c r="E9" s="103"/>
      <x:c r="F9" s="103"/>
      <x:c r="G9" s="103"/>
      <x:c r="H9" s="103"/>
      <x:c r="I9" s="103"/>
      <x:c r="J9" s="103"/>
      <x:c r="K9" s="103"/>
      <x:c r="L9" s="103"/>
      <x:c r="M9" s="103"/>
      <x:c r="N9" s="103"/>
      <x:c r="O9" s="103"/>
      <x:c r="P9" s="103"/>
      <x:c r="Q9" s="103"/>
      <x:c r="R9" s="103"/>
      <x:c r="S9" s="103"/>
      <x:c r="T9" s="103"/>
      <x:c r="U9" s="103"/>
    </x:row>
    <x:row r="10" ht="24" customHeight="1">
      <x:c r="A10" s="103"/>
      <x:c r="B10" s="103"/>
      <x:c r="C10" s="103" t="str">
        <x:v>Cash capex</x:v>
      </x:c>
      <x:c r="D10" s="103"/>
      <x:c r="E10" s="109" t="n">
        <x:f>-'Cash Flow'!J30</x:f>
        <x:v>23886</x:v>
      </x:c>
      <x:c r="F10" s="109" t="n">
        <x:f>-'Cash Flow'!K30</x:f>
        <x:v>28107</x:v>
      </x:c>
      <x:c r="G10" s="109" t="n">
        <x:f>-'Cash Flow'!L30</x:f>
        <x:v>44477</x:v>
      </x:c>
      <x:c r="H10" s="109" t="n">
        <x:f>-'Cash Flow'!M30</x:f>
        <x:v>64551</x:v>
      </x:c>
      <x:c r="I10" s="109" t="n">
        <x:f>-'Cash Flow'!N30</x:f>
        <x:v>115948</x:v>
      </x:c>
      <x:c r="J10" s="109" t="n">
        <x:f>-'Cash Flow'!O30</x:f>
        <x:v>123215.61600000002</x:v>
      </x:c>
      <x:c r="K10" s="109" t="n">
        <x:f>-'Cash Flow'!P30</x:f>
        <x:v>124453.68387200002</x:v>
      </x:c>
      <x:c r="L10" s="109" t="n">
        <x:f>-'Cash Flow'!Q30</x:f>
        <x:v>127230.579108</x:v>
      </x:c>
      <x:c r="M10" s="109" t="n">
        <x:f>-'Cash Flow'!R30</x:f>
        <x:v>127006.38828240002</x:v>
      </x:c>
      <x:c r="N10" s="109" t="n">
        <x:f>-'Cash Flow'!S30</x:f>
        <x:v>129621.43019877505</x:v>
      </x:c>
      <x:c r="O10" s="109"/>
      <x:c r="P10" s="109"/>
      <x:c r="Q10" s="109"/>
      <x:c r="R10" s="109"/>
      <x:c r="S10" s="109"/>
      <x:c r="T10" s="103"/>
      <x:c r="U10" s="103"/>
    </x:row>
    <x:row r="11" ht="24" customHeight="1">
      <x:c r="A11" s="103"/>
      <x:c r="B11" s="103"/>
      <x:c r="C11" s="103" t="str">
        <x:v>Noncash finance lease additions</x:v>
      </x:c>
      <x:c r="D11" s="103"/>
      <x:c r="E11" s="109" t="n">
        <x:f>'Filing Notes'!J14</x:f>
        <x:v>4234</x:v>
      </x:c>
      <x:c r="F11" s="109" t="n">
        <x:f>'Filing Notes'!K14</x:f>
        <x:v>3128</x:v>
      </x:c>
      <x:c r="G11" s="109" t="n">
        <x:f>'Filing Notes'!L14</x:f>
        <x:v>11633</x:v>
      </x:c>
      <x:c r="H11" s="109" t="n">
        <x:f>'Filing Notes'!M14</x:f>
        <x:v>20511</x:v>
      </x:c>
      <x:c r="I11" s="109" t="n">
        <x:f>'Filing Notes'!N14</x:f>
        <x:v>24608</x:v>
      </x:c>
      <x:c r="J11" s="109" t="n">
        <x:f>'Debt and Leases'!O37</x:f>
        <x:v>28878.660000000003</x:v>
      </x:c>
      <x:c r="K11" s="109" t="n">
        <x:f>'Debt and Leases'!P37</x:f>
        <x:v>31113.420968000006</x:v>
      </x:c>
      <x:c r="L11" s="109" t="n">
        <x:f>'Debt and Leases'!Q37</x:f>
        <x:v>33079.95056808</x:v>
      </x:c>
      <x:c r="M11" s="109" t="n">
        <x:f>'Debt and Leases'!R37</x:f>
        <x:v>34638.1058952</x:v>
      </x:c>
      <x:c r="N11" s="109" t="n">
        <x:f>'Debt and Leases'!S37</x:f>
        <x:v>35645.893304663135</x:v>
      </x:c>
      <x:c r="O11" s="109"/>
      <x:c r="P11" s="109"/>
      <x:c r="Q11" s="109"/>
      <x:c r="R11" s="109"/>
      <x:c r="S11" s="109"/>
      <x:c r="T11" s="103"/>
      <x:c r="U11" s="103"/>
    </x:row>
    <x:row r="12" ht="24" customHeight="1">
      <x:c r="A12" s="103"/>
      <x:c r="B12" s="103"/>
      <x:c r="C12" s="103"/>
      <x:c r="D12" s="103"/>
      <x:c r="E12" s="103"/>
      <x:c r="F12" s="103"/>
      <x:c r="G12" s="103"/>
      <x:c r="H12" s="103"/>
      <x:c r="I12" s="103"/>
      <x:c r="J12" s="103"/>
      <x:c r="K12" s="103"/>
      <x:c r="L12" s="103"/>
      <x:c r="M12" s="103"/>
      <x:c r="N12" s="103"/>
      <x:c r="O12" s="103"/>
      <x:c r="P12" s="103"/>
      <x:c r="Q12" s="103"/>
      <x:c r="R12" s="103"/>
      <x:c r="S12" s="103"/>
      <x:c r="T12" s="103"/>
      <x:c r="U12" s="103"/>
    </x:row>
    <x:row r="13" ht="24" customHeight="1">
      <x:c r="A13" s="103"/>
      <x:c r="B13" s="103"/>
      <x:c r="C13" s="103" t="str">
        <x:v>Stock-based compensation</x:v>
      </x:c>
      <x:c r="D13" s="103"/>
      <x:c r="E13" s="109" t="n">
        <x:f>'Cash Flow'!J12</x:f>
        <x:v>7502</x:v>
      </x:c>
      <x:c r="F13" s="109" t="n">
        <x:f>'Cash Flow'!K12</x:f>
        <x:v>9611</x:v>
      </x:c>
      <x:c r="G13" s="109" t="n">
        <x:f>'Cash Flow'!L12</x:f>
        <x:v>10734</x:v>
      </x:c>
      <x:c r="H13" s="109" t="n">
        <x:f>'Cash Flow'!M12</x:f>
        <x:v>11974</x:v>
      </x:c>
      <x:c r="I13" s="109" t="n">
        <x:f>'Cash Flow'!N12</x:f>
        <x:v>12405</x:v>
      </x:c>
      <x:c r="J13" s="109" t="n">
        <x:f>'Cash Flow'!O12</x:f>
        <x:v>14439.330000000002</x:v>
      </x:c>
      <x:c r="K13" s="109" t="n">
        <x:f>'Cash Flow'!P12</x:f>
        <x:v>16667.90409</x:v>
      </x:c>
      <x:c r="L13" s="109" t="n">
        <x:f>'Cash Flow'!Q12</x:f>
        <x:v>19084.5868662</x:v>
      </x:c>
      <x:c r="M13" s="109" t="n">
        <x:f>'Cash Flow'!R12</x:f>
        <x:v>21648.816184500003</x:v>
      </x:c>
      <x:c r="N13" s="109" t="n">
        <x:f>'Cash Flow'!S12</x:f>
        <x:v>24304.01816227032</x:v>
      </x:c>
      <x:c r="O13" s="109"/>
      <x:c r="P13" s="109"/>
      <x:c r="Q13" s="109"/>
      <x:c r="R13" s="109"/>
      <x:c r="S13" s="109"/>
      <x:c r="T13" s="103"/>
      <x:c r="U13" s="103"/>
    </x:row>
    <x:row r="14" ht="24" customHeight="1">
      <x:c r="A14" s="103"/>
      <x:c r="B14" s="103"/>
      <x:c r="C14" s="103"/>
      <x:c r="D14" s="103"/>
      <x:c r="E14" s="103"/>
      <x:c r="F14" s="103"/>
      <x:c r="G14" s="103"/>
      <x:c r="H14" s="103"/>
      <x:c r="I14" s="103"/>
      <x:c r="J14" s="103"/>
      <x:c r="K14" s="103"/>
      <x:c r="L14" s="103"/>
      <x:c r="M14" s="103"/>
      <x:c r="N14" s="103"/>
      <x:c r="O14" s="103"/>
      <x:c r="P14" s="103"/>
      <x:c r="Q14" s="103"/>
      <x:c r="R14" s="103"/>
      <x:c r="S14" s="103"/>
      <x:c r="T14" s="103"/>
      <x:c r="U14" s="103"/>
    </x:row>
    <x:row r="15" ht="24" customHeight="1">
      <x:c r="A15" s="103"/>
      <x:c r="B15" s="103"/>
      <x:c r="C15" s="103" t="str">
        <x:v>FCF after finance lease principal</x:v>
      </x:c>
      <x:c r="D15" s="103"/>
      <x:c r="E15" s="109" t="n">
        <x:f>'Cash Flow'!J57</x:f>
        <x:v>64253</x:v>
      </x:c>
      <x:c r="F15" s="109" t="n">
        <x:f>'Cash Flow'!K57</x:f>
        <x:v>58419</x:v>
      </x:c>
      <x:c r="G15" s="109" t="n">
        <x:f>'Cash Flow'!L57</x:f>
        <x:v>72785</x:v>
      </x:c>
      <x:c r="H15" s="109" t="n">
        <x:f>'Cash Flow'!M57</x:f>
        <x:v>69328</x:v>
      </x:c>
      <x:c r="I15" s="109" t="n">
        <x:f>'Cash Flow'!N57</x:f>
        <x:v>63886</x:v>
      </x:c>
      <x:c r="J15" s="109" t="n">
        <x:f>'Cash Flow'!O57</x:f>
        <x:v>80560.87884780215</x:v>
      </x:c>
      <x:c r="K15" s="109" t="n">
        <x:f>'Cash Flow'!P57</x:f>
        <x:v>117300.74535714602</x:v>
      </x:c>
      <x:c r="L15" s="109" t="n">
        <x:f>'Cash Flow'!Q57</x:f>
        <x:v>153982.44088947584</x:v>
      </x:c>
      <x:c r="M15" s="109" t="n">
        <x:f>'Cash Flow'!R57</x:f>
        <x:v>197797.45826620416</x:v>
      </x:c>
      <x:c r="N15" s="109" t="n">
        <x:f>'Cash Flow'!S57</x:f>
        <x:v>241526.09387294645</x:v>
      </x:c>
      <x:c r="O15" s="109"/>
      <x:c r="P15" s="109"/>
      <x:c r="Q15" s="109"/>
      <x:c r="R15" s="109"/>
      <x:c r="S15" s="109"/>
      <x:c r="T15" s="103"/>
      <x:c r="U15" s="103"/>
    </x:row>
    <x:row r="16" ht="24" customHeight="1">
      <x:c r="A16" s="103"/>
      <x:c r="B16" s="103"/>
      <x:c r="C16" s="105" t="str">
        <x:v>Cash conversion after finance lease principal</x:v>
      </x:c>
      <x:c r="D16" s="105"/>
      <x:c r="E16" s="119" t="n">
        <x:f>'Cash Flow'!J57/'Income Statement'!J36</x:f>
        <x:v>0.6557566108406561</x:v>
      </x:c>
      <x:c r="F16" s="119" t="n">
        <x:f>'Cash Flow'!K57/'Income Statement'!K36</x:f>
        <x:v>0.5726061770385109</x:v>
      </x:c>
      <x:c r="G16" s="119" t="n">
        <x:f>'Cash Flow'!L57/'Income Statement'!L36</x:f>
        <x:v>0.562337271020528</x:v>
      </x:c>
      <x:c r="H16" s="119" t="n">
        <x:f>'Cash Flow'!M57/'Income Statement'!M36</x:f>
        <x:v>0.4429111724419912</x:v>
      </x:c>
      <x:c r="I16" s="119" t="n">
        <x:f>'Cash Flow'!N57/'Income Statement'!N36</x:f>
        <x:v>0.3289074687109047</x:v>
      </x:c>
      <x:c r="J16" s="119" t="n">
        <x:f>'Cash Flow'!O57/'Income Statement'!O36</x:f>
        <x:v>0.3515724582030786</x:v>
      </x:c>
      <x:c r="K16" s="119" t="n">
        <x:f>'Cash Flow'!P57/'Income Statement'!P36</x:f>
        <x:v>0.4394596124134857</x:v>
      </x:c>
      <x:c r="L16" s="119" t="n">
        <x:f>'Cash Flow'!Q57/'Income Statement'!Q36</x:f>
        <x:v>0.4995440631718933</x:v>
      </x:c>
      <x:c r="M16" s="119" t="n">
        <x:f>'Cash Flow'!R57/'Income Statement'!R36</x:f>
        <x:v>0.5611278475640384</x:v>
      </x:c>
      <x:c r="N16" s="119" t="n">
        <x:f>'Cash Flow'!S57/'Income Statement'!S36</x:f>
        <x:v>0.6056547586475369</x:v>
      </x:c>
      <x:c r="O16" s="119"/>
      <x:c r="P16" s="119"/>
      <x:c r="Q16" s="119"/>
      <x:c r="R16" s="119"/>
      <x:c r="S16" s="119"/>
      <x:c r="T16" s="103"/>
      <x:c r="U16" s="103"/>
    </x:row>
    <x:row r="17" ht="24" customHeight="1">
      <x:c r="A17" s="103"/>
      <x:c r="B17" s="103"/>
      <x:c r="C17" s="103"/>
      <x:c r="D17" s="103"/>
      <x:c r="E17" s="103"/>
      <x:c r="F17" s="103"/>
      <x:c r="G17" s="103"/>
      <x:c r="H17" s="103"/>
      <x:c r="I17" s="103"/>
      <x:c r="J17" s="103"/>
      <x:c r="K17" s="103"/>
      <x:c r="L17" s="103"/>
      <x:c r="M17" s="103"/>
      <x:c r="N17" s="103"/>
      <x:c r="O17" s="103"/>
      <x:c r="P17" s="103"/>
      <x:c r="Q17" s="103"/>
      <x:c r="R17" s="103"/>
      <x:c r="S17" s="103"/>
      <x:c r="T17" s="103"/>
      <x:c r="U17" s="103"/>
    </x:row>
    <x:row r="18" ht="24" customHeight="1">
      <x:c r="A18" s="103"/>
      <x:c r="B18" s="103"/>
      <x:c r="C18" s="103" t="str">
        <x:v>Operating current working capital proxy</x:v>
      </x:c>
      <x:c r="D18" s="103"/>
      <x:c r="E18" s="109" t="n">
        <x:f>'Balance Sheet'!J11+'Balance Sheet'!J12+'Balance Sheet'!J13-'Balance Sheet'!J24-'Balance Sheet'!J27-'Balance Sheet'!J29-'Balance Sheet'!J31</x:f>
        <x:v>-23339</x:v>
      </x:c>
      <x:c r="F18" s="109" t="n">
        <x:f>'Balance Sheet'!K11+'Balance Sheet'!K12+'Balance Sheet'!K13-'Balance Sheet'!K24-'Balance Sheet'!K27-'Balance Sheet'!K29-'Balance Sheet'!K31</x:f>
        <x:v>-21755</x:v>
      </x:c>
      <x:c r="G18" s="109" t="n">
        <x:f>'Balance Sheet'!L11+'Balance Sheet'!L12+'Balance Sheet'!L13-'Balance Sheet'!L24-'Balance Sheet'!L27-'Balance Sheet'!L29-'Balance Sheet'!L31</x:f>
        <x:v>-27136</x:v>
      </x:c>
      <x:c r="H18" s="109" t="n">
        <x:f>'Balance Sheet'!M11+'Balance Sheet'!M12+'Balance Sheet'!M13-'Balance Sheet'!M24-'Balance Sheet'!M27-'Balance Sheet'!M29-'Balance Sheet'!M31</x:f>
        <x:v>-34442</x:v>
      </x:c>
      <x:c r="I18" s="109" t="n">
        <x:f>'Balance Sheet'!N11+'Balance Sheet'!N12+'Balance Sheet'!N13-'Balance Sheet'!N24-'Balance Sheet'!N27-'Balance Sheet'!N29-'Balance Sheet'!N31</x:f>
        <x:v>-26197</x:v>
      </x:c>
      <x:c r="J18" s="109" t="n">
        <x:f>'Balance Sheet'!O11+'Balance Sheet'!O12+'Balance Sheet'!O13-'Balance Sheet'!O24-'Balance Sheet'!O27-'Balance Sheet'!O29-'Balance Sheet'!O31</x:f>
        <x:v>-28918.897388181926</x:v>
      </x:c>
      <x:c r="K18" s="109" t="n">
        <x:f>'Balance Sheet'!P11+'Balance Sheet'!P12+'Balance Sheet'!P13-'Balance Sheet'!P24-'Balance Sheet'!P27-'Balance Sheet'!P29-'Balance Sheet'!P31</x:f>
        <x:v>-33208.029369464304</x:v>
      </x:c>
      <x:c r="L18" s="109" t="n">
        <x:f>'Balance Sheet'!Q11+'Balance Sheet'!Q12+'Balance Sheet'!Q13-'Balance Sheet'!Q24-'Balance Sheet'!Q27-'Balance Sheet'!Q29-'Balance Sheet'!Q31</x:f>
        <x:v>-37504.72335228815</x:v>
      </x:c>
      <x:c r="M18" s="109" t="n">
        <x:f>'Balance Sheet'!R11+'Balance Sheet'!R12+'Balance Sheet'!R13-'Balance Sheet'!R24-'Balance Sheet'!R27-'Balance Sheet'!R29-'Balance Sheet'!R31</x:f>
        <x:v>-42100.81692076876</x:v>
      </x:c>
      <x:c r="N18" s="109" t="n">
        <x:f>'Balance Sheet'!S11+'Balance Sheet'!S12+'Balance Sheet'!S13-'Balance Sheet'!S24-'Balance Sheet'!S27-'Balance Sheet'!S29-'Balance Sheet'!S31</x:f>
        <x:v>-47622.11905468347</x:v>
      </x:c>
      <x:c r="O18" s="109"/>
      <x:c r="P18" s="109"/>
      <x:c r="Q18" s="109"/>
      <x:c r="R18" s="109"/>
      <x:c r="S18" s="109"/>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3" t="str">
        <x:v>Cash acquisitions and intangible purchases</x:v>
      </x:c>
      <x:c r="D20" s="103"/>
      <x:c r="E20" s="109" t="n">
        <x:f>-'Cash Flow'!J31</x:f>
        <x:v>22038</x:v>
      </x:c>
      <x:c r="F20" s="109" t="n">
        <x:f>-'Cash Flow'!K31</x:f>
        <x:v>1670</x:v>
      </x:c>
      <x:c r="G20" s="109" t="n">
        <x:f>-'Cash Flow'!L31</x:f>
        <x:v>69132</x:v>
      </x:c>
      <x:c r="H20" s="109" t="n">
        <x:f>-'Cash Flow'!M31</x:f>
        <x:v>5978</x:v>
      </x:c>
      <x:c r="I20" s="109" t="n">
        <x:f>-'Cash Flow'!N31</x:f>
        <x:v>1743</x:v>
      </x:c>
      <x:c r="J20" s="109" t="n">
        <x:f>-'Cash Flow'!O31</x:f>
        <x:v>0</x:v>
      </x:c>
      <x:c r="K20" s="109" t="n">
        <x:f>-'Cash Flow'!P31</x:f>
        <x:v>0</x:v>
      </x:c>
      <x:c r="L20" s="109" t="n">
        <x:f>-'Cash Flow'!Q31</x:f>
        <x:v>0</x:v>
      </x:c>
      <x:c r="M20" s="109" t="n">
        <x:f>-'Cash Flow'!R31</x:f>
        <x:v>0</x:v>
      </x:c>
      <x:c r="N20" s="109" t="n">
        <x:f>-'Cash Flow'!S31</x:f>
        <x:v>0</x:v>
      </x:c>
      <x:c r="O20" s="109"/>
      <x:c r="P20" s="109"/>
      <x:c r="Q20" s="109"/>
      <x:c r="R20" s="109"/>
      <x:c r="S20" s="109"/>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5" t="str">
        <x:v>Cash capex / earnings proxy</x:v>
      </x:c>
      <x:c r="D22" s="105"/>
      <x:c r="E22" s="119" t="n">
        <x:f>-'Cash Flow'!J30/'Income Statement'!J36</x:f>
        <x:v>0.243776981721319</x:v>
      </x:c>
      <x:c r="F22" s="119" t="n">
        <x:f>-'Cash Flow'!K30/'Income Statement'!K36</x:f>
        <x:v>0.27549670172412105</x:v>
      </x:c>
      <x:c r="G22" s="119" t="n">
        <x:f>-'Cash Flow'!L30/'Income Statement'!L36</x:f>
        <x:v>0.3436295226101535</x:v>
      </x:c>
      <x:c r="H22" s="119" t="n">
        <x:f>-'Cash Flow'!M30/'Income Statement'!M36</x:f>
        <x:v>0.4123926709598283</x:v>
      </x:c>
      <x:c r="I22" s="119" t="n">
        <x:f>-'Cash Flow'!N30/'Income Statement'!N36</x:f>
        <x:v>0.5969408506103369</x:v>
      </x:c>
      <x:c r="J22" s="119" t="n">
        <x:f>-'Cash Flow'!O30/'Income Statement'!O36</x:f>
        <x:v>0.5377202635533118</x:v>
      </x:c>
      <x:c r="K22" s="119" t="n">
        <x:f>-'Cash Flow'!P30/'Income Statement'!P36</x:f>
        <x:v>0.46625763128186054</x:v>
      </x:c>
      <x:c r="L22" s="119" t="n">
        <x:f>-'Cash Flow'!Q30/'Income Statement'!Q36</x:f>
        <x:v>0.4127566758923046</x:v>
      </x:c>
      <x:c r="M22" s="119" t="n">
        <x:f>-'Cash Flow'!R30/'Income Statement'!R36</x:f>
        <x:v>0.3603020074599328</x:v>
      </x:c>
      <x:c r="N22" s="119" t="n">
        <x:f>-'Cash Flow'!S30/'Income Statement'!S36</x:f>
        <x:v>0.3250408051723192</x:v>
      </x:c>
      <x:c r="O22" s="119"/>
      <x:c r="P22" s="119"/>
      <x:c r="Q22" s="119"/>
      <x:c r="R22" s="119"/>
      <x:c r="S22" s="119"/>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t="str">
        <x:v>Change in net PPE / revenue growth amount</x:v>
      </x:c>
      <x:c r="D24" s="103"/>
      <x:c r="E24" s="132" t="n">
        <x:f>('Balance Sheet'!J16-'Balance Sheet'!I16)/('Income Statement'!J8-'Income Statement'!I8)</x:f>
        <x:v>0.4864820091445232</x:v>
      </x:c>
      <x:c r="F24" s="132" t="n">
        <x:f>('Balance Sheet'!K16-'Balance Sheet'!J16)/('Income Statement'!K8-'Income Statement'!J8)</x:f>
        <x:v>1.5568340051300842</x:v>
      </x:c>
      <x:c r="G24" s="132" t="n">
        <x:f>('Balance Sheet'!L16-'Balance Sheet'!K16)/('Income Statement'!L8-'Income Statement'!K8)</x:f>
        <x:v>1.203059595868341</x:v>
      </x:c>
      <x:c r="H24" s="132" t="n">
        <x:f>('Balance Sheet'!M16-'Balance Sheet'!L16)/('Income Statement'!M8-'Income Statement'!L8)</x:f>
        <x:v>1.8953882301513578</x:v>
      </x:c>
      <x:c r="I24" s="132" t="n">
        <x:f>('Balance Sheet'!N16-'Balance Sheet'!M16)/('Income Statement'!N8-'Income Statement'!M8)</x:f>
        <x:v>2.157238351790881</x:v>
      </x:c>
      <x:c r="J24" s="132" t="n">
        <x:f>('Balance Sheet'!O16-'Balance Sheet'!N16)/('Income Statement'!O8-'Income Statement'!N8)</x:f>
        <x:v>1.874053888569399</x:v>
      </x:c>
      <x:c r="K24" s="132" t="n">
        <x:f>('Balance Sheet'!P16-'Balance Sheet'!O16)/('Income Statement'!P8-'Income Statement'!O8)</x:f>
        <x:v>1.3078882730046466</x:v>
      </x:c>
      <x:c r="L24" s="132" t="n">
        <x:f>('Balance Sheet'!Q16-'Balance Sheet'!P16)/('Income Statement'!Q8-'Income Statement'!P8)</x:f>
        <x:v>0.8798246485161716</x:v>
      </x:c>
      <x:c r="M24" s="132" t="n">
        <x:f>('Balance Sheet'!R16-'Balance Sheet'!Q16)/('Income Statement'!R8-'Income Statement'!Q8)</x:f>
        <x:v>0.4542067055877429</x:v>
      </x:c>
      <x:c r="N24" s="132" t="n">
        <x:f>('Balance Sheet'!S16-'Balance Sheet'!R16)/('Income Statement'!S8-'Income Statement'!R8)</x:f>
        <x:v>0.11564728780702378</x:v>
      </x:c>
      <x:c r="O24" s="132"/>
      <x:c r="P24" s="132"/>
      <x:c r="Q24" s="132"/>
      <x:c r="R24" s="132"/>
      <x:c r="S24" s="132"/>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4" t="str">
        <x:v>Selected-case observations</x:v>
      </x:c>
      <x:c r="D42" s="104"/>
      <x:c r="E42" s="104"/>
      <x:c r="F42" s="104"/>
      <x:c r="G42" s="104"/>
      <x:c r="H42" s="104"/>
      <x:c r="I42" s="104"/>
      <x:c r="J42" s="104"/>
      <x:c r="K42" s="104"/>
      <x:c r="L42" s="104"/>
      <x:c r="M42" s="104"/>
      <x:c r="N42" s="104"/>
      <x:c r="O42" s="104"/>
      <x:c r="P42" s="104"/>
      <x:c r="Q42" s="104"/>
      <x:c r="R42" s="104"/>
      <x:c r="S42" s="104"/>
      <x:c r="T42" s="103"/>
      <x:c r="U42" s="103"/>
    </x:row>
    <x:row r="43" ht="24" customHeight="1">
      <x:c r="A43" s="103"/>
      <x:c r="B43" s="103"/>
      <x:c r="C43" s="103" t="str">
        <x:f>"FY2031 cash capex: "&amp;FIXED(N10/1000,1,TRUE)&amp;"bn; noncash finance lease additions: "&amp;FIXED(N11/1000,1,TRUE)&amp;"bn."</x:f>
        <x:v>FY2031 cash capex: 129.6bn; noncash finance lease additions: 35.6bn.</x:v>
      </x:c>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t="str">
        <x:f>"FY2031 FCF after lease principal: "&amp;FIXED(N15/1000,1,TRUE)&amp;"bn; cash conversion on the earnings proxy: "&amp;(FIXED((N16)*100,1,TRUE)&amp;"%")&amp;"."</x:f>
        <x:v>FY2031 FCF after lease principal: 241.5bn; cash conversion on the earnings proxy: 60.6%.</x:v>
      </x:c>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t="str">
        <x:f>"FY2031 SBC: "&amp;FIXED(N13/1000,1,TRUE)&amp;"bn. Assess the cash add-back alongside the independent dilution assumption."</x:f>
        <x:v>FY2031 SBC: 24.3bn. Assess the cash add-back alongside the independent dilution assumption.</x:v>
      </x:c>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23" t="str">
        <x:v>Fiscal year</x:v>
      </x:c>
      <x:c r="D69" s="123" t="str">
        <x:v>Cash capex</x:v>
      </x:c>
      <x:c r="E69" s="123" t="str">
        <x:v>Finance lease additions</x:v>
      </x:c>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t="str">
        <x:f>"FY2022 A"</x:f>
        <x:v>FY2022 A</x:v>
      </x:c>
      <x:c r="D70" s="125" t="n">
        <x:f>IF(OR(E10="n.a.",ISBLANK(E10)),"",E10)</x:f>
        <x:v>23886</x:v>
      </x:c>
      <x:c r="E70" s="125" t="n">
        <x:f>IF(OR(E11="n.a.",ISBLANK(E11)),"",E11)</x:f>
        <x:v>4234</x:v>
      </x:c>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t="str">
        <x:f>"FY2023 A"</x:f>
        <x:v>FY2023 A</x:v>
      </x:c>
      <x:c r="D71" s="125" t="n">
        <x:f>IF(OR(F10="n.a.",ISBLANK(F10)),"",F10)</x:f>
        <x:v>28107</x:v>
      </x:c>
      <x:c r="E71" s="125" t="n">
        <x:f>IF(OR(F11="n.a.",ISBLANK(F11)),"",F11)</x:f>
        <x:v>3128</x:v>
      </x:c>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t="str">
        <x:f>"FY2024 A"</x:f>
        <x:v>FY2024 A</x:v>
      </x:c>
      <x:c r="D72" s="125" t="n">
        <x:f>IF(OR(G10="n.a.",ISBLANK(G10)),"",G10)</x:f>
        <x:v>44477</x:v>
      </x:c>
      <x:c r="E72" s="125" t="n">
        <x:f>IF(OR(G11="n.a.",ISBLANK(G11)),"",G11)</x:f>
        <x:v>11633</x:v>
      </x:c>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t="str">
        <x:f>"FY2025 A"</x:f>
        <x:v>FY2025 A</x:v>
      </x:c>
      <x:c r="D73" s="125" t="n">
        <x:f>IF(OR(H10="n.a.",ISBLANK(H10)),"",H10)</x:f>
        <x:v>64551</x:v>
      </x:c>
      <x:c r="E73" s="125" t="n">
        <x:f>IF(OR(H11="n.a.",ISBLANK(H11)),"",H11)</x:f>
        <x:v>20511</x:v>
      </x:c>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t="str">
        <x:f>"FY2026 A"</x:f>
        <x:v>FY2026 A</x:v>
      </x:c>
      <x:c r="D74" s="125" t="n">
        <x:f>IF(OR(I10="n.a.",ISBLANK(I10)),"",I10)</x:f>
        <x:v>115948</x:v>
      </x:c>
      <x:c r="E74" s="125" t="n">
        <x:f>IF(OR(I11="n.a.",ISBLANK(I11)),"",I11)</x:f>
        <x:v>24608</x:v>
      </x:c>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t="str">
        <x:f>"FY2027 E"</x:f>
        <x:v>FY2027 E</x:v>
      </x:c>
      <x:c r="D75" s="125" t="n">
        <x:f>IF(OR(J10="n.a.",ISBLANK(J10)),"",J10)</x:f>
        <x:v>123215.61600000002</x:v>
      </x:c>
      <x:c r="E75" s="125" t="n">
        <x:f>IF(OR(J11="n.a.",ISBLANK(J11)),"",J11)</x:f>
        <x:v>28878.660000000003</x:v>
      </x:c>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t="str">
        <x:f>"FY2028 E"</x:f>
        <x:v>FY2028 E</x:v>
      </x:c>
      <x:c r="D76" s="125" t="n">
        <x:f>IF(OR(K10="n.a.",ISBLANK(K10)),"",K10)</x:f>
        <x:v>124453.68387200002</x:v>
      </x:c>
      <x:c r="E76" s="125" t="n">
        <x:f>IF(OR(K11="n.a.",ISBLANK(K11)),"",K11)</x:f>
        <x:v>31113.420968000006</x:v>
      </x:c>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t="str">
        <x:f>"FY2029 E"</x:f>
        <x:v>FY2029 E</x:v>
      </x:c>
      <x:c r="D77" s="125" t="n">
        <x:f>IF(OR(L10="n.a.",ISBLANK(L10)),"",L10)</x:f>
        <x:v>127230.579108</x:v>
      </x:c>
      <x:c r="E77" s="125" t="n">
        <x:f>IF(OR(L11="n.a.",ISBLANK(L11)),"",L11)</x:f>
        <x:v>33079.95056808</x:v>
      </x:c>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t="str">
        <x:f>"FY2030 E"</x:f>
        <x:v>FY2030 E</x:v>
      </x:c>
      <x:c r="D78" s="125" t="n">
        <x:f>IF(OR(M10="n.a.",ISBLANK(M10)),"",M10)</x:f>
        <x:v>127006.38828240002</x:v>
      </x:c>
      <x:c r="E78" s="125" t="n">
        <x:f>IF(OR(M11="n.a.",ISBLANK(M11)),"",M11)</x:f>
        <x:v>34638.1058952</x:v>
      </x:c>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t="str">
        <x:f>"FY2031 E"</x:f>
        <x:v>FY2031 E</x:v>
      </x:c>
      <x:c r="D79" s="125" t="n">
        <x:f>IF(OR(N10="n.a.",ISBLANK(N10)),"",N10)</x:f>
        <x:v>129621.43019877505</x:v>
      </x:c>
      <x:c r="E79" s="125" t="n">
        <x:f>IF(OR(N11="n.a.",ISBLANK(N11)),"",N11)</x:f>
        <x:v>35645.893304663135</x:v>
      </x:c>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23" t="str">
        <x:v>Fiscal year</x:v>
      </x:c>
      <x:c r="D88" s="123" t="str">
        <x:v>Cash conversion</x:v>
      </x:c>
      <x:c r="E88" s="123" t="str">
        <x:v>Cash capex / earnings proxy</x:v>
      </x:c>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"FY2022 A"</x:f>
        <x:v>FY2022 A</x:v>
      </x:c>
      <x:c r="D89" s="127" t="n">
        <x:f>IF(OR(E16="n.a.",ISBLANK(E16)),"",E16)</x:f>
        <x:v>0.6557566108406561</x:v>
      </x:c>
      <x:c r="E89" s="127" t="n">
        <x:f>IF(OR(E22="n.a.",ISBLANK(E22)),"",E22)</x:f>
        <x:v>0.243776981721319</x:v>
      </x:c>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"FY2023 A"</x:f>
        <x:v>FY2023 A</x:v>
      </x:c>
      <x:c r="D90" s="127" t="n">
        <x:f>IF(OR(F16="n.a.",ISBLANK(F16)),"",F16)</x:f>
        <x:v>0.5726061770385109</x:v>
      </x:c>
      <x:c r="E90" s="127" t="n">
        <x:f>IF(OR(F22="n.a.",ISBLANK(F22)),"",F22)</x:f>
        <x:v>0.27549670172412105</x:v>
      </x:c>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"FY2024 A"</x:f>
        <x:v>FY2024 A</x:v>
      </x:c>
      <x:c r="D91" s="127" t="n">
        <x:f>IF(OR(G16="n.a.",ISBLANK(G16)),"",G16)</x:f>
        <x:v>0.562337271020528</x:v>
      </x:c>
      <x:c r="E91" s="127" t="n">
        <x:f>IF(OR(G22="n.a.",ISBLANK(G22)),"",G22)</x:f>
        <x:v>0.3436295226101535</x:v>
      </x:c>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"FY2025 A"</x:f>
        <x:v>FY2025 A</x:v>
      </x:c>
      <x:c r="D92" s="127" t="n">
        <x:f>IF(OR(H16="n.a.",ISBLANK(H16)),"",H16)</x:f>
        <x:v>0.4429111724419912</x:v>
      </x:c>
      <x:c r="E92" s="127" t="n">
        <x:f>IF(OR(H22="n.a.",ISBLANK(H22)),"",H22)</x:f>
        <x:v>0.4123926709598283</x:v>
      </x:c>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t="str">
        <x:f>"FY2026 A"</x:f>
        <x:v>FY2026 A</x:v>
      </x:c>
      <x:c r="D93" s="127" t="n">
        <x:f>IF(OR(I16="n.a.",ISBLANK(I16)),"",I16)</x:f>
        <x:v>0.3289074687109047</x:v>
      </x:c>
      <x:c r="E93" s="127" t="n">
        <x:f>IF(OR(I22="n.a.",ISBLANK(I22)),"",I22)</x:f>
        <x:v>0.5969408506103369</x:v>
      </x:c>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t="str">
        <x:f>"FY2027 E"</x:f>
        <x:v>FY2027 E</x:v>
      </x:c>
      <x:c r="D94" s="127" t="n">
        <x:f>IF(OR(J16="n.a.",ISBLANK(J16)),"",J16)</x:f>
        <x:v>0.3515724582030786</x:v>
      </x:c>
      <x:c r="E94" s="127" t="n">
        <x:f>IF(OR(J22="n.a.",ISBLANK(J22)),"",J22)</x:f>
        <x:v>0.5377202635533118</x:v>
      </x:c>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t="str">
        <x:f>"FY2028 E"</x:f>
        <x:v>FY2028 E</x:v>
      </x:c>
      <x:c r="D95" s="127" t="n">
        <x:f>IF(OR(K16="n.a.",ISBLANK(K16)),"",K16)</x:f>
        <x:v>0.4394596124134857</x:v>
      </x:c>
      <x:c r="E95" s="127" t="n">
        <x:f>IF(OR(K22="n.a.",ISBLANK(K22)),"",K22)</x:f>
        <x:v>0.46625763128186054</x:v>
      </x:c>
      <x:c r="F95" s="103"/>
      <x:c r="G95" s="103"/>
      <x:c r="H95" s="103"/>
      <x:c r="I95" s="103"/>
      <x:c r="J95" s="103"/>
      <x:c r="K95" s="103"/>
      <x:c r="L95" s="103"/>
      <x:c r="M95" s="103"/>
      <x:c r="N95" s="103"/>
      <x:c r="O95" s="103"/>
      <x:c r="P95" s="103"/>
      <x:c r="Q95" s="103"/>
      <x:c r="R95" s="103"/>
      <x:c r="S95" s="103"/>
      <x:c r="T95" s="103"/>
      <x:c r="U95" s="103"/>
    </x:row>
    <x:row r="96" ht="24" customHeight="1">
      <x:c r="C96" s="128" t="str">
        <x:f>"FY2029 E"</x:f>
        <x:v>FY2029 E</x:v>
      </x:c>
      <x:c r="D96" s="130" t="n">
        <x:f>IF(OR(L16="n.a.",ISBLANK(L16)),"",L16)</x:f>
        <x:v>0.4995440631718933</x:v>
      </x:c>
      <x:c r="E96" s="130" t="n">
        <x:f>IF(OR(L22="n.a.",ISBLANK(L22)),"",L22)</x:f>
        <x:v>0.4127566758923046</x:v>
      </x:c>
    </x:row>
    <x:row r="97" ht="24" customHeight="1">
      <x:c r="C97" s="128" t="str">
        <x:f>"FY2030 E"</x:f>
        <x:v>FY2030 E</x:v>
      </x:c>
      <x:c r="D97" s="130" t="n">
        <x:f>IF(OR(M16="n.a.",ISBLANK(M16)),"",M16)</x:f>
        <x:v>0.5611278475640384</x:v>
      </x:c>
      <x:c r="E97" s="130" t="n">
        <x:f>IF(OR(M22="n.a.",ISBLANK(M22)),"",M22)</x:f>
        <x:v>0.3603020074599328</x:v>
      </x:c>
    </x:row>
    <x:row r="98" ht="24" customHeight="1">
      <x:c r="C98" s="128" t="str">
        <x:f>"FY2031 E"</x:f>
        <x:v>FY2031 E</x:v>
      </x:c>
      <x:c r="D98" s="130" t="n">
        <x:f>IF(OR(N16="n.a.",ISBLANK(N16)),"",N16)</x:f>
        <x:v>0.6056547586475369</x:v>
      </x:c>
      <x:c r="E98" s="130" t="n">
        <x:f>IF(OR(N22="n.a.",ISBLANK(N22)),"",N22)</x:f>
        <x:v>0.3250408051723192</x:v>
      </x:c>
    </x:row>
  </x:sheetData>
  <x:mergeCells>
    <x:mergeCell ref="C43:S43"/>
    <x:mergeCell ref="C44:S44"/>
    <x:mergeCell ref="C45:S45"/>
  </x:mergeCells>
  <x:pageMargins left="0.7" right="0.7" top="0.75" bottom="0.75" header="0.3" footer="0.3"/>
  <x:drawing xmlns:r="http://schemas.openxmlformats.org/officeDocument/2006/relationships" r:id="Rd1d936e096c9411c"/>
  <x:legacyDrawing xmlns:r="http://schemas.openxmlformats.org/officeDocument/2006/relationships" r:id="R15a2ef4102154669"/>
</x:worksheet>
</file>

<file path=xl/worksheets/sheet5.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FP&amp;A</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FY:22 A</x:v>
      </x:c>
      <x:c r="F7" s="117" t="str">
        <x:v>FY:23 A</x:v>
      </x:c>
      <x:c r="G7" s="117" t="str">
        <x:v>FY:24 A</x:v>
      </x:c>
      <x:c r="H7" s="117" t="str">
        <x:v>FY:25 A</x:v>
      </x:c>
      <x:c r="I7" s="117" t="str">
        <x:v>FY:26 A</x:v>
      </x:c>
      <x:c r="J7" s="117" t="str">
        <x:v>FY:27 E</x:v>
      </x:c>
      <x:c r="K7" s="117" t="str">
        <x:v>FY:28 E</x:v>
      </x:c>
      <x:c r="L7" s="117" t="str">
        <x:v>FY:29 E</x:v>
      </x:c>
      <x:c r="M7" s="117" t="str">
        <x:v>FY:30 E</x:v>
      </x:c>
      <x:c r="N7" s="117" t="str">
        <x:v>FY:31 E</x:v>
      </x:c>
      <x:c r="O7" s="103"/>
      <x:c r="P7" s="103"/>
      <x:c r="Q7" s="103"/>
      <x:c r="R7" s="103"/>
      <x:c r="S7" s="103"/>
      <x:c r="T7" s="103"/>
      <x:c r="U7" s="103"/>
    </x:row>
    <x:row r="8" ht="24" customHeight="1">
      <x:c r="A8" s="103"/>
      <x:c r="B8" s="103"/>
      <x:c r="C8" s="103" t="str">
        <x:v>Productivity and Business Processes revenue</x:v>
      </x:c>
      <x:c r="D8" s="103"/>
      <x:c r="E8" s="109" t="n">
        <x:f>'Segments'!J8</x:f>
        <x:v>63364</x:v>
      </x:c>
      <x:c r="F8" s="109" t="n">
        <x:f>'Segments'!K8</x:f>
        <x:v>94151</x:v>
      </x:c>
      <x:c r="G8" s="109" t="n">
        <x:f>'Segments'!L8</x:f>
        <x:v>106820</x:v>
      </x:c>
      <x:c r="H8" s="109" t="n">
        <x:f>'Segments'!M8</x:f>
        <x:v>120810</x:v>
      </x:c>
      <x:c r="I8" s="109" t="n">
        <x:f>'Segments'!N8</x:f>
        <x:v>139996</x:v>
      </x:c>
      <x:c r="J8" s="109" t="n">
        <x:f>'Segments'!O8</x:f>
        <x:v>159595.44000000003</x:v>
      </x:c>
      <x:c r="K8" s="109" t="n">
        <x:f>'Segments'!P8</x:f>
        <x:v>180342.84720000002</x:v>
      </x:c>
      <x:c r="L8" s="109" t="n">
        <x:f>'Segments'!Q8</x:f>
        <x:v>201983.98886400004</x:v>
      </x:c>
      <x:c r="M8" s="109" t="n">
        <x:f>'Segments'!R8</x:f>
        <x:v>224202.22763904007</x:v>
      </x:c>
      <x:c r="N8" s="109" t="n">
        <x:f>'Segments'!S8</x:f>
        <x:v>246622.4504029441</x:v>
      </x:c>
      <x:c r="O8" s="109"/>
      <x:c r="P8" s="109"/>
      <x:c r="Q8" s="109"/>
      <x:c r="R8" s="109"/>
      <x:c r="S8" s="109"/>
      <x:c r="T8" s="103"/>
      <x:c r="U8" s="103"/>
    </x:row>
    <x:row r="9" ht="24" customHeight="1">
      <x:c r="A9" s="103"/>
      <x:c r="B9" s="103"/>
      <x:c r="C9" s="103" t="str">
        <x:v>Intelligent Cloud revenue</x:v>
      </x:c>
      <x:c r="D9" s="103"/>
      <x:c r="E9" s="109" t="n">
        <x:f>'Segments'!J22</x:f>
        <x:v>74965</x:v>
      </x:c>
      <x:c r="F9" s="109" t="n">
        <x:f>'Segments'!K22</x:f>
        <x:v>72944</x:v>
      </x:c>
      <x:c r="G9" s="109" t="n">
        <x:f>'Segments'!L22</x:f>
        <x:v>87464</x:v>
      </x:c>
      <x:c r="H9" s="109" t="n">
        <x:f>'Segments'!M22</x:f>
        <x:v>106265</x:v>
      </x:c>
      <x:c r="I9" s="109" t="n">
        <x:f>'Segments'!N22</x:f>
        <x:v>137791</x:v>
      </x:c>
      <x:c r="J9" s="109" t="n">
        <x:f>'Segments'!O22</x:f>
        <x:v>170860.84</x:v>
      </x:c>
      <x:c r="K9" s="109" t="n">
        <x:f>'Segments'!P22</x:f>
        <x:v>208450.2248</x:v>
      </x:c>
      <x:c r="L9" s="109" t="n">
        <x:f>'Segments'!Q22</x:f>
        <x:v>250140.26976</x:v>
      </x:c>
      <x:c r="M9" s="109" t="n">
        <x:f>'Segments'!R22</x:f>
        <x:v>295165.5183168</x:v>
      </x:c>
      <x:c r="N9" s="109" t="n">
        <x:f>'Segments'!S22</x:f>
        <x:v>342392.00124748796</x:v>
      </x:c>
      <x:c r="O9" s="109"/>
      <x:c r="P9" s="109"/>
      <x:c r="Q9" s="109"/>
      <x:c r="R9" s="109"/>
      <x:c r="S9" s="109"/>
      <x:c r="T9" s="103"/>
      <x:c r="U9" s="103"/>
    </x:row>
    <x:row r="10" ht="24" customHeight="1">
      <x:c r="A10" s="103"/>
      <x:c r="B10" s="103"/>
      <x:c r="C10" s="103" t="str">
        <x:v>More Personal Computing revenue</x:v>
      </x:c>
      <x:c r="D10" s="103"/>
      <x:c r="E10" s="109" t="n">
        <x:f>'Segments'!J36</x:f>
        <x:v>59941</x:v>
      </x:c>
      <x:c r="F10" s="109" t="n">
        <x:f>'Segments'!K36</x:f>
        <x:v>44820</x:v>
      </x:c>
      <x:c r="G10" s="109" t="n">
        <x:f>'Segments'!L36</x:f>
        <x:v>50838</x:v>
      </x:c>
      <x:c r="H10" s="109" t="n">
        <x:f>'Segments'!M36</x:f>
        <x:v>54649</x:v>
      </x:c>
      <x:c r="I10" s="109" t="n">
        <x:f>'Segments'!N36</x:f>
        <x:v>54052</x:v>
      </x:c>
      <x:c r="J10" s="109" t="n">
        <x:f>'Segments'!O36</x:f>
        <x:v>54592.520000000004</x:v>
      </x:c>
      <x:c r="K10" s="109" t="n">
        <x:f>'Segments'!P36</x:f>
        <x:v>55684.37040000001</x:v>
      </x:c>
      <x:c r="L10" s="109" t="n">
        <x:f>'Segments'!Q36</x:f>
        <x:v>56798.057808000005</x:v>
      </x:c>
      <x:c r="M10" s="109" t="n">
        <x:f>'Segments'!R36</x:f>
        <x:v>57934.01896416001</x:v>
      </x:c>
      <x:c r="N10" s="109" t="n">
        <x:f>'Segments'!S36</x:f>
        <x:v>59092.69934344321</x:v>
      </x:c>
      <x:c r="O10" s="109"/>
      <x:c r="P10" s="109"/>
      <x:c r="Q10" s="109"/>
      <x:c r="R10" s="109"/>
      <x:c r="S10" s="109"/>
      <x:c r="T10" s="103"/>
      <x:c r="U10" s="103"/>
    </x:row>
    <x:row r="11" ht="24" customHeight="1">
      <x:c r="A11" s="103"/>
      <x:c r="B11" s="103"/>
      <x:c r="C11" s="103"/>
      <x:c r="D11" s="103"/>
      <x:c r="E11" s="103"/>
      <x:c r="F11" s="103"/>
      <x:c r="G11" s="103"/>
      <x:c r="H11" s="103"/>
      <x:c r="I11" s="103"/>
      <x:c r="J11" s="103"/>
      <x:c r="K11" s="103"/>
      <x:c r="L11" s="103"/>
      <x:c r="M11" s="103"/>
      <x:c r="N11" s="103"/>
      <x:c r="O11" s="103"/>
      <x:c r="P11" s="103"/>
      <x:c r="Q11" s="103"/>
      <x:c r="R11" s="103"/>
      <x:c r="S11" s="103"/>
      <x:c r="T11" s="103"/>
      <x:c r="U11" s="103"/>
    </x:row>
    <x:row r="12" ht="24" customHeight="1">
      <x:c r="A12" s="103"/>
      <x:c r="B12" s="103"/>
      <x:c r="C12" s="103" t="str">
        <x:v>Research and development</x:v>
      </x:c>
      <x:c r="D12" s="103"/>
      <x:c r="E12" s="109" t="n">
        <x:f>'Income Statement'!J14</x:f>
        <x:v>24512</x:v>
      </x:c>
      <x:c r="F12" s="109" t="n">
        <x:f>'Income Statement'!K14</x:f>
        <x:v>27195</x:v>
      </x:c>
      <x:c r="G12" s="109" t="n">
        <x:f>'Income Statement'!L14</x:f>
        <x:v>29510</x:v>
      </x:c>
      <x:c r="H12" s="109" t="n">
        <x:f>'Income Statement'!M14</x:f>
        <x:v>32488</x:v>
      </x:c>
      <x:c r="I12" s="109" t="n">
        <x:f>'Income Statement'!N14</x:f>
        <x:v>35562</x:v>
      </x:c>
      <x:c r="J12" s="109" t="n">
        <x:f>'Income Statement'!O14</x:f>
        <x:v>42340.911817928674</x:v>
      </x:c>
      <x:c r="K12" s="109" t="n">
        <x:f>'Income Statement'!P14</x:f>
        <x:v>51150.89940868524</x:v>
      </x:c>
      <x:c r="L12" s="109" t="n">
        <x:f>'Income Statement'!Q14</x:f>
        <x:v>60522.53930091431</x:v>
      </x:c>
      <x:c r="M12" s="109" t="n">
        <x:f>'Income Statement'!R14</x:f>
        <x:v>70220.21893489482</x:v>
      </x:c>
      <x:c r="N12" s="109" t="n">
        <x:f>'Income Statement'!S14</x:f>
        <x:v>80133.32454351732</x:v>
      </x:c>
      <x:c r="O12" s="109"/>
      <x:c r="P12" s="109"/>
      <x:c r="Q12" s="109"/>
      <x:c r="R12" s="109"/>
      <x:c r="S12" s="109"/>
      <x:c r="T12" s="103"/>
      <x:c r="U12" s="103"/>
    </x:row>
    <x:row r="13" ht="24" customHeight="1">
      <x:c r="A13" s="103"/>
      <x:c r="B13" s="103"/>
      <x:c r="C13" s="103" t="str">
        <x:v>Sales and marketing</x:v>
      </x:c>
      <x:c r="D13" s="103"/>
      <x:c r="E13" s="109" t="n">
        <x:f>'Income Statement'!J15</x:f>
        <x:v>21825</x:v>
      </x:c>
      <x:c r="F13" s="109" t="n">
        <x:f>'Income Statement'!K15</x:f>
        <x:v>22759</x:v>
      </x:c>
      <x:c r="G13" s="109" t="n">
        <x:f>'Income Statement'!L15</x:f>
        <x:v>24456</x:v>
      </x:c>
      <x:c r="H13" s="109" t="n">
        <x:f>'Income Statement'!M15</x:f>
        <x:v>25654</x:v>
      </x:c>
      <x:c r="I13" s="109" t="n">
        <x:f>'Income Statement'!N15</x:f>
        <x:v>26710</x:v>
      </x:c>
      <x:c r="J13" s="109" t="n">
        <x:f>'Income Statement'!O15</x:f>
        <x:v>30803.904000000006</x:v>
      </x:c>
      <x:c r="K13" s="109" t="n">
        <x:f>'Income Statement'!P15</x:f>
        <x:v>35113.7179496</x:v>
      </x:c>
      <x:c r="L13" s="109" t="n">
        <x:f>'Income Statement'!Q15</x:f>
        <x:v>39695.940681696</x:v>
      </x:c>
      <x:c r="M13" s="109" t="n">
        <x:f>'Income Statement'!R15</x:f>
        <x:v>44452.23589884001</x:v>
      </x:c>
      <x:c r="N13" s="109" t="n">
        <x:f>'Income Statement'!S15</x:f>
        <x:v>49256.14347553452</x:v>
      </x:c>
      <x:c r="O13" s="109"/>
      <x:c r="P13" s="109"/>
      <x:c r="Q13" s="109"/>
      <x:c r="R13" s="109"/>
      <x:c r="S13" s="109"/>
      <x:c r="T13" s="103"/>
      <x:c r="U13" s="103"/>
    </x:row>
    <x:row r="14" ht="24" customHeight="1">
      <x:c r="A14" s="103"/>
      <x:c r="B14" s="103"/>
      <x:c r="C14" s="103" t="str">
        <x:v>General and administrative</x:v>
      </x:c>
      <x:c r="D14" s="103"/>
      <x:c r="E14" s="109" t="n">
        <x:f>'Income Statement'!J16</x:f>
        <x:v>5900</x:v>
      </x:c>
      <x:c r="F14" s="109" t="n">
        <x:f>'Income Statement'!K16</x:f>
        <x:v>7575</x:v>
      </x:c>
      <x:c r="G14" s="109" t="n">
        <x:f>'Income Statement'!L16</x:f>
        <x:v>7609</x:v>
      </x:c>
      <x:c r="H14" s="109" t="n">
        <x:f>'Income Statement'!M16</x:f>
        <x:v>7223</x:v>
      </x:c>
      <x:c r="I14" s="109" t="n">
        <x:f>'Income Statement'!N16</x:f>
        <x:v>7956</x:v>
      </x:c>
      <x:c r="J14" s="109" t="n">
        <x:f>'Income Statement'!O16</x:f>
        <x:v>9241.1712</x:v>
      </x:c>
      <x:c r="K14" s="109" t="n">
        <x:f>'Income Statement'!P16</x:f>
        <x:v>10445.219896400002</x:v>
      </x:c>
      <x:c r="L14" s="109" t="n">
        <x:f>'Income Statement'!Q16</x:f>
        <x:v>11705.213277936</x:v>
      </x:c>
      <x:c r="M14" s="109" t="n">
        <x:f>'Income Statement'!R16</x:f>
        <x:v>12989.289710700003</x:v>
      </x:c>
      <x:c r="N14" s="109" t="n">
        <x:f>'Income Statement'!S16</x:f>
        <x:v>14258.357321865255</x:v>
      </x:c>
      <x:c r="O14" s="109"/>
      <x:c r="P14" s="109"/>
      <x:c r="Q14" s="109"/>
      <x:c r="R14" s="109"/>
      <x:c r="S14" s="109"/>
      <x:c r="T14" s="103"/>
      <x:c r="U14" s="103"/>
    </x:row>
    <x:row r="15" ht="24" customHeight="1">
      <x:c r="A15" s="103"/>
      <x:c r="B15" s="103"/>
      <x:c r="C15" s="103"/>
      <x:c r="D15" s="103"/>
      <x:c r="E15" s="103"/>
      <x:c r="F15" s="103"/>
      <x:c r="G15" s="103"/>
      <x:c r="H15" s="103"/>
      <x:c r="I15" s="103"/>
      <x:c r="J15" s="103"/>
      <x:c r="K15" s="103"/>
      <x:c r="L15" s="103"/>
      <x:c r="M15" s="103"/>
      <x:c r="N15" s="103"/>
      <x:c r="O15" s="103"/>
      <x:c r="P15" s="103"/>
      <x:c r="Q15" s="103"/>
      <x:c r="R15" s="103"/>
      <x:c r="S15" s="103"/>
      <x:c r="T15" s="103"/>
      <x:c r="U15" s="103"/>
    </x:row>
    <x:row r="16" ht="24" customHeight="1">
      <x:c r="A16" s="103"/>
      <x:c r="B16" s="103"/>
      <x:c r="C16" s="103" t="str">
        <x:v>PPE depreciation</x:v>
      </x:c>
      <x:c r="D16" s="103"/>
      <x:c r="E16" s="109" t="n">
        <x:f>'PPE and Intangibles'!J21</x:f>
        <x:v>12600</x:v>
      </x:c>
      <x:c r="F16" s="109" t="n">
        <x:f>'PPE and Intangibles'!K21</x:f>
        <x:v>11000</x:v>
      </x:c>
      <x:c r="G16" s="109" t="n">
        <x:f>'PPE and Intangibles'!L21</x:f>
        <x:v>15200</x:v>
      </x:c>
      <x:c r="H16" s="109" t="n">
        <x:f>'PPE and Intangibles'!M21</x:f>
        <x:v>22000</x:v>
      </x:c>
      <x:c r="I16" s="109" t="n">
        <x:f>'PPE and Intangibles'!N21</x:f>
        <x:v>34300</x:v>
      </x:c>
      <x:c r="J16" s="109" t="n">
        <x:f>'PPE and Intangibles'!O21</x:f>
        <x:v>50319.3666</x:v>
      </x:c>
      <x:c r="K16" s="109" t="n">
        <x:f>'PPE and Intangibles'!P21</x:f>
        <x:v>75599.62026141334</x:v>
      </x:c>
      <x:c r="L16" s="109" t="n">
        <x:f>'PPE and Intangibles'!Q21</x:f>
        <x:v>101565.57059252668</x:v>
      </x:c>
      <x:c r="M16" s="109" t="n">
        <x:f>'PPE and Intangibles'!R21</x:f>
        <x:v>128010.09185221468</x:v>
      </x:c>
      <x:c r="N16" s="109" t="n">
        <x:f>'PPE and Intangibles'!S21</x:f>
        <x:v>154852.54990618228</x:v>
      </x:c>
      <x:c r="O16" s="109"/>
      <x:c r="P16" s="109"/>
      <x:c r="Q16" s="109"/>
      <x:c r="R16" s="109"/>
      <x:c r="S16" s="109"/>
      <x:c r="T16" s="103"/>
      <x:c r="U16" s="103"/>
    </x:row>
    <x:row r="17" ht="24" customHeight="1">
      <x:c r="A17" s="103"/>
      <x:c r="B17" s="103"/>
      <x:c r="C17" s="103" t="str">
        <x:v>Operating lease expense</x:v>
      </x:c>
      <x:c r="D17" s="103"/>
      <x:c r="E17" s="109" t="n">
        <x:f>'Debt and Leases'!J61</x:f>
        <x:v>2461</x:v>
      </x:c>
      <x:c r="F17" s="109" t="n">
        <x:f>'Debt and Leases'!K61</x:f>
        <x:v>2875</x:v>
      </x:c>
      <x:c r="G17" s="109" t="n">
        <x:f>'Debt and Leases'!L61</x:f>
        <x:v>3555</x:v>
      </x:c>
      <x:c r="H17" s="109" t="n">
        <x:f>'Debt and Leases'!M61</x:f>
        <x:v>5524</x:v>
      </x:c>
      <x:c r="I17" s="109" t="n">
        <x:f>'Debt and Leases'!N61</x:f>
        <x:v>6968</x:v>
      </x:c>
      <x:c r="J17" s="109" t="n">
        <x:f>'Debt and Leases'!O61</x:f>
        <x:v>5428.887042</x:v>
      </x:c>
      <x:c r="K17" s="109" t="n">
        <x:f>'Debt and Leases'!P61</x:f>
        <x:v>6402.942695266</x:v>
      </x:c>
      <x:c r="L17" s="109" t="n">
        <x:f>'Debt and Leases'!Q61</x:f>
        <x:v>7428.829732529213</x:v>
      </x:c>
      <x:c r="M17" s="109" t="n">
        <x:f>'Debt and Leases'!R61</x:f>
        <x:v>8502.564695694284</x:v>
      </x:c>
      <x:c r="N17" s="109" t="n">
        <x:f>'Debt and Leases'!S61</x:f>
        <x:v>9609.606390594998</x:v>
      </x:c>
      <x:c r="O17" s="109"/>
      <x:c r="P17" s="109"/>
      <x:c r="Q17" s="109"/>
      <x:c r="R17" s="109"/>
      <x:c r="S17" s="109"/>
      <x:c r="T17" s="103"/>
      <x:c r="U17" s="103"/>
    </x:row>
    <x:row r="18" ht="24" customHeight="1">
      <x:c r="A18" s="103"/>
      <x:c r="B18" s="103"/>
      <x:c r="C18" s="103"/>
      <x:c r="D18" s="103"/>
      <x:c r="E18" s="103"/>
      <x:c r="F18" s="103"/>
      <x:c r="G18" s="103"/>
      <x:c r="H18" s="103"/>
      <x:c r="I18" s="103"/>
      <x:c r="J18" s="103"/>
      <x:c r="K18" s="103"/>
      <x:c r="L18" s="103"/>
      <x:c r="M18" s="103"/>
      <x:c r="N18" s="103"/>
      <x:c r="O18" s="103"/>
      <x:c r="P18" s="103"/>
      <x:c r="Q18" s="103"/>
      <x:c r="R18" s="103"/>
      <x:c r="S18" s="103"/>
      <x:c r="T18" s="103"/>
      <x:c r="U18" s="103"/>
    </x:row>
    <x:row r="19" ht="24" customHeight="1">
      <x:c r="A19" s="103"/>
      <x:c r="B19" s="103"/>
      <x:c r="C19" s="103" t="str">
        <x:v>Operating income</x:v>
      </x:c>
      <x:c r="D19" s="103"/>
      <x:c r="E19" s="109" t="n">
        <x:f>'Income Statement'!J19</x:f>
        <x:v>83383</x:v>
      </x:c>
      <x:c r="F19" s="109" t="n">
        <x:f>'Income Statement'!K19</x:f>
        <x:v>88523</x:v>
      </x:c>
      <x:c r="G19" s="109" t="n">
        <x:f>'Income Statement'!L19</x:f>
        <x:v>109433</x:v>
      </x:c>
      <x:c r="H19" s="109" t="n">
        <x:f>'Income Statement'!M19</x:f>
        <x:v>128528</x:v>
      </x:c>
      <x:c r="I19" s="109" t="n">
        <x:f>'Income Statement'!N19</x:f>
        <x:v>155237</x:v>
      </x:c>
      <x:c r="J19" s="109" t="n">
        <x:f>'Income Statement'!O19</x:f>
        <x:v>175728.08703427133</x:v>
      </x:c>
      <x:c r="K19" s="109" t="n">
        <x:f>'Income Statement'!P19</x:f>
        <x:v>189179.8021021741</x:v>
      </x:c>
      <x:c r="L19" s="109" t="n">
        <x:f>'Income Statement'!Q19</x:f>
        <x:v>204736.39255985775</x:v>
      </x:c>
      <x:c r="M19" s="109" t="n">
        <x:f>'Income Statement'!R19</x:f>
        <x:v>223012.7156780659</x:v>
      </x:c>
      <x:c r="N19" s="109" t="n">
        <x:f>'Income Statement'!S19</x:f>
        <x:v>242804.5507215888</x:v>
      </x:c>
      <x:c r="O19" s="109"/>
      <x:c r="P19" s="109"/>
      <x:c r="Q19" s="109"/>
      <x:c r="R19" s="109"/>
      <x:c r="S19" s="109"/>
      <x:c r="T19" s="103"/>
      <x:c r="U19" s="103"/>
    </x:row>
    <x:row r="20" ht="24" customHeight="1">
      <x:c r="A20" s="103"/>
      <x:c r="B20" s="103"/>
      <x:c r="C20" s="105" t="str">
        <x:v>Operating margin</x:v>
      </x:c>
      <x:c r="D20" s="105"/>
      <x:c r="E20" s="119" t="n">
        <x:f>'Income Statement'!J20</x:f>
        <x:v>0.4205527815604983</x:v>
      </x:c>
      <x:c r="F20" s="119" t="n">
        <x:f>'Income Statement'!K20</x:f>
        <x:v>0.417728806361041</x:v>
      </x:c>
      <x:c r="G20" s="119" t="n">
        <x:f>'Income Statement'!L20</x:f>
        <x:v>0.44644299573273716</x:v>
      </x:c>
      <x:c r="H20" s="119" t="n">
        <x:f>'Income Statement'!M20</x:f>
        <x:v>0.4562195624085985</x:v>
      </x:c>
      <x:c r="I20" s="119" t="n">
        <x:f>'Income Statement'!N20</x:f>
        <x:v>0.4678081840892722</x:v>
      </x:c>
      <x:c r="J20" s="119" t="n">
        <x:f>'Income Statement'!O20</x:f>
        <x:v>0.45637874221208147</x:v>
      </x:c>
      <x:c r="K20" s="119" t="n">
        <x:f>'Income Statement'!P20</x:f>
        <x:v>0.4256229541834091</x:v>
      </x:c>
      <x:c r="L20" s="119" t="n">
        <x:f>'Income Statement'!Q20</x:f>
        <x:v>0.4022939964496796</x:v>
      </x:c>
      <x:c r="M20" s="119" t="n">
        <x:f>'Income Statement'!R20</x:f>
        <x:v>0.38630180822151133</x:v>
      </x:c>
      <x:c r="N20" s="119" t="n">
        <x:f>'Income Statement'!S20</x:f>
        <x:v>0.3746364321844728</x:v>
      </x:c>
      <x:c r="O20" s="119"/>
      <x:c r="P20" s="119"/>
      <x:c r="Q20" s="119"/>
      <x:c r="R20" s="119"/>
      <x:c r="S20" s="119"/>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5" t="str">
        <x:v>Cash capex / revenue</x:v>
      </x:c>
      <x:c r="D22" s="105"/>
      <x:c r="E22" s="119" t="n">
        <x:f>-'Cash Flow'!J30/'Income Statement'!J8</x:f>
        <x:v>0.12047208352246935</x:v>
      </x:c>
      <x:c r="F22" s="119" t="n">
        <x:f>-'Cash Flow'!K30/'Income Statement'!K8</x:f>
        <x:v>0.13263336715192411</x:v>
      </x:c>
      <x:c r="G22" s="119" t="n">
        <x:f>-'Cash Flow'!L30/'Income Statement'!L8</x:f>
        <x:v>0.18144842160230415</x:v>
      </x:c>
      <x:c r="H22" s="119" t="n">
        <x:f>-'Cash Flow'!M30/'Income Statement'!M8</x:f>
        <x:v>0.22912850875324786</x:v>
      </x:c>
      <x:c r="I22" s="119" t="n">
        <x:f>-'Cash Flow'!N30/'Income Statement'!N8</x:f>
        <x:v>0.34941040685392616</x:v>
      </x:c>
      <x:c r="J22" s="119" t="n">
        <x:f>-'Cash Flow'!O30/'Income Statement'!O8</x:f>
        <x:v>0.32</x:v>
      </x:c>
      <x:c r="K22" s="119" t="n">
        <x:f>-'Cash Flow'!P30/'Income Statement'!P8</x:f>
        <x:v>0.28</x:v>
      </x:c>
      <x:c r="L22" s="119" t="n">
        <x:f>-'Cash Flow'!Q30/'Income Statement'!Q8</x:f>
        <x:v>0.25</x:v>
      </x:c>
      <x:c r="M22" s="119" t="n">
        <x:f>-'Cash Flow'!R30/'Income Statement'!R8</x:f>
        <x:v>0.22</x:v>
      </x:c>
      <x:c r="N22" s="119" t="n">
        <x:f>-'Cash Flow'!S30/'Income Statement'!S8</x:f>
        <x:v>0.2</x:v>
      </x:c>
      <x:c r="O22" s="119"/>
      <x:c r="P22" s="119"/>
      <x:c r="Q22" s="119"/>
      <x:c r="R22" s="119"/>
      <x:c r="S22" s="119"/>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x:c r="D24" s="103"/>
      <x:c r="E24" s="103"/>
      <x:c r="F24" s="103"/>
      <x:c r="G24" s="103"/>
      <x:c r="H24" s="103"/>
      <x:c r="I24" s="103"/>
      <x:c r="J24" s="103"/>
      <x:c r="K24" s="103"/>
      <x:c r="L24" s="103"/>
      <x:c r="M24" s="103"/>
      <x:c r="N24" s="103"/>
      <x:c r="O24" s="103"/>
      <x:c r="P24" s="103"/>
      <x:c r="Q24" s="103"/>
      <x:c r="R24" s="103"/>
      <x:c r="S24" s="103"/>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36" t="str">
        <x:v>FY2026 to FY2027 operating income bridge</x:v>
      </x:c>
      <x:c r="D27" s="136"/>
      <x:c r="E27" s="136"/>
      <x:c r="F27" s="136"/>
      <x:c r="G27" s="136"/>
      <x:c r="H27" s="136"/>
      <x:c r="I27" s="136"/>
      <x:c r="J27" s="136"/>
      <x:c r="K27" s="136"/>
      <x:c r="L27" s="136"/>
      <x:c r="M27" s="136"/>
      <x:c r="N27" s="136"/>
      <x:c r="O27" s="136"/>
      <x:c r="P27" s="136"/>
      <x:c r="Q27" s="136"/>
      <x:c r="R27" s="136"/>
      <x:c r="S27" s="136"/>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t="str">
        <x:v>FY2026 operating income</x:v>
      </x:c>
      <x:c r="D29" s="103"/>
      <x:c r="E29" s="103"/>
      <x:c r="F29" s="109" t="n">
        <x:f>'Income Statement'!N19</x:f>
        <x:v>155237</x:v>
      </x:c>
      <x:c r="G29" s="103"/>
      <x:c r="H29" s="103"/>
      <x:c r="I29" s="103"/>
      <x:c r="J29" s="103"/>
      <x:c r="K29" s="103"/>
      <x:c r="L29" s="103"/>
      <x:c r="M29" s="103"/>
      <x:c r="N29" s="103"/>
      <x:c r="O29" s="103"/>
      <x:c r="P29" s="103"/>
      <x:c r="Q29" s="103"/>
      <x:c r="R29" s="103"/>
      <x:c r="S29" s="103"/>
      <x:c r="T29" s="103"/>
      <x:c r="U29" s="103"/>
    </x:row>
    <x:row r="30" ht="24" customHeight="1">
      <x:c r="A30" s="103"/>
      <x:c r="B30" s="103"/>
      <x:c r="C30" s="103" t="str">
        <x:v>PBP revenue change</x:v>
      </x:c>
      <x:c r="D30" s="103"/>
      <x:c r="E30" s="103"/>
      <x:c r="F30" s="109" t="n">
        <x:f>'Segments'!O8-'Segments'!N8</x:f>
        <x:v>19599.44000000003</x:v>
      </x:c>
      <x:c r="G30" s="103"/>
      <x:c r="H30" s="103"/>
      <x:c r="I30" s="103"/>
      <x:c r="J30" s="103"/>
      <x:c r="K30" s="103"/>
      <x:c r="L30" s="103"/>
      <x:c r="M30" s="103"/>
      <x:c r="N30" s="103"/>
      <x:c r="O30" s="103"/>
      <x:c r="P30" s="103"/>
      <x:c r="Q30" s="103"/>
      <x:c r="R30" s="103"/>
      <x:c r="S30" s="103"/>
      <x:c r="T30" s="103"/>
      <x:c r="U30" s="103"/>
    </x:row>
    <x:row r="31" ht="24" customHeight="1">
      <x:c r="A31" s="103"/>
      <x:c r="B31" s="103"/>
      <x:c r="C31" s="103" t="str">
        <x:v>IC revenue change</x:v>
      </x:c>
      <x:c r="D31" s="103"/>
      <x:c r="E31" s="103"/>
      <x:c r="F31" s="109" t="n">
        <x:f>'Segments'!O22-'Segments'!N22</x:f>
        <x:v>33069.84</x:v>
      </x:c>
      <x:c r="G31" s="103"/>
      <x:c r="H31" s="103"/>
      <x:c r="I31" s="103"/>
      <x:c r="J31" s="103"/>
      <x:c r="K31" s="103"/>
      <x:c r="L31" s="103"/>
      <x:c r="M31" s="103"/>
      <x:c r="N31" s="103"/>
      <x:c r="O31" s="103"/>
      <x:c r="P31" s="103"/>
      <x:c r="Q31" s="103"/>
      <x:c r="R31" s="103"/>
      <x:c r="S31" s="103"/>
      <x:c r="T31" s="103"/>
      <x:c r="U31" s="103"/>
    </x:row>
    <x:row r="32" ht="24" customHeight="1">
      <x:c r="A32" s="103"/>
      <x:c r="B32" s="103"/>
      <x:c r="C32" s="103" t="str">
        <x:v>MPC revenue change</x:v>
      </x:c>
      <x:c r="D32" s="103"/>
      <x:c r="E32" s="103"/>
      <x:c r="F32" s="109" t="n">
        <x:f>'Segments'!O36-'Segments'!N36</x:f>
        <x:v>540.5200000000041</x:v>
      </x:c>
      <x:c r="G32" s="103"/>
      <x:c r="H32" s="103"/>
      <x:c r="I32" s="103"/>
      <x:c r="J32" s="103"/>
      <x:c r="K32" s="103"/>
      <x:c r="L32" s="103"/>
      <x:c r="M32" s="103"/>
      <x:c r="N32" s="103"/>
      <x:c r="O32" s="103"/>
      <x:c r="P32" s="103"/>
      <x:c r="Q32" s="103"/>
      <x:c r="R32" s="103"/>
      <x:c r="S32" s="103"/>
      <x:c r="T32" s="103"/>
      <x:c r="U32" s="103"/>
    </x:row>
    <x:row r="33" ht="24" customHeight="1">
      <x:c r="A33" s="103"/>
      <x:c r="B33" s="103"/>
      <x:c r="C33" s="103" t="str">
        <x:v>Cost of revenue change</x:v>
      </x:c>
      <x:c r="D33" s="103"/>
      <x:c r="E33" s="103"/>
      <x:c r="F33" s="109" t="n">
        <x:f>'Income Statement'!N10-'Income Statement'!O10</x:f>
        <x:v>-20560.72594780002</x:v>
      </x:c>
      <x:c r="G33" s="103"/>
      <x:c r="H33" s="103"/>
      <x:c r="I33" s="103"/>
      <x:c r="J33" s="103"/>
      <x:c r="K33" s="103"/>
      <x:c r="L33" s="103"/>
      <x:c r="M33" s="103"/>
      <x:c r="N33" s="103"/>
      <x:c r="O33" s="103"/>
      <x:c r="P33" s="103"/>
      <x:c r="Q33" s="103"/>
      <x:c r="R33" s="103"/>
      <x:c r="S33" s="103"/>
      <x:c r="T33" s="103"/>
      <x:c r="U33" s="103"/>
    </x:row>
    <x:row r="34" ht="24" customHeight="1">
      <x:c r="A34" s="103"/>
      <x:c r="B34" s="103"/>
      <x:c r="C34" s="103" t="str">
        <x:v>R&amp;D expense change</x:v>
      </x:c>
      <x:c r="D34" s="103"/>
      <x:c r="E34" s="103"/>
      <x:c r="F34" s="109" t="n">
        <x:f>'Income Statement'!N14-'Income Statement'!O14</x:f>
        <x:v>-6778.911817928674</x:v>
      </x:c>
      <x:c r="G34" s="103"/>
      <x:c r="H34" s="103"/>
      <x:c r="I34" s="103"/>
      <x:c r="J34" s="103"/>
      <x:c r="K34" s="103"/>
      <x:c r="L34" s="103"/>
      <x:c r="M34" s="103"/>
      <x:c r="N34" s="103"/>
      <x:c r="O34" s="103"/>
      <x:c r="P34" s="103"/>
      <x:c r="Q34" s="103"/>
      <x:c r="R34" s="103"/>
      <x:c r="S34" s="103"/>
      <x:c r="T34" s="103"/>
      <x:c r="U34" s="103"/>
    </x:row>
    <x:row r="35" ht="24" customHeight="1">
      <x:c r="A35" s="103"/>
      <x:c r="B35" s="103"/>
      <x:c r="C35" s="103" t="str">
        <x:v>Sales and marketing expense change</x:v>
      </x:c>
      <x:c r="D35" s="103"/>
      <x:c r="E35" s="103"/>
      <x:c r="F35" s="109" t="n">
        <x:f>'Income Statement'!N15-'Income Statement'!O15</x:f>
        <x:v>-4093.904000000006</x:v>
      </x:c>
      <x:c r="G35" s="103"/>
      <x:c r="H35" s="103"/>
      <x:c r="I35" s="103"/>
      <x:c r="J35" s="103"/>
      <x:c r="K35" s="103"/>
      <x:c r="L35" s="103"/>
      <x:c r="M35" s="103"/>
      <x:c r="N35" s="103"/>
      <x:c r="O35" s="103"/>
      <x:c r="P35" s="103"/>
      <x:c r="Q35" s="103"/>
      <x:c r="R35" s="103"/>
      <x:c r="S35" s="103"/>
      <x:c r="T35" s="103"/>
      <x:c r="U35" s="103"/>
    </x:row>
    <x:row r="36" ht="24" customHeight="1">
      <x:c r="A36" s="103"/>
      <x:c r="B36" s="103"/>
      <x:c r="C36" s="103" t="str">
        <x:v>General and administrative change</x:v>
      </x:c>
      <x:c r="D36" s="103"/>
      <x:c r="E36" s="103"/>
      <x:c r="F36" s="109" t="n">
        <x:f>'Income Statement'!N16-'Income Statement'!O16</x:f>
        <x:v>-1285.1712000000007</x:v>
      </x:c>
      <x:c r="G36" s="103"/>
      <x:c r="H36" s="103"/>
      <x:c r="I36" s="103"/>
      <x:c r="J36" s="103"/>
      <x:c r="K36" s="103"/>
      <x:c r="L36" s="103"/>
      <x:c r="M36" s="103"/>
      <x:c r="N36" s="103"/>
      <x:c r="O36" s="103"/>
      <x:c r="P36" s="103"/>
      <x:c r="Q36" s="103"/>
      <x:c r="R36" s="103"/>
      <x:c r="S36" s="103"/>
      <x:c r="T36" s="103"/>
      <x:c r="U36" s="103"/>
    </x:row>
    <x:row r="37" ht="24" customHeight="1">
      <x:c r="A37" s="103"/>
      <x:c r="B37" s="103"/>
      <x:c r="C37" s="103" t="str">
        <x:v>Other operating expense change</x:v>
      </x:c>
      <x:c r="D37" s="103"/>
      <x:c r="E37" s="103"/>
      <x:c r="F37" s="109" t="n">
        <x:f>'Income Statement'!N17-'Income Statement'!O17</x:f>
        <x:v>0</x:v>
      </x:c>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t="str">
        <x:v>FY2027 operating income</x:v>
      </x:c>
      <x:c r="D39" s="103"/>
      <x:c r="E39" s="103"/>
      <x:c r="F39" s="109" t="n">
        <x:f>SUM(F29:F37)</x:f>
        <x:v>175728.08703427133</x:v>
      </x:c>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4" t="str">
        <x:v>Selected-case observations</x:v>
      </x:c>
      <x:c r="D57" s="104"/>
      <x:c r="E57" s="104"/>
      <x:c r="F57" s="104"/>
      <x:c r="G57" s="104"/>
      <x:c r="H57" s="104"/>
      <x:c r="I57" s="104"/>
      <x:c r="J57" s="104"/>
      <x:c r="K57" s="104"/>
      <x:c r="L57" s="104"/>
      <x:c r="M57" s="104"/>
      <x:c r="N57" s="104"/>
      <x:c r="O57" s="104"/>
      <x:c r="P57" s="104"/>
      <x:c r="Q57" s="104"/>
      <x:c r="R57" s="104"/>
      <x:c r="S57" s="104"/>
      <x:c r="T57" s="103"/>
      <x:c r="U57" s="103"/>
    </x:row>
    <x:row r="58" ht="24" customHeight="1">
      <x:c r="A58" s="103"/>
      <x:c r="B58" s="103"/>
      <x:c r="C58" s="103" t="str">
        <x:f>"FY2027 operating income changes by "&amp;FIXED((J19-I19)/1000,1,TRUE)&amp;"bn under the selected case."</x:f>
        <x:v>FY2027 operating income changes by 20.5bn under the selected case.</x:v>
      </x:c>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t="str">
        <x:f>"FY2031 Intelligent Cloud revenue share: "&amp;(FIXED((N9/SUM(N8:N10))*100,1,TRUE)&amp;"%")&amp;"."</x:f>
        <x:v>FY2031 Intelligent Cloud revenue share: 52.8%.</x:v>
      </x:c>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t="str">
        <x:f>"PPE depreciation rises from "&amp;FIXED(I16/1000,1,TRUE)&amp;"bn in FY2026 to "&amp;FIXED(N16/1000,1,TRUE)&amp;"bn in FY2031."</x:f>
        <x:v>PPE depreciation rises from 34.3bn in FY2026 to 154.9bn in FY2031.</x:v>
      </x:c>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23" t="str">
        <x:v>Fiscal year</x:v>
      </x:c>
      <x:c r="D84" s="123" t="str">
        <x:v>PBP</x:v>
      </x:c>
      <x:c r="E84" s="123" t="str">
        <x:v>Intelligent Cloud</x:v>
      </x:c>
      <x:c r="F84" s="123" t="str">
        <x:v>MPC</x:v>
      </x:c>
      <x:c r="G84" s="103"/>
      <x:c r="H84" s="103"/>
      <x:c r="I84" s="103"/>
      <x:c r="J84" s="103"/>
      <x:c r="K84" s="103"/>
      <x:c r="L84" s="103"/>
      <x:c r="M84" s="103"/>
      <x:c r="N84" s="103"/>
      <x:c r="O84" s="103"/>
      <x:c r="P84" s="103"/>
      <x:c r="Q84" s="103"/>
      <x:c r="R84" s="103"/>
      <x:c r="S84" s="103"/>
      <x:c r="T84" s="103"/>
      <x:c r="U84" s="103"/>
    </x:row>
    <x:row r="85" ht="24" customHeight="1">
      <x:c r="A85" s="103"/>
      <x:c r="B85" s="103"/>
      <x:c r="C85" s="103" t="str">
        <x:f>"FY2023 A"</x:f>
        <x:v>FY2023 A</x:v>
      </x:c>
      <x:c r="D85" s="125" t="n">
        <x:f>IF(OR(F8="n.a.",ISBLANK(F8)),"",F8)</x:f>
        <x:v>94151</x:v>
      </x:c>
      <x:c r="E85" s="125" t="n">
        <x:f>IF(OR(F9="n.a.",ISBLANK(F9)),"",F9)</x:f>
        <x:v>72944</x:v>
      </x:c>
      <x:c r="F85" s="125" t="n">
        <x:f>IF(OR(F10="n.a.",ISBLANK(F10)),"",F10)</x:f>
        <x:v>44820</x:v>
      </x:c>
      <x:c r="G85" s="103"/>
      <x:c r="H85" s="103"/>
      <x:c r="I85" s="103"/>
      <x:c r="J85" s="103"/>
      <x:c r="K85" s="103"/>
      <x:c r="L85" s="103"/>
      <x:c r="M85" s="103"/>
      <x:c r="N85" s="103"/>
      <x:c r="O85" s="103"/>
      <x:c r="P85" s="103"/>
      <x:c r="Q85" s="103"/>
      <x:c r="R85" s="103"/>
      <x:c r="S85" s="103"/>
      <x:c r="T85" s="103"/>
      <x:c r="U85" s="103"/>
    </x:row>
    <x:row r="86" ht="24" customHeight="1">
      <x:c r="A86" s="103"/>
      <x:c r="B86" s="103"/>
      <x:c r="C86" s="103" t="str">
        <x:f>"FY2024 A"</x:f>
        <x:v>FY2024 A</x:v>
      </x:c>
      <x:c r="D86" s="125" t="n">
        <x:f>IF(OR(G8="n.a.",ISBLANK(G8)),"",G8)</x:f>
        <x:v>106820</x:v>
      </x:c>
      <x:c r="E86" s="125" t="n">
        <x:f>IF(OR(G9="n.a.",ISBLANK(G9)),"",G9)</x:f>
        <x:v>87464</x:v>
      </x:c>
      <x:c r="F86" s="125" t="n">
        <x:f>IF(OR(G10="n.a.",ISBLANK(G10)),"",G10)</x:f>
        <x:v>50838</x:v>
      </x:c>
      <x:c r="G86" s="103"/>
      <x:c r="H86" s="103"/>
      <x:c r="I86" s="103"/>
      <x:c r="J86" s="103"/>
      <x:c r="K86" s="103"/>
      <x:c r="L86" s="103"/>
      <x:c r="M86" s="103"/>
      <x:c r="N86" s="103"/>
      <x:c r="O86" s="103"/>
      <x:c r="P86" s="103"/>
      <x:c r="Q86" s="103"/>
      <x:c r="R86" s="103"/>
      <x:c r="S86" s="103"/>
      <x:c r="T86" s="103"/>
      <x:c r="U86" s="103"/>
    </x:row>
    <x:row r="87" ht="24" customHeight="1">
      <x:c r="A87" s="103"/>
      <x:c r="B87" s="103"/>
      <x:c r="C87" s="103" t="str">
        <x:f>"FY2025 A"</x:f>
        <x:v>FY2025 A</x:v>
      </x:c>
      <x:c r="D87" s="125" t="n">
        <x:f>IF(OR(H8="n.a.",ISBLANK(H8)),"",H8)</x:f>
        <x:v>120810</x:v>
      </x:c>
      <x:c r="E87" s="125" t="n">
        <x:f>IF(OR(H9="n.a.",ISBLANK(H9)),"",H9)</x:f>
        <x:v>106265</x:v>
      </x:c>
      <x:c r="F87" s="125" t="n">
        <x:f>IF(OR(H10="n.a.",ISBLANK(H10)),"",H10)</x:f>
        <x:v>54649</x:v>
      </x:c>
      <x:c r="G87" s="103"/>
      <x:c r="H87" s="103"/>
      <x:c r="I87" s="103"/>
      <x:c r="J87" s="103"/>
      <x:c r="K87" s="103"/>
      <x:c r="L87" s="103"/>
      <x:c r="M87" s="103"/>
      <x:c r="N87" s="103"/>
      <x:c r="O87" s="103"/>
      <x:c r="P87" s="103"/>
      <x:c r="Q87" s="103"/>
      <x:c r="R87" s="103"/>
      <x:c r="S87" s="103"/>
      <x:c r="T87" s="103"/>
      <x:c r="U87" s="103"/>
    </x:row>
    <x:row r="88" ht="24" customHeight="1">
      <x:c r="A88" s="103"/>
      <x:c r="B88" s="103"/>
      <x:c r="C88" s="103" t="str">
        <x:f>"FY2026 A"</x:f>
        <x:v>FY2026 A</x:v>
      </x:c>
      <x:c r="D88" s="125" t="n">
        <x:f>IF(OR(I8="n.a.",ISBLANK(I8)),"",I8)</x:f>
        <x:v>139996</x:v>
      </x:c>
      <x:c r="E88" s="125" t="n">
        <x:f>IF(OR(I9="n.a.",ISBLANK(I9)),"",I9)</x:f>
        <x:v>137791</x:v>
      </x:c>
      <x:c r="F88" s="125" t="n">
        <x:f>IF(OR(I10="n.a.",ISBLANK(I10)),"",I10)</x:f>
        <x:v>54052</x:v>
      </x:c>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"FY2027 E"</x:f>
        <x:v>FY2027 E</x:v>
      </x:c>
      <x:c r="D89" s="125" t="n">
        <x:f>IF(OR(J8="n.a.",ISBLANK(J8)),"",J8)</x:f>
        <x:v>159595.44000000003</x:v>
      </x:c>
      <x:c r="E89" s="125" t="n">
        <x:f>IF(OR(J9="n.a.",ISBLANK(J9)),"",J9)</x:f>
        <x:v>170860.84</x:v>
      </x:c>
      <x:c r="F89" s="125" t="n">
        <x:f>IF(OR(J10="n.a.",ISBLANK(J10)),"",J10)</x:f>
        <x:v>54592.520000000004</x:v>
      </x:c>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"FY2028 E"</x:f>
        <x:v>FY2028 E</x:v>
      </x:c>
      <x:c r="D90" s="125" t="n">
        <x:f>IF(OR(K8="n.a.",ISBLANK(K8)),"",K8)</x:f>
        <x:v>180342.84720000002</x:v>
      </x:c>
      <x:c r="E90" s="125" t="n">
        <x:f>IF(OR(K9="n.a.",ISBLANK(K9)),"",K9)</x:f>
        <x:v>208450.2248</x:v>
      </x:c>
      <x:c r="F90" s="125" t="n">
        <x:f>IF(OR(K10="n.a.",ISBLANK(K10)),"",K10)</x:f>
        <x:v>55684.37040000001</x:v>
      </x:c>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"FY2029 E"</x:f>
        <x:v>FY2029 E</x:v>
      </x:c>
      <x:c r="D91" s="125" t="n">
        <x:f>IF(OR(L8="n.a.",ISBLANK(L8)),"",L8)</x:f>
        <x:v>201983.98886400004</x:v>
      </x:c>
      <x:c r="E91" s="125" t="n">
        <x:f>IF(OR(L9="n.a.",ISBLANK(L9)),"",L9)</x:f>
        <x:v>250140.26976</x:v>
      </x:c>
      <x:c r="F91" s="125" t="n">
        <x:f>IF(OR(L10="n.a.",ISBLANK(L10)),"",L10)</x:f>
        <x:v>56798.057808000005</x:v>
      </x:c>
      <x:c r="G91" s="103"/>
      <x:c r="H91" s="103"/>
      <x:c r="I91" s="103"/>
      <x:c r="J91" s="103"/>
      <x:c r="K91" s="103"/>
      <x:c r="L91" s="103"/>
      <x:c r="M91" s="103"/>
      <x:c r="N91" s="103"/>
      <x:c r="O91" s="103"/>
      <x:c r="P91" s="103"/>
      <x:c r="Q91" s="103"/>
      <x:c r="R91" s="103"/>
      <x:c r="S91" s="103"/>
      <x:c r="T91" s="103"/>
      <x:c r="U91" s="103"/>
    </x:row>
    <x:row r="92" ht="24" customHeight="1">
      <x:c r="A92" s="103"/>
      <x:c r="B92" s="103"/>
      <x:c r="C92" s="103" t="str">
        <x:f>"FY2030 E"</x:f>
        <x:v>FY2030 E</x:v>
      </x:c>
      <x:c r="D92" s="125" t="n">
        <x:f>IF(OR(M8="n.a.",ISBLANK(M8)),"",M8)</x:f>
        <x:v>224202.22763904007</x:v>
      </x:c>
      <x:c r="E92" s="125" t="n">
        <x:f>IF(OR(M9="n.a.",ISBLANK(M9)),"",M9)</x:f>
        <x:v>295165.5183168</x:v>
      </x:c>
      <x:c r="F92" s="125" t="n">
        <x:f>IF(OR(M10="n.a.",ISBLANK(M10)),"",M10)</x:f>
        <x:v>57934.01896416001</x:v>
      </x:c>
      <x:c r="G92" s="103"/>
      <x:c r="H92" s="103"/>
      <x:c r="I92" s="103"/>
      <x:c r="J92" s="103"/>
      <x:c r="K92" s="103"/>
      <x:c r="L92" s="103"/>
      <x:c r="M92" s="103"/>
      <x:c r="N92" s="103"/>
      <x:c r="O92" s="103"/>
      <x:c r="P92" s="103"/>
      <x:c r="Q92" s="103"/>
      <x:c r="R92" s="103"/>
      <x:c r="S92" s="103"/>
      <x:c r="T92" s="103"/>
      <x:c r="U92" s="103"/>
    </x:row>
    <x:row r="93" ht="24" customHeight="1">
      <x:c r="A93" s="103"/>
      <x:c r="B93" s="103"/>
      <x:c r="C93" s="103" t="str">
        <x:f>"FY2031 E"</x:f>
        <x:v>FY2031 E</x:v>
      </x:c>
      <x:c r="D93" s="125" t="n">
        <x:f>IF(OR(N8="n.a.",ISBLANK(N8)),"",N8)</x:f>
        <x:v>246622.4504029441</x:v>
      </x:c>
      <x:c r="E93" s="125" t="n">
        <x:f>IF(OR(N9="n.a.",ISBLANK(N9)),"",N9)</x:f>
        <x:v>342392.00124748796</x:v>
      </x:c>
      <x:c r="F93" s="125" t="n">
        <x:f>IF(OR(N10="n.a.",ISBLANK(N10)),"",N10)</x:f>
        <x:v>59092.69934344321</x:v>
      </x:c>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row r="99" ht="24" customHeight="1"/>
    <x:row r="100" ht="24" customHeight="1"/>
    <x:row r="101" ht="24" customHeight="1"/>
    <x:row r="102" ht="24" customHeight="1"/>
    <x:row r="103" ht="24" customHeight="1">
      <x:c r="C103" s="138" t="str">
        <x:v>Fiscal year</x:v>
      </x:c>
      <x:c r="D103" s="138" t="str">
        <x:v>R&amp;D</x:v>
      </x:c>
      <x:c r="E103" s="138" t="str">
        <x:v>Sales and marketing</x:v>
      </x:c>
      <x:c r="F103" s="138" t="str">
        <x:v>G&amp;A</x:v>
      </x:c>
    </x:row>
    <x:row r="104" ht="24" customHeight="1">
      <x:c r="C104" s="128" t="str">
        <x:f>"FY2022 A"</x:f>
        <x:v>FY2022 A</x:v>
      </x:c>
      <x:c r="D104" s="134" t="n">
        <x:f>IF(OR(E12="n.a.",ISBLANK(E12)),"",E12)</x:f>
        <x:v>24512</x:v>
      </x:c>
      <x:c r="E104" s="134" t="n">
        <x:f>IF(OR(E13="n.a.",ISBLANK(E13)),"",E13)</x:f>
        <x:v>21825</x:v>
      </x:c>
      <x:c r="F104" s="134" t="n">
        <x:f>IF(OR(E14="n.a.",ISBLANK(E14)),"",E14)</x:f>
        <x:v>5900</x:v>
      </x:c>
    </x:row>
    <x:row r="105" ht="24" customHeight="1">
      <x:c r="C105" s="128" t="str">
        <x:f>"FY2023 A"</x:f>
        <x:v>FY2023 A</x:v>
      </x:c>
      <x:c r="D105" s="134" t="n">
        <x:f>IF(OR(F12="n.a.",ISBLANK(F12)),"",F12)</x:f>
        <x:v>27195</x:v>
      </x:c>
      <x:c r="E105" s="134" t="n">
        <x:f>IF(OR(F13="n.a.",ISBLANK(F13)),"",F13)</x:f>
        <x:v>22759</x:v>
      </x:c>
      <x:c r="F105" s="134" t="n">
        <x:f>IF(OR(F14="n.a.",ISBLANK(F14)),"",F14)</x:f>
        <x:v>7575</x:v>
      </x:c>
    </x:row>
    <x:row r="106" ht="24" customHeight="1">
      <x:c r="C106" s="128" t="str">
        <x:f>"FY2024 A"</x:f>
        <x:v>FY2024 A</x:v>
      </x:c>
      <x:c r="D106" s="134" t="n">
        <x:f>IF(OR(G12="n.a.",ISBLANK(G12)),"",G12)</x:f>
        <x:v>29510</x:v>
      </x:c>
      <x:c r="E106" s="134" t="n">
        <x:f>IF(OR(G13="n.a.",ISBLANK(G13)),"",G13)</x:f>
        <x:v>24456</x:v>
      </x:c>
      <x:c r="F106" s="134" t="n">
        <x:f>IF(OR(G14="n.a.",ISBLANK(G14)),"",G14)</x:f>
        <x:v>7609</x:v>
      </x:c>
    </x:row>
    <x:row r="107" ht="24" customHeight="1">
      <x:c r="C107" s="128" t="str">
        <x:f>"FY2025 A"</x:f>
        <x:v>FY2025 A</x:v>
      </x:c>
      <x:c r="D107" s="134" t="n">
        <x:f>IF(OR(H12="n.a.",ISBLANK(H12)),"",H12)</x:f>
        <x:v>32488</x:v>
      </x:c>
      <x:c r="E107" s="134" t="n">
        <x:f>IF(OR(H13="n.a.",ISBLANK(H13)),"",H13)</x:f>
        <x:v>25654</x:v>
      </x:c>
      <x:c r="F107" s="134" t="n">
        <x:f>IF(OR(H14="n.a.",ISBLANK(H14)),"",H14)</x:f>
        <x:v>7223</x:v>
      </x:c>
    </x:row>
    <x:row r="108" ht="24" customHeight="1">
      <x:c r="C108" s="128" t="str">
        <x:f>"FY2026 A"</x:f>
        <x:v>FY2026 A</x:v>
      </x:c>
      <x:c r="D108" s="134" t="n">
        <x:f>IF(OR(I12="n.a.",ISBLANK(I12)),"",I12)</x:f>
        <x:v>35562</x:v>
      </x:c>
      <x:c r="E108" s="134" t="n">
        <x:f>IF(OR(I13="n.a.",ISBLANK(I13)),"",I13)</x:f>
        <x:v>26710</x:v>
      </x:c>
      <x:c r="F108" s="134" t="n">
        <x:f>IF(OR(I14="n.a.",ISBLANK(I14)),"",I14)</x:f>
        <x:v>7956</x:v>
      </x:c>
    </x:row>
    <x:row r="109" ht="24" customHeight="1">
      <x:c r="C109" s="128" t="str">
        <x:f>"FY2027 E"</x:f>
        <x:v>FY2027 E</x:v>
      </x:c>
      <x:c r="D109" s="134" t="n">
        <x:f>IF(OR(J12="n.a.",ISBLANK(J12)),"",J12)</x:f>
        <x:v>42340.911817928674</x:v>
      </x:c>
      <x:c r="E109" s="134" t="n">
        <x:f>IF(OR(J13="n.a.",ISBLANK(J13)),"",J13)</x:f>
        <x:v>30803.904000000006</x:v>
      </x:c>
      <x:c r="F109" s="134" t="n">
        <x:f>IF(OR(J14="n.a.",ISBLANK(J14)),"",J14)</x:f>
        <x:v>9241.1712</x:v>
      </x:c>
    </x:row>
    <x:row r="110" ht="24" customHeight="1">
      <x:c r="C110" s="128" t="str">
        <x:f>"FY2028 E"</x:f>
        <x:v>FY2028 E</x:v>
      </x:c>
      <x:c r="D110" s="134" t="n">
        <x:f>IF(OR(K12="n.a.",ISBLANK(K12)),"",K12)</x:f>
        <x:v>51150.89940868524</x:v>
      </x:c>
      <x:c r="E110" s="134" t="n">
        <x:f>IF(OR(K13="n.a.",ISBLANK(K13)),"",K13)</x:f>
        <x:v>35113.7179496</x:v>
      </x:c>
      <x:c r="F110" s="134" t="n">
        <x:f>IF(OR(K14="n.a.",ISBLANK(K14)),"",K14)</x:f>
        <x:v>10445.219896400002</x:v>
      </x:c>
    </x:row>
    <x:row r="111" ht="24" customHeight="1">
      <x:c r="C111" s="128" t="str">
        <x:f>"FY2029 E"</x:f>
        <x:v>FY2029 E</x:v>
      </x:c>
      <x:c r="D111" s="134" t="n">
        <x:f>IF(OR(L12="n.a.",ISBLANK(L12)),"",L12)</x:f>
        <x:v>60522.53930091431</x:v>
      </x:c>
      <x:c r="E111" s="134" t="n">
        <x:f>IF(OR(L13="n.a.",ISBLANK(L13)),"",L13)</x:f>
        <x:v>39695.940681696</x:v>
      </x:c>
      <x:c r="F111" s="134" t="n">
        <x:f>IF(OR(L14="n.a.",ISBLANK(L14)),"",L14)</x:f>
        <x:v>11705.213277936</x:v>
      </x:c>
    </x:row>
    <x:row r="112" ht="24" customHeight="1">
      <x:c r="C112" s="128" t="str">
        <x:f>"FY2030 E"</x:f>
        <x:v>FY2030 E</x:v>
      </x:c>
      <x:c r="D112" s="134" t="n">
        <x:f>IF(OR(M12="n.a.",ISBLANK(M12)),"",M12)</x:f>
        <x:v>70220.21893489482</x:v>
      </x:c>
      <x:c r="E112" s="134" t="n">
        <x:f>IF(OR(M13="n.a.",ISBLANK(M13)),"",M13)</x:f>
        <x:v>44452.23589884001</x:v>
      </x:c>
      <x:c r="F112" s="134" t="n">
        <x:f>IF(OR(M14="n.a.",ISBLANK(M14)),"",M14)</x:f>
        <x:v>12989.289710700003</x:v>
      </x:c>
    </x:row>
    <x:row r="113" ht="24" customHeight="1">
      <x:c r="C113" s="128" t="str">
        <x:f>"FY2031 E"</x:f>
        <x:v>FY2031 E</x:v>
      </x:c>
      <x:c r="D113" s="134" t="n">
        <x:f>IF(OR(N12="n.a.",ISBLANK(N12)),"",N12)</x:f>
        <x:v>80133.32454351732</x:v>
      </x:c>
      <x:c r="E113" s="134" t="n">
        <x:f>IF(OR(N13="n.a.",ISBLANK(N13)),"",N13)</x:f>
        <x:v>49256.14347553452</x:v>
      </x:c>
      <x:c r="F113" s="134" t="n">
        <x:f>IF(OR(N14="n.a.",ISBLANK(N14)),"",N14)</x:f>
        <x:v>14258.357321865255</x:v>
      </x:c>
    </x:row>
  </x:sheetData>
  <x:mergeCells>
    <x:mergeCell ref="C58:S58"/>
    <x:mergeCell ref="C59:S59"/>
    <x:mergeCell ref="C60:S60"/>
  </x:mergeCells>
  <x:pageMargins left="0.7" right="0.7" top="0.75" bottom="0.75" header="0.3" footer="0.3"/>
  <x:drawing xmlns:r="http://schemas.openxmlformats.org/officeDocument/2006/relationships" r:id="Re58e58d8e8904254"/>
  <x:legacyDrawing xmlns:r="http://schemas.openxmlformats.org/officeDocument/2006/relationships" r:id="R16235989442e4074"/>
</x:worksheet>
</file>

<file path=xl/worksheets/sheet6.xml><?xml version="1.0" encoding="utf-8"?>
<x:worksheet xmlns:x="http://schemas.openxmlformats.org/spreadsheetml/2006/main">
  <x:sheetPr>
    <x:tabColor rgb="FF808080"/>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Assumptions</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number</x:v>
      </x:c>
      <x:c r="D4" s="140" t="n">
        <x:v>1</x:v>
      </x:c>
      <x:c r="E4" s="103"/>
      <x:c r="F4" s="103"/>
      <x:c r="G4" s="104" t="str">
        <x:f>CHOOSE($D$4,"Base","Upside","Downside")</x:f>
        <x:v>Base</x:v>
      </x:c>
      <x:c r="H4" s="103"/>
      <x:c r="I4" s="103"/>
      <x:c r="J4" s="103"/>
      <x:c r="K4" s="103"/>
      <x:c r="L4" s="103"/>
      <x:c r="M4" s="103"/>
      <x:c r="N4" s="103"/>
      <x:c r="O4" s="103"/>
      <x:c r="P4" s="103"/>
      <x:c r="Q4" s="103"/>
      <x:c r="R4" s="103"/>
      <x:c r="S4" s="103"/>
      <x:c r="T4" s="103"/>
      <x:c r="U4" s="103"/>
    </x:row>
    <x:row r="5" ht="24" customHeight="1">
      <x:c r="A5" s="103"/>
      <x:c r="B5" s="103"/>
      <x:c r="C5" s="103" t="str">
        <x:v>1 Base    2 Upside    3 Downside</x:v>
      </x:c>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x:c r="D8" s="103"/>
      <x:c r="E8" s="103"/>
      <x:c r="F8" s="103"/>
      <x:c r="G8" s="103"/>
      <x:c r="H8" s="103"/>
      <x:c r="I8" s="103"/>
      <x:c r="J8" s="103"/>
      <x:c r="K8" s="103"/>
      <x:c r="L8" s="103"/>
      <x:c r="M8" s="103"/>
      <x:c r="N8" s="103"/>
      <x:c r="O8" s="103"/>
      <x:c r="P8" s="103"/>
      <x:c r="Q8" s="103"/>
      <x:c r="R8" s="103"/>
      <x:c r="S8" s="103"/>
      <x:c r="T8" s="103"/>
      <x:c r="U8" s="103"/>
    </x:row>
    <x:row r="9" ht="24" customHeight="1">
      <x:c r="A9" s="103"/>
      <x:c r="B9" s="103"/>
      <x:c r="C9" s="142" t="str">
        <x:v>Productivity and Business Processes revenue growth</x:v>
      </x:c>
      <x:c r="D9" s="144"/>
      <x:c r="E9" s="147" t="str">
        <x:f>'Segments'!E9</x:f>
        <x:v>n.a.</x:v>
      </x:c>
      <x:c r="F9" s="147" t="n">
        <x:f>'Segments'!F9</x:f>
        <x:v>0.20070304653498483</x:v>
      </x:c>
      <x:c r="G9" s="147" t="n">
        <x:f>'Segments'!G9</x:f>
        <x:v>0.14763697197825176</x:v>
      </x:c>
      <x:c r="H9" s="147" t="n">
        <x:f>'Segments'!H9</x:f>
        <x:v>0.12725947521865888</x:v>
      </x:c>
      <x:c r="I9" s="147" t="n">
        <x:f>'Segments'!I9</x:f>
        <x:v>0.1620112935902409</x:v>
      </x:c>
      <x:c r="J9" s="147" t="n">
        <x:f>'Segments'!J9</x:f>
        <x:v>0.17525734953167027</x:v>
      </x:c>
      <x:c r="K9" s="147" t="str">
        <x:f>'Segments'!K9</x:f>
        <x:v>n.a.</x:v>
      </x:c>
      <x:c r="L9" s="147" t="n">
        <x:f>'Segments'!L9</x:f>
        <x:v>0.1345604401440239</x:v>
      </x:c>
      <x:c r="M9" s="147" t="n">
        <x:f>'Segments'!M9</x:f>
        <x:v>0.13096798352368477</x:v>
      </x:c>
      <x:c r="N9" s="147" t="n">
        <x:f>'Segments'!N9</x:f>
        <x:v>0.15881135667577184</x:v>
      </x:c>
      <x:c r="O9" s="147" t="n">
        <x:f>IF(NOT(CHOOSE($D$4,ISNUMBER(O10),ISNUMBER(O11),ISNUMBER(O12))),"n.a.",CHOOSE($D$4,O10,O11,O12))</x:f>
        <x:v>0.14</x:v>
      </x:c>
      <x:c r="P9" s="147" t="n">
        <x:f>IF(NOT(CHOOSE($D$4,ISNUMBER(P10),ISNUMBER(P11),ISNUMBER(P12))),"n.a.",CHOOSE($D$4,P10,P11,P12))</x:f>
        <x:v>0.13</x:v>
      </x:c>
      <x:c r="Q9" s="147" t="n">
        <x:f>IF(NOT(CHOOSE($D$4,ISNUMBER(Q10),ISNUMBER(Q11),ISNUMBER(Q12))),"n.a.",CHOOSE($D$4,Q10,Q11,Q12))</x:f>
        <x:v>0.12</x:v>
      </x:c>
      <x:c r="R9" s="147" t="n">
        <x:f>IF(NOT(CHOOSE($D$4,ISNUMBER(R10),ISNUMBER(R11),ISNUMBER(R12))),"n.a.",CHOOSE($D$4,R10,R11,R12))</x:f>
        <x:v>0.11</x:v>
      </x:c>
      <x:c r="S9" s="147" t="n">
        <x:f>IF(NOT(CHOOSE($D$4,ISNUMBER(S10),ISNUMBER(S11),ISNUMBER(S12))),"n.a.",CHOOSE($D$4,S10,S11,S12))</x:f>
        <x:v>0.1</x:v>
      </x:c>
      <x:c r="T9" s="103"/>
      <x:c r="U9" s="103"/>
    </x:row>
    <x:row r="10" ht="24" customHeight="1">
      <x:c r="A10" s="103"/>
      <x:c r="B10" s="103"/>
      <x:c r="C10" s="105" t="str">
        <x:v>Base</x:v>
      </x:c>
      <x:c r="D10" s="105"/>
      <x:c r="E10" s="119"/>
      <x:c r="F10" s="119"/>
      <x:c r="G10" s="119"/>
      <x:c r="H10" s="119"/>
      <x:c r="I10" s="119"/>
      <x:c r="J10" s="119"/>
      <x:c r="K10" s="119"/>
      <x:c r="L10" s="119"/>
      <x:c r="M10" s="119"/>
      <x:c r="N10" s="119"/>
      <x:c r="O10" s="149" t="n">
        <x:v>0.14</x:v>
      </x:c>
      <x:c r="P10" s="149" t="n">
        <x:v>0.13</x:v>
      </x:c>
      <x:c r="Q10" s="149" t="n">
        <x:v>0.12</x:v>
      </x:c>
      <x:c r="R10" s="149" t="n">
        <x:v>0.11</x:v>
      </x:c>
      <x:c r="S10" s="149" t="n">
        <x:v>0.1</x:v>
      </x:c>
      <x:c r="T10" s="103"/>
      <x:c r="U10" s="103"/>
    </x:row>
    <x:row r="11" ht="24" customHeight="1">
      <x:c r="A11" s="103"/>
      <x:c r="B11" s="103"/>
      <x:c r="C11" s="105" t="str">
        <x:v>Upside</x:v>
      </x:c>
      <x:c r="D11" s="105"/>
      <x:c r="E11" s="119"/>
      <x:c r="F11" s="119"/>
      <x:c r="G11" s="119"/>
      <x:c r="H11" s="119"/>
      <x:c r="I11" s="119"/>
      <x:c r="J11" s="119"/>
      <x:c r="K11" s="119"/>
      <x:c r="L11" s="119"/>
      <x:c r="M11" s="119"/>
      <x:c r="N11" s="119"/>
      <x:c r="O11" s="149" t="n">
        <x:v>0.18</x:v>
      </x:c>
      <x:c r="P11" s="149" t="n">
        <x:v>0.16</x:v>
      </x:c>
      <x:c r="Q11" s="149" t="n">
        <x:v>0.14</x:v>
      </x:c>
      <x:c r="R11" s="149" t="n">
        <x:v>0.13</x:v>
      </x:c>
      <x:c r="S11" s="149" t="n">
        <x:v>0.12</x:v>
      </x:c>
      <x:c r="T11" s="103"/>
      <x:c r="U11" s="103"/>
    </x:row>
    <x:row r="12" ht="24" customHeight="1">
      <x:c r="A12" s="103"/>
      <x:c r="B12" s="103"/>
      <x:c r="C12" s="105" t="str">
        <x:v>Downside</x:v>
      </x:c>
      <x:c r="D12" s="105"/>
      <x:c r="E12" s="119"/>
      <x:c r="F12" s="119"/>
      <x:c r="G12" s="119"/>
      <x:c r="H12" s="119"/>
      <x:c r="I12" s="119"/>
      <x:c r="J12" s="119"/>
      <x:c r="K12" s="119"/>
      <x:c r="L12" s="119"/>
      <x:c r="M12" s="119"/>
      <x:c r="N12" s="119"/>
      <x:c r="O12" s="149" t="n">
        <x:v>0.08</x:v>
      </x:c>
      <x:c r="P12" s="149" t="n">
        <x:v>0.07</x:v>
      </x:c>
      <x:c r="Q12" s="149" t="n">
        <x:v>0.06</x:v>
      </x:c>
      <x:c r="R12" s="149" t="n">
        <x:v>0.06</x:v>
      </x:c>
      <x:c r="S12" s="149" t="n">
        <x:v>0.05</x:v>
      </x:c>
      <x:c r="T12" s="103"/>
      <x:c r="U12" s="103"/>
    </x:row>
    <x:row r="13" ht="24" customHeight="1">
      <x:c r="A13" s="103"/>
      <x:c r="B13" s="103"/>
      <x:c r="C13" s="144" t="str">
        <x:v>Intelligent Cloud revenue growth</x:v>
      </x:c>
      <x:c r="D13" s="144"/>
      <x:c r="E13" s="147" t="str">
        <x:f>'Segments'!E23</x:f>
        <x:v>n.a.</x:v>
      </x:c>
      <x:c r="F13" s="147" t="n">
        <x:f>'Segments'!F23</x:f>
        <x:v>0.17557558288028607</x:v>
      </x:c>
      <x:c r="G13" s="147" t="n">
        <x:f>'Segments'!G23</x:f>
        <x:v>0.2100003103758652</x:v>
      </x:c>
      <x:c r="H13" s="147" t="n">
        <x:f>'Segments'!H23</x:f>
        <x:v>0.24063101192766445</x:v>
      </x:c>
      <x:c r="I13" s="147" t="n">
        <x:f>'Segments'!I23</x:f>
        <x:v>0.2349170905181326</x:v>
      </x:c>
      <x:c r="J13" s="147" t="n">
        <x:f>'Segments'!J23</x:f>
        <x:v>0.2551064827216716</x:v>
      </x:c>
      <x:c r="K13" s="147" t="str">
        <x:f>'Segments'!K23</x:f>
        <x:v>n.a.</x:v>
      </x:c>
      <x:c r="L13" s="147" t="n">
        <x:f>'Segments'!L23</x:f>
        <x:v>0.19905681070410175</x:v>
      </x:c>
      <x:c r="M13" s="147" t="n">
        <x:f>'Segments'!M23</x:f>
        <x:v>0.21495701088447827</x:v>
      </x:c>
      <x:c r="N13" s="147" t="n">
        <x:f>'Segments'!N23</x:f>
        <x:v>0.29667341081259124</x:v>
      </x:c>
      <x:c r="O13" s="147" t="n">
        <x:f>IF(NOT(CHOOSE($D$4,ISNUMBER(O14),ISNUMBER(O15),ISNUMBER(O16))),"n.a.",CHOOSE($D$4,O14,O15,O16))</x:f>
        <x:v>0.24</x:v>
      </x:c>
      <x:c r="P13" s="147" t="n">
        <x:f>IF(NOT(CHOOSE($D$4,ISNUMBER(P14),ISNUMBER(P15),ISNUMBER(P16))),"n.a.",CHOOSE($D$4,P14,P15,P16))</x:f>
        <x:v>0.22</x:v>
      </x:c>
      <x:c r="Q13" s="147" t="n">
        <x:f>IF(NOT(CHOOSE($D$4,ISNUMBER(Q14),ISNUMBER(Q15),ISNUMBER(Q16))),"n.a.",CHOOSE($D$4,Q14,Q15,Q16))</x:f>
        <x:v>0.2</x:v>
      </x:c>
      <x:c r="R13" s="147" t="n">
        <x:f>IF(NOT(CHOOSE($D$4,ISNUMBER(R14),ISNUMBER(R15),ISNUMBER(R16))),"n.a.",CHOOSE($D$4,R14,R15,R16))</x:f>
        <x:v>0.18</x:v>
      </x:c>
      <x:c r="S13" s="147" t="n">
        <x:f>IF(NOT(CHOOSE($D$4,ISNUMBER(S14),ISNUMBER(S15),ISNUMBER(S16))),"n.a.",CHOOSE($D$4,S14,S15,S16))</x:f>
        <x:v>0.16</x:v>
      </x:c>
      <x:c r="T13" s="103"/>
      <x:c r="U13" s="103"/>
    </x:row>
    <x:row r="14" ht="24" customHeight="1">
      <x:c r="A14" s="103"/>
      <x:c r="B14" s="103"/>
      <x:c r="C14" s="105" t="str">
        <x:v>Base</x:v>
      </x:c>
      <x:c r="D14" s="105"/>
      <x:c r="E14" s="119"/>
      <x:c r="F14" s="119"/>
      <x:c r="G14" s="119"/>
      <x:c r="H14" s="119"/>
      <x:c r="I14" s="119"/>
      <x:c r="J14" s="119"/>
      <x:c r="K14" s="119"/>
      <x:c r="L14" s="119"/>
      <x:c r="M14" s="119"/>
      <x:c r="N14" s="119"/>
      <x:c r="O14" s="149" t="n">
        <x:v>0.24</x:v>
      </x:c>
      <x:c r="P14" s="149" t="n">
        <x:v>0.22</x:v>
      </x:c>
      <x:c r="Q14" s="149" t="n">
        <x:v>0.2</x:v>
      </x:c>
      <x:c r="R14" s="149" t="n">
        <x:v>0.18</x:v>
      </x:c>
      <x:c r="S14" s="149" t="n">
        <x:v>0.16</x:v>
      </x:c>
      <x:c r="T14" s="103"/>
      <x:c r="U14" s="103"/>
    </x:row>
    <x:row r="15" ht="24" customHeight="1">
      <x:c r="A15" s="103"/>
      <x:c r="B15" s="103"/>
      <x:c r="C15" s="105" t="str">
        <x:v>Upside</x:v>
      </x:c>
      <x:c r="D15" s="105"/>
      <x:c r="E15" s="119"/>
      <x:c r="F15" s="119"/>
      <x:c r="G15" s="119"/>
      <x:c r="H15" s="119"/>
      <x:c r="I15" s="119"/>
      <x:c r="J15" s="119"/>
      <x:c r="K15" s="119"/>
      <x:c r="L15" s="119"/>
      <x:c r="M15" s="119"/>
      <x:c r="N15" s="119"/>
      <x:c r="O15" s="149" t="n">
        <x:v>0.32</x:v>
      </x:c>
      <x:c r="P15" s="149" t="n">
        <x:v>0.28</x:v>
      </x:c>
      <x:c r="Q15" s="149" t="n">
        <x:v>0.25</x:v>
      </x:c>
      <x:c r="R15" s="149" t="n">
        <x:v>0.22</x:v>
      </x:c>
      <x:c r="S15" s="149" t="n">
        <x:v>0.2</x:v>
      </x:c>
      <x:c r="T15" s="103"/>
      <x:c r="U15" s="103"/>
    </x:row>
    <x:row r="16" ht="24" customHeight="1">
      <x:c r="A16" s="103"/>
      <x:c r="B16" s="103"/>
      <x:c r="C16" s="105" t="str">
        <x:v>Downside</x:v>
      </x:c>
      <x:c r="D16" s="105"/>
      <x:c r="E16" s="119"/>
      <x:c r="F16" s="119"/>
      <x:c r="G16" s="119"/>
      <x:c r="H16" s="119"/>
      <x:c r="I16" s="119"/>
      <x:c r="J16" s="119"/>
      <x:c r="K16" s="119"/>
      <x:c r="L16" s="119"/>
      <x:c r="M16" s="119"/>
      <x:c r="N16" s="119"/>
      <x:c r="O16" s="149" t="n">
        <x:v>0.14</x:v>
      </x:c>
      <x:c r="P16" s="149" t="n">
        <x:v>0.12</x:v>
      </x:c>
      <x:c r="Q16" s="149" t="n">
        <x:v>0.1</x:v>
      </x:c>
      <x:c r="R16" s="149" t="n">
        <x:v>0.1</x:v>
      </x:c>
      <x:c r="S16" s="149" t="n">
        <x:v>0.09</x:v>
      </x:c>
      <x:c r="T16" s="103"/>
      <x:c r="U16" s="103"/>
    </x:row>
    <x:row r="17" ht="24" customHeight="1">
      <x:c r="A17" s="103"/>
      <x:c r="B17" s="103"/>
      <x:c r="C17" s="144" t="str">
        <x:v>More Personal Computing revenue growth</x:v>
      </x:c>
      <x:c r="D17" s="144"/>
      <x:c r="E17" s="147" t="str">
        <x:f>'Segments'!E37</x:f>
        <x:v>n.a.</x:v>
      </x:c>
      <x:c r="F17" s="147" t="n">
        <x:f>'Segments'!F37</x:f>
        <x:v>0.07588944877080461</x:v>
      </x:c>
      <x:c r="G17" s="147" t="n">
        <x:f>'Segments'!G37</x:f>
        <x:v>0.0809442709811714</x:v>
      </x:c>
      <x:c r="H17" s="147" t="n">
        <x:f>'Segments'!H37</x:f>
        <x:v>0.055866777539498536</x:v>
      </x:c>
      <x:c r="I17" s="147" t="n">
        <x:f>'Segments'!I37</x:f>
        <x:v>0.12837039646846704</x:v>
      </x:c>
      <x:c r="J17" s="147" t="n">
        <x:f>'Segments'!J37</x:f>
        <x:v>0.10094590871521714</x:v>
      </x:c>
      <x:c r="K17" s="147" t="str">
        <x:f>'Segments'!K37</x:f>
        <x:v>n.a.</x:v>
      </x:c>
      <x:c r="L17" s="147" t="n">
        <x:f>'Segments'!L37</x:f>
        <x:v>0.1342704149933065</x:v>
      </x:c>
      <x:c r="M17" s="147" t="n">
        <x:f>'Segments'!M37</x:f>
        <x:v>0.07496360989810769</x:v>
      </x:c>
      <x:c r="N17" s="147" t="n">
        <x:f>'Segments'!N37</x:f>
        <x:v>-0.01092426210909625</x:v>
      </x:c>
      <x:c r="O17" s="147" t="n">
        <x:f>IF(NOT(CHOOSE($D$4,ISNUMBER(O18),ISNUMBER(O19),ISNUMBER(O20))),"n.a.",CHOOSE($D$4,O18,O19,O20))</x:f>
        <x:v>0.01</x:v>
      </x:c>
      <x:c r="P17" s="147" t="n">
        <x:f>IF(NOT(CHOOSE($D$4,ISNUMBER(P18),ISNUMBER(P19),ISNUMBER(P20))),"n.a.",CHOOSE($D$4,P18,P19,P20))</x:f>
        <x:v>0.02</x:v>
      </x:c>
      <x:c r="Q17" s="147" t="n">
        <x:f>IF(NOT(CHOOSE($D$4,ISNUMBER(Q18),ISNUMBER(Q19),ISNUMBER(Q20))),"n.a.",CHOOSE($D$4,Q18,Q19,Q20))</x:f>
        <x:v>0.02</x:v>
      </x:c>
      <x:c r="R17" s="147" t="n">
        <x:f>IF(NOT(CHOOSE($D$4,ISNUMBER(R18),ISNUMBER(R19),ISNUMBER(R20))),"n.a.",CHOOSE($D$4,R18,R19,R20))</x:f>
        <x:v>0.02</x:v>
      </x:c>
      <x:c r="S17" s="147" t="n">
        <x:f>IF(NOT(CHOOSE($D$4,ISNUMBER(S18),ISNUMBER(S19),ISNUMBER(S20))),"n.a.",CHOOSE($D$4,S18,S19,S20))</x:f>
        <x:v>0.02</x:v>
      </x:c>
      <x:c r="T17" s="103"/>
      <x:c r="U17" s="103"/>
    </x:row>
    <x:row r="18" ht="24" customHeight="1">
      <x:c r="A18" s="103"/>
      <x:c r="B18" s="103"/>
      <x:c r="C18" s="105" t="str">
        <x:v>Base</x:v>
      </x:c>
      <x:c r="D18" s="105"/>
      <x:c r="E18" s="119"/>
      <x:c r="F18" s="119"/>
      <x:c r="G18" s="119"/>
      <x:c r="H18" s="119"/>
      <x:c r="I18" s="119"/>
      <x:c r="J18" s="119"/>
      <x:c r="K18" s="119"/>
      <x:c r="L18" s="119"/>
      <x:c r="M18" s="119"/>
      <x:c r="N18" s="119"/>
      <x:c r="O18" s="149" t="n">
        <x:v>0.01</x:v>
      </x:c>
      <x:c r="P18" s="149" t="n">
        <x:v>0.02</x:v>
      </x:c>
      <x:c r="Q18" s="149" t="n">
        <x:v>0.02</x:v>
      </x:c>
      <x:c r="R18" s="149" t="n">
        <x:v>0.02</x:v>
      </x:c>
      <x:c r="S18" s="149" t="n">
        <x:v>0.02</x:v>
      </x:c>
      <x:c r="T18" s="103"/>
      <x:c r="U18" s="103"/>
    </x:row>
    <x:row r="19" ht="24" customHeight="1">
      <x:c r="A19" s="103"/>
      <x:c r="B19" s="103"/>
      <x:c r="C19" s="105" t="str">
        <x:v>Upside</x:v>
      </x:c>
      <x:c r="D19" s="105"/>
      <x:c r="E19" s="119"/>
      <x:c r="F19" s="119"/>
      <x:c r="G19" s="119"/>
      <x:c r="H19" s="119"/>
      <x:c r="I19" s="119"/>
      <x:c r="J19" s="119"/>
      <x:c r="K19" s="119"/>
      <x:c r="L19" s="119"/>
      <x:c r="M19" s="119"/>
      <x:c r="N19" s="119"/>
      <x:c r="O19" s="149" t="n">
        <x:v>0.04</x:v>
      </x:c>
      <x:c r="P19" s="149" t="n">
        <x:v>0.04</x:v>
      </x:c>
      <x:c r="Q19" s="149" t="n">
        <x:v>0.03</x:v>
      </x:c>
      <x:c r="R19" s="149" t="n">
        <x:v>0.03</x:v>
      </x:c>
      <x:c r="S19" s="149" t="n">
        <x:v>0.03</x:v>
      </x:c>
      <x:c r="T19" s="103"/>
      <x:c r="U19" s="103"/>
    </x:row>
    <x:row r="20" ht="24" customHeight="1">
      <x:c r="A20" s="103"/>
      <x:c r="B20" s="103"/>
      <x:c r="C20" s="105" t="str">
        <x:v>Downside</x:v>
      </x:c>
      <x:c r="D20" s="105"/>
      <x:c r="E20" s="119"/>
      <x:c r="F20" s="119"/>
      <x:c r="G20" s="119"/>
      <x:c r="H20" s="119"/>
      <x:c r="I20" s="119"/>
      <x:c r="J20" s="119"/>
      <x:c r="K20" s="119"/>
      <x:c r="L20" s="119"/>
      <x:c r="M20" s="119"/>
      <x:c r="N20" s="119"/>
      <x:c r="O20" s="149" t="n">
        <x:v>-0.05</x:v>
      </x:c>
      <x:c r="P20" s="149" t="n">
        <x:v>-0.03</x:v>
      </x:c>
      <x:c r="Q20" s="149" t="n">
        <x:v>0</x:v>
      </x:c>
      <x:c r="R20" s="149" t="n">
        <x:v>0.01</x:v>
      </x:c>
      <x:c r="S20" s="149" t="n">
        <x:v>0.01</x:v>
      </x:c>
      <x:c r="T20" s="103"/>
      <x:c r="U20" s="103"/>
    </x:row>
    <x:row r="21" ht="24" customHeight="1">
      <x:c r="A21" s="103"/>
      <x:c r="B21" s="103"/>
      <x:c r="C21" s="142" t="str">
        <x:v>PBP cost excluding allocated D&amp;A and operating leases</x:v>
      </x:c>
      <x:c r="D21" s="144"/>
      <x:c r="E21" s="147"/>
      <x:c r="F21" s="147"/>
      <x:c r="G21" s="147"/>
      <x:c r="H21" s="147"/>
      <x:c r="I21" s="147"/>
      <x:c r="J21" s="147"/>
      <x:c r="K21" s="147"/>
      <x:c r="L21" s="147"/>
      <x:c r="M21" s="147"/>
      <x:c r="N21" s="147"/>
      <x:c r="O21" s="147" t="n">
        <x:f>IF(NOT(CHOOSE($D$4,ISNUMBER(O22),ISNUMBER(O23),ISNUMBER(O24))),"n.a.",CHOOSE($D$4,O22,O23,O24))</x:f>
        <x:v>0.14977856510186005</x:v>
      </x:c>
      <x:c r="P21" s="147" t="n">
        <x:f>IF(NOT(CHOOSE($D$4,ISNUMBER(P22),ISNUMBER(P23),ISNUMBER(P24))),"n.a.",CHOOSE($D$4,P22,P23,P24))</x:f>
        <x:v>0.14777856510186005</x:v>
      </x:c>
      <x:c r="Q21" s="147" t="n">
        <x:f>IF(NOT(CHOOSE($D$4,ISNUMBER(Q22),ISNUMBER(Q23),ISNUMBER(Q24))),"n.a.",CHOOSE($D$4,Q22,Q23,Q24))</x:f>
        <x:v>0.14577856510186005</x:v>
      </x:c>
      <x:c r="R21" s="147" t="n">
        <x:f>IF(NOT(CHOOSE($D$4,ISNUMBER(R22),ISNUMBER(R23),ISNUMBER(R24))),"n.a.",CHOOSE($D$4,R22,R23,R24))</x:f>
        <x:v>0.14377856510186005</x:v>
      </x:c>
      <x:c r="S21" s="147" t="n">
        <x:f>IF(NOT(CHOOSE($D$4,ISNUMBER(S22),ISNUMBER(S23),ISNUMBER(S24))),"n.a.",CHOOSE($D$4,S22,S23,S24))</x:f>
        <x:v>0.14177856510186004</x:v>
      </x:c>
      <x:c r="T21" s="103"/>
      <x:c r="U21" s="103"/>
    </x:row>
    <x:row r="22" ht="24" customHeight="1">
      <x:c r="A22" s="103"/>
      <x:c r="B22" s="103"/>
      <x:c r="C22" s="105" t="str">
        <x:v>Base</x:v>
      </x:c>
      <x:c r="D22" s="105"/>
      <x:c r="E22" s="119"/>
      <x:c r="F22" s="119"/>
      <x:c r="G22" s="119"/>
      <x:c r="H22" s="119"/>
      <x:c r="I22" s="119"/>
      <x:c r="J22" s="119"/>
      <x:c r="K22" s="119"/>
      <x:c r="L22" s="119"/>
      <x:c r="M22" s="119"/>
      <x:c r="N22" s="119"/>
      <x:c r="O22" s="149" t="n">
        <x:v>0.14977856510186005</x:v>
      </x:c>
      <x:c r="P22" s="149" t="n">
        <x:v>0.14777856510186005</x:v>
      </x:c>
      <x:c r="Q22" s="149" t="n">
        <x:v>0.14577856510186005</x:v>
      </x:c>
      <x:c r="R22" s="149" t="n">
        <x:v>0.14377856510186005</x:v>
      </x:c>
      <x:c r="S22" s="149" t="n">
        <x:v>0.14177856510186004</x:v>
      </x:c>
      <x:c r="T22" s="103"/>
      <x:c r="U22" s="103"/>
    </x:row>
    <x:row r="23" ht="24" customHeight="1">
      <x:c r="A23" s="103"/>
      <x:c r="B23" s="103"/>
      <x:c r="C23" s="105" t="str">
        <x:v>Upside</x:v>
      </x:c>
      <x:c r="D23" s="105"/>
      <x:c r="E23" s="119"/>
      <x:c r="F23" s="119"/>
      <x:c r="G23" s="119"/>
      <x:c r="H23" s="119"/>
      <x:c r="I23" s="119"/>
      <x:c r="J23" s="119"/>
      <x:c r="K23" s="119"/>
      <x:c r="L23" s="119"/>
      <x:c r="M23" s="119"/>
      <x:c r="N23" s="119"/>
      <x:c r="O23" s="149" t="n">
        <x:v>0.14477856510186005</x:v>
      </x:c>
      <x:c r="P23" s="149" t="n">
        <x:v>0.14277856510186004</x:v>
      </x:c>
      <x:c r="Q23" s="149" t="n">
        <x:v>0.14077856510186004</x:v>
      </x:c>
      <x:c r="R23" s="149" t="n">
        <x:v>0.13877856510186004</x:v>
      </x:c>
      <x:c r="S23" s="149" t="n">
        <x:v>0.13677856510186004</x:v>
      </x:c>
      <x:c r="T23" s="103"/>
      <x:c r="U23" s="103"/>
    </x:row>
    <x:row r="24" ht="24" customHeight="1">
      <x:c r="A24" s="103"/>
      <x:c r="B24" s="103"/>
      <x:c r="C24" s="105" t="str">
        <x:v>Downside</x:v>
      </x:c>
      <x:c r="D24" s="105"/>
      <x:c r="E24" s="119"/>
      <x:c r="F24" s="119"/>
      <x:c r="G24" s="119"/>
      <x:c r="H24" s="119"/>
      <x:c r="I24" s="119"/>
      <x:c r="J24" s="119"/>
      <x:c r="K24" s="119"/>
      <x:c r="L24" s="119"/>
      <x:c r="M24" s="119"/>
      <x:c r="N24" s="119"/>
      <x:c r="O24" s="149" t="n">
        <x:v>0.15977856510186006</x:v>
      </x:c>
      <x:c r="P24" s="149" t="n">
        <x:v>0.15777856510186006</x:v>
      </x:c>
      <x:c r="Q24" s="149" t="n">
        <x:v>0.15577856510186006</x:v>
      </x:c>
      <x:c r="R24" s="149" t="n">
        <x:v>0.15377856510186005</x:v>
      </x:c>
      <x:c r="S24" s="149" t="n">
        <x:v>0.15177856510186005</x:v>
      </x:c>
      <x:c r="T24" s="103"/>
      <x:c r="U24" s="103"/>
    </x:row>
    <x:row r="25" ht="24" customHeight="1">
      <x:c r="A25" s="103"/>
      <x:c r="B25" s="103"/>
      <x:c r="C25" s="142" t="str">
        <x:v>IC cost excluding allocated D&amp;A and operating leases</x:v>
      </x:c>
      <x:c r="D25" s="144"/>
      <x:c r="E25" s="147"/>
      <x:c r="F25" s="147"/>
      <x:c r="G25" s="147"/>
      <x:c r="H25" s="147"/>
      <x:c r="I25" s="147"/>
      <x:c r="J25" s="147"/>
      <x:c r="K25" s="147"/>
      <x:c r="L25" s="147"/>
      <x:c r="M25" s="147"/>
      <x:c r="N25" s="147"/>
      <x:c r="O25" s="147" t="n">
        <x:f>IF(NOT(CHOOSE($D$4,ISNUMBER(O26),ISNUMBER(O27),ISNUMBER(O28))),"n.a.",CHOOSE($D$4,O26,O27,O28))</x:f>
        <x:v>0.20128455414359428</x:v>
      </x:c>
      <x:c r="P25" s="147" t="n">
        <x:f>IF(NOT(CHOOSE($D$4,ISNUMBER(P26),ISNUMBER(P27),ISNUMBER(P28))),"n.a.",CHOOSE($D$4,P26,P27,P28))</x:f>
        <x:v>0.19928455414359428</x:v>
      </x:c>
      <x:c r="Q25" s="147" t="n">
        <x:f>IF(NOT(CHOOSE($D$4,ISNUMBER(Q26),ISNUMBER(Q27),ISNUMBER(Q28))),"n.a.",CHOOSE($D$4,Q26,Q27,Q28))</x:f>
        <x:v>0.19728455414359428</x:v>
      </x:c>
      <x:c r="R25" s="147" t="n">
        <x:f>IF(NOT(CHOOSE($D$4,ISNUMBER(R26),ISNUMBER(R27),ISNUMBER(R28))),"n.a.",CHOOSE($D$4,R26,R27,R28))</x:f>
        <x:v>0.19528455414359427</x:v>
      </x:c>
      <x:c r="S25" s="147" t="n">
        <x:f>IF(NOT(CHOOSE($D$4,ISNUMBER(S26),ISNUMBER(S27),ISNUMBER(S28))),"n.a.",CHOOSE($D$4,S26,S27,S28))</x:f>
        <x:v>0.19328455414359427</x:v>
      </x:c>
      <x:c r="T25" s="103"/>
      <x:c r="U25" s="103"/>
    </x:row>
    <x:row r="26" ht="24" customHeight="1">
      <x:c r="A26" s="103"/>
      <x:c r="B26" s="103"/>
      <x:c r="C26" s="105" t="str">
        <x:v>Base</x:v>
      </x:c>
      <x:c r="D26" s="105"/>
      <x:c r="E26" s="119"/>
      <x:c r="F26" s="119"/>
      <x:c r="G26" s="119"/>
      <x:c r="H26" s="119"/>
      <x:c r="I26" s="119"/>
      <x:c r="J26" s="119"/>
      <x:c r="K26" s="119"/>
      <x:c r="L26" s="119"/>
      <x:c r="M26" s="119"/>
      <x:c r="N26" s="119"/>
      <x:c r="O26" s="149" t="n">
        <x:v>0.20128455414359428</x:v>
      </x:c>
      <x:c r="P26" s="149" t="n">
        <x:v>0.19928455414359428</x:v>
      </x:c>
      <x:c r="Q26" s="149" t="n">
        <x:v>0.19728455414359428</x:v>
      </x:c>
      <x:c r="R26" s="149" t="n">
        <x:v>0.19528455414359427</x:v>
      </x:c>
      <x:c r="S26" s="149" t="n">
        <x:v>0.19328455414359427</x:v>
      </x:c>
      <x:c r="T26" s="103"/>
      <x:c r="U26" s="103"/>
    </x:row>
    <x:row r="27" ht="24" customHeight="1">
      <x:c r="A27" s="103"/>
      <x:c r="B27" s="103"/>
      <x:c r="C27" s="105" t="str">
        <x:v>Upside</x:v>
      </x:c>
      <x:c r="D27" s="105"/>
      <x:c r="E27" s="119"/>
      <x:c r="F27" s="119"/>
      <x:c r="G27" s="119"/>
      <x:c r="H27" s="119"/>
      <x:c r="I27" s="119"/>
      <x:c r="J27" s="119"/>
      <x:c r="K27" s="119"/>
      <x:c r="L27" s="119"/>
      <x:c r="M27" s="119"/>
      <x:c r="N27" s="119"/>
      <x:c r="O27" s="149" t="n">
        <x:v>0.19628455414359428</x:v>
      </x:c>
      <x:c r="P27" s="149" t="n">
        <x:v>0.19428455414359427</x:v>
      </x:c>
      <x:c r="Q27" s="149" t="n">
        <x:v>0.19228455414359427</x:v>
      </x:c>
      <x:c r="R27" s="149" t="n">
        <x:v>0.19028455414359427</x:v>
      </x:c>
      <x:c r="S27" s="149" t="n">
        <x:v>0.18828455414359427</x:v>
      </x:c>
      <x:c r="T27" s="103"/>
      <x:c r="U27" s="103"/>
    </x:row>
    <x:row r="28" ht="24" customHeight="1">
      <x:c r="A28" s="103"/>
      <x:c r="B28" s="103"/>
      <x:c r="C28" s="105" t="str">
        <x:v>Downside</x:v>
      </x:c>
      <x:c r="D28" s="105"/>
      <x:c r="E28" s="119"/>
      <x:c r="F28" s="119"/>
      <x:c r="G28" s="119"/>
      <x:c r="H28" s="119"/>
      <x:c r="I28" s="119"/>
      <x:c r="J28" s="119"/>
      <x:c r="K28" s="119"/>
      <x:c r="L28" s="119"/>
      <x:c r="M28" s="119"/>
      <x:c r="N28" s="119"/>
      <x:c r="O28" s="149" t="n">
        <x:v>0.2112845541435943</x:v>
      </x:c>
      <x:c r="P28" s="149" t="n">
        <x:v>0.2092845541435943</x:v>
      </x:c>
      <x:c r="Q28" s="149" t="n">
        <x:v>0.20728455414359429</x:v>
      </x:c>
      <x:c r="R28" s="149" t="n">
        <x:v>0.20528455414359428</x:v>
      </x:c>
      <x:c r="S28" s="149" t="n">
        <x:v>0.20328455414359428</x:v>
      </x:c>
      <x:c r="T28" s="103"/>
      <x:c r="U28" s="103"/>
    </x:row>
    <x:row r="29" ht="24" customHeight="1">
      <x:c r="A29" s="103"/>
      <x:c r="B29" s="103"/>
      <x:c r="C29" s="142" t="str">
        <x:v>MPC cost excluding allocated D&amp;A and operating leases</x:v>
      </x:c>
      <x:c r="D29" s="144"/>
      <x:c r="E29" s="147"/>
      <x:c r="F29" s="147"/>
      <x:c r="G29" s="147"/>
      <x:c r="H29" s="147"/>
      <x:c r="I29" s="147"/>
      <x:c r="J29" s="147"/>
      <x:c r="K29" s="147"/>
      <x:c r="L29" s="147"/>
      <x:c r="M29" s="147"/>
      <x:c r="N29" s="147"/>
      <x:c r="O29" s="147" t="n">
        <x:f>IF(NOT(CHOOSE($D$4,ISNUMBER(O30),ISNUMBER(O31),ISNUMBER(O32))),"n.a.",CHOOSE($D$4,O30,O31,O32))</x:f>
        <x:v>0.33327536446384964</x:v>
      </x:c>
      <x:c r="P29" s="147" t="n">
        <x:f>IF(NOT(CHOOSE($D$4,ISNUMBER(P30),ISNUMBER(P31),ISNUMBER(P32))),"n.a.",CHOOSE($D$4,P30,P31,P32))</x:f>
        <x:v>0.33127536446384964</x:v>
      </x:c>
      <x:c r="Q29" s="147" t="n">
        <x:f>IF(NOT(CHOOSE($D$4,ISNUMBER(Q30),ISNUMBER(Q31),ISNUMBER(Q32))),"n.a.",CHOOSE($D$4,Q30,Q31,Q32))</x:f>
        <x:v>0.32927536446384964</x:v>
      </x:c>
      <x:c r="R29" s="147" t="n">
        <x:f>IF(NOT(CHOOSE($D$4,ISNUMBER(R30),ISNUMBER(R31),ISNUMBER(R32))),"n.a.",CHOOSE($D$4,R30,R31,R32))</x:f>
        <x:v>0.32727536446384964</x:v>
      </x:c>
      <x:c r="S29" s="147" t="n">
        <x:f>IF(NOT(CHOOSE($D$4,ISNUMBER(S30),ISNUMBER(S31),ISNUMBER(S32))),"n.a.",CHOOSE($D$4,S30,S31,S32))</x:f>
        <x:v>0.32527536446384964</x:v>
      </x:c>
      <x:c r="T29" s="103"/>
      <x:c r="U29" s="103"/>
    </x:row>
    <x:row r="30" ht="24" customHeight="1">
      <x:c r="A30" s="103"/>
      <x:c r="B30" s="103"/>
      <x:c r="C30" s="105" t="str">
        <x:v>Base</x:v>
      </x:c>
      <x:c r="D30" s="105"/>
      <x:c r="E30" s="119"/>
      <x:c r="F30" s="119"/>
      <x:c r="G30" s="119"/>
      <x:c r="H30" s="119"/>
      <x:c r="I30" s="119"/>
      <x:c r="J30" s="119"/>
      <x:c r="K30" s="119"/>
      <x:c r="L30" s="119"/>
      <x:c r="M30" s="119"/>
      <x:c r="N30" s="119"/>
      <x:c r="O30" s="149" t="n">
        <x:v>0.33327536446384964</x:v>
      </x:c>
      <x:c r="P30" s="149" t="n">
        <x:v>0.33127536446384964</x:v>
      </x:c>
      <x:c r="Q30" s="149" t="n">
        <x:v>0.32927536446384964</x:v>
      </x:c>
      <x:c r="R30" s="149" t="n">
        <x:v>0.32727536446384964</x:v>
      </x:c>
      <x:c r="S30" s="149" t="n">
        <x:v>0.32527536446384964</x:v>
      </x:c>
      <x:c r="T30" s="103"/>
      <x:c r="U30" s="103"/>
    </x:row>
    <x:row r="31" ht="24" customHeight="1">
      <x:c r="A31" s="103"/>
      <x:c r="B31" s="103"/>
      <x:c r="C31" s="105" t="str">
        <x:v>Upside</x:v>
      </x:c>
      <x:c r="D31" s="105"/>
      <x:c r="E31" s="119"/>
      <x:c r="F31" s="119"/>
      <x:c r="G31" s="119"/>
      <x:c r="H31" s="119"/>
      <x:c r="I31" s="119"/>
      <x:c r="J31" s="119"/>
      <x:c r="K31" s="119"/>
      <x:c r="L31" s="119"/>
      <x:c r="M31" s="119"/>
      <x:c r="N31" s="119"/>
      <x:c r="O31" s="149" t="n">
        <x:v>0.32827536446384964</x:v>
      </x:c>
      <x:c r="P31" s="149" t="n">
        <x:v>0.32627536446384964</x:v>
      </x:c>
      <x:c r="Q31" s="149" t="n">
        <x:v>0.32427536446384964</x:v>
      </x:c>
      <x:c r="R31" s="149" t="n">
        <x:v>0.32227536446384963</x:v>
      </x:c>
      <x:c r="S31" s="149" t="n">
        <x:v>0.32027536446384963</x:v>
      </x:c>
      <x:c r="T31" s="103"/>
      <x:c r="U31" s="103"/>
    </x:row>
    <x:row r="32" ht="24" customHeight="1">
      <x:c r="A32" s="103"/>
      <x:c r="B32" s="103"/>
      <x:c r="C32" s="105" t="str">
        <x:v>Downside</x:v>
      </x:c>
      <x:c r="D32" s="105"/>
      <x:c r="E32" s="119"/>
      <x:c r="F32" s="119"/>
      <x:c r="G32" s="119"/>
      <x:c r="H32" s="119"/>
      <x:c r="I32" s="119"/>
      <x:c r="J32" s="119"/>
      <x:c r="K32" s="119"/>
      <x:c r="L32" s="119"/>
      <x:c r="M32" s="119"/>
      <x:c r="N32" s="119"/>
      <x:c r="O32" s="149" t="n">
        <x:v>0.34327536446384965</x:v>
      </x:c>
      <x:c r="P32" s="149" t="n">
        <x:v>0.34127536446384965</x:v>
      </x:c>
      <x:c r="Q32" s="149" t="n">
        <x:v>0.33927536446384965</x:v>
      </x:c>
      <x:c r="R32" s="149" t="n">
        <x:v>0.33727536446384965</x:v>
      </x:c>
      <x:c r="S32" s="149" t="n">
        <x:v>0.33527536446384965</x:v>
      </x:c>
      <x:c r="T32" s="103"/>
      <x:c r="U32" s="103"/>
    </x:row>
    <x:row r="33" ht="24" customHeight="1">
      <x:c r="A33" s="103"/>
      <x:c r="B33" s="103"/>
      <x:c r="C33" s="142" t="str">
        <x:v>R&amp;D excluding allocated D&amp;A and operating leases / revenue</x:v>
      </x:c>
      <x:c r="D33" s="144"/>
      <x:c r="E33" s="147"/>
      <x:c r="F33" s="147"/>
      <x:c r="G33" s="147"/>
      <x:c r="H33" s="147"/>
      <x:c r="I33" s="147"/>
      <x:c r="J33" s="147"/>
      <x:c r="K33" s="147"/>
      <x:c r="L33" s="147"/>
      <x:c r="M33" s="147"/>
      <x:c r="N33" s="147"/>
      <x:c r="O33" s="147" t="n">
        <x:f>IF(NOT(CHOOSE($D$4,ISNUMBER(O34),ISNUMBER(O35),ISNUMBER(O36))),"n.a.",CHOOSE($D$4,O34,O35,O36))</x:f>
        <x:v>0.0881457574305612</x:v>
      </x:c>
      <x:c r="P33" s="147" t="n">
        <x:f>IF(NOT(CHOOSE($D$4,ISNUMBER(P34),ISNUMBER(P35),ISNUMBER(P36))),"n.a.",CHOOSE($D$4,P34,P35,P36))</x:f>
        <x:v>0.0876457574305612</x:v>
      </x:c>
      <x:c r="Q33" s="147" t="n">
        <x:f>IF(NOT(CHOOSE($D$4,ISNUMBER(Q34),ISNUMBER(Q35),ISNUMBER(Q36))),"n.a.",CHOOSE($D$4,Q34,Q35,Q36))</x:f>
        <x:v>0.0871457574305612</x:v>
      </x:c>
      <x:c r="R33" s="147" t="n">
        <x:f>IF(NOT(CHOOSE($D$4,ISNUMBER(R34),ISNUMBER(R35),ISNUMBER(R36))),"n.a.",CHOOSE($D$4,R34,R35,R36))</x:f>
        <x:v>0.0866457574305612</x:v>
      </x:c>
      <x:c r="S33" s="147" t="n">
        <x:f>IF(NOT(CHOOSE($D$4,ISNUMBER(S34),ISNUMBER(S35),ISNUMBER(S36))),"n.a.",CHOOSE($D$4,S34,S35,S36))</x:f>
        <x:v>0.0861457574305612</x:v>
      </x:c>
      <x:c r="T33" s="103"/>
      <x:c r="U33" s="103"/>
    </x:row>
    <x:row r="34" ht="24" customHeight="1">
      <x:c r="A34" s="103"/>
      <x:c r="B34" s="103"/>
      <x:c r="C34" s="105" t="str">
        <x:v>Base</x:v>
      </x:c>
      <x:c r="D34" s="105"/>
      <x:c r="E34" s="119"/>
      <x:c r="F34" s="119"/>
      <x:c r="G34" s="119"/>
      <x:c r="H34" s="119"/>
      <x:c r="I34" s="119"/>
      <x:c r="J34" s="119"/>
      <x:c r="K34" s="119"/>
      <x:c r="L34" s="119"/>
      <x:c r="M34" s="119"/>
      <x:c r="N34" s="119"/>
      <x:c r="O34" s="149" t="n">
        <x:v>0.0881457574305612</x:v>
      </x:c>
      <x:c r="P34" s="149" t="n">
        <x:v>0.0876457574305612</x:v>
      </x:c>
      <x:c r="Q34" s="149" t="n">
        <x:v>0.0871457574305612</x:v>
      </x:c>
      <x:c r="R34" s="149" t="n">
        <x:v>0.0866457574305612</x:v>
      </x:c>
      <x:c r="S34" s="149" t="n">
        <x:v>0.0861457574305612</x:v>
      </x:c>
      <x:c r="T34" s="103"/>
      <x:c r="U34" s="103"/>
    </x:row>
    <x:row r="35" ht="24" customHeight="1">
      <x:c r="A35" s="103"/>
      <x:c r="B35" s="103"/>
      <x:c r="C35" s="105" t="str">
        <x:v>Upside</x:v>
      </x:c>
      <x:c r="D35" s="105"/>
      <x:c r="E35" s="119"/>
      <x:c r="F35" s="119"/>
      <x:c r="G35" s="119"/>
      <x:c r="H35" s="119"/>
      <x:c r="I35" s="119"/>
      <x:c r="J35" s="119"/>
      <x:c r="K35" s="119"/>
      <x:c r="L35" s="119"/>
      <x:c r="M35" s="119"/>
      <x:c r="N35" s="119"/>
      <x:c r="O35" s="149" t="n">
        <x:v>0.0871457574305612</x:v>
      </x:c>
      <x:c r="P35" s="149" t="n">
        <x:v>0.0866457574305612</x:v>
      </x:c>
      <x:c r="Q35" s="149" t="n">
        <x:v>0.0861457574305612</x:v>
      </x:c>
      <x:c r="R35" s="149" t="n">
        <x:v>0.0856457574305612</x:v>
      </x:c>
      <x:c r="S35" s="149" t="n">
        <x:v>0.0851457574305612</x:v>
      </x:c>
      <x:c r="T35" s="103"/>
      <x:c r="U35" s="103"/>
    </x:row>
    <x:row r="36" ht="24" customHeight="1">
      <x:c r="A36" s="103"/>
      <x:c r="B36" s="103"/>
      <x:c r="C36" s="105" t="str">
        <x:v>Downside</x:v>
      </x:c>
      <x:c r="D36" s="105"/>
      <x:c r="E36" s="119"/>
      <x:c r="F36" s="119"/>
      <x:c r="G36" s="119"/>
      <x:c r="H36" s="119"/>
      <x:c r="I36" s="119"/>
      <x:c r="J36" s="119"/>
      <x:c r="K36" s="119"/>
      <x:c r="L36" s="119"/>
      <x:c r="M36" s="119"/>
      <x:c r="N36" s="119"/>
      <x:c r="O36" s="149" t="n">
        <x:v>0.0911457574305612</x:v>
      </x:c>
      <x:c r="P36" s="149" t="n">
        <x:v>0.0906457574305612</x:v>
      </x:c>
      <x:c r="Q36" s="149" t="n">
        <x:v>0.0901457574305612</x:v>
      </x:c>
      <x:c r="R36" s="149" t="n">
        <x:v>0.0896457574305612</x:v>
      </x:c>
      <x:c r="S36" s="149" t="n">
        <x:v>0.0891457574305612</x:v>
      </x:c>
      <x:c r="T36" s="103"/>
      <x:c r="U36" s="103"/>
    </x:row>
    <x:row r="37" ht="24" customHeight="1">
      <x:c r="A37" s="103"/>
      <x:c r="B37" s="103"/>
      <x:c r="C37" s="144" t="str">
        <x:v>Sales and marketing / revenue</x:v>
      </x:c>
      <x:c r="D37" s="144"/>
      <x:c r="E37" s="147" t="n">
        <x:f>'Income Statement'!E15/'Income Statement'!E8</x:f>
        <x:v>0.16009982292820826</x:v>
      </x:c>
      <x:c r="F37" s="147" t="n">
        <x:f>'Income Statement'!F15/'Income Statement'!F8</x:f>
        <x:v>0.15829104748097136</x:v>
      </x:c>
      <x:c r="G37" s="147" t="n">
        <x:f>'Income Statement'!G15/'Income Statement'!G8</x:f>
        <x:v>0.1447279546736807</x:v>
      </x:c>
      <x:c r="H37" s="147" t="n">
        <x:f>'Income Statement'!H15/'Income Statement'!H8</x:f>
        <x:v>0.13703457679264414</x:v>
      </x:c>
      <x:c r="I37" s="147" t="n">
        <x:f>'Income Statement'!I15/'Income Statement'!I8</x:f>
        <x:v>0.1196813573842273</x:v>
      </x:c>
      <x:c r="J37" s="147" t="n">
        <x:f>'Income Statement'!J15/'Income Statement'!J8</x:f>
        <x:v>0.11007716749886519</x:v>
      </x:c>
      <x:c r="K37" s="147" t="n">
        <x:f>'Income Statement'!K15/'Income Statement'!K8</x:f>
        <x:v>0.10739683363612769</x:v>
      </x:c>
      <x:c r="L37" s="147" t="n">
        <x:f>'Income Statement'!L15/'Income Statement'!L8</x:f>
        <x:v>0.09977072641378579</x:v>
      </x:c>
      <x:c r="M37" s="147" t="n">
        <x:f>'Income Statement'!M15/'Income Statement'!M8</x:f>
        <x:v>0.09106075449730942</x:v>
      </x:c>
      <x:c r="N37" s="147" t="n">
        <x:f>'Income Statement'!N15/'Income Statement'!N8</x:f>
        <x:v>0.08049084043768213</x:v>
      </x:c>
      <x:c r="O37" s="147" t="n">
        <x:f>IF(NOT(CHOOSE($D$4,ISNUMBER(O38),ISNUMBER(O39),ISNUMBER(O40))),"n.a.",CHOOSE($D$4,O38,O39,O40))</x:f>
        <x:v>0.08</x:v>
      </x:c>
      <x:c r="P37" s="147" t="n">
        <x:f>IF(NOT(CHOOSE($D$4,ISNUMBER(P38),ISNUMBER(P39),ISNUMBER(P40))),"n.a.",CHOOSE($D$4,P38,P39,P40))</x:f>
        <x:v>0.079</x:v>
      </x:c>
      <x:c r="Q37" s="147" t="n">
        <x:f>IF(NOT(CHOOSE($D$4,ISNUMBER(Q38),ISNUMBER(Q39),ISNUMBER(Q40))),"n.a.",CHOOSE($D$4,Q38,Q39,Q40))</x:f>
        <x:v>0.078</x:v>
      </x:c>
      <x:c r="R37" s="147" t="n">
        <x:f>IF(NOT(CHOOSE($D$4,ISNUMBER(R38),ISNUMBER(R39),ISNUMBER(R40))),"n.a.",CHOOSE($D$4,R38,R39,R40))</x:f>
        <x:v>0.077</x:v>
      </x:c>
      <x:c r="S37" s="147" t="n">
        <x:f>IF(NOT(CHOOSE($D$4,ISNUMBER(S38),ISNUMBER(S39),ISNUMBER(S40))),"n.a.",CHOOSE($D$4,S38,S39,S40))</x:f>
        <x:v>0.076</x:v>
      </x:c>
      <x:c r="T37" s="103"/>
      <x:c r="U37" s="103"/>
    </x:row>
    <x:row r="38" ht="24" customHeight="1">
      <x:c r="A38" s="103"/>
      <x:c r="B38" s="103"/>
      <x:c r="C38" s="105" t="str">
        <x:v>Base</x:v>
      </x:c>
      <x:c r="D38" s="105"/>
      <x:c r="E38" s="119"/>
      <x:c r="F38" s="119"/>
      <x:c r="G38" s="119"/>
      <x:c r="H38" s="119"/>
      <x:c r="I38" s="119"/>
      <x:c r="J38" s="119"/>
      <x:c r="K38" s="119"/>
      <x:c r="L38" s="119"/>
      <x:c r="M38" s="119"/>
      <x:c r="N38" s="119"/>
      <x:c r="O38" s="149" t="n">
        <x:v>0.08</x:v>
      </x:c>
      <x:c r="P38" s="149" t="n">
        <x:v>0.079</x:v>
      </x:c>
      <x:c r="Q38" s="149" t="n">
        <x:v>0.078</x:v>
      </x:c>
      <x:c r="R38" s="149" t="n">
        <x:v>0.077</x:v>
      </x:c>
      <x:c r="S38" s="149" t="n">
        <x:v>0.076</x:v>
      </x:c>
      <x:c r="T38" s="103"/>
      <x:c r="U38" s="103"/>
    </x:row>
    <x:row r="39" ht="24" customHeight="1">
      <x:c r="A39" s="103"/>
      <x:c r="B39" s="103"/>
      <x:c r="C39" s="105" t="str">
        <x:v>Upside</x:v>
      </x:c>
      <x:c r="D39" s="105"/>
      <x:c r="E39" s="119"/>
      <x:c r="F39" s="119"/>
      <x:c r="G39" s="119"/>
      <x:c r="H39" s="119"/>
      <x:c r="I39" s="119"/>
      <x:c r="J39" s="119"/>
      <x:c r="K39" s="119"/>
      <x:c r="L39" s="119"/>
      <x:c r="M39" s="119"/>
      <x:c r="N39" s="119"/>
      <x:c r="O39" s="149" t="n">
        <x:v>0.077</x:v>
      </x:c>
      <x:c r="P39" s="149" t="n">
        <x:v>0.076</x:v>
      </x:c>
      <x:c r="Q39" s="149" t="n">
        <x:v>0.075</x:v>
      </x:c>
      <x:c r="R39" s="149" t="n">
        <x:v>0.074</x:v>
      </x:c>
      <x:c r="S39" s="149" t="n">
        <x:v>0.073</x:v>
      </x:c>
      <x:c r="T39" s="103"/>
      <x:c r="U39" s="103"/>
    </x:row>
    <x:row r="40" ht="24" customHeight="1">
      <x:c r="A40" s="103"/>
      <x:c r="B40" s="103"/>
      <x:c r="C40" s="105" t="str">
        <x:v>Downside</x:v>
      </x:c>
      <x:c r="D40" s="105"/>
      <x:c r="E40" s="119"/>
      <x:c r="F40" s="119"/>
      <x:c r="G40" s="119"/>
      <x:c r="H40" s="119"/>
      <x:c r="I40" s="119"/>
      <x:c r="J40" s="119"/>
      <x:c r="K40" s="119"/>
      <x:c r="L40" s="119"/>
      <x:c r="M40" s="119"/>
      <x:c r="N40" s="119"/>
      <x:c r="O40" s="149" t="n">
        <x:v>0.083</x:v>
      </x:c>
      <x:c r="P40" s="149" t="n">
        <x:v>0.082</x:v>
      </x:c>
      <x:c r="Q40" s="149" t="n">
        <x:v>0.081</x:v>
      </x:c>
      <x:c r="R40" s="149" t="n">
        <x:v>0.08</x:v>
      </x:c>
      <x:c r="S40" s="149" t="n">
        <x:v>0.079</x:v>
      </x:c>
      <x:c r="T40" s="103"/>
      <x:c r="U40" s="103"/>
    </x:row>
    <x:row r="41" ht="24" customHeight="1">
      <x:c r="A41" s="103"/>
      <x:c r="B41" s="103"/>
      <x:c r="C41" s="144" t="str">
        <x:v>General and administrative / revenue</x:v>
      </x:c>
      <x:c r="D41" s="144"/>
      <x:c r="E41" s="147" t="n">
        <x:f>'Income Statement'!E16/'Income Statement'!E8</x:f>
        <x:v>0.046401093495977055</x:v>
      </x:c>
      <x:c r="F41" s="147" t="n">
        <x:f>'Income Statement'!F16/'Income Statement'!F8</x:f>
        <x:v>0.043077201884740846</x:v>
      </x:c>
      <x:c r="G41" s="147" t="n">
        <x:f>'Income Statement'!G16/'Income Statement'!G8</x:f>
        <x:v>0.0388182099918152</x:v>
      </x:c>
      <x:c r="H41" s="147" t="n">
        <x:f>'Income Statement'!H16/'Income Statement'!H8</x:f>
        <x:v>0.03573751005139321</x:v>
      </x:c>
      <x:c r="I41" s="147" t="n">
        <x:f>'Income Statement'!I16/'Income Statement'!I8</x:f>
        <x:v>0.030382894674218265</x:v>
      </x:c>
      <x:c r="J41" s="147" t="n">
        <x:f>'Income Statement'!J16/'Income Statement'!J8</x:f>
        <x:v>0.029757401523175468</x:v>
      </x:c>
      <x:c r="K41" s="147" t="n">
        <x:f>'Income Statement'!K16/'Income Statement'!K8</x:f>
        <x:v>0.03574546398320081</x:v>
      </x:c>
      <x:c r="L41" s="147" t="n">
        <x:f>'Income Statement'!L16/'Income Statement'!L8</x:f>
        <x:v>0.031041685364838735</x:v>
      </x:c>
      <x:c r="M41" s="147" t="n">
        <x:f>'Income Statement'!M16/'Income Statement'!M8</x:f>
        <x:v>0.02563856824409706</x:v>
      </x:c>
      <x:c r="N41" s="147" t="n">
        <x:f>'Income Statement'!N16/'Income Statement'!N8</x:f>
        <x:v>0.0239754820861924</x:v>
      </x:c>
      <x:c r="O41" s="147" t="n">
        <x:f>IF(NOT(CHOOSE($D$4,ISNUMBER(O42),ISNUMBER(O43),ISNUMBER(O44))),"n.a.",CHOOSE($D$4,O42,O43,O44))</x:f>
        <x:v>0.024</x:v>
      </x:c>
      <x:c r="P41" s="147" t="n">
        <x:f>IF(NOT(CHOOSE($D$4,ISNUMBER(P42),ISNUMBER(P43),ISNUMBER(P44))),"n.a.",CHOOSE($D$4,P42,P43,P44))</x:f>
        <x:v>0.0235</x:v>
      </x:c>
      <x:c r="Q41" s="147" t="n">
        <x:f>IF(NOT(CHOOSE($D$4,ISNUMBER(Q42),ISNUMBER(Q43),ISNUMBER(Q44))),"n.a.",CHOOSE($D$4,Q42,Q43,Q44))</x:f>
        <x:v>0.023</x:v>
      </x:c>
      <x:c r="R41" s="147" t="n">
        <x:f>IF(NOT(CHOOSE($D$4,ISNUMBER(R42),ISNUMBER(R43),ISNUMBER(R44))),"n.a.",CHOOSE($D$4,R42,R43,R44))</x:f>
        <x:v>0.0225</x:v>
      </x:c>
      <x:c r="S41" s="147" t="n">
        <x:f>IF(NOT(CHOOSE($D$4,ISNUMBER(S42),ISNUMBER(S43),ISNUMBER(S44))),"n.a.",CHOOSE($D$4,S42,S43,S44))</x:f>
        <x:v>0.022</x:v>
      </x:c>
      <x:c r="T41" s="103"/>
      <x:c r="U41" s="103"/>
    </x:row>
    <x:row r="42" ht="24" customHeight="1">
      <x:c r="A42" s="103"/>
      <x:c r="B42" s="103"/>
      <x:c r="C42" s="105" t="str">
        <x:v>Base</x:v>
      </x:c>
      <x:c r="D42" s="105"/>
      <x:c r="E42" s="119"/>
      <x:c r="F42" s="119"/>
      <x:c r="G42" s="119"/>
      <x:c r="H42" s="119"/>
      <x:c r="I42" s="119"/>
      <x:c r="J42" s="119"/>
      <x:c r="K42" s="119"/>
      <x:c r="L42" s="119"/>
      <x:c r="M42" s="119"/>
      <x:c r="N42" s="119"/>
      <x:c r="O42" s="149" t="n">
        <x:v>0.024</x:v>
      </x:c>
      <x:c r="P42" s="149" t="n">
        <x:v>0.0235</x:v>
      </x:c>
      <x:c r="Q42" s="149" t="n">
        <x:v>0.023</x:v>
      </x:c>
      <x:c r="R42" s="149" t="n">
        <x:v>0.0225</x:v>
      </x:c>
      <x:c r="S42" s="149" t="n">
        <x:v>0.022</x:v>
      </x:c>
      <x:c r="T42" s="103"/>
      <x:c r="U42" s="103"/>
    </x:row>
    <x:row r="43" ht="24" customHeight="1">
      <x:c r="A43" s="103"/>
      <x:c r="B43" s="103"/>
      <x:c r="C43" s="105" t="str">
        <x:v>Upside</x:v>
      </x:c>
      <x:c r="D43" s="105"/>
      <x:c r="E43" s="119"/>
      <x:c r="F43" s="119"/>
      <x:c r="G43" s="119"/>
      <x:c r="H43" s="119"/>
      <x:c r="I43" s="119"/>
      <x:c r="J43" s="119"/>
      <x:c r="K43" s="119"/>
      <x:c r="L43" s="119"/>
      <x:c r="M43" s="119"/>
      <x:c r="N43" s="119"/>
      <x:c r="O43" s="149" t="n">
        <x:v>0.023</x:v>
      </x:c>
      <x:c r="P43" s="149" t="n">
        <x:v>0.0225</x:v>
      </x:c>
      <x:c r="Q43" s="149" t="n">
        <x:v>0.022</x:v>
      </x:c>
      <x:c r="R43" s="149" t="n">
        <x:v>0.0215</x:v>
      </x:c>
      <x:c r="S43" s="149" t="n">
        <x:v>0.020999999999999998</x:v>
      </x:c>
      <x:c r="T43" s="103"/>
      <x:c r="U43" s="103"/>
    </x:row>
    <x:row r="44" ht="24" customHeight="1">
      <x:c r="A44" s="103"/>
      <x:c r="B44" s="103"/>
      <x:c r="C44" s="105" t="str">
        <x:v>Downside</x:v>
      </x:c>
      <x:c r="D44" s="105"/>
      <x:c r="E44" s="119"/>
      <x:c r="F44" s="119"/>
      <x:c r="G44" s="119"/>
      <x:c r="H44" s="119"/>
      <x:c r="I44" s="119"/>
      <x:c r="J44" s="119"/>
      <x:c r="K44" s="119"/>
      <x:c r="L44" s="119"/>
      <x:c r="M44" s="119"/>
      <x:c r="N44" s="119"/>
      <x:c r="O44" s="149" t="n">
        <x:v>0.026000000000000002</x:v>
      </x:c>
      <x:c r="P44" s="149" t="n">
        <x:v>0.025500000000000002</x:v>
      </x:c>
      <x:c r="Q44" s="149" t="n">
        <x:v>0.025</x:v>
      </x:c>
      <x:c r="R44" s="149" t="n">
        <x:v>0.0245</x:v>
      </x:c>
      <x:c r="S44" s="149" t="n">
        <x:v>0.024</x:v>
      </x:c>
      <x:c r="T44" s="103"/>
      <x:c r="U44" s="103"/>
    </x:row>
    <x:row r="45" ht="24" customHeight="1">
      <x:c r="A45" s="103"/>
      <x:c r="B45" s="103"/>
      <x:c r="C45" s="142" t="str">
        <x:v>Cash capex including capitalized interest / revenue</x:v>
      </x:c>
      <x:c r="D45" s="144"/>
      <x:c r="E45" s="147" t="n">
        <x:f>'PPE and Intangibles'!E8/'Income Statement'!E8</x:f>
        <x:v>0.08417640906690414</x:v>
      </x:c>
      <x:c r="F45" s="147" t="n">
        <x:f>'PPE and Intangibles'!F8/'Income Statement'!F8</x:f>
        <x:v>0.10540050743022834</x:v>
      </x:c>
      <x:c r="G45" s="147" t="n">
        <x:f>'PPE and Intangibles'!G8/'Income Statement'!G8</x:f>
        <x:v>0.11065375110256431</x:v>
      </x:c>
      <x:c r="H45" s="147" t="n">
        <x:f>'PPE and Intangibles'!H8/'Income Statement'!H8</x:f>
        <x:v>0.10796769569625564</x:v>
      </x:c>
      <x:c r="I45" s="147" t="n">
        <x:f>'PPE and Intangibles'!I8/'Income Statement'!I8</x:f>
        <x:v>0.12268573604302509</x:v>
      </x:c>
      <x:c r="J45" s="147" t="n">
        <x:f>'PPE and Intangibles'!J8/'Income Statement'!J8</x:f>
        <x:v>0.12047208352246935</x:v>
      </x:c>
      <x:c r="K45" s="147" t="n">
        <x:f>'PPE and Intangibles'!K8/'Income Statement'!K8</x:f>
        <x:v>0.13263336715192411</x:v>
      </x:c>
      <x:c r="L45" s="147" t="n">
        <x:f>'PPE and Intangibles'!L8/'Income Statement'!L8</x:f>
        <x:v>0.18144842160230415</x:v>
      </x:c>
      <x:c r="M45" s="147" t="n">
        <x:f>'PPE and Intangibles'!M8/'Income Statement'!M8</x:f>
        <x:v>0.22912850875324786</x:v>
      </x:c>
      <x:c r="N45" s="147" t="n">
        <x:f>'PPE and Intangibles'!N8/'Income Statement'!N8</x:f>
        <x:v>0.34941040685392616</x:v>
      </x:c>
      <x:c r="O45" s="147" t="n">
        <x:f>IF(NOT(CHOOSE($D$4,ISNUMBER(O46),ISNUMBER(O47),ISNUMBER(O48))),"n.a.",CHOOSE($D$4,O46,O47,O48))</x:f>
        <x:v>0.32</x:v>
      </x:c>
      <x:c r="P45" s="147" t="n">
        <x:f>IF(NOT(CHOOSE($D$4,ISNUMBER(P46),ISNUMBER(P47),ISNUMBER(P48))),"n.a.",CHOOSE($D$4,P46,P47,P48))</x:f>
        <x:v>0.28</x:v>
      </x:c>
      <x:c r="Q45" s="147" t="n">
        <x:f>IF(NOT(CHOOSE($D$4,ISNUMBER(Q46),ISNUMBER(Q47),ISNUMBER(Q48))),"n.a.",CHOOSE($D$4,Q46,Q47,Q48))</x:f>
        <x:v>0.25</x:v>
      </x:c>
      <x:c r="R45" s="147" t="n">
        <x:f>IF(NOT(CHOOSE($D$4,ISNUMBER(R46),ISNUMBER(R47),ISNUMBER(R48))),"n.a.",CHOOSE($D$4,R46,R47,R48))</x:f>
        <x:v>0.22</x:v>
      </x:c>
      <x:c r="S45" s="147" t="n">
        <x:f>IF(NOT(CHOOSE($D$4,ISNUMBER(S46),ISNUMBER(S47),ISNUMBER(S48))),"n.a.",CHOOSE($D$4,S46,S47,S48))</x:f>
        <x:v>0.2</x:v>
      </x:c>
      <x:c r="T45" s="103"/>
      <x:c r="U45" s="103"/>
    </x:row>
    <x:row r="46" ht="24" customHeight="1">
      <x:c r="A46" s="103"/>
      <x:c r="B46" s="103"/>
      <x:c r="C46" s="105" t="str">
        <x:v>Base</x:v>
      </x:c>
      <x:c r="D46" s="105"/>
      <x:c r="E46" s="119"/>
      <x:c r="F46" s="119"/>
      <x:c r="G46" s="119"/>
      <x:c r="H46" s="119"/>
      <x:c r="I46" s="119"/>
      <x:c r="J46" s="119"/>
      <x:c r="K46" s="119"/>
      <x:c r="L46" s="119"/>
      <x:c r="M46" s="119"/>
      <x:c r="N46" s="119"/>
      <x:c r="O46" s="149" t="n">
        <x:v>0.32</x:v>
      </x:c>
      <x:c r="P46" s="149" t="n">
        <x:v>0.28</x:v>
      </x:c>
      <x:c r="Q46" s="149" t="n">
        <x:v>0.25</x:v>
      </x:c>
      <x:c r="R46" s="149" t="n">
        <x:v>0.22</x:v>
      </x:c>
      <x:c r="S46" s="149" t="n">
        <x:v>0.2</x:v>
      </x:c>
      <x:c r="T46" s="103"/>
      <x:c r="U46" s="103"/>
    </x:row>
    <x:row r="47" ht="24" customHeight="1">
      <x:c r="A47" s="103"/>
      <x:c r="B47" s="103"/>
      <x:c r="C47" s="105" t="str">
        <x:v>Upside</x:v>
      </x:c>
      <x:c r="D47" s="105"/>
      <x:c r="E47" s="119"/>
      <x:c r="F47" s="119"/>
      <x:c r="G47" s="119"/>
      <x:c r="H47" s="119"/>
      <x:c r="I47" s="119"/>
      <x:c r="J47" s="119"/>
      <x:c r="K47" s="119"/>
      <x:c r="L47" s="119"/>
      <x:c r="M47" s="119"/>
      <x:c r="N47" s="119"/>
      <x:c r="O47" s="149" t="n">
        <x:v>0.34</x:v>
      </x:c>
      <x:c r="P47" s="149" t="n">
        <x:v>0.31</x:v>
      </x:c>
      <x:c r="Q47" s="149" t="n">
        <x:v>0.28</x:v>
      </x:c>
      <x:c r="R47" s="149" t="n">
        <x:v>0.25</x:v>
      </x:c>
      <x:c r="S47" s="149" t="n">
        <x:v>0.23</x:v>
      </x:c>
      <x:c r="T47" s="103"/>
      <x:c r="U47" s="103"/>
    </x:row>
    <x:row r="48" ht="24" customHeight="1">
      <x:c r="A48" s="103"/>
      <x:c r="B48" s="103"/>
      <x:c r="C48" s="105" t="str">
        <x:v>Downside</x:v>
      </x:c>
      <x:c r="D48" s="105"/>
      <x:c r="E48" s="119"/>
      <x:c r="F48" s="119"/>
      <x:c r="G48" s="119"/>
      <x:c r="H48" s="119"/>
      <x:c r="I48" s="119"/>
      <x:c r="J48" s="119"/>
      <x:c r="K48" s="119"/>
      <x:c r="L48" s="119"/>
      <x:c r="M48" s="119"/>
      <x:c r="N48" s="119"/>
      <x:c r="O48" s="149" t="n">
        <x:v>0.35</x:v>
      </x:c>
      <x:c r="P48" s="149" t="n">
        <x:v>0.33</x:v>
      </x:c>
      <x:c r="Q48" s="149" t="n">
        <x:v>0.3</x:v>
      </x:c>
      <x:c r="R48" s="149" t="n">
        <x:v>0.28</x:v>
      </x:c>
      <x:c r="S48" s="149" t="n">
        <x:v>0.25</x:v>
      </x:c>
      <x:c r="T48" s="103"/>
      <x:c r="U48" s="103"/>
    </x:row>
    <x:row r="49" ht="24" customHeight="1">
      <x:c r="A49" s="103"/>
      <x:c r="B49" s="103"/>
      <x:c r="C49" s="144" t="str">
        <x:v>Capital expenditure payables / cash capex</x:v>
      </x:c>
      <x:c r="D49" s="144"/>
      <x:c r="E49" s="147"/>
      <x:c r="F49" s="147"/>
      <x:c r="G49" s="147"/>
      <x:c r="H49" s="147"/>
      <x:c r="I49" s="147"/>
      <x:c r="J49" s="147"/>
      <x:c r="K49" s="147"/>
      <x:c r="L49" s="147"/>
      <x:c r="M49" s="147"/>
      <x:c r="N49" s="147" t="n">
        <x:f>'Filing Notes'!N23/'PPE and Intangibles'!N8</x:f>
        <x:v>0.23027564080449855</x:v>
      </x:c>
      <x:c r="O49" s="147" t="n">
        <x:f>IF(NOT(CHOOSE($D$4,ISNUMBER(O50),ISNUMBER(O51),ISNUMBER(O52))),"n.a.",CHOOSE($D$4,O50,O51,O52))</x:f>
        <x:v>0.2</x:v>
      </x:c>
      <x:c r="P49" s="147" t="n">
        <x:f>IF(NOT(CHOOSE($D$4,ISNUMBER(P50),ISNUMBER(P51),ISNUMBER(P52))),"n.a.",CHOOSE($D$4,P50,P51,P52))</x:f>
        <x:v>0.18</x:v>
      </x:c>
      <x:c r="Q49" s="147" t="n">
        <x:f>IF(NOT(CHOOSE($D$4,ISNUMBER(Q50),ISNUMBER(Q51),ISNUMBER(Q52))),"n.a.",CHOOSE($D$4,Q50,Q51,Q52))</x:f>
        <x:v>0.16</x:v>
      </x:c>
      <x:c r="R49" s="147" t="n">
        <x:f>IF(NOT(CHOOSE($D$4,ISNUMBER(R50),ISNUMBER(R51),ISNUMBER(R52))),"n.a.",CHOOSE($D$4,R50,R51,R52))</x:f>
        <x:v>0.14</x:v>
      </x:c>
      <x:c r="S49" s="147" t="n">
        <x:f>IF(NOT(CHOOSE($D$4,ISNUMBER(S50),ISNUMBER(S51),ISNUMBER(S52))),"n.a.",CHOOSE($D$4,S50,S51,S52))</x:f>
        <x:v>0.12</x:v>
      </x:c>
      <x:c r="T49" s="103"/>
      <x:c r="U49" s="103"/>
    </x:row>
    <x:row r="50" ht="24" customHeight="1">
      <x:c r="A50" s="103"/>
      <x:c r="B50" s="103"/>
      <x:c r="C50" s="105" t="str">
        <x:v>Base</x:v>
      </x:c>
      <x:c r="D50" s="105"/>
      <x:c r="E50" s="119"/>
      <x:c r="F50" s="119"/>
      <x:c r="G50" s="119"/>
      <x:c r="H50" s="119"/>
      <x:c r="I50" s="119"/>
      <x:c r="J50" s="119"/>
      <x:c r="K50" s="119"/>
      <x:c r="L50" s="119"/>
      <x:c r="M50" s="119"/>
      <x:c r="N50" s="119"/>
      <x:c r="O50" s="149" t="n">
        <x:v>0.2</x:v>
      </x:c>
      <x:c r="P50" s="149" t="n">
        <x:v>0.18</x:v>
      </x:c>
      <x:c r="Q50" s="149" t="n">
        <x:v>0.16</x:v>
      </x:c>
      <x:c r="R50" s="149" t="n">
        <x:v>0.14</x:v>
      </x:c>
      <x:c r="S50" s="149" t="n">
        <x:v>0.12</x:v>
      </x:c>
      <x:c r="T50" s="103"/>
      <x:c r="U50" s="103"/>
    </x:row>
    <x:row r="51" ht="24" customHeight="1">
      <x:c r="A51" s="103"/>
      <x:c r="B51" s="103"/>
      <x:c r="C51" s="105" t="str">
        <x:v>Upside</x:v>
      </x:c>
      <x:c r="D51" s="105"/>
      <x:c r="E51" s="119"/>
      <x:c r="F51" s="119"/>
      <x:c r="G51" s="119"/>
      <x:c r="H51" s="119"/>
      <x:c r="I51" s="119"/>
      <x:c r="J51" s="119"/>
      <x:c r="K51" s="119"/>
      <x:c r="L51" s="119"/>
      <x:c r="M51" s="119"/>
      <x:c r="N51" s="119"/>
      <x:c r="O51" s="149" t="n">
        <x:v>0.22</x:v>
      </x:c>
      <x:c r="P51" s="149" t="n">
        <x:v>0.2</x:v>
      </x:c>
      <x:c r="Q51" s="149" t="n">
        <x:v>0.18</x:v>
      </x:c>
      <x:c r="R51" s="149" t="n">
        <x:v>0.16</x:v>
      </x:c>
      <x:c r="S51" s="149" t="n">
        <x:v>0.14</x:v>
      </x:c>
      <x:c r="T51" s="103"/>
      <x:c r="U51" s="103"/>
    </x:row>
    <x:row r="52" ht="24" customHeight="1">
      <x:c r="A52" s="103"/>
      <x:c r="B52" s="103"/>
      <x:c r="C52" s="105" t="str">
        <x:v>Downside</x:v>
      </x:c>
      <x:c r="D52" s="105"/>
      <x:c r="E52" s="119"/>
      <x:c r="F52" s="119"/>
      <x:c r="G52" s="119"/>
      <x:c r="H52" s="119"/>
      <x:c r="I52" s="119"/>
      <x:c r="J52" s="119"/>
      <x:c r="K52" s="119"/>
      <x:c r="L52" s="119"/>
      <x:c r="M52" s="119"/>
      <x:c r="N52" s="119"/>
      <x:c r="O52" s="149" t="n">
        <x:v>0.25</x:v>
      </x:c>
      <x:c r="P52" s="149" t="n">
        <x:v>0.25</x:v>
      </x:c>
      <x:c r="Q52" s="149" t="n">
        <x:v>0.24</x:v>
      </x:c>
      <x:c r="R52" s="149" t="n">
        <x:v>0.24</x:v>
      </x:c>
      <x:c r="S52" s="149" t="n">
        <x:v>0.22</x:v>
      </x:c>
      <x:c r="T52" s="103"/>
      <x:c r="U52" s="103"/>
    </x:row>
    <x:row r="53" ht="24" customHeight="1">
      <x:c r="A53" s="103"/>
      <x:c r="B53" s="103"/>
      <x:c r="C53" s="144" t="str">
        <x:v>New finance lease assets / revenue</x:v>
      </x:c>
      <x:c r="D53" s="144"/>
      <x:c r="E53" s="147"/>
      <x:c r="F53" s="147"/>
      <x:c r="G53" s="147"/>
      <x:c r="H53" s="147"/>
      <x:c r="I53" s="147"/>
      <x:c r="J53" s="147"/>
      <x:c r="K53" s="147"/>
      <x:c r="L53" s="147"/>
      <x:c r="M53" s="147"/>
      <x:c r="N53" s="147" t="n">
        <x:f>'Filing Notes'!N14/'Income Statement'!N8</x:f>
        <x:v>0.07415644333547293</x:v>
      </x:c>
      <x:c r="O53" s="147" t="n">
        <x:f>IF(NOT(CHOOSE($D$4,ISNUMBER(O54),ISNUMBER(O55),ISNUMBER(O56))),"n.a.",CHOOSE($D$4,O54,O55,O56))</x:f>
        <x:v>0.075</x:v>
      </x:c>
      <x:c r="P53" s="147" t="n">
        <x:f>IF(NOT(CHOOSE($D$4,ISNUMBER(P54),ISNUMBER(P55),ISNUMBER(P56))),"n.a.",CHOOSE($D$4,P54,P55,P56))</x:f>
        <x:v>0.07</x:v>
      </x:c>
      <x:c r="Q53" s="147" t="n">
        <x:f>IF(NOT(CHOOSE($D$4,ISNUMBER(Q54),ISNUMBER(Q55),ISNUMBER(Q56))),"n.a.",CHOOSE($D$4,Q54,Q55,Q56))</x:f>
        <x:v>0.065</x:v>
      </x:c>
      <x:c r="R53" s="147" t="n">
        <x:f>IF(NOT(CHOOSE($D$4,ISNUMBER(R54),ISNUMBER(R55),ISNUMBER(R56))),"n.a.",CHOOSE($D$4,R54,R55,R56))</x:f>
        <x:v>0.06</x:v>
      </x:c>
      <x:c r="S53" s="147" t="n">
        <x:f>IF(NOT(CHOOSE($D$4,ISNUMBER(S54),ISNUMBER(S55),ISNUMBER(S56))),"n.a.",CHOOSE($D$4,S54,S55,S56))</x:f>
        <x:v>0.055</x:v>
      </x:c>
      <x:c r="T53" s="103"/>
      <x:c r="U53" s="103"/>
    </x:row>
    <x:row r="54" ht="24" customHeight="1">
      <x:c r="A54" s="103"/>
      <x:c r="B54" s="103"/>
      <x:c r="C54" s="105" t="str">
        <x:v>Base</x:v>
      </x:c>
      <x:c r="D54" s="105"/>
      <x:c r="E54" s="119"/>
      <x:c r="F54" s="119"/>
      <x:c r="G54" s="119"/>
      <x:c r="H54" s="119"/>
      <x:c r="I54" s="119"/>
      <x:c r="J54" s="119"/>
      <x:c r="K54" s="119"/>
      <x:c r="L54" s="119"/>
      <x:c r="M54" s="119"/>
      <x:c r="N54" s="119"/>
      <x:c r="O54" s="149" t="n">
        <x:v>0.075</x:v>
      </x:c>
      <x:c r="P54" s="149" t="n">
        <x:v>0.07</x:v>
      </x:c>
      <x:c r="Q54" s="149" t="n">
        <x:v>0.065</x:v>
      </x:c>
      <x:c r="R54" s="149" t="n">
        <x:v>0.06</x:v>
      </x:c>
      <x:c r="S54" s="149" t="n">
        <x:v>0.055</x:v>
      </x:c>
      <x:c r="T54" s="103"/>
      <x:c r="U54" s="103"/>
    </x:row>
    <x:row r="55" ht="24" customHeight="1">
      <x:c r="A55" s="103"/>
      <x:c r="B55" s="103"/>
      <x:c r="C55" s="105" t="str">
        <x:v>Upside</x:v>
      </x:c>
      <x:c r="D55" s="105"/>
      <x:c r="E55" s="119"/>
      <x:c r="F55" s="119"/>
      <x:c r="G55" s="119"/>
      <x:c r="H55" s="119"/>
      <x:c r="I55" s="119"/>
      <x:c r="J55" s="119"/>
      <x:c r="K55" s="119"/>
      <x:c r="L55" s="119"/>
      <x:c r="M55" s="119"/>
      <x:c r="N55" s="119"/>
      <x:c r="O55" s="149" t="n">
        <x:v>0.085</x:v>
      </x:c>
      <x:c r="P55" s="149" t="n">
        <x:v>0.08</x:v>
      </x:c>
      <x:c r="Q55" s="149" t="n">
        <x:v>0.075</x:v>
      </x:c>
      <x:c r="R55" s="149" t="n">
        <x:v>0.07</x:v>
      </x:c>
      <x:c r="S55" s="149" t="n">
        <x:v>0.065</x:v>
      </x:c>
      <x:c r="T55" s="103"/>
      <x:c r="U55" s="103"/>
    </x:row>
    <x:row r="56" ht="24" customHeight="1">
      <x:c r="A56" s="103"/>
      <x:c r="B56" s="103"/>
      <x:c r="C56" s="105" t="str">
        <x:v>Downside</x:v>
      </x:c>
      <x:c r="D56" s="105"/>
      <x:c r="E56" s="119"/>
      <x:c r="F56" s="119"/>
      <x:c r="G56" s="119"/>
      <x:c r="H56" s="119"/>
      <x:c r="I56" s="119"/>
      <x:c r="J56" s="119"/>
      <x:c r="K56" s="119"/>
      <x:c r="L56" s="119"/>
      <x:c r="M56" s="119"/>
      <x:c r="N56" s="119"/>
      <x:c r="O56" s="149" t="n">
        <x:v>0.075</x:v>
      </x:c>
      <x:c r="P56" s="149" t="n">
        <x:v>0.065</x:v>
      </x:c>
      <x:c r="Q56" s="149" t="n">
        <x:v>0.055</x:v>
      </x:c>
      <x:c r="R56" s="149" t="n">
        <x:v>0.05</x:v>
      </x:c>
      <x:c r="S56" s="149" t="n">
        <x:v>0.045</x:v>
      </x:c>
      <x:c r="T56" s="103"/>
      <x:c r="U56" s="103"/>
    </x:row>
    <x:row r="57" ht="24" customHeight="1">
      <x:c r="A57" s="103"/>
      <x:c r="B57" s="103"/>
      <x:c r="C57" s="144" t="str">
        <x:v>New operating lease assets / revenue</x:v>
      </x:c>
      <x:c r="D57" s="144"/>
      <x:c r="E57" s="147"/>
      <x:c r="F57" s="147"/>
      <x:c r="G57" s="147"/>
      <x:c r="H57" s="147"/>
      <x:c r="I57" s="147"/>
      <x:c r="J57" s="147"/>
      <x:c r="K57" s="147"/>
      <x:c r="L57" s="147"/>
      <x:c r="M57" s="147"/>
      <x:c r="N57" s="147"/>
      <x:c r="O57" s="147" t="n">
        <x:f>IF(NOT(CHOOSE($D$4,ISNUMBER(O58),ISNUMBER(O59),ISNUMBER(O60))),"n.a.",CHOOSE($D$4,O58,O59,O60))</x:f>
        <x:v>0.015</x:v>
      </x:c>
      <x:c r="P57" s="147" t="n">
        <x:f>IF(NOT(CHOOSE($D$4,ISNUMBER(P58),ISNUMBER(P59),ISNUMBER(P60))),"n.a.",CHOOSE($D$4,P58,P59,P60))</x:f>
        <x:v>0.015</x:v>
      </x:c>
      <x:c r="Q57" s="147" t="n">
        <x:f>IF(NOT(CHOOSE($D$4,ISNUMBER(Q58),ISNUMBER(Q59),ISNUMBER(Q60))),"n.a.",CHOOSE($D$4,Q58,Q59,Q60))</x:f>
        <x:v>0.015</x:v>
      </x:c>
      <x:c r="R57" s="147" t="n">
        <x:f>IF(NOT(CHOOSE($D$4,ISNUMBER(R58),ISNUMBER(R59),ISNUMBER(R60))),"n.a.",CHOOSE($D$4,R58,R59,R60))</x:f>
        <x:v>0.015</x:v>
      </x:c>
      <x:c r="S57" s="147" t="n">
        <x:f>IF(NOT(CHOOSE($D$4,ISNUMBER(S58),ISNUMBER(S59),ISNUMBER(S60))),"n.a.",CHOOSE($D$4,S58,S59,S60))</x:f>
        <x:v>0.015</x:v>
      </x:c>
      <x:c r="T57" s="103"/>
      <x:c r="U57" s="103"/>
    </x:row>
    <x:row r="58" ht="24" customHeight="1">
      <x:c r="A58" s="103"/>
      <x:c r="B58" s="103"/>
      <x:c r="C58" s="105" t="str">
        <x:v>Base</x:v>
      </x:c>
      <x:c r="D58" s="105"/>
      <x:c r="E58" s="119"/>
      <x:c r="F58" s="119"/>
      <x:c r="G58" s="119"/>
      <x:c r="H58" s="119"/>
      <x:c r="I58" s="119"/>
      <x:c r="J58" s="119"/>
      <x:c r="K58" s="119"/>
      <x:c r="L58" s="119"/>
      <x:c r="M58" s="119"/>
      <x:c r="N58" s="119"/>
      <x:c r="O58" s="149" t="n">
        <x:v>0.015</x:v>
      </x:c>
      <x:c r="P58" s="149" t="n">
        <x:v>0.015</x:v>
      </x:c>
      <x:c r="Q58" s="149" t="n">
        <x:v>0.015</x:v>
      </x:c>
      <x:c r="R58" s="149" t="n">
        <x:v>0.015</x:v>
      </x:c>
      <x:c r="S58" s="149" t="n">
        <x:v>0.015</x:v>
      </x:c>
      <x:c r="T58" s="103"/>
      <x:c r="U58" s="103"/>
    </x:row>
    <x:row r="59" ht="24" customHeight="1">
      <x:c r="A59" s="103"/>
      <x:c r="B59" s="103"/>
      <x:c r="C59" s="105" t="str">
        <x:v>Upside</x:v>
      </x:c>
      <x:c r="D59" s="105"/>
      <x:c r="E59" s="119"/>
      <x:c r="F59" s="119"/>
      <x:c r="G59" s="119"/>
      <x:c r="H59" s="119"/>
      <x:c r="I59" s="119"/>
      <x:c r="J59" s="119"/>
      <x:c r="K59" s="119"/>
      <x:c r="L59" s="119"/>
      <x:c r="M59" s="119"/>
      <x:c r="N59" s="119"/>
      <x:c r="O59" s="149" t="n">
        <x:v>0.016</x:v>
      </x:c>
      <x:c r="P59" s="149" t="n">
        <x:v>0.016</x:v>
      </x:c>
      <x:c r="Q59" s="149" t="n">
        <x:v>0.016</x:v>
      </x:c>
      <x:c r="R59" s="149" t="n">
        <x:v>0.016</x:v>
      </x:c>
      <x:c r="S59" s="149" t="n">
        <x:v>0.016</x:v>
      </x:c>
      <x:c r="T59" s="103"/>
      <x:c r="U59" s="103"/>
    </x:row>
    <x:row r="60" ht="24" customHeight="1">
      <x:c r="A60" s="103"/>
      <x:c r="B60" s="103"/>
      <x:c r="C60" s="105" t="str">
        <x:v>Downside</x:v>
      </x:c>
      <x:c r="D60" s="105"/>
      <x:c r="E60" s="119"/>
      <x:c r="F60" s="119"/>
      <x:c r="G60" s="119"/>
      <x:c r="H60" s="119"/>
      <x:c r="I60" s="119"/>
      <x:c r="J60" s="119"/>
      <x:c r="K60" s="119"/>
      <x:c r="L60" s="119"/>
      <x:c r="M60" s="119"/>
      <x:c r="N60" s="119"/>
      <x:c r="O60" s="149" t="n">
        <x:v>0.012</x:v>
      </x:c>
      <x:c r="P60" s="149" t="n">
        <x:v>0.012</x:v>
      </x:c>
      <x:c r="Q60" s="149" t="n">
        <x:v>0.012</x:v>
      </x:c>
      <x:c r="R60" s="149" t="n">
        <x:v>0.012</x:v>
      </x:c>
      <x:c r="S60" s="149" t="n">
        <x:v>0.012</x:v>
      </x:c>
      <x:c r="T60" s="103"/>
      <x:c r="U60" s="103"/>
    </x:row>
    <x:row r="61" ht="24" customHeight="1">
      <x:c r="A61" s="103"/>
      <x:c r="B61" s="103"/>
      <x:c r="C61" s="152" t="str">
        <x:v>Legacy depreciable net PPE remaining life in years</x:v>
      </x:c>
      <x:c r="D61" s="136"/>
      <x:c r="E61" s="156"/>
      <x:c r="F61" s="156"/>
      <x:c r="G61" s="156"/>
      <x:c r="H61" s="156"/>
      <x:c r="I61" s="156"/>
      <x:c r="J61" s="156"/>
      <x:c r="K61" s="156"/>
      <x:c r="L61" s="156"/>
      <x:c r="M61" s="156"/>
      <x:c r="N61" s="156"/>
      <x:c r="O61" s="156" t="n">
        <x:f>IF(NOT(CHOOSE($D$4,ISNUMBER(O62),ISNUMBER(O63),ISNUMBER(O64))),"n.a.",CHOOSE($D$4,O62,O63,O64))</x:f>
        <x:v>8</x:v>
      </x:c>
      <x:c r="P61" s="156" t="n">
        <x:f>IF(NOT(CHOOSE($D$4,ISNUMBER(P62),ISNUMBER(P63),ISNUMBER(P64))),"n.a.",CHOOSE($D$4,P62,P63,P64))</x:f>
        <x:v>8</x:v>
      </x:c>
      <x:c r="Q61" s="156" t="n">
        <x:f>IF(NOT(CHOOSE($D$4,ISNUMBER(Q62),ISNUMBER(Q63),ISNUMBER(Q64))),"n.a.",CHOOSE($D$4,Q62,Q63,Q64))</x:f>
        <x:v>8</x:v>
      </x:c>
      <x:c r="R61" s="156" t="n">
        <x:f>IF(NOT(CHOOSE($D$4,ISNUMBER(R62),ISNUMBER(R63),ISNUMBER(R64))),"n.a.",CHOOSE($D$4,R62,R63,R64))</x:f>
        <x:v>8</x:v>
      </x:c>
      <x:c r="S61" s="156" t="n">
        <x:f>IF(NOT(CHOOSE($D$4,ISNUMBER(S62),ISNUMBER(S63),ISNUMBER(S64))),"n.a.",CHOOSE($D$4,S62,S63,S64))</x:f>
        <x:v>8</x:v>
      </x:c>
      <x:c r="T61" s="103"/>
      <x:c r="U61" s="103"/>
    </x:row>
    <x:row r="62" ht="24" customHeight="1">
      <x:c r="A62" s="103"/>
      <x:c r="B62" s="103"/>
      <x:c r="C62" s="103" t="str">
        <x:v>Base</x:v>
      </x:c>
      <x:c r="D62" s="103"/>
      <x:c r="E62" s="132"/>
      <x:c r="F62" s="132"/>
      <x:c r="G62" s="132"/>
      <x:c r="H62" s="132"/>
      <x:c r="I62" s="132"/>
      <x:c r="J62" s="132"/>
      <x:c r="K62" s="132"/>
      <x:c r="L62" s="132"/>
      <x:c r="M62" s="132"/>
      <x:c r="N62" s="132"/>
      <x:c r="O62" s="159" t="n">
        <x:v>8</x:v>
      </x:c>
      <x:c r="P62" s="159" t="n">
        <x:v>8</x:v>
      </x:c>
      <x:c r="Q62" s="159" t="n">
        <x:v>8</x:v>
      </x:c>
      <x:c r="R62" s="159" t="n">
        <x:v>8</x:v>
      </x:c>
      <x:c r="S62" s="159" t="n">
        <x:v>8</x:v>
      </x:c>
      <x:c r="T62" s="103"/>
      <x:c r="U62" s="103"/>
    </x:row>
    <x:row r="63" ht="24" customHeight="1">
      <x:c r="A63" s="103"/>
      <x:c r="B63" s="103"/>
      <x:c r="C63" s="103" t="str">
        <x:v>Upside</x:v>
      </x:c>
      <x:c r="D63" s="103"/>
      <x:c r="E63" s="132"/>
      <x:c r="F63" s="132"/>
      <x:c r="G63" s="132"/>
      <x:c r="H63" s="132"/>
      <x:c r="I63" s="132"/>
      <x:c r="J63" s="132"/>
      <x:c r="K63" s="132"/>
      <x:c r="L63" s="132"/>
      <x:c r="M63" s="132"/>
      <x:c r="N63" s="132"/>
      <x:c r="O63" s="159" t="n">
        <x:v>9</x:v>
      </x:c>
      <x:c r="P63" s="159" t="n">
        <x:v>9</x:v>
      </x:c>
      <x:c r="Q63" s="159" t="n">
        <x:v>9</x:v>
      </x:c>
      <x:c r="R63" s="159" t="n">
        <x:v>9</x:v>
      </x:c>
      <x:c r="S63" s="159" t="n">
        <x:v>9</x:v>
      </x:c>
      <x:c r="T63" s="103"/>
      <x:c r="U63" s="103"/>
    </x:row>
    <x:row r="64" ht="24" customHeight="1">
      <x:c r="A64" s="103"/>
      <x:c r="B64" s="103"/>
      <x:c r="C64" s="103" t="str">
        <x:v>Downside</x:v>
      </x:c>
      <x:c r="D64" s="103"/>
      <x:c r="E64" s="132"/>
      <x:c r="F64" s="132"/>
      <x:c r="G64" s="132"/>
      <x:c r="H64" s="132"/>
      <x:c r="I64" s="132"/>
      <x:c r="J64" s="132"/>
      <x:c r="K64" s="132"/>
      <x:c r="L64" s="132"/>
      <x:c r="M64" s="132"/>
      <x:c r="N64" s="132"/>
      <x:c r="O64" s="159" t="n">
        <x:v>7</x:v>
      </x:c>
      <x:c r="P64" s="159" t="n">
        <x:v>7</x:v>
      </x:c>
      <x:c r="Q64" s="159" t="n">
        <x:v>7</x:v>
      </x:c>
      <x:c r="R64" s="159" t="n">
        <x:v>7</x:v>
      </x:c>
      <x:c r="S64" s="159" t="n">
        <x:v>7</x:v>
      </x:c>
      <x:c r="T64" s="103"/>
      <x:c r="U64" s="103"/>
    </x:row>
    <x:row r="65" ht="24" customHeight="1">
      <x:c r="A65" s="103"/>
      <x:c r="B65" s="103"/>
      <x:c r="C65" s="136" t="str">
        <x:v>New PPE useful life in years</x:v>
      </x:c>
      <x:c r="D65" s="136"/>
      <x:c r="E65" s="156"/>
      <x:c r="F65" s="156"/>
      <x:c r="G65" s="156"/>
      <x:c r="H65" s="156"/>
      <x:c r="I65" s="156"/>
      <x:c r="J65" s="156"/>
      <x:c r="K65" s="156"/>
      <x:c r="L65" s="156"/>
      <x:c r="M65" s="156"/>
      <x:c r="N65" s="156"/>
      <x:c r="O65" s="156" t="n">
        <x:f>IF(NOT(CHOOSE($D$4,ISNUMBER(O66),ISNUMBER(O67),ISNUMBER(O68))),"n.a.",CHOOSE($D$4,O66,O67,O68))</x:f>
        <x:v>6</x:v>
      </x:c>
      <x:c r="P65" s="156" t="n">
        <x:f>IF(NOT(CHOOSE($D$4,ISNUMBER(P66),ISNUMBER(P67),ISNUMBER(P68))),"n.a.",CHOOSE($D$4,P66,P67,P68))</x:f>
        <x:v>6</x:v>
      </x:c>
      <x:c r="Q65" s="156" t="n">
        <x:f>IF(NOT(CHOOSE($D$4,ISNUMBER(Q66),ISNUMBER(Q67),ISNUMBER(Q68))),"n.a.",CHOOSE($D$4,Q66,Q67,Q68))</x:f>
        <x:v>6</x:v>
      </x:c>
      <x:c r="R65" s="156" t="n">
        <x:f>IF(NOT(CHOOSE($D$4,ISNUMBER(R66),ISNUMBER(R67),ISNUMBER(R68))),"n.a.",CHOOSE($D$4,R66,R67,R68))</x:f>
        <x:v>6</x:v>
      </x:c>
      <x:c r="S65" s="156" t="n">
        <x:f>IF(NOT(CHOOSE($D$4,ISNUMBER(S66),ISNUMBER(S67),ISNUMBER(S68))),"n.a.",CHOOSE($D$4,S66,S67,S68))</x:f>
        <x:v>6</x:v>
      </x:c>
      <x:c r="T65" s="103"/>
      <x:c r="U65" s="103"/>
    </x:row>
    <x:row r="66" ht="24" customHeight="1">
      <x:c r="A66" s="103"/>
      <x:c r="B66" s="103"/>
      <x:c r="C66" s="103" t="str">
        <x:v>Base</x:v>
      </x:c>
      <x:c r="D66" s="103"/>
      <x:c r="E66" s="132"/>
      <x:c r="F66" s="132"/>
      <x:c r="G66" s="132"/>
      <x:c r="H66" s="132"/>
      <x:c r="I66" s="132"/>
      <x:c r="J66" s="132"/>
      <x:c r="K66" s="132"/>
      <x:c r="L66" s="132"/>
      <x:c r="M66" s="132"/>
      <x:c r="N66" s="132"/>
      <x:c r="O66" s="159" t="n">
        <x:v>6</x:v>
      </x:c>
      <x:c r="P66" s="159" t="n">
        <x:v>6</x:v>
      </x:c>
      <x:c r="Q66" s="159" t="n">
        <x:v>6</x:v>
      </x:c>
      <x:c r="R66" s="159" t="n">
        <x:v>6</x:v>
      </x:c>
      <x:c r="S66" s="159" t="n">
        <x:v>6</x:v>
      </x:c>
      <x:c r="T66" s="103"/>
      <x:c r="U66" s="103"/>
    </x:row>
    <x:row r="67" ht="24" customHeight="1">
      <x:c r="A67" s="103"/>
      <x:c r="B67" s="103"/>
      <x:c r="C67" s="103" t="str">
        <x:v>Upside</x:v>
      </x:c>
      <x:c r="D67" s="103"/>
      <x:c r="E67" s="132"/>
      <x:c r="F67" s="132"/>
      <x:c r="G67" s="132"/>
      <x:c r="H67" s="132"/>
      <x:c r="I67" s="132"/>
      <x:c r="J67" s="132"/>
      <x:c r="K67" s="132"/>
      <x:c r="L67" s="132"/>
      <x:c r="M67" s="132"/>
      <x:c r="N67" s="132"/>
      <x:c r="O67" s="159" t="n">
        <x:v>6</x:v>
      </x:c>
      <x:c r="P67" s="159" t="n">
        <x:v>6</x:v>
      </x:c>
      <x:c r="Q67" s="159" t="n">
        <x:v>6</x:v>
      </x:c>
      <x:c r="R67" s="159" t="n">
        <x:v>6</x:v>
      </x:c>
      <x:c r="S67" s="159" t="n">
        <x:v>6</x:v>
      </x:c>
      <x:c r="T67" s="103"/>
      <x:c r="U67" s="103"/>
    </x:row>
    <x:row r="68" ht="24" customHeight="1">
      <x:c r="A68" s="103"/>
      <x:c r="B68" s="103"/>
      <x:c r="C68" s="103" t="str">
        <x:v>Downside</x:v>
      </x:c>
      <x:c r="D68" s="103"/>
      <x:c r="E68" s="132"/>
      <x:c r="F68" s="132"/>
      <x:c r="G68" s="132"/>
      <x:c r="H68" s="132"/>
      <x:c r="I68" s="132"/>
      <x:c r="J68" s="132"/>
      <x:c r="K68" s="132"/>
      <x:c r="L68" s="132"/>
      <x:c r="M68" s="132"/>
      <x:c r="N68" s="132"/>
      <x:c r="O68" s="159" t="n">
        <x:v>5</x:v>
      </x:c>
      <x:c r="P68" s="159" t="n">
        <x:v>5</x:v>
      </x:c>
      <x:c r="Q68" s="159" t="n">
        <x:v>5</x:v>
      </x:c>
      <x:c r="R68" s="159" t="n">
        <x:v>5</x:v>
      </x:c>
      <x:c r="S68" s="159" t="n">
        <x:v>5</x:v>
      </x:c>
      <x:c r="T68" s="103"/>
      <x:c r="U68" s="103"/>
    </x:row>
    <x:row r="69" ht="24" customHeight="1">
      <x:c r="A69" s="103"/>
      <x:c r="B69" s="103"/>
      <x:c r="C69" s="136" t="str">
        <x:v>Receivable days on revenue</x:v>
      </x:c>
      <x:c r="D69" s="136"/>
      <x:c r="E69" s="156" t="n">
        <x:f>'Working Capital'!E9</x:f>
        <x:v>84.78026529703534</x:v>
      </x:c>
      <x:c r="F69" s="156" t="n">
        <x:f>'Working Capital'!F9</x:f>
        <x:v>87.58214026821312</x:v>
      </x:c>
      <x:c r="G69" s="156" t="n">
        <x:f>'Working Capital'!G9</x:f>
        <x:v>85.63257392147358</x:v>
      </x:c>
      <x:c r="H69" s="156" t="n">
        <x:f>'Working Capital'!H9</x:f>
        <x:v>81.69782889906654</x:v>
      </x:c>
      <x:c r="I69" s="156" t="n">
        <x:f>'Working Capital'!I9</x:f>
        <x:v>82.6096746942078</x:v>
      </x:c>
      <x:c r="J69" s="156" t="n">
        <x:f>'Working Capital'!J9</x:f>
        <x:v>81.48113683361073</x:v>
      </x:c>
      <x:c r="K69" s="156" t="n">
        <x:f>'Working Capital'!K9</x:f>
        <x:v>83.85966071302173</x:v>
      </x:c>
      <x:c r="L69" s="156" t="n">
        <x:f>'Working Capital'!L9</x:f>
        <x:v>84.76293437553545</x:v>
      </x:c>
      <x:c r="M69" s="156" t="n">
        <x:f>'Working Capital'!M9</x:f>
        <x:v>90.56851741420681</x:v>
      </x:c>
      <x:c r="N69" s="156" t="n">
        <x:f>'Working Capital'!N9</x:f>
        <x:v>88.95801879827266</x:v>
      </x:c>
      <x:c r="O69" s="156" t="n">
        <x:f>IF(NOT(CHOOSE($D$4,ISNUMBER(O70),ISNUMBER(O71),ISNUMBER(O72))),"n.a.",CHOOSE($D$4,O70,O71,O72))</x:f>
        <x:v>88.95801879827266</x:v>
      </x:c>
      <x:c r="P69" s="156" t="n">
        <x:f>IF(NOT(CHOOSE($D$4,ISNUMBER(P70),ISNUMBER(P71),ISNUMBER(P72))),"n.a.",CHOOSE($D$4,P70,P71,P72))</x:f>
        <x:v>88.95801879827266</x:v>
      </x:c>
      <x:c r="Q69" s="156" t="n">
        <x:f>IF(NOT(CHOOSE($D$4,ISNUMBER(Q70),ISNUMBER(Q71),ISNUMBER(Q72))),"n.a.",CHOOSE($D$4,Q70,Q71,Q72))</x:f>
        <x:v>88.95801879827266</x:v>
      </x:c>
      <x:c r="R69" s="156" t="n">
        <x:f>IF(NOT(CHOOSE($D$4,ISNUMBER(R70),ISNUMBER(R71),ISNUMBER(R72))),"n.a.",CHOOSE($D$4,R70,R71,R72))</x:f>
        <x:v>88.95801879827266</x:v>
      </x:c>
      <x:c r="S69" s="156" t="n">
        <x:f>IF(NOT(CHOOSE($D$4,ISNUMBER(S70),ISNUMBER(S71),ISNUMBER(S72))),"n.a.",CHOOSE($D$4,S70,S71,S72))</x:f>
        <x:v>88.95801879827266</x:v>
      </x:c>
      <x:c r="T69" s="103"/>
      <x:c r="U69" s="103"/>
    </x:row>
    <x:row r="70" ht="24" customHeight="1">
      <x:c r="A70" s="103"/>
      <x:c r="B70" s="103"/>
      <x:c r="C70" s="103" t="str">
        <x:v>Base</x:v>
      </x:c>
      <x:c r="D70" s="103"/>
      <x:c r="E70" s="132"/>
      <x:c r="F70" s="132"/>
      <x:c r="G70" s="132"/>
      <x:c r="H70" s="132"/>
      <x:c r="I70" s="132"/>
      <x:c r="J70" s="132"/>
      <x:c r="K70" s="132"/>
      <x:c r="L70" s="132"/>
      <x:c r="M70" s="132"/>
      <x:c r="N70" s="132"/>
      <x:c r="O70" s="159" t="n">
        <x:v>88.95801879827266</x:v>
      </x:c>
      <x:c r="P70" s="159" t="n">
        <x:v>88.95801879827266</x:v>
      </x:c>
      <x:c r="Q70" s="159" t="n">
        <x:v>88.95801879827266</x:v>
      </x:c>
      <x:c r="R70" s="159" t="n">
        <x:v>88.95801879827266</x:v>
      </x:c>
      <x:c r="S70" s="159" t="n">
        <x:v>88.95801879827266</x:v>
      </x:c>
      <x:c r="T70" s="103"/>
      <x:c r="U70" s="103"/>
    </x:row>
    <x:row r="71" ht="24" customHeight="1">
      <x:c r="A71" s="103"/>
      <x:c r="B71" s="103"/>
      <x:c r="C71" s="103" t="str">
        <x:v>Upside</x:v>
      </x:c>
      <x:c r="D71" s="103"/>
      <x:c r="E71" s="132"/>
      <x:c r="F71" s="132"/>
      <x:c r="G71" s="132"/>
      <x:c r="H71" s="132"/>
      <x:c r="I71" s="132"/>
      <x:c r="J71" s="132"/>
      <x:c r="K71" s="132"/>
      <x:c r="L71" s="132"/>
      <x:c r="M71" s="132"/>
      <x:c r="N71" s="132"/>
      <x:c r="O71" s="159" t="n">
        <x:v>88.95801879827266</x:v>
      </x:c>
      <x:c r="P71" s="159" t="n">
        <x:v>88.95801879827266</x:v>
      </x:c>
      <x:c r="Q71" s="159" t="n">
        <x:v>88.95801879827266</x:v>
      </x:c>
      <x:c r="R71" s="159" t="n">
        <x:v>88.95801879827266</x:v>
      </x:c>
      <x:c r="S71" s="159" t="n">
        <x:v>88.95801879827266</x:v>
      </x:c>
      <x:c r="T71" s="103"/>
      <x:c r="U71" s="103"/>
    </x:row>
    <x:row r="72" ht="24" customHeight="1">
      <x:c r="A72" s="103"/>
      <x:c r="B72" s="103"/>
      <x:c r="C72" s="103" t="str">
        <x:v>Downside</x:v>
      </x:c>
      <x:c r="D72" s="103"/>
      <x:c r="E72" s="132"/>
      <x:c r="F72" s="132"/>
      <x:c r="G72" s="132"/>
      <x:c r="H72" s="132"/>
      <x:c r="I72" s="132"/>
      <x:c r="J72" s="132"/>
      <x:c r="K72" s="132"/>
      <x:c r="L72" s="132"/>
      <x:c r="M72" s="132"/>
      <x:c r="N72" s="132"/>
      <x:c r="O72" s="159" t="n">
        <x:v>88.95801879827266</x:v>
      </x:c>
      <x:c r="P72" s="159" t="n">
        <x:v>88.95801879827266</x:v>
      </x:c>
      <x:c r="Q72" s="159" t="n">
        <x:v>88.95801879827266</x:v>
      </x:c>
      <x:c r="R72" s="159" t="n">
        <x:v>88.95801879827266</x:v>
      </x:c>
      <x:c r="S72" s="159" t="n">
        <x:v>88.95801879827266</x:v>
      </x:c>
      <x:c r="T72" s="103"/>
      <x:c r="U72" s="103"/>
    </x:row>
    <x:row r="73" ht="24" customHeight="1">
      <x:c r="A73" s="103"/>
      <x:c r="B73" s="103"/>
      <x:c r="C73" s="136" t="str">
        <x:v>Inventory days on cost of revenue</x:v>
      </x:c>
      <x:c r="D73" s="136"/>
      <x:c r="E73" s="156" t="n">
        <x:f>'Working Capital'!E11</x:f>
        <x:v>23.23531128688596</x:v>
      </x:c>
      <x:c r="F73" s="156" t="n">
        <x:f>'Working Capital'!F11</x:f>
        <x:v>25.333872187312593</x:v>
      </x:c>
      <x:c r="G73" s="156" t="n">
        <x:f>'Working Capital'!G11</x:f>
        <x:v>17.548240503379166</x:v>
      </x:c>
      <x:c r="H73" s="156" t="n">
        <x:f>'Working Capital'!H11</x:f>
        <x:v>15.010959677069318</x:v>
      </x:c>
      <x:c r="I73" s="156" t="n">
        <x:f>'Working Capital'!I11</x:f>
        <x:v>18.42050850053607</x:v>
      </x:c>
      <x:c r="J73" s="156" t="n">
        <x:f>'Working Capital'!J11</x:f>
        <x:v>21.80095770151636</x:v>
      </x:c>
      <x:c r="K73" s="156" t="n">
        <x:f>'Working Capital'!K11</x:f>
        <x:v>13.854516192703034</x:v>
      </x:c>
      <x:c r="L73" s="156" t="n">
        <x:f>'Working Capital'!L11</x:f>
        <x:v>6.136357503305718</x:v>
      </x:c>
      <x:c r="M73" s="156" t="n">
        <x:f>'Working Capital'!M11</x:f>
        <x:v>3.8980542177591055</x:v>
      </x:c>
      <x:c r="N73" s="156" t="n">
        <x:f>'Working Capital'!N11</x:f>
        <x:v>4.793511572376708</x:v>
      </x:c>
      <x:c r="O73" s="156" t="n">
        <x:f>IF(NOT(CHOOSE($D$4,ISNUMBER(O74),ISNUMBER(O75),ISNUMBER(O76))),"n.a.",CHOOSE($D$4,O74,O75,O76))</x:f>
        <x:v>4.793511572376708</x:v>
      </x:c>
      <x:c r="P73" s="156" t="n">
        <x:f>IF(NOT(CHOOSE($D$4,ISNUMBER(P74),ISNUMBER(P75),ISNUMBER(P76))),"n.a.",CHOOSE($D$4,P74,P75,P76))</x:f>
        <x:v>4.793511572376708</x:v>
      </x:c>
      <x:c r="Q73" s="156" t="n">
        <x:f>IF(NOT(CHOOSE($D$4,ISNUMBER(Q74),ISNUMBER(Q75),ISNUMBER(Q76))),"n.a.",CHOOSE($D$4,Q74,Q75,Q76))</x:f>
        <x:v>4.793511572376708</x:v>
      </x:c>
      <x:c r="R73" s="156" t="n">
        <x:f>IF(NOT(CHOOSE($D$4,ISNUMBER(R74),ISNUMBER(R75),ISNUMBER(R76))),"n.a.",CHOOSE($D$4,R74,R75,R76))</x:f>
        <x:v>4.793511572376708</x:v>
      </x:c>
      <x:c r="S73" s="156" t="n">
        <x:f>IF(NOT(CHOOSE($D$4,ISNUMBER(S74),ISNUMBER(S75),ISNUMBER(S76))),"n.a.",CHOOSE($D$4,S74,S75,S76))</x:f>
        <x:v>4.793511572376708</x:v>
      </x:c>
      <x:c r="T73" s="103"/>
      <x:c r="U73" s="103"/>
    </x:row>
    <x:row r="74" ht="24" customHeight="1">
      <x:c r="A74" s="103"/>
      <x:c r="B74" s="103"/>
      <x:c r="C74" s="103" t="str">
        <x:v>Base</x:v>
      </x:c>
      <x:c r="D74" s="103"/>
      <x:c r="E74" s="132"/>
      <x:c r="F74" s="132"/>
      <x:c r="G74" s="132"/>
      <x:c r="H74" s="132"/>
      <x:c r="I74" s="132"/>
      <x:c r="J74" s="132"/>
      <x:c r="K74" s="132"/>
      <x:c r="L74" s="132"/>
      <x:c r="M74" s="132"/>
      <x:c r="N74" s="132"/>
      <x:c r="O74" s="159" t="n">
        <x:v>4.793511572376708</x:v>
      </x:c>
      <x:c r="P74" s="159" t="n">
        <x:v>4.793511572376708</x:v>
      </x:c>
      <x:c r="Q74" s="159" t="n">
        <x:v>4.793511572376708</x:v>
      </x:c>
      <x:c r="R74" s="159" t="n">
        <x:v>4.793511572376708</x:v>
      </x:c>
      <x:c r="S74" s="159" t="n">
        <x:v>4.793511572376708</x:v>
      </x:c>
      <x:c r="T74" s="103"/>
      <x:c r="U74" s="103"/>
    </x:row>
    <x:row r="75" ht="24" customHeight="1">
      <x:c r="A75" s="103"/>
      <x:c r="B75" s="103"/>
      <x:c r="C75" s="103" t="str">
        <x:v>Upside</x:v>
      </x:c>
      <x:c r="D75" s="103"/>
      <x:c r="E75" s="132"/>
      <x:c r="F75" s="132"/>
      <x:c r="G75" s="132"/>
      <x:c r="H75" s="132"/>
      <x:c r="I75" s="132"/>
      <x:c r="J75" s="132"/>
      <x:c r="K75" s="132"/>
      <x:c r="L75" s="132"/>
      <x:c r="M75" s="132"/>
      <x:c r="N75" s="132"/>
      <x:c r="O75" s="159" t="n">
        <x:v>4.793511572376708</x:v>
      </x:c>
      <x:c r="P75" s="159" t="n">
        <x:v>4.793511572376708</x:v>
      </x:c>
      <x:c r="Q75" s="159" t="n">
        <x:v>4.793511572376708</x:v>
      </x:c>
      <x:c r="R75" s="159" t="n">
        <x:v>4.793511572376708</x:v>
      </x:c>
      <x:c r="S75" s="159" t="n">
        <x:v>4.793511572376708</x:v>
      </x:c>
      <x:c r="T75" s="103"/>
      <x:c r="U75" s="103"/>
    </x:row>
    <x:row r="76" ht="24" customHeight="1">
      <x:c r="A76" s="103"/>
      <x:c r="B76" s="103"/>
      <x:c r="C76" s="103" t="str">
        <x:v>Downside</x:v>
      </x:c>
      <x:c r="D76" s="103"/>
      <x:c r="E76" s="132"/>
      <x:c r="F76" s="132"/>
      <x:c r="G76" s="132"/>
      <x:c r="H76" s="132"/>
      <x:c r="I76" s="132"/>
      <x:c r="J76" s="132"/>
      <x:c r="K76" s="132"/>
      <x:c r="L76" s="132"/>
      <x:c r="M76" s="132"/>
      <x:c r="N76" s="132"/>
      <x:c r="O76" s="159" t="n">
        <x:v>4.793511572376708</x:v>
      </x:c>
      <x:c r="P76" s="159" t="n">
        <x:v>4.793511572376708</x:v>
      </x:c>
      <x:c r="Q76" s="159" t="n">
        <x:v>4.793511572376708</x:v>
      </x:c>
      <x:c r="R76" s="159" t="n">
        <x:v>4.793511572376708</x:v>
      </x:c>
      <x:c r="S76" s="159" t="n">
        <x:v>4.793511572376708</x:v>
      </x:c>
      <x:c r="T76" s="103"/>
      <x:c r="U76" s="103"/>
    </x:row>
    <x:row r="77" ht="24" customHeight="1">
      <x:c r="A77" s="103"/>
      <x:c r="B77" s="103"/>
      <x:c r="C77" s="136" t="str">
        <x:v>Operating payable days on cost of revenue</x:v>
      </x:c>
      <x:c r="D77" s="136"/>
      <x:c r="E77" s="156" t="str">
        <x:f>'Working Capital'!E16</x:f>
        <x:v>n.a.</x:v>
      </x:c>
      <x:c r="F77" s="156" t="str">
        <x:f>'Working Capital'!F16</x:f>
        <x:v>n.a.</x:v>
      </x:c>
      <x:c r="G77" s="156" t="str">
        <x:f>'Working Capital'!G16</x:f>
        <x:v>n.a.</x:v>
      </x:c>
      <x:c r="H77" s="156" t="str">
        <x:f>'Working Capital'!H16</x:f>
        <x:v>n.a.</x:v>
      </x:c>
      <x:c r="I77" s="156" t="str">
        <x:f>'Working Capital'!I16</x:f>
        <x:v>n.a.</x:v>
      </x:c>
      <x:c r="J77" s="156" t="str">
        <x:f>'Working Capital'!J16</x:f>
        <x:v>n.a.</x:v>
      </x:c>
      <x:c r="K77" s="156" t="str">
        <x:f>'Working Capital'!K16</x:f>
        <x:v>n.a.</x:v>
      </x:c>
      <x:c r="L77" s="156" t="str">
        <x:f>'Working Capital'!L16</x:f>
        <x:v>n.a.</x:v>
      </x:c>
      <x:c r="M77" s="156" t="str">
        <x:f>'Working Capital'!M16</x:f>
        <x:v>n.a.</x:v>
      </x:c>
      <x:c r="N77" s="156" t="n">
        <x:f>'Working Capital'!N16</x:f>
        <x:v>53.92614736683777</x:v>
      </x:c>
      <x:c r="O77" s="156" t="n">
        <x:f>IF(NOT(CHOOSE($D$4,ISNUMBER(O78),ISNUMBER(O79),ISNUMBER(O80))),"n.a.",CHOOSE($D$4,O78,O79,O80))</x:f>
        <x:v>53.92614736683777</x:v>
      </x:c>
      <x:c r="P77" s="156" t="n">
        <x:f>IF(NOT(CHOOSE($D$4,ISNUMBER(P78),ISNUMBER(P79),ISNUMBER(P80))),"n.a.",CHOOSE($D$4,P78,P79,P80))</x:f>
        <x:v>53.92614736683777</x:v>
      </x:c>
      <x:c r="Q77" s="156" t="n">
        <x:f>IF(NOT(CHOOSE($D$4,ISNUMBER(Q78),ISNUMBER(Q79),ISNUMBER(Q80))),"n.a.",CHOOSE($D$4,Q78,Q79,Q80))</x:f>
        <x:v>53.92614736683777</x:v>
      </x:c>
      <x:c r="R77" s="156" t="n">
        <x:f>IF(NOT(CHOOSE($D$4,ISNUMBER(R78),ISNUMBER(R79),ISNUMBER(R80))),"n.a.",CHOOSE($D$4,R78,R79,R80))</x:f>
        <x:v>53.92614736683777</x:v>
      </x:c>
      <x:c r="S77" s="156" t="n">
        <x:f>IF(NOT(CHOOSE($D$4,ISNUMBER(S78),ISNUMBER(S79),ISNUMBER(S80))),"n.a.",CHOOSE($D$4,S78,S79,S80))</x:f>
        <x:v>53.92614736683777</x:v>
      </x:c>
      <x:c r="T77" s="103"/>
      <x:c r="U77" s="103"/>
    </x:row>
    <x:row r="78" ht="24" customHeight="1">
      <x:c r="A78" s="103"/>
      <x:c r="B78" s="103"/>
      <x:c r="C78" s="103" t="str">
        <x:v>Base</x:v>
      </x:c>
      <x:c r="D78" s="103"/>
      <x:c r="E78" s="132"/>
      <x:c r="F78" s="132"/>
      <x:c r="G78" s="132"/>
      <x:c r="H78" s="132"/>
      <x:c r="I78" s="132"/>
      <x:c r="J78" s="132"/>
      <x:c r="K78" s="132"/>
      <x:c r="L78" s="132"/>
      <x:c r="M78" s="132"/>
      <x:c r="N78" s="132"/>
      <x:c r="O78" s="159" t="n">
        <x:v>53.92614736683777</x:v>
      </x:c>
      <x:c r="P78" s="159" t="n">
        <x:v>53.92614736683777</x:v>
      </x:c>
      <x:c r="Q78" s="159" t="n">
        <x:v>53.92614736683777</x:v>
      </x:c>
      <x:c r="R78" s="159" t="n">
        <x:v>53.92614736683777</x:v>
      </x:c>
      <x:c r="S78" s="159" t="n">
        <x:v>53.92614736683777</x:v>
      </x:c>
      <x:c r="T78" s="103"/>
      <x:c r="U78" s="103"/>
    </x:row>
    <x:row r="79" ht="24" customHeight="1">
      <x:c r="A79" s="103"/>
      <x:c r="B79" s="103"/>
      <x:c r="C79" s="103" t="str">
        <x:v>Upside</x:v>
      </x:c>
      <x:c r="D79" s="103"/>
      <x:c r="E79" s="132"/>
      <x:c r="F79" s="132"/>
      <x:c r="G79" s="132"/>
      <x:c r="H79" s="132"/>
      <x:c r="I79" s="132"/>
      <x:c r="J79" s="132"/>
      <x:c r="K79" s="132"/>
      <x:c r="L79" s="132"/>
      <x:c r="M79" s="132"/>
      <x:c r="N79" s="132"/>
      <x:c r="O79" s="159" t="n">
        <x:v>53.92614736683777</x:v>
      </x:c>
      <x:c r="P79" s="159" t="n">
        <x:v>53.92614736683777</x:v>
      </x:c>
      <x:c r="Q79" s="159" t="n">
        <x:v>53.92614736683777</x:v>
      </x:c>
      <x:c r="R79" s="159" t="n">
        <x:v>53.92614736683777</x:v>
      </x:c>
      <x:c r="S79" s="159" t="n">
        <x:v>53.92614736683777</x:v>
      </x:c>
      <x:c r="T79" s="103"/>
      <x:c r="U79" s="103"/>
    </x:row>
    <x:row r="80" ht="24" customHeight="1">
      <x:c r="A80" s="103"/>
      <x:c r="B80" s="103"/>
      <x:c r="C80" s="103" t="str">
        <x:v>Downside</x:v>
      </x:c>
      <x:c r="D80" s="103"/>
      <x:c r="E80" s="132"/>
      <x:c r="F80" s="132"/>
      <x:c r="G80" s="132"/>
      <x:c r="H80" s="132"/>
      <x:c r="I80" s="132"/>
      <x:c r="J80" s="132"/>
      <x:c r="K80" s="132"/>
      <x:c r="L80" s="132"/>
      <x:c r="M80" s="132"/>
      <x:c r="N80" s="132"/>
      <x:c r="O80" s="159" t="n">
        <x:v>53.92614736683777</x:v>
      </x:c>
      <x:c r="P80" s="159" t="n">
        <x:v>53.92614736683777</x:v>
      </x:c>
      <x:c r="Q80" s="159" t="n">
        <x:v>53.92614736683777</x:v>
      </x:c>
      <x:c r="R80" s="159" t="n">
        <x:v>53.92614736683777</x:v>
      </x:c>
      <x:c r="S80" s="159" t="n">
        <x:v>53.92614736683777</x:v>
      </x:c>
      <x:c r="T80" s="103"/>
      <x:c r="U80" s="103"/>
    </x:row>
    <x:row r="81" ht="24" customHeight="1">
      <x:c r="A81" s="103"/>
      <x:c r="B81" s="103"/>
      <x:c r="C81" s="144" t="str">
        <x:v>Other current assets / revenue</x:v>
      </x:c>
      <x:c r="D81" s="144"/>
      <x:c r="E81" s="147" t="n">
        <x:f>'Balance Sheet'!E13/'Income Statement'!E8</x:f>
        <x:v>0.05284195048202877</x:v>
      </x:c>
      <x:c r="F81" s="147" t="n">
        <x:f>'Balance Sheet'!F13/'Income Statement'!F8</x:f>
        <x:v>0.06117252627763683</x:v>
      </x:c>
      <x:c r="G81" s="147" t="n">
        <x:f>'Balance Sheet'!G13/'Income Statement'!G8</x:f>
        <x:v>0.080624269923635</x:v>
      </x:c>
      <x:c r="H81" s="147" t="n">
        <x:f>'Balance Sheet'!H13/'Income Statement'!H8</x:f>
        <x:v>0.08028528476033983</x:v>
      </x:c>
      <x:c r="I81" s="147" t="n">
        <x:f>'Balance Sheet'!I13/'Income Statement'!I8</x:f>
        <x:v>0.07967850173718528</x:v>
      </x:c>
      <x:c r="J81" s="147" t="n">
        <x:f>'Balance Sheet'!J13/'Income Statement'!J8</x:f>
        <x:v>0.08535834972512231</x:v>
      </x:c>
      <x:c r="K81" s="147" t="n">
        <x:f>'Balance Sheet'!K13/'Income Statement'!K8</x:f>
        <x:v>0.10290446641342048</x:v>
      </x:c>
      <x:c r="L81" s="147" t="n">
        <x:f>'Balance Sheet'!L13/'Income Statement'!L8</x:f>
        <x:v>0.1061553022576513</x:v>
      </x:c>
      <x:c r="M81" s="147" t="n">
        <x:f>'Balance Sheet'!M13/'Income Statement'!M8</x:f>
        <x:v>0.09130567505785804</x:v>
      </x:c>
      <x:c r="N81" s="147" t="n">
        <x:f>'Balance Sheet'!N13/'Income Statement'!N8</x:f>
        <x:v>0.1464384837225281</x:v>
      </x:c>
      <x:c r="O81" s="147" t="n">
        <x:f>IF(NOT(CHOOSE($D$4,ISNUMBER(O82),ISNUMBER(O83),ISNUMBER(O84))),"n.a.",CHOOSE($D$4,O82,O83,O84))</x:f>
        <x:v>0.135</x:v>
      </x:c>
      <x:c r="P81" s="147" t="n">
        <x:f>IF(NOT(CHOOSE($D$4,ISNUMBER(P82),ISNUMBER(P83),ISNUMBER(P84))),"n.a.",CHOOSE($D$4,P82,P83,P84))</x:f>
        <x:v>0.125</x:v>
      </x:c>
      <x:c r="Q81" s="147" t="n">
        <x:f>IF(NOT(CHOOSE($D$4,ISNUMBER(Q82),ISNUMBER(Q83),ISNUMBER(Q84))),"n.a.",CHOOSE($D$4,Q82,Q83,Q84))</x:f>
        <x:v>0.12</x:v>
      </x:c>
      <x:c r="R81" s="147" t="n">
        <x:f>IF(NOT(CHOOSE($D$4,ISNUMBER(R82),ISNUMBER(R83),ISNUMBER(R84))),"n.a.",CHOOSE($D$4,R82,R83,R84))</x:f>
        <x:v>0.115</x:v>
      </x:c>
      <x:c r="S81" s="147" t="n">
        <x:f>IF(NOT(CHOOSE($D$4,ISNUMBER(S82),ISNUMBER(S83),ISNUMBER(S84))),"n.a.",CHOOSE($D$4,S82,S83,S84))</x:f>
        <x:v>0.11</x:v>
      </x:c>
      <x:c r="T81" s="103"/>
      <x:c r="U81" s="103"/>
    </x:row>
    <x:row r="82" ht="24" customHeight="1">
      <x:c r="A82" s="103"/>
      <x:c r="B82" s="103"/>
      <x:c r="C82" s="105" t="str">
        <x:v>Base</x:v>
      </x:c>
      <x:c r="D82" s="105"/>
      <x:c r="E82" s="119"/>
      <x:c r="F82" s="119"/>
      <x:c r="G82" s="119"/>
      <x:c r="H82" s="119"/>
      <x:c r="I82" s="119"/>
      <x:c r="J82" s="119"/>
      <x:c r="K82" s="119"/>
      <x:c r="L82" s="119"/>
      <x:c r="M82" s="119"/>
      <x:c r="N82" s="119"/>
      <x:c r="O82" s="149" t="n">
        <x:v>0.135</x:v>
      </x:c>
      <x:c r="P82" s="149" t="n">
        <x:v>0.125</x:v>
      </x:c>
      <x:c r="Q82" s="149" t="n">
        <x:v>0.12</x:v>
      </x:c>
      <x:c r="R82" s="149" t="n">
        <x:v>0.115</x:v>
      </x:c>
      <x:c r="S82" s="149" t="n">
        <x:v>0.11</x:v>
      </x:c>
      <x:c r="T82" s="103"/>
      <x:c r="U82" s="103"/>
    </x:row>
    <x:row r="83" ht="24" customHeight="1">
      <x:c r="A83" s="103"/>
      <x:c r="B83" s="103"/>
      <x:c r="C83" s="105" t="str">
        <x:v>Upside</x:v>
      </x:c>
      <x:c r="D83" s="105"/>
      <x:c r="E83" s="119"/>
      <x:c r="F83" s="119"/>
      <x:c r="G83" s="119"/>
      <x:c r="H83" s="119"/>
      <x:c r="I83" s="119"/>
      <x:c r="J83" s="119"/>
      <x:c r="K83" s="119"/>
      <x:c r="L83" s="119"/>
      <x:c r="M83" s="119"/>
      <x:c r="N83" s="119"/>
      <x:c r="O83" s="149" t="n">
        <x:v>0.13</x:v>
      </x:c>
      <x:c r="P83" s="149" t="n">
        <x:v>0.12</x:v>
      </x:c>
      <x:c r="Q83" s="149" t="n">
        <x:v>0.115</x:v>
      </x:c>
      <x:c r="R83" s="149" t="n">
        <x:v>0.11</x:v>
      </x:c>
      <x:c r="S83" s="149" t="n">
        <x:v>0.105</x:v>
      </x:c>
      <x:c r="T83" s="103"/>
      <x:c r="U83" s="103"/>
    </x:row>
    <x:row r="84" ht="24" customHeight="1">
      <x:c r="A84" s="103"/>
      <x:c r="B84" s="103"/>
      <x:c r="C84" s="105" t="str">
        <x:v>Downside</x:v>
      </x:c>
      <x:c r="D84" s="105"/>
      <x:c r="E84" s="119"/>
      <x:c r="F84" s="119"/>
      <x:c r="G84" s="119"/>
      <x:c r="H84" s="119"/>
      <x:c r="I84" s="119"/>
      <x:c r="J84" s="119"/>
      <x:c r="K84" s="119"/>
      <x:c r="L84" s="119"/>
      <x:c r="M84" s="119"/>
      <x:c r="N84" s="119"/>
      <x:c r="O84" s="149" t="n">
        <x:v>0.146</x:v>
      </x:c>
      <x:c r="P84" s="149" t="n">
        <x:v>0.145</x:v>
      </x:c>
      <x:c r="Q84" s="149" t="n">
        <x:v>0.14</x:v>
      </x:c>
      <x:c r="R84" s="149" t="n">
        <x:v>0.135</x:v>
      </x:c>
      <x:c r="S84" s="149" t="n">
        <x:v>0.13</x:v>
      </x:c>
      <x:c r="T84" s="103"/>
      <x:c r="U84" s="103"/>
    </x:row>
    <x:row r="85" ht="24" customHeight="1">
      <x:c r="A85" s="103"/>
      <x:c r="B85" s="103"/>
      <x:c r="C85" s="144" t="str">
        <x:v>Accrued compensation / revenue</x:v>
      </x:c>
      <x:c r="D85" s="144"/>
      <x:c r="E85" s="147" t="n">
        <x:f>'Balance Sheet'!E27/'Income Statement'!E8</x:f>
        <x:v>0.06025618456886643</x:v>
      </x:c>
      <x:c r="F85" s="147" t="n">
        <x:f>'Balance Sheet'!F27/'Income Statement'!F8</x:f>
        <x:v>0.055300833635375135</x:v>
      </x:c>
      <x:c r="G85" s="147" t="n">
        <x:f>'Balance Sheet'!G27/'Income Statement'!G8</x:f>
        <x:v>0.05427397630380713</x:v>
      </x:c>
      <x:c r="H85" s="147" t="n">
        <x:f>'Balance Sheet'!H27/'Income Statement'!H8</x:f>
        <x:v>0.05505716183617103</x:v>
      </x:c>
      <x:c r="I85" s="147" t="n">
        <x:f>'Balance Sheet'!I27/'Income Statement'!I8</x:f>
        <x:v>0.05983175479510733</x:v>
      </x:c>
      <x:c r="J85" s="147" t="n">
        <x:f>'Balance Sheet'!J27/'Income Statement'!J8</x:f>
        <x:v>0.05377011146416503</x:v>
      </x:c>
      <x:c r="K85" s="147" t="n">
        <x:f>'Balance Sheet'!K27/'Income Statement'!K8</x:f>
        <x:v>0.05195007432225185</x:v>
      </x:c>
      <x:c r="L85" s="147" t="n">
        <x:f>'Balance Sheet'!L27/'Income Statement'!L8</x:f>
        <x:v>0.05125610920276434</x:v>
      </x:c>
      <x:c r="M85" s="147" t="n">
        <x:f>'Balance Sheet'!M27/'Income Statement'!M8</x:f>
        <x:v>0.048661100935667535</x:v>
      </x:c>
      <x:c r="N85" s="147" t="n">
        <x:f>'Balance Sheet'!N27/'Income Statement'!N8</x:f>
        <x:v>0.045036900424603496</x:v>
      </x:c>
      <x:c r="O85" s="147" t="n">
        <x:f>IF(NOT(CHOOSE($D$4,ISNUMBER(O86),ISNUMBER(O87),ISNUMBER(O88))),"n.a.",CHOOSE($D$4,O86,O87,O88))</x:f>
        <x:v>0.045036900424603496</x:v>
      </x:c>
      <x:c r="P85" s="147" t="n">
        <x:f>IF(NOT(CHOOSE($D$4,ISNUMBER(P86),ISNUMBER(P87),ISNUMBER(P88))),"n.a.",CHOOSE($D$4,P86,P87,P88))</x:f>
        <x:v>0.045036900424603496</x:v>
      </x:c>
      <x:c r="Q85" s="147" t="n">
        <x:f>IF(NOT(CHOOSE($D$4,ISNUMBER(Q86),ISNUMBER(Q87),ISNUMBER(Q88))),"n.a.",CHOOSE($D$4,Q86,Q87,Q88))</x:f>
        <x:v>0.045036900424603496</x:v>
      </x:c>
      <x:c r="R85" s="147" t="n">
        <x:f>IF(NOT(CHOOSE($D$4,ISNUMBER(R86),ISNUMBER(R87),ISNUMBER(R88))),"n.a.",CHOOSE($D$4,R86,R87,R88))</x:f>
        <x:v>0.045036900424603496</x:v>
      </x:c>
      <x:c r="S85" s="147" t="n">
        <x:f>IF(NOT(CHOOSE($D$4,ISNUMBER(S86),ISNUMBER(S87),ISNUMBER(S88))),"n.a.",CHOOSE($D$4,S86,S87,S88))</x:f>
        <x:v>0.045036900424603496</x:v>
      </x:c>
      <x:c r="T85" s="103"/>
      <x:c r="U85" s="103"/>
    </x:row>
    <x:row r="86" ht="24" customHeight="1">
      <x:c r="A86" s="103"/>
      <x:c r="B86" s="103"/>
      <x:c r="C86" s="105" t="str">
        <x:v>Base</x:v>
      </x:c>
      <x:c r="D86" s="105"/>
      <x:c r="E86" s="119"/>
      <x:c r="F86" s="119"/>
      <x:c r="G86" s="119"/>
      <x:c r="H86" s="119"/>
      <x:c r="I86" s="119"/>
      <x:c r="J86" s="119"/>
      <x:c r="K86" s="119"/>
      <x:c r="L86" s="119"/>
      <x:c r="M86" s="119"/>
      <x:c r="N86" s="119"/>
      <x:c r="O86" s="149" t="n">
        <x:v>0.045036900424603496</x:v>
      </x:c>
      <x:c r="P86" s="149" t="n">
        <x:v>0.045036900424603496</x:v>
      </x:c>
      <x:c r="Q86" s="149" t="n">
        <x:v>0.045036900424603496</x:v>
      </x:c>
      <x:c r="R86" s="149" t="n">
        <x:v>0.045036900424603496</x:v>
      </x:c>
      <x:c r="S86" s="149" t="n">
        <x:v>0.045036900424603496</x:v>
      </x:c>
      <x:c r="T86" s="103"/>
      <x:c r="U86" s="103"/>
    </x:row>
    <x:row r="87" ht="24" customHeight="1">
      <x:c r="A87" s="103"/>
      <x:c r="B87" s="103"/>
      <x:c r="C87" s="105" t="str">
        <x:v>Upside</x:v>
      </x:c>
      <x:c r="D87" s="105"/>
      <x:c r="E87" s="119"/>
      <x:c r="F87" s="119"/>
      <x:c r="G87" s="119"/>
      <x:c r="H87" s="119"/>
      <x:c r="I87" s="119"/>
      <x:c r="J87" s="119"/>
      <x:c r="K87" s="119"/>
      <x:c r="L87" s="119"/>
      <x:c r="M87" s="119"/>
      <x:c r="N87" s="119"/>
      <x:c r="O87" s="149" t="n">
        <x:v>0.045036900424603496</x:v>
      </x:c>
      <x:c r="P87" s="149" t="n">
        <x:v>0.045036900424603496</x:v>
      </x:c>
      <x:c r="Q87" s="149" t="n">
        <x:v>0.045036900424603496</x:v>
      </x:c>
      <x:c r="R87" s="149" t="n">
        <x:v>0.045036900424603496</x:v>
      </x:c>
      <x:c r="S87" s="149" t="n">
        <x:v>0.045036900424603496</x:v>
      </x:c>
      <x:c r="T87" s="103"/>
      <x:c r="U87" s="103"/>
    </x:row>
    <x:row r="88" ht="24" customHeight="1">
      <x:c r="A88" s="103"/>
      <x:c r="B88" s="103"/>
      <x:c r="C88" s="105" t="str">
        <x:v>Downside</x:v>
      </x:c>
      <x:c r="D88" s="105"/>
      <x:c r="E88" s="119"/>
      <x:c r="F88" s="119"/>
      <x:c r="G88" s="119"/>
      <x:c r="H88" s="119"/>
      <x:c r="I88" s="119"/>
      <x:c r="J88" s="119"/>
      <x:c r="K88" s="119"/>
      <x:c r="L88" s="119"/>
      <x:c r="M88" s="119"/>
      <x:c r="N88" s="119"/>
      <x:c r="O88" s="149" t="n">
        <x:v>0.045036900424603496</x:v>
      </x:c>
      <x:c r="P88" s="149" t="n">
        <x:v>0.045036900424603496</x:v>
      </x:c>
      <x:c r="Q88" s="149" t="n">
        <x:v>0.045036900424603496</x:v>
      </x:c>
      <x:c r="R88" s="149" t="n">
        <x:v>0.045036900424603496</x:v>
      </x:c>
      <x:c r="S88" s="149" t="n">
        <x:v>0.045036900424603496</x:v>
      </x:c>
      <x:c r="T88" s="103"/>
      <x:c r="U88" s="103"/>
    </x:row>
    <x:row r="89" ht="24" customHeight="1">
      <x:c r="A89" s="103"/>
      <x:c r="B89" s="103"/>
      <x:c r="C89" s="144" t="str">
        <x:v>Current unearned revenue / revenue</x:v>
      </x:c>
      <x:c r="D89" s="144"/>
      <x:c r="E89" s="147" t="n">
        <x:f>'Balance Sheet'!E29/'Income Statement'!E8</x:f>
        <x:v>0.24865642894864917</x:v>
      </x:c>
      <x:c r="F89" s="147" t="n">
        <x:f>'Balance Sheet'!F29/'Income Statement'!F8</x:f>
        <x:v>0.2619155491119971</x:v>
      </x:c>
      <x:c r="G89" s="147" t="n">
        <x:f>'Balance Sheet'!G29/'Income Statement'!G8</x:f>
        <x:v>0.25965687404146437</x:v>
      </x:c>
      <x:c r="H89" s="147" t="n">
        <x:f>'Balance Sheet'!H29/'Income Statement'!H8</x:f>
        <x:v>0.25172184735866865</x:v>
      </x:c>
      <x:c r="I89" s="147" t="n">
        <x:f>'Balance Sheet'!I29/'Income Statement'!I8</x:f>
        <x:v>0.24704321545856933</x:v>
      </x:c>
      <x:c r="J89" s="147" t="n">
        <x:f>'Balance Sheet'!J29/'Income Statement'!J8</x:f>
        <x:v>0.22967670348514652</x:v>
      </x:c>
      <x:c r="K89" s="147" t="n">
        <x:f>'Balance Sheet'!K29/'Income Statement'!K8</x:f>
        <x:v>0.24019536134771016</x:v>
      </x:c>
      <x:c r="L89" s="147" t="n">
        <x:f>'Balance Sheet'!L29/'Income Statement'!L8</x:f>
        <x:v>0.23491159504246864</x:v>
      </x:c>
      <x:c r="M89" s="147" t="n">
        <x:f>'Balance Sheet'!M29/'Income Statement'!M8</x:f>
        <x:v>0.229142707046613</x:v>
      </x:c>
      <x:c r="N89" s="147" t="n">
        <x:f>'Balance Sheet'!N29/'Income Statement'!N8</x:f>
        <x:v>0.2198807252914817</x:v>
      </x:c>
      <x:c r="O89" s="147" t="n">
        <x:f>IF(NOT(CHOOSE($D$4,ISNUMBER(O90),ISNUMBER(O91),ISNUMBER(O92))),"n.a.",CHOOSE($D$4,O90,O91,O92))</x:f>
        <x:v>0.2198807252914817</x:v>
      </x:c>
      <x:c r="P89" s="147" t="n">
        <x:f>IF(NOT(CHOOSE($D$4,ISNUMBER(P90),ISNUMBER(P91),ISNUMBER(P92))),"n.a.",CHOOSE($D$4,P90,P91,P92))</x:f>
        <x:v>0.2198807252914817</x:v>
      </x:c>
      <x:c r="Q89" s="147" t="n">
        <x:f>IF(NOT(CHOOSE($D$4,ISNUMBER(Q90),ISNUMBER(Q91),ISNUMBER(Q92))),"n.a.",CHOOSE($D$4,Q90,Q91,Q92))</x:f>
        <x:v>0.2198807252914817</x:v>
      </x:c>
      <x:c r="R89" s="147" t="n">
        <x:f>IF(NOT(CHOOSE($D$4,ISNUMBER(R90),ISNUMBER(R91),ISNUMBER(R92))),"n.a.",CHOOSE($D$4,R90,R91,R92))</x:f>
        <x:v>0.2198807252914817</x:v>
      </x:c>
      <x:c r="S89" s="147" t="n">
        <x:f>IF(NOT(CHOOSE($D$4,ISNUMBER(S90),ISNUMBER(S91),ISNUMBER(S92))),"n.a.",CHOOSE($D$4,S90,S91,S92))</x:f>
        <x:v>0.2198807252914817</x:v>
      </x:c>
      <x:c r="T89" s="103"/>
      <x:c r="U89" s="103"/>
    </x:row>
    <x:row r="90" ht="24" customHeight="1">
      <x:c r="A90" s="103"/>
      <x:c r="B90" s="103"/>
      <x:c r="C90" s="105" t="str">
        <x:v>Base</x:v>
      </x:c>
      <x:c r="D90" s="105"/>
      <x:c r="E90" s="119"/>
      <x:c r="F90" s="119"/>
      <x:c r="G90" s="119"/>
      <x:c r="H90" s="119"/>
      <x:c r="I90" s="119"/>
      <x:c r="J90" s="119"/>
      <x:c r="K90" s="119"/>
      <x:c r="L90" s="119"/>
      <x:c r="M90" s="119"/>
      <x:c r="N90" s="119"/>
      <x:c r="O90" s="149" t="n">
        <x:v>0.2198807252914817</x:v>
      </x:c>
      <x:c r="P90" s="149" t="n">
        <x:v>0.2198807252914817</x:v>
      </x:c>
      <x:c r="Q90" s="149" t="n">
        <x:v>0.2198807252914817</x:v>
      </x:c>
      <x:c r="R90" s="149" t="n">
        <x:v>0.2198807252914817</x:v>
      </x:c>
      <x:c r="S90" s="149" t="n">
        <x:v>0.2198807252914817</x:v>
      </x:c>
      <x:c r="T90" s="103"/>
      <x:c r="U90" s="103"/>
    </x:row>
    <x:row r="91" ht="24" customHeight="1">
      <x:c r="A91" s="103"/>
      <x:c r="B91" s="103"/>
      <x:c r="C91" s="105" t="str">
        <x:v>Upside</x:v>
      </x:c>
      <x:c r="D91" s="105"/>
      <x:c r="E91" s="119"/>
      <x:c r="F91" s="119"/>
      <x:c r="G91" s="119"/>
      <x:c r="H91" s="119"/>
      <x:c r="I91" s="119"/>
      <x:c r="J91" s="119"/>
      <x:c r="K91" s="119"/>
      <x:c r="L91" s="119"/>
      <x:c r="M91" s="119"/>
      <x:c r="N91" s="119"/>
      <x:c r="O91" s="149" t="n">
        <x:v>0.2198807252914817</x:v>
      </x:c>
      <x:c r="P91" s="149" t="n">
        <x:v>0.2198807252914817</x:v>
      </x:c>
      <x:c r="Q91" s="149" t="n">
        <x:v>0.2198807252914817</x:v>
      </x:c>
      <x:c r="R91" s="149" t="n">
        <x:v>0.2198807252914817</x:v>
      </x:c>
      <x:c r="S91" s="149" t="n">
        <x:v>0.2198807252914817</x:v>
      </x:c>
      <x:c r="T91" s="103"/>
      <x:c r="U91" s="103"/>
    </x:row>
    <x:row r="92" ht="24" customHeight="1">
      <x:c r="A92" s="103"/>
      <x:c r="B92" s="103"/>
      <x:c r="C92" s="105" t="str">
        <x:v>Downside</x:v>
      </x:c>
      <x:c r="D92" s="105"/>
      <x:c r="E92" s="119"/>
      <x:c r="F92" s="119"/>
      <x:c r="G92" s="119"/>
      <x:c r="H92" s="119"/>
      <x:c r="I92" s="119"/>
      <x:c r="J92" s="119"/>
      <x:c r="K92" s="119"/>
      <x:c r="L92" s="119"/>
      <x:c r="M92" s="119"/>
      <x:c r="N92" s="119"/>
      <x:c r="O92" s="149" t="n">
        <x:v>0.2198807252914817</x:v>
      </x:c>
      <x:c r="P92" s="149" t="n">
        <x:v>0.2198807252914817</x:v>
      </x:c>
      <x:c r="Q92" s="149" t="n">
        <x:v>0.2198807252914817</x:v>
      </x:c>
      <x:c r="R92" s="149" t="n">
        <x:v>0.2198807252914817</x:v>
      </x:c>
      <x:c r="S92" s="149" t="n">
        <x:v>0.2198807252914817</x:v>
      </x:c>
      <x:c r="T92" s="103"/>
      <x:c r="U92" s="103"/>
    </x:row>
    <x:row r="93" ht="24" customHeight="1">
      <x:c r="A93" s="103"/>
      <x:c r="B93" s="103"/>
      <x:c r="C93" s="142" t="str">
        <x:v>Other current liabilities excluding leases / revenue</x:v>
      </x:c>
      <x:c r="D93" s="144"/>
      <x:c r="E93" s="147"/>
      <x:c r="F93" s="147"/>
      <x:c r="G93" s="147"/>
      <x:c r="H93" s="147"/>
      <x:c r="I93" s="147"/>
      <x:c r="J93" s="147"/>
      <x:c r="K93" s="147"/>
      <x:c r="L93" s="147"/>
      <x:c r="M93" s="147"/>
      <x:c r="N93" s="147" t="n">
        <x:f>'Working Capital'!N21/'Income Statement'!N8</x:f>
        <x:v>0.051395405603319684</x:v>
      </x:c>
      <x:c r="O93" s="147" t="n">
        <x:f>IF(NOT(CHOOSE($D$4,ISNUMBER(O94),ISNUMBER(O95),ISNUMBER(O96))),"n.a.",CHOOSE($D$4,O94,O95,O96))</x:f>
        <x:v>0.051395405603319684</x:v>
      </x:c>
      <x:c r="P93" s="147" t="n">
        <x:f>IF(NOT(CHOOSE($D$4,ISNUMBER(P94),ISNUMBER(P95),ISNUMBER(P96))),"n.a.",CHOOSE($D$4,P94,P95,P96))</x:f>
        <x:v>0.051395405603319684</x:v>
      </x:c>
      <x:c r="Q93" s="147" t="n">
        <x:f>IF(NOT(CHOOSE($D$4,ISNUMBER(Q94),ISNUMBER(Q95),ISNUMBER(Q96))),"n.a.",CHOOSE($D$4,Q94,Q95,Q96))</x:f>
        <x:v>0.051395405603319684</x:v>
      </x:c>
      <x:c r="R93" s="147" t="n">
        <x:f>IF(NOT(CHOOSE($D$4,ISNUMBER(R94),ISNUMBER(R95),ISNUMBER(R96))),"n.a.",CHOOSE($D$4,R94,R95,R96))</x:f>
        <x:v>0.051395405603319684</x:v>
      </x:c>
      <x:c r="S93" s="147" t="n">
        <x:f>IF(NOT(CHOOSE($D$4,ISNUMBER(S94),ISNUMBER(S95),ISNUMBER(S96))),"n.a.",CHOOSE($D$4,S94,S95,S96))</x:f>
        <x:v>0.051395405603319684</x:v>
      </x:c>
      <x:c r="T93" s="103"/>
      <x:c r="U93" s="103"/>
    </x:row>
    <x:row r="94" ht="24" customHeight="1">
      <x:c r="A94" s="103"/>
      <x:c r="B94" s="103"/>
      <x:c r="C94" s="105" t="str">
        <x:v>Base</x:v>
      </x:c>
      <x:c r="D94" s="105"/>
      <x:c r="E94" s="119"/>
      <x:c r="F94" s="119"/>
      <x:c r="G94" s="119"/>
      <x:c r="H94" s="119"/>
      <x:c r="I94" s="119"/>
      <x:c r="J94" s="119"/>
      <x:c r="K94" s="119"/>
      <x:c r="L94" s="119"/>
      <x:c r="M94" s="119"/>
      <x:c r="N94" s="119"/>
      <x:c r="O94" s="149" t="n">
        <x:v>0.051395405603319684</x:v>
      </x:c>
      <x:c r="P94" s="149" t="n">
        <x:v>0.051395405603319684</x:v>
      </x:c>
      <x:c r="Q94" s="149" t="n">
        <x:v>0.051395405603319684</x:v>
      </x:c>
      <x:c r="R94" s="149" t="n">
        <x:v>0.051395405603319684</x:v>
      </x:c>
      <x:c r="S94" s="149" t="n">
        <x:v>0.051395405603319684</x:v>
      </x:c>
      <x:c r="T94" s="103"/>
      <x:c r="U94" s="103"/>
    </x:row>
    <x:row r="95" ht="24" customHeight="1">
      <x:c r="A95" s="103"/>
      <x:c r="B95" s="103"/>
      <x:c r="C95" s="105" t="str">
        <x:v>Upside</x:v>
      </x:c>
      <x:c r="D95" s="105"/>
      <x:c r="E95" s="119"/>
      <x:c r="F95" s="119"/>
      <x:c r="G95" s="119"/>
      <x:c r="H95" s="119"/>
      <x:c r="I95" s="119"/>
      <x:c r="J95" s="119"/>
      <x:c r="K95" s="119"/>
      <x:c r="L95" s="119"/>
      <x:c r="M95" s="119"/>
      <x:c r="N95" s="119"/>
      <x:c r="O95" s="149" t="n">
        <x:v>0.051395405603319684</x:v>
      </x:c>
      <x:c r="P95" s="149" t="n">
        <x:v>0.051395405603319684</x:v>
      </x:c>
      <x:c r="Q95" s="149" t="n">
        <x:v>0.051395405603319684</x:v>
      </x:c>
      <x:c r="R95" s="149" t="n">
        <x:v>0.051395405603319684</x:v>
      </x:c>
      <x:c r="S95" s="149" t="n">
        <x:v>0.051395405603319684</x:v>
      </x:c>
      <x:c r="T95" s="103"/>
      <x:c r="U95" s="103"/>
    </x:row>
    <x:row r="96" ht="24" customHeight="1">
      <x:c r="A96" s="103"/>
      <x:c r="B96" s="103"/>
      <x:c r="C96" s="105" t="str">
        <x:v>Downside</x:v>
      </x:c>
      <x:c r="D96" s="105"/>
      <x:c r="E96" s="119"/>
      <x:c r="F96" s="119"/>
      <x:c r="G96" s="119"/>
      <x:c r="H96" s="119"/>
      <x:c r="I96" s="119"/>
      <x:c r="J96" s="119"/>
      <x:c r="K96" s="119"/>
      <x:c r="L96" s="119"/>
      <x:c r="M96" s="119"/>
      <x:c r="N96" s="119"/>
      <x:c r="O96" s="149" t="n">
        <x:v>0.051395405603319684</x:v>
      </x:c>
      <x:c r="P96" s="149" t="n">
        <x:v>0.051395405603319684</x:v>
      </x:c>
      <x:c r="Q96" s="149" t="n">
        <x:v>0.051395405603319684</x:v>
      </x:c>
      <x:c r="R96" s="149" t="n">
        <x:v>0.051395405603319684</x:v>
      </x:c>
      <x:c r="S96" s="149" t="n">
        <x:v>0.051395405603319684</x:v>
      </x:c>
      <x:c r="T96" s="103"/>
      <x:c r="U96" s="103"/>
    </x:row>
    <x:row r="97" ht="24" customHeight="1">
      <x:c r="A97" s="103"/>
      <x:c r="B97" s="103"/>
      <x:c r="C97" s="144" t="str">
        <x:v>Other long-term assets / revenue</x:v>
      </x:c>
      <x:c r="D97" s="144"/>
      <x:c r="E97" s="147" t="n">
        <x:f>'Balance Sheet'!E21/'Income Statement'!E8</x:f>
        <x:v>0.06291743898271739</x:v>
      </x:c>
      <x:c r="F97" s="147" t="n">
        <x:f>'Balance Sheet'!F21/'Income Statement'!F8</x:f>
        <x:v>0.06743385284523377</x:v>
      </x:c>
      <x:c r="G97" s="147" t="n">
        <x:f>'Balance Sheet'!G21/'Income Statement'!G8</x:f>
        <x:v>0.11699498581565919</x:v>
      </x:c>
      <x:c r="H97" s="147" t="n">
        <x:f>'Balance Sheet'!H21/'Income Statement'!H8</x:f>
        <x:v>0.09186448973883858</x:v>
      </x:c>
      <x:c r="I97" s="147" t="n">
        <x:f>'Balance Sheet'!I21/'Income Statement'!I8</x:f>
        <x:v>0.08968516491361668</x:v>
      </x:c>
      <x:c r="J97" s="147" t="n">
        <x:f>'Balance Sheet'!J21/'Income Statement'!J8</x:f>
        <x:v>0.11044030866999546</x:v>
      </x:c>
      <x:c r="K97" s="147" t="n">
        <x:f>'Balance Sheet'!K21/'Income Statement'!K8</x:f>
        <x:v>0.14440223674586508</x:v>
      </x:c>
      <x:c r="L97" s="147" t="n">
        <x:f>'Balance Sheet'!L21/'Income Statement'!L8</x:f>
        <x:v>0.14874225895676438</x:v>
      </x:c>
      <x:c r="M97" s="147" t="n">
        <x:f>'Balance Sheet'!M21/'Income Statement'!M8</x:f>
        <x:v>0.14398844258920077</x:v>
      </x:c>
      <x:c r="N97" s="147" t="n">
        <x:f>'Balance Sheet'!N21/'Income Statement'!N8</x:f>
        <x:v>0.11693923860667371</x:v>
      </x:c>
      <x:c r="O97" s="147" t="n">
        <x:f>IF(NOT(CHOOSE($D$4,ISNUMBER(O98),ISNUMBER(O99),ISNUMBER(O100))),"n.a.",CHOOSE($D$4,O98,O99,O100))</x:f>
        <x:v>0.11693923860667371</x:v>
      </x:c>
      <x:c r="P97" s="147" t="n">
        <x:f>IF(NOT(CHOOSE($D$4,ISNUMBER(P98),ISNUMBER(P99),ISNUMBER(P100))),"n.a.",CHOOSE($D$4,P98,P99,P100))</x:f>
        <x:v>0.11693923860667371</x:v>
      </x:c>
      <x:c r="Q97" s="147" t="n">
        <x:f>IF(NOT(CHOOSE($D$4,ISNUMBER(Q98),ISNUMBER(Q99),ISNUMBER(Q100))),"n.a.",CHOOSE($D$4,Q98,Q99,Q100))</x:f>
        <x:v>0.11693923860667371</x:v>
      </x:c>
      <x:c r="R97" s="147" t="n">
        <x:f>IF(NOT(CHOOSE($D$4,ISNUMBER(R98),ISNUMBER(R99),ISNUMBER(R100))),"n.a.",CHOOSE($D$4,R98,R99,R100))</x:f>
        <x:v>0.11693923860667371</x:v>
      </x:c>
      <x:c r="S97" s="147" t="n">
        <x:f>IF(NOT(CHOOSE($D$4,ISNUMBER(S98),ISNUMBER(S99),ISNUMBER(S100))),"n.a.",CHOOSE($D$4,S98,S99,S100))</x:f>
        <x:v>0.11693923860667371</x:v>
      </x:c>
      <x:c r="T97" s="103"/>
      <x:c r="U97" s="103"/>
    </x:row>
    <x:row r="98" ht="24" customHeight="1">
      <x:c r="A98" s="103"/>
      <x:c r="B98" s="103"/>
      <x:c r="C98" s="105" t="str">
        <x:v>Base</x:v>
      </x:c>
      <x:c r="D98" s="105"/>
      <x:c r="E98" s="119"/>
      <x:c r="F98" s="119"/>
      <x:c r="G98" s="119"/>
      <x:c r="H98" s="119"/>
      <x:c r="I98" s="119"/>
      <x:c r="J98" s="119"/>
      <x:c r="K98" s="119"/>
      <x:c r="L98" s="119"/>
      <x:c r="M98" s="119"/>
      <x:c r="N98" s="119"/>
      <x:c r="O98" s="149" t="n">
        <x:v>0.11693923860667371</x:v>
      </x:c>
      <x:c r="P98" s="149" t="n">
        <x:v>0.11693923860667371</x:v>
      </x:c>
      <x:c r="Q98" s="149" t="n">
        <x:v>0.11693923860667371</x:v>
      </x:c>
      <x:c r="R98" s="149" t="n">
        <x:v>0.11693923860667371</x:v>
      </x:c>
      <x:c r="S98" s="149" t="n">
        <x:v>0.11693923860667371</x:v>
      </x:c>
      <x:c r="T98" s="103"/>
      <x:c r="U98" s="103"/>
    </x:row>
    <x:row r="99" ht="24" customHeight="1">
      <x:c r="A99" s="103"/>
      <x:c r="B99" s="103"/>
      <x:c r="C99" s="105" t="str">
        <x:v>Upside</x:v>
      </x:c>
      <x:c r="D99" s="105"/>
      <x:c r="E99" s="119"/>
      <x:c r="F99" s="119"/>
      <x:c r="G99" s="119"/>
      <x:c r="H99" s="119"/>
      <x:c r="I99" s="119"/>
      <x:c r="J99" s="119"/>
      <x:c r="K99" s="119"/>
      <x:c r="L99" s="119"/>
      <x:c r="M99" s="119"/>
      <x:c r="N99" s="119"/>
      <x:c r="O99" s="149" t="n">
        <x:v>0.11693923860667371</x:v>
      </x:c>
      <x:c r="P99" s="149" t="n">
        <x:v>0.11693923860667371</x:v>
      </x:c>
      <x:c r="Q99" s="149" t="n">
        <x:v>0.11693923860667371</x:v>
      </x:c>
      <x:c r="R99" s="149" t="n">
        <x:v>0.11693923860667371</x:v>
      </x:c>
      <x:c r="S99" s="149" t="n">
        <x:v>0.11693923860667371</x:v>
      </x:c>
      <x:c r="T99" s="103"/>
      <x:c r="U99" s="103"/>
    </x:row>
    <x:row r="100" ht="24" customHeight="1">
      <x:c r="A100" s="103"/>
      <x:c r="B100" s="103"/>
      <x:c r="C100" s="105" t="str">
        <x:v>Downside</x:v>
      </x:c>
      <x:c r="D100" s="105"/>
      <x:c r="E100" s="119"/>
      <x:c r="F100" s="119"/>
      <x:c r="G100" s="119"/>
      <x:c r="H100" s="119"/>
      <x:c r="I100" s="119"/>
      <x:c r="J100" s="119"/>
      <x:c r="K100" s="119"/>
      <x:c r="L100" s="119"/>
      <x:c r="M100" s="119"/>
      <x:c r="N100" s="119"/>
      <x:c r="O100" s="149" t="n">
        <x:v>0.11693923860667371</x:v>
      </x:c>
      <x:c r="P100" s="149" t="n">
        <x:v>0.11693923860667371</x:v>
      </x:c>
      <x:c r="Q100" s="149" t="n">
        <x:v>0.11693923860667371</x:v>
      </x:c>
      <x:c r="R100" s="149" t="n">
        <x:v>0.11693923860667371</x:v>
      </x:c>
      <x:c r="S100" s="149" t="n">
        <x:v>0.11693923860667371</x:v>
      </x:c>
      <x:c r="T100" s="103"/>
      <x:c r="U100" s="103"/>
    </x:row>
    <x:row r="101" ht="24" customHeight="1">
      <x:c r="A101" s="103"/>
      <x:c r="B101" s="103"/>
      <x:c r="C101" s="144" t="str">
        <x:v>Long-term income tax liabilities / revenue</x:v>
      </x:c>
      <x:c r="D101" s="144"/>
      <x:c r="E101" s="147" t="n">
        <x:f>'Balance Sheet'!E35/'Income Statement'!E8</x:f>
        <x:v>0.13963819366062274</x:v>
      </x:c>
      <x:c r="F101" s="147" t="n">
        <x:f>'Balance Sheet'!F35/'Income Statement'!F8</x:f>
        <x:v>0.2742388546574846</x:v>
      </x:c>
      <x:c r="G101" s="147" t="n">
        <x:f>'Balance Sheet'!G35/'Income Statement'!G8</x:f>
        <x:v>0.23530907559419276</x:v>
      </x:c>
      <x:c r="H101" s="147" t="n">
        <x:f>'Balance Sheet'!H35/'Income Statement'!H8</x:f>
        <x:v>0.2057965947627871</x:v>
      </x:c>
      <x:c r="I101" s="147" t="n">
        <x:f>'Balance Sheet'!I35/'Income Statement'!I8</x:f>
        <x:v>0.1617605064014088</x:v>
      </x:c>
      <x:c r="J101" s="147" t="n">
        <x:f>'Balance Sheet'!J35/'Income Statement'!J8</x:f>
        <x:v>0.1314823220860443</x:v>
      </x:c>
      <x:c r="K101" s="147" t="n">
        <x:f>'Balance Sheet'!K35/'Income Statement'!K8</x:f>
        <x:v>0.12061439728192908</x:v>
      </x:c>
      <x:c r="L101" s="147" t="n">
        <x:f>'Balance Sheet'!L35/'Income Statement'!L8</x:f>
        <x:v>0.11394734050799193</x:v>
      </x:c>
      <x:c r="M101" s="147" t="n">
        <x:f>'Balance Sheet'!M35/'Income Statement'!M8</x:f>
        <x:v>0.09223921284661583</x:v>
      </x:c>
      <x:c r="N101" s="147" t="n">
        <x:f>'Balance Sheet'!N35/'Income Statement'!N8</x:f>
        <x:v>0.08632800846193485</x:v>
      </x:c>
      <x:c r="O101" s="147" t="n">
        <x:f>IF(NOT(CHOOSE($D$4,ISNUMBER(O102),ISNUMBER(O103),ISNUMBER(O104))),"n.a.",CHOOSE($D$4,O102,O103,O104))</x:f>
        <x:v>0.08632800846193485</x:v>
      </x:c>
      <x:c r="P101" s="147" t="n">
        <x:f>IF(NOT(CHOOSE($D$4,ISNUMBER(P102),ISNUMBER(P103),ISNUMBER(P104))),"n.a.",CHOOSE($D$4,P102,P103,P104))</x:f>
        <x:v>0.08632800846193485</x:v>
      </x:c>
      <x:c r="Q101" s="147" t="n">
        <x:f>IF(NOT(CHOOSE($D$4,ISNUMBER(Q102),ISNUMBER(Q103),ISNUMBER(Q104))),"n.a.",CHOOSE($D$4,Q102,Q103,Q104))</x:f>
        <x:v>0.08632800846193485</x:v>
      </x:c>
      <x:c r="R101" s="147" t="n">
        <x:f>IF(NOT(CHOOSE($D$4,ISNUMBER(R102),ISNUMBER(R103),ISNUMBER(R104))),"n.a.",CHOOSE($D$4,R102,R103,R104))</x:f>
        <x:v>0.08632800846193485</x:v>
      </x:c>
      <x:c r="S101" s="147" t="n">
        <x:f>IF(NOT(CHOOSE($D$4,ISNUMBER(S102),ISNUMBER(S103),ISNUMBER(S104))),"n.a.",CHOOSE($D$4,S102,S103,S104))</x:f>
        <x:v>0.08632800846193485</x:v>
      </x:c>
      <x:c r="T101" s="103"/>
      <x:c r="U101" s="103"/>
    </x:row>
    <x:row r="102" ht="24" customHeight="1">
      <x:c r="A102" s="103"/>
      <x:c r="B102" s="103"/>
      <x:c r="C102" s="105" t="str">
        <x:v>Base</x:v>
      </x:c>
      <x:c r="D102" s="105"/>
      <x:c r="E102" s="119"/>
      <x:c r="F102" s="119"/>
      <x:c r="G102" s="119"/>
      <x:c r="H102" s="119"/>
      <x:c r="I102" s="119"/>
      <x:c r="J102" s="119"/>
      <x:c r="K102" s="119"/>
      <x:c r="L102" s="119"/>
      <x:c r="M102" s="119"/>
      <x:c r="N102" s="119"/>
      <x:c r="O102" s="149" t="n">
        <x:v>0.08632800846193485</x:v>
      </x:c>
      <x:c r="P102" s="149" t="n">
        <x:v>0.08632800846193485</x:v>
      </x:c>
      <x:c r="Q102" s="149" t="n">
        <x:v>0.08632800846193485</x:v>
      </x:c>
      <x:c r="R102" s="149" t="n">
        <x:v>0.08632800846193485</x:v>
      </x:c>
      <x:c r="S102" s="149" t="n">
        <x:v>0.08632800846193485</x:v>
      </x:c>
      <x:c r="T102" s="103"/>
      <x:c r="U102" s="103"/>
    </x:row>
    <x:row r="103" ht="24" customHeight="1">
      <x:c r="A103" s="103"/>
      <x:c r="B103" s="103"/>
      <x:c r="C103" s="105" t="str">
        <x:v>Upside</x:v>
      </x:c>
      <x:c r="D103" s="105"/>
      <x:c r="E103" s="119"/>
      <x:c r="F103" s="119"/>
      <x:c r="G103" s="119"/>
      <x:c r="H103" s="119"/>
      <x:c r="I103" s="119"/>
      <x:c r="J103" s="119"/>
      <x:c r="K103" s="119"/>
      <x:c r="L103" s="119"/>
      <x:c r="M103" s="119"/>
      <x:c r="N103" s="119"/>
      <x:c r="O103" s="149" t="n">
        <x:v>0.08632800846193485</x:v>
      </x:c>
      <x:c r="P103" s="149" t="n">
        <x:v>0.08632800846193485</x:v>
      </x:c>
      <x:c r="Q103" s="149" t="n">
        <x:v>0.08632800846193485</x:v>
      </x:c>
      <x:c r="R103" s="149" t="n">
        <x:v>0.08632800846193485</x:v>
      </x:c>
      <x:c r="S103" s="149" t="n">
        <x:v>0.08632800846193485</x:v>
      </x:c>
      <x:c r="T103" s="103"/>
      <x:c r="U103" s="103"/>
    </x:row>
    <x:row r="104" ht="24" customHeight="1">
      <x:c r="A104" s="103"/>
      <x:c r="B104" s="103"/>
      <x:c r="C104" s="105" t="str">
        <x:v>Downside</x:v>
      </x:c>
      <x:c r="D104" s="105"/>
      <x:c r="E104" s="119"/>
      <x:c r="F104" s="119"/>
      <x:c r="G104" s="119"/>
      <x:c r="H104" s="119"/>
      <x:c r="I104" s="119"/>
      <x:c r="J104" s="119"/>
      <x:c r="K104" s="119"/>
      <x:c r="L104" s="119"/>
      <x:c r="M104" s="119"/>
      <x:c r="N104" s="119"/>
      <x:c r="O104" s="149" t="n">
        <x:v>0.08632800846193485</x:v>
      </x:c>
      <x:c r="P104" s="149" t="n">
        <x:v>0.08632800846193485</x:v>
      </x:c>
      <x:c r="Q104" s="149" t="n">
        <x:v>0.08632800846193485</x:v>
      </x:c>
      <x:c r="R104" s="149" t="n">
        <x:v>0.08632800846193485</x:v>
      </x:c>
      <x:c r="S104" s="149" t="n">
        <x:v>0.08632800846193485</x:v>
      </x:c>
      <x:c r="T104" s="103"/>
      <x:c r="U104" s="103"/>
    </x:row>
    <x:row r="105" ht="24" customHeight="1">
      <x:c r="A105" s="103"/>
      <x:c r="B105" s="103"/>
      <x:c r="C105" s="144" t="str">
        <x:v>Long-term unearned revenue / revenue</x:v>
      </x:c>
      <x:c r="D105" s="144"/>
      <x:c r="E105" s="147" t="n">
        <x:f>'Balance Sheet'!E36/'Income Statement'!E8</x:f>
        <x:v>0.027368464652949644</x:v>
      </x:c>
      <x:c r="F105" s="147" t="n">
        <x:f>'Balance Sheet'!F36/'Income Statement'!F8</x:f>
        <x:v>0.03456868430590794</x:v>
      </x:c>
      <x:c r="G105" s="147" t="n">
        <x:f>'Balance Sheet'!G36/'Income Statement'!G8</x:f>
        <x:v>0.03599723464952361</x:v>
      </x:c>
      <x:c r="H105" s="147" t="n">
        <x:f>'Balance Sheet'!H36/'Income Statement'!H8</x:f>
        <x:v>0.022235429850015732</x:v>
      </x:c>
      <x:c r="I105" s="147" t="n">
        <x:f>'Balance Sheet'!I36/'Income Statement'!I8</x:f>
        <x:v>0.01556327637903955</x:v>
      </x:c>
      <x:c r="J105" s="147" t="n">
        <x:f>'Balance Sheet'!J36/'Income Statement'!J8</x:f>
        <x:v>0.014475210571442982</x:v>
      </x:c>
      <x:c r="K105" s="147" t="n">
        <x:f>'Balance Sheet'!K36/'Income Statement'!K8</x:f>
        <x:v>0.013741358563575019</x:v>
      </x:c>
      <x:c r="L105" s="147" t="n">
        <x:f>'Balance Sheet'!L36/'Income Statement'!L8</x:f>
        <x:v>0.01061512226564731</x:v>
      </x:c>
      <x:c r="M105" s="147" t="n">
        <x:f>'Balance Sheet'!M36/'Income Statement'!M8</x:f>
        <x:v>0.009619343754880664</x:v>
      </x:c>
      <x:c r="N105" s="147" t="n">
        <x:f>'Balance Sheet'!N36/'Income Statement'!N8</x:f>
        <x:v>0.00827811077058453</x:v>
      </x:c>
      <x:c r="O105" s="147" t="n">
        <x:f>IF(NOT(CHOOSE($D$4,ISNUMBER(O106),ISNUMBER(O107),ISNUMBER(O108))),"n.a.",CHOOSE($D$4,O106,O107,O108))</x:f>
        <x:v>0.00827811077058453</x:v>
      </x:c>
      <x:c r="P105" s="147" t="n">
        <x:f>IF(NOT(CHOOSE($D$4,ISNUMBER(P106),ISNUMBER(P107),ISNUMBER(P108))),"n.a.",CHOOSE($D$4,P106,P107,P108))</x:f>
        <x:v>0.00827811077058453</x:v>
      </x:c>
      <x:c r="Q105" s="147" t="n">
        <x:f>IF(NOT(CHOOSE($D$4,ISNUMBER(Q106),ISNUMBER(Q107),ISNUMBER(Q108))),"n.a.",CHOOSE($D$4,Q106,Q107,Q108))</x:f>
        <x:v>0.00827811077058453</x:v>
      </x:c>
      <x:c r="R105" s="147" t="n">
        <x:f>IF(NOT(CHOOSE($D$4,ISNUMBER(R106),ISNUMBER(R107),ISNUMBER(R108))),"n.a.",CHOOSE($D$4,R106,R107,R108))</x:f>
        <x:v>0.00827811077058453</x:v>
      </x:c>
      <x:c r="S105" s="147" t="n">
        <x:f>IF(NOT(CHOOSE($D$4,ISNUMBER(S106),ISNUMBER(S107),ISNUMBER(S108))),"n.a.",CHOOSE($D$4,S106,S107,S108))</x:f>
        <x:v>0.00827811077058453</x:v>
      </x:c>
      <x:c r="T105" s="103"/>
      <x:c r="U105" s="103"/>
    </x:row>
    <x:row r="106" ht="24" customHeight="1">
      <x:c r="A106" s="103"/>
      <x:c r="B106" s="103"/>
      <x:c r="C106" s="105" t="str">
        <x:v>Base</x:v>
      </x:c>
      <x:c r="D106" s="105"/>
      <x:c r="E106" s="119"/>
      <x:c r="F106" s="119"/>
      <x:c r="G106" s="119"/>
      <x:c r="H106" s="119"/>
      <x:c r="I106" s="119"/>
      <x:c r="J106" s="119"/>
      <x:c r="K106" s="119"/>
      <x:c r="L106" s="119"/>
      <x:c r="M106" s="119"/>
      <x:c r="N106" s="119"/>
      <x:c r="O106" s="149" t="n">
        <x:v>0.00827811077058453</x:v>
      </x:c>
      <x:c r="P106" s="149" t="n">
        <x:v>0.00827811077058453</x:v>
      </x:c>
      <x:c r="Q106" s="149" t="n">
        <x:v>0.00827811077058453</x:v>
      </x:c>
      <x:c r="R106" s="149" t="n">
        <x:v>0.00827811077058453</x:v>
      </x:c>
      <x:c r="S106" s="149" t="n">
        <x:v>0.00827811077058453</x:v>
      </x:c>
      <x:c r="T106" s="103"/>
      <x:c r="U106" s="103"/>
    </x:row>
    <x:row r="107" ht="24" customHeight="1">
      <x:c r="A107" s="103"/>
      <x:c r="B107" s="103"/>
      <x:c r="C107" s="105" t="str">
        <x:v>Upside</x:v>
      </x:c>
      <x:c r="D107" s="105"/>
      <x:c r="E107" s="119"/>
      <x:c r="F107" s="119"/>
      <x:c r="G107" s="119"/>
      <x:c r="H107" s="119"/>
      <x:c r="I107" s="119"/>
      <x:c r="J107" s="119"/>
      <x:c r="K107" s="119"/>
      <x:c r="L107" s="119"/>
      <x:c r="M107" s="119"/>
      <x:c r="N107" s="119"/>
      <x:c r="O107" s="149" t="n">
        <x:v>0.00827811077058453</x:v>
      </x:c>
      <x:c r="P107" s="149" t="n">
        <x:v>0.00827811077058453</x:v>
      </x:c>
      <x:c r="Q107" s="149" t="n">
        <x:v>0.00827811077058453</x:v>
      </x:c>
      <x:c r="R107" s="149" t="n">
        <x:v>0.00827811077058453</x:v>
      </x:c>
      <x:c r="S107" s="149" t="n">
        <x:v>0.00827811077058453</x:v>
      </x:c>
      <x:c r="T107" s="103"/>
      <x:c r="U107" s="103"/>
    </x:row>
    <x:row r="108" ht="24" customHeight="1">
      <x:c r="A108" s="103"/>
      <x:c r="B108" s="103"/>
      <x:c r="C108" s="105" t="str">
        <x:v>Downside</x:v>
      </x:c>
      <x:c r="D108" s="105"/>
      <x:c r="E108" s="119"/>
      <x:c r="F108" s="119"/>
      <x:c r="G108" s="119"/>
      <x:c r="H108" s="119"/>
      <x:c r="I108" s="119"/>
      <x:c r="J108" s="119"/>
      <x:c r="K108" s="119"/>
      <x:c r="L108" s="119"/>
      <x:c r="M108" s="119"/>
      <x:c r="N108" s="119"/>
      <x:c r="O108" s="149" t="n">
        <x:v>0.00827811077058453</x:v>
      </x:c>
      <x:c r="P108" s="149" t="n">
        <x:v>0.00827811077058453</x:v>
      </x:c>
      <x:c r="Q108" s="149" t="n">
        <x:v>0.00827811077058453</x:v>
      </x:c>
      <x:c r="R108" s="149" t="n">
        <x:v>0.00827811077058453</x:v>
      </x:c>
      <x:c r="S108" s="149" t="n">
        <x:v>0.00827811077058453</x:v>
      </x:c>
      <x:c r="T108" s="103"/>
      <x:c r="U108" s="103"/>
    </x:row>
    <x:row r="109" ht="24" customHeight="1">
      <x:c r="A109" s="103"/>
      <x:c r="B109" s="103"/>
      <x:c r="C109" s="142" t="str">
        <x:v>Other long-term liabilities excluding finance leases / revenue</x:v>
      </x:c>
      <x:c r="D109" s="144"/>
      <x:c r="E109" s="147"/>
      <x:c r="F109" s="147"/>
      <x:c r="G109" s="147"/>
      <x:c r="H109" s="147"/>
      <x:c r="I109" s="147"/>
      <x:c r="J109" s="147"/>
      <x:c r="K109" s="147"/>
      <x:c r="L109" s="147"/>
      <x:c r="M109" s="147"/>
      <x:c r="N109" s="147" t="n">
        <x:f>'Working Capital'!N28/'Income Statement'!N8</x:f>
        <x:v>0.008477002401767122</x:v>
      </x:c>
      <x:c r="O109" s="147" t="n">
        <x:f>IF(NOT(CHOOSE($D$4,ISNUMBER(O110),ISNUMBER(O111),ISNUMBER(O112))),"n.a.",CHOOSE($D$4,O110,O111,O112))</x:f>
        <x:v>0.008477002401767122</x:v>
      </x:c>
      <x:c r="P109" s="147" t="n">
        <x:f>IF(NOT(CHOOSE($D$4,ISNUMBER(P110),ISNUMBER(P111),ISNUMBER(P112))),"n.a.",CHOOSE($D$4,P110,P111,P112))</x:f>
        <x:v>0.008477002401767122</x:v>
      </x:c>
      <x:c r="Q109" s="147" t="n">
        <x:f>IF(NOT(CHOOSE($D$4,ISNUMBER(Q110),ISNUMBER(Q111),ISNUMBER(Q112))),"n.a.",CHOOSE($D$4,Q110,Q111,Q112))</x:f>
        <x:v>0.008477002401767122</x:v>
      </x:c>
      <x:c r="R109" s="147" t="n">
        <x:f>IF(NOT(CHOOSE($D$4,ISNUMBER(R110),ISNUMBER(R111),ISNUMBER(R112))),"n.a.",CHOOSE($D$4,R110,R111,R112))</x:f>
        <x:v>0.008477002401767122</x:v>
      </x:c>
      <x:c r="S109" s="147" t="n">
        <x:f>IF(NOT(CHOOSE($D$4,ISNUMBER(S110),ISNUMBER(S111),ISNUMBER(S112))),"n.a.",CHOOSE($D$4,S110,S111,S112))</x:f>
        <x:v>0.008477002401767122</x:v>
      </x:c>
      <x:c r="T109" s="103"/>
      <x:c r="U109" s="103"/>
    </x:row>
    <x:row r="110" ht="24" customHeight="1">
      <x:c r="A110" s="103"/>
      <x:c r="B110" s="103"/>
      <x:c r="C110" s="105" t="str">
        <x:v>Base</x:v>
      </x:c>
      <x:c r="D110" s="105"/>
      <x:c r="E110" s="119"/>
      <x:c r="F110" s="119"/>
      <x:c r="G110" s="119"/>
      <x:c r="H110" s="119"/>
      <x:c r="I110" s="119"/>
      <x:c r="J110" s="119"/>
      <x:c r="K110" s="119"/>
      <x:c r="L110" s="119"/>
      <x:c r="M110" s="119"/>
      <x:c r="N110" s="119"/>
      <x:c r="O110" s="149" t="n">
        <x:v>0.008477002401767122</x:v>
      </x:c>
      <x:c r="P110" s="149" t="n">
        <x:v>0.008477002401767122</x:v>
      </x:c>
      <x:c r="Q110" s="149" t="n">
        <x:v>0.008477002401767122</x:v>
      </x:c>
      <x:c r="R110" s="149" t="n">
        <x:v>0.008477002401767122</x:v>
      </x:c>
      <x:c r="S110" s="149" t="n">
        <x:v>0.008477002401767122</x:v>
      </x:c>
      <x:c r="T110" s="103"/>
      <x:c r="U110" s="103"/>
    </x:row>
    <x:row r="111" ht="24" customHeight="1">
      <x:c r="A111" s="103"/>
      <x:c r="B111" s="103"/>
      <x:c r="C111" s="105" t="str">
        <x:v>Upside</x:v>
      </x:c>
      <x:c r="D111" s="105"/>
      <x:c r="E111" s="119"/>
      <x:c r="F111" s="119"/>
      <x:c r="G111" s="119"/>
      <x:c r="H111" s="119"/>
      <x:c r="I111" s="119"/>
      <x:c r="J111" s="119"/>
      <x:c r="K111" s="119"/>
      <x:c r="L111" s="119"/>
      <x:c r="M111" s="119"/>
      <x:c r="N111" s="119"/>
      <x:c r="O111" s="149" t="n">
        <x:v>0.008477002401767122</x:v>
      </x:c>
      <x:c r="P111" s="149" t="n">
        <x:v>0.008477002401767122</x:v>
      </x:c>
      <x:c r="Q111" s="149" t="n">
        <x:v>0.008477002401767122</x:v>
      </x:c>
      <x:c r="R111" s="149" t="n">
        <x:v>0.008477002401767122</x:v>
      </x:c>
      <x:c r="S111" s="149" t="n">
        <x:v>0.008477002401767122</x:v>
      </x:c>
      <x:c r="T111" s="103"/>
      <x:c r="U111" s="103"/>
    </x:row>
    <x:row r="112" ht="24" customHeight="1">
      <x:c r="A112" s="103"/>
      <x:c r="B112" s="103"/>
      <x:c r="C112" s="105" t="str">
        <x:v>Downside</x:v>
      </x:c>
      <x:c r="D112" s="105"/>
      <x:c r="E112" s="119"/>
      <x:c r="F112" s="119"/>
      <x:c r="G112" s="119"/>
      <x:c r="H112" s="119"/>
      <x:c r="I112" s="119"/>
      <x:c r="J112" s="119"/>
      <x:c r="K112" s="119"/>
      <x:c r="L112" s="119"/>
      <x:c r="M112" s="119"/>
      <x:c r="N112" s="119"/>
      <x:c r="O112" s="149" t="n">
        <x:v>0.008477002401767122</x:v>
      </x:c>
      <x:c r="P112" s="149" t="n">
        <x:v>0.008477002401767122</x:v>
      </x:c>
      <x:c r="Q112" s="149" t="n">
        <x:v>0.008477002401767122</x:v>
      </x:c>
      <x:c r="R112" s="149" t="n">
        <x:v>0.008477002401767122</x:v>
      </x:c>
      <x:c r="S112" s="149" t="n">
        <x:v>0.008477002401767122</x:v>
      </x:c>
      <x:c r="T112" s="103"/>
      <x:c r="U112" s="103"/>
    </x:row>
    <x:row r="113" ht="24" customHeight="1">
      <x:c r="A113" s="103"/>
      <x:c r="B113" s="103"/>
      <x:c r="C113" s="144" t="str">
        <x:v>Deferred tax liabilities / revenue</x:v>
      </x:c>
      <x:c r="D113" s="144"/>
      <x:c r="E113" s="147" t="n">
        <x:f>'Balance Sheet'!E37/'Income Statement'!E8</x:f>
        <x:v>0.05937600314794297</x:v>
      </x:c>
      <x:c r="F113" s="147" t="n">
        <x:f>'Balance Sheet'!F37/'Income Statement'!F8</x:f>
        <x:v>0.004902138455962306</x:v>
      </x:c>
      <x:c r="G113" s="147" t="n">
        <x:f>'Balance Sheet'!G37/'Income Statement'!G8</x:f>
        <x:v>0.001851513393673069</x:v>
      </x:c>
      <x:c r="H113" s="147" t="n">
        <x:f>'Balance Sheet'!H37/'Income Statement'!H8</x:f>
        <x:v>0.0014264238016991225</x:v>
      </x:c>
      <x:c r="I113" s="147" t="n">
        <x:f>'Balance Sheet'!I37/'Income Statement'!I8</x:f>
        <x:v>0.0011779544048355624</x:v>
      </x:c>
      <x:c r="J113" s="147" t="n">
        <x:f>'Balance Sheet'!J37/'Income Statement'!J8</x:f>
        <x:v>0.0011600342966661622</x:v>
      </x:c>
      <x:c r="K113" s="147" t="n">
        <x:f>'Balance Sheet'!K37/'Income Statement'!K8</x:f>
        <x:v>0.0020432720666304885</x:v>
      </x:c>
      <x:c r="L113" s="147" t="n">
        <x:f>'Balance Sheet'!L37/'Income Statement'!L8</x:f>
        <x:v>0.010680395884498331</x:v>
      </x:c>
      <x:c r="M113" s="147" t="n">
        <x:f>'Balance Sheet'!M37/'Income Statement'!M8</x:f>
        <x:v>0.010063040422541211</x:v>
      </x:c>
      <x:c r="N113" s="147" t="n">
        <x:f>'Balance Sheet'!N37/'Income Statement'!N8</x:f>
        <x:v>0.009203258206539918</x:v>
      </x:c>
      <x:c r="O113" s="147" t="n">
        <x:f>IF(NOT(CHOOSE($D$4,ISNUMBER(O114),ISNUMBER(O115),ISNUMBER(O116))),"n.a.",CHOOSE($D$4,O114,O115,O116))</x:f>
        <x:v>0.009203258206539918</x:v>
      </x:c>
      <x:c r="P113" s="147" t="n">
        <x:f>IF(NOT(CHOOSE($D$4,ISNUMBER(P114),ISNUMBER(P115),ISNUMBER(P116))),"n.a.",CHOOSE($D$4,P114,P115,P116))</x:f>
        <x:v>0.009203258206539918</x:v>
      </x:c>
      <x:c r="Q113" s="147" t="n">
        <x:f>IF(NOT(CHOOSE($D$4,ISNUMBER(Q114),ISNUMBER(Q115),ISNUMBER(Q116))),"n.a.",CHOOSE($D$4,Q114,Q115,Q116))</x:f>
        <x:v>0.009203258206539918</x:v>
      </x:c>
      <x:c r="R113" s="147" t="n">
        <x:f>IF(NOT(CHOOSE($D$4,ISNUMBER(R114),ISNUMBER(R115),ISNUMBER(R116))),"n.a.",CHOOSE($D$4,R114,R115,R116))</x:f>
        <x:v>0.009203258206539918</x:v>
      </x:c>
      <x:c r="S113" s="147" t="n">
        <x:f>IF(NOT(CHOOSE($D$4,ISNUMBER(S114),ISNUMBER(S115),ISNUMBER(S116))),"n.a.",CHOOSE($D$4,S114,S115,S116))</x:f>
        <x:v>0.009203258206539918</x:v>
      </x:c>
      <x:c r="T113" s="103"/>
      <x:c r="U113" s="103"/>
    </x:row>
    <x:row r="114" ht="24" customHeight="1">
      <x:c r="A114" s="103"/>
      <x:c r="B114" s="103"/>
      <x:c r="C114" s="105" t="str">
        <x:v>Base</x:v>
      </x:c>
      <x:c r="D114" s="105"/>
      <x:c r="E114" s="119"/>
      <x:c r="F114" s="119"/>
      <x:c r="G114" s="119"/>
      <x:c r="H114" s="119"/>
      <x:c r="I114" s="119"/>
      <x:c r="J114" s="119"/>
      <x:c r="K114" s="119"/>
      <x:c r="L114" s="119"/>
      <x:c r="M114" s="119"/>
      <x:c r="N114" s="119"/>
      <x:c r="O114" s="149" t="n">
        <x:v>0.009203258206539918</x:v>
      </x:c>
      <x:c r="P114" s="149" t="n">
        <x:v>0.009203258206539918</x:v>
      </x:c>
      <x:c r="Q114" s="149" t="n">
        <x:v>0.009203258206539918</x:v>
      </x:c>
      <x:c r="R114" s="149" t="n">
        <x:v>0.009203258206539918</x:v>
      </x:c>
      <x:c r="S114" s="149" t="n">
        <x:v>0.009203258206539918</x:v>
      </x:c>
      <x:c r="T114" s="103"/>
      <x:c r="U114" s="103"/>
    </x:row>
    <x:row r="115" ht="24" customHeight="1">
      <x:c r="A115" s="103"/>
      <x:c r="B115" s="103"/>
      <x:c r="C115" s="105" t="str">
        <x:v>Upside</x:v>
      </x:c>
      <x:c r="D115" s="105"/>
      <x:c r="E115" s="119"/>
      <x:c r="F115" s="119"/>
      <x:c r="G115" s="119"/>
      <x:c r="H115" s="119"/>
      <x:c r="I115" s="119"/>
      <x:c r="J115" s="119"/>
      <x:c r="K115" s="119"/>
      <x:c r="L115" s="119"/>
      <x:c r="M115" s="119"/>
      <x:c r="N115" s="119"/>
      <x:c r="O115" s="149" t="n">
        <x:v>0.009203258206539918</x:v>
      </x:c>
      <x:c r="P115" s="149" t="n">
        <x:v>0.009203258206539918</x:v>
      </x:c>
      <x:c r="Q115" s="149" t="n">
        <x:v>0.009203258206539918</x:v>
      </x:c>
      <x:c r="R115" s="149" t="n">
        <x:v>0.009203258206539918</x:v>
      </x:c>
      <x:c r="S115" s="149" t="n">
        <x:v>0.009203258206539918</x:v>
      </x:c>
      <x:c r="T115" s="103"/>
      <x:c r="U115" s="103"/>
    </x:row>
    <x:row r="116" ht="24" customHeight="1">
      <x:c r="A116" s="103"/>
      <x:c r="B116" s="103"/>
      <x:c r="C116" s="105" t="str">
        <x:v>Downside</x:v>
      </x:c>
      <x:c r="D116" s="105"/>
      <x:c r="E116" s="119"/>
      <x:c r="F116" s="119"/>
      <x:c r="G116" s="119"/>
      <x:c r="H116" s="119"/>
      <x:c r="I116" s="119"/>
      <x:c r="J116" s="119"/>
      <x:c r="K116" s="119"/>
      <x:c r="L116" s="119"/>
      <x:c r="M116" s="119"/>
      <x:c r="N116" s="119"/>
      <x:c r="O116" s="149" t="n">
        <x:v>0.009203258206539918</x:v>
      </x:c>
      <x:c r="P116" s="149" t="n">
        <x:v>0.009203258206539918</x:v>
      </x:c>
      <x:c r="Q116" s="149" t="n">
        <x:v>0.009203258206539918</x:v>
      </x:c>
      <x:c r="R116" s="149" t="n">
        <x:v>0.009203258206539918</x:v>
      </x:c>
      <x:c r="S116" s="149" t="n">
        <x:v>0.009203258206539918</x:v>
      </x:c>
      <x:c r="T116" s="103"/>
      <x:c r="U116" s="103"/>
    </x:row>
    <x:row r="117" ht="24" customHeight="1">
      <x:c r="A117" s="103"/>
      <x:c r="B117" s="103"/>
      <x:c r="C117" s="136" t="str">
        <x:v>Minimum cash balance</x:v>
      </x:c>
      <x:c r="D117" s="136"/>
      <x:c r="E117" s="163"/>
      <x:c r="F117" s="163"/>
      <x:c r="G117" s="163"/>
      <x:c r="H117" s="163"/>
      <x:c r="I117" s="163"/>
      <x:c r="J117" s="163"/>
      <x:c r="K117" s="163"/>
      <x:c r="L117" s="163"/>
      <x:c r="M117" s="163"/>
      <x:c r="N117" s="163"/>
      <x:c r="O117" s="163" t="n">
        <x:f>IF(NOT(CHOOSE($D$4,ISNUMBER(O118),ISNUMBER(O119),ISNUMBER(O120))),"n.a.",CHOOSE($D$4,O118,O119,O120))</x:f>
        <x:v>25000</x:v>
      </x:c>
      <x:c r="P117" s="163" t="n">
        <x:f>IF(NOT(CHOOSE($D$4,ISNUMBER(P118),ISNUMBER(P119),ISNUMBER(P120))),"n.a.",CHOOSE($D$4,P118,P119,P120))</x:f>
        <x:v>25000</x:v>
      </x:c>
      <x:c r="Q117" s="163" t="n">
        <x:f>IF(NOT(CHOOSE($D$4,ISNUMBER(Q118),ISNUMBER(Q119),ISNUMBER(Q120))),"n.a.",CHOOSE($D$4,Q118,Q119,Q120))</x:f>
        <x:v>25000</x:v>
      </x:c>
      <x:c r="R117" s="163" t="n">
        <x:f>IF(NOT(CHOOSE($D$4,ISNUMBER(R118),ISNUMBER(R119),ISNUMBER(R120))),"n.a.",CHOOSE($D$4,R118,R119,R120))</x:f>
        <x:v>25000</x:v>
      </x:c>
      <x:c r="S117" s="163" t="n">
        <x:f>IF(NOT(CHOOSE($D$4,ISNUMBER(S118),ISNUMBER(S119),ISNUMBER(S120))),"n.a.",CHOOSE($D$4,S118,S119,S120))</x:f>
        <x:v>25000</x:v>
      </x:c>
      <x:c r="T117" s="103"/>
      <x:c r="U117" s="103"/>
    </x:row>
    <x:row r="118" ht="24" customHeight="1">
      <x:c r="A118" s="103"/>
      <x:c r="B118" s="103"/>
      <x:c r="C118" s="103" t="str">
        <x:v>Base</x:v>
      </x:c>
      <x:c r="D118" s="103"/>
      <x:c r="E118" s="109"/>
      <x:c r="F118" s="109"/>
      <x:c r="G118" s="109"/>
      <x:c r="H118" s="109"/>
      <x:c r="I118" s="109"/>
      <x:c r="J118" s="109"/>
      <x:c r="K118" s="109"/>
      <x:c r="L118" s="109"/>
      <x:c r="M118" s="109"/>
      <x:c r="N118" s="109"/>
      <x:c r="O118" s="166" t="n">
        <x:v>25000</x:v>
      </x:c>
      <x:c r="P118" s="166" t="n">
        <x:v>25000</x:v>
      </x:c>
      <x:c r="Q118" s="166" t="n">
        <x:v>25000</x:v>
      </x:c>
      <x:c r="R118" s="166" t="n">
        <x:v>25000</x:v>
      </x:c>
      <x:c r="S118" s="166" t="n">
        <x:v>25000</x:v>
      </x:c>
      <x:c r="T118" s="103"/>
      <x:c r="U118" s="103"/>
    </x:row>
    <x:row r="119" ht="24" customHeight="1">
      <x:c r="A119" s="103"/>
      <x:c r="B119" s="103"/>
      <x:c r="C119" s="103" t="str">
        <x:v>Upside</x:v>
      </x:c>
      <x:c r="D119" s="103"/>
      <x:c r="E119" s="109"/>
      <x:c r="F119" s="109"/>
      <x:c r="G119" s="109"/>
      <x:c r="H119" s="109"/>
      <x:c r="I119" s="109"/>
      <x:c r="J119" s="109"/>
      <x:c r="K119" s="109"/>
      <x:c r="L119" s="109"/>
      <x:c r="M119" s="109"/>
      <x:c r="N119" s="109"/>
      <x:c r="O119" s="166" t="n">
        <x:v>25000</x:v>
      </x:c>
      <x:c r="P119" s="166" t="n">
        <x:v>25000</x:v>
      </x:c>
      <x:c r="Q119" s="166" t="n">
        <x:v>25000</x:v>
      </x:c>
      <x:c r="R119" s="166" t="n">
        <x:v>25000</x:v>
      </x:c>
      <x:c r="S119" s="166" t="n">
        <x:v>25000</x:v>
      </x:c>
      <x:c r="T119" s="103"/>
      <x:c r="U119" s="103"/>
    </x:row>
    <x:row r="120" ht="24" customHeight="1">
      <x:c r="A120" s="103"/>
      <x:c r="B120" s="103"/>
      <x:c r="C120" s="103" t="str">
        <x:v>Downside</x:v>
      </x:c>
      <x:c r="D120" s="103"/>
      <x:c r="E120" s="109"/>
      <x:c r="F120" s="109"/>
      <x:c r="G120" s="109"/>
      <x:c r="H120" s="109"/>
      <x:c r="I120" s="109"/>
      <x:c r="J120" s="109"/>
      <x:c r="K120" s="109"/>
      <x:c r="L120" s="109"/>
      <x:c r="M120" s="109"/>
      <x:c r="N120" s="109"/>
      <x:c r="O120" s="166" t="n">
        <x:v>25000</x:v>
      </x:c>
      <x:c r="P120" s="166" t="n">
        <x:v>25000</x:v>
      </x:c>
      <x:c r="Q120" s="166" t="n">
        <x:v>25000</x:v>
      </x:c>
      <x:c r="R120" s="166" t="n">
        <x:v>25000</x:v>
      </x:c>
      <x:c r="S120" s="166" t="n">
        <x:v>25000</x:v>
      </x:c>
      <x:c r="T120" s="103"/>
      <x:c r="U120" s="103"/>
    </x:row>
    <x:row r="121" ht="24" customHeight="1">
      <x:c r="A121" s="103"/>
      <x:c r="B121" s="103"/>
      <x:c r="C121" s="136" t="str">
        <x:v>Minimum short-term investment reserve</x:v>
      </x:c>
      <x:c r="D121" s="136"/>
      <x:c r="E121" s="163"/>
      <x:c r="F121" s="163"/>
      <x:c r="G121" s="163"/>
      <x:c r="H121" s="163"/>
      <x:c r="I121" s="163"/>
      <x:c r="J121" s="163"/>
      <x:c r="K121" s="163"/>
      <x:c r="L121" s="163"/>
      <x:c r="M121" s="163"/>
      <x:c r="N121" s="163"/>
      <x:c r="O121" s="163" t="n">
        <x:f>IF(NOT(CHOOSE($D$4,ISNUMBER(O122),ISNUMBER(O123),ISNUMBER(O124))),"n.a.",CHOOSE($D$4,O122,O123,O124))</x:f>
        <x:v>20000</x:v>
      </x:c>
      <x:c r="P121" s="163" t="n">
        <x:f>IF(NOT(CHOOSE($D$4,ISNUMBER(P122),ISNUMBER(P123),ISNUMBER(P124))),"n.a.",CHOOSE($D$4,P122,P123,P124))</x:f>
        <x:v>20000</x:v>
      </x:c>
      <x:c r="Q121" s="163" t="n">
        <x:f>IF(NOT(CHOOSE($D$4,ISNUMBER(Q122),ISNUMBER(Q123),ISNUMBER(Q124))),"n.a.",CHOOSE($D$4,Q122,Q123,Q124))</x:f>
        <x:v>20000</x:v>
      </x:c>
      <x:c r="R121" s="163" t="n">
        <x:f>IF(NOT(CHOOSE($D$4,ISNUMBER(R122),ISNUMBER(R123),ISNUMBER(R124))),"n.a.",CHOOSE($D$4,R122,R123,R124))</x:f>
        <x:v>20000</x:v>
      </x:c>
      <x:c r="S121" s="163" t="n">
        <x:f>IF(NOT(CHOOSE($D$4,ISNUMBER(S122),ISNUMBER(S123),ISNUMBER(S124))),"n.a.",CHOOSE($D$4,S122,S123,S124))</x:f>
        <x:v>20000</x:v>
      </x:c>
      <x:c r="T121" s="103"/>
      <x:c r="U121" s="103"/>
    </x:row>
    <x:row r="122" ht="24" customHeight="1">
      <x:c r="A122" s="103"/>
      <x:c r="B122" s="103"/>
      <x:c r="C122" s="103" t="str">
        <x:v>Base</x:v>
      </x:c>
      <x:c r="D122" s="103"/>
      <x:c r="E122" s="109"/>
      <x:c r="F122" s="109"/>
      <x:c r="G122" s="109"/>
      <x:c r="H122" s="109"/>
      <x:c r="I122" s="109"/>
      <x:c r="J122" s="109"/>
      <x:c r="K122" s="109"/>
      <x:c r="L122" s="109"/>
      <x:c r="M122" s="109"/>
      <x:c r="N122" s="109"/>
      <x:c r="O122" s="166" t="n">
        <x:v>20000</x:v>
      </x:c>
      <x:c r="P122" s="166" t="n">
        <x:v>20000</x:v>
      </x:c>
      <x:c r="Q122" s="166" t="n">
        <x:v>20000</x:v>
      </x:c>
      <x:c r="R122" s="166" t="n">
        <x:v>20000</x:v>
      </x:c>
      <x:c r="S122" s="166" t="n">
        <x:v>20000</x:v>
      </x:c>
      <x:c r="T122" s="103"/>
      <x:c r="U122" s="103"/>
    </x:row>
    <x:row r="123" ht="24" customHeight="1">
      <x:c r="A123" s="103"/>
      <x:c r="B123" s="103"/>
      <x:c r="C123" s="103" t="str">
        <x:v>Upside</x:v>
      </x:c>
      <x:c r="D123" s="103"/>
      <x:c r="E123" s="109"/>
      <x:c r="F123" s="109"/>
      <x:c r="G123" s="109"/>
      <x:c r="H123" s="109"/>
      <x:c r="I123" s="109"/>
      <x:c r="J123" s="109"/>
      <x:c r="K123" s="109"/>
      <x:c r="L123" s="109"/>
      <x:c r="M123" s="109"/>
      <x:c r="N123" s="109"/>
      <x:c r="O123" s="166" t="n">
        <x:v>20000</x:v>
      </x:c>
      <x:c r="P123" s="166" t="n">
        <x:v>20000</x:v>
      </x:c>
      <x:c r="Q123" s="166" t="n">
        <x:v>20000</x:v>
      </x:c>
      <x:c r="R123" s="166" t="n">
        <x:v>20000</x:v>
      </x:c>
      <x:c r="S123" s="166" t="n">
        <x:v>20000</x:v>
      </x:c>
      <x:c r="T123" s="103"/>
      <x:c r="U123" s="103"/>
    </x:row>
    <x:row r="124" ht="24" customHeight="1">
      <x:c r="A124" s="103"/>
      <x:c r="B124" s="103"/>
      <x:c r="C124" s="103" t="str">
        <x:v>Downside</x:v>
      </x:c>
      <x:c r="D124" s="103"/>
      <x:c r="E124" s="109"/>
      <x:c r="F124" s="109"/>
      <x:c r="G124" s="109"/>
      <x:c r="H124" s="109"/>
      <x:c r="I124" s="109"/>
      <x:c r="J124" s="109"/>
      <x:c r="K124" s="109"/>
      <x:c r="L124" s="109"/>
      <x:c r="M124" s="109"/>
      <x:c r="N124" s="109"/>
      <x:c r="O124" s="166" t="n">
        <x:v>20000</x:v>
      </x:c>
      <x:c r="P124" s="166" t="n">
        <x:v>20000</x:v>
      </x:c>
      <x:c r="Q124" s="166" t="n">
        <x:v>20000</x:v>
      </x:c>
      <x:c r="R124" s="166" t="n">
        <x:v>20000</x:v>
      </x:c>
      <x:c r="S124" s="166" t="n">
        <x:v>20000</x:v>
      </x:c>
      <x:c r="T124" s="103"/>
      <x:c r="U124" s="103"/>
    </x:row>
    <x:row r="125" ht="24" customHeight="1">
      <x:c r="A125" s="103"/>
      <x:c r="B125" s="103"/>
      <x:c r="C125" s="144" t="str">
        <x:v>Cash coupon rate on opening debt face value</x:v>
      </x:c>
      <x:c r="D125" s="144"/>
      <x:c r="E125" s="147"/>
      <x:c r="F125" s="147"/>
      <x:c r="G125" s="147"/>
      <x:c r="H125" s="147"/>
      <x:c r="I125" s="147"/>
      <x:c r="J125" s="147"/>
      <x:c r="K125" s="147"/>
      <x:c r="L125" s="147"/>
      <x:c r="M125" s="147"/>
      <x:c r="N125" s="147"/>
      <x:c r="O125" s="147" t="n">
        <x:f>IF(NOT(CHOOSE($D$4,ISNUMBER(O126),ISNUMBER(O127),ISNUMBER(O128))),"n.a.",CHOOSE($D$4,O126,O127,O128))</x:f>
        <x:v>0.035</x:v>
      </x:c>
      <x:c r="P125" s="147" t="n">
        <x:f>IF(NOT(CHOOSE($D$4,ISNUMBER(P126),ISNUMBER(P127),ISNUMBER(P128))),"n.a.",CHOOSE($D$4,P126,P127,P128))</x:f>
        <x:v>0.035</x:v>
      </x:c>
      <x:c r="Q125" s="147" t="n">
        <x:f>IF(NOT(CHOOSE($D$4,ISNUMBER(Q126),ISNUMBER(Q127),ISNUMBER(Q128))),"n.a.",CHOOSE($D$4,Q126,Q127,Q128))</x:f>
        <x:v>0.035</x:v>
      </x:c>
      <x:c r="R125" s="147" t="n">
        <x:f>IF(NOT(CHOOSE($D$4,ISNUMBER(R126),ISNUMBER(R127),ISNUMBER(R128))),"n.a.",CHOOSE($D$4,R126,R127,R128))</x:f>
        <x:v>0.035</x:v>
      </x:c>
      <x:c r="S125" s="147" t="n">
        <x:f>IF(NOT(CHOOSE($D$4,ISNUMBER(S126),ISNUMBER(S127),ISNUMBER(S128))),"n.a.",CHOOSE($D$4,S126,S127,S128))</x:f>
        <x:v>0.035</x:v>
      </x:c>
      <x:c r="T125" s="103"/>
      <x:c r="U125" s="103"/>
    </x:row>
    <x:row r="126" ht="24" customHeight="1">
      <x:c r="A126" s="103"/>
      <x:c r="B126" s="103"/>
      <x:c r="C126" s="105" t="str">
        <x:v>Base</x:v>
      </x:c>
      <x:c r="D126" s="105"/>
      <x:c r="E126" s="119"/>
      <x:c r="F126" s="119"/>
      <x:c r="G126" s="119"/>
      <x:c r="H126" s="119"/>
      <x:c r="I126" s="119"/>
      <x:c r="J126" s="119"/>
      <x:c r="K126" s="119"/>
      <x:c r="L126" s="119"/>
      <x:c r="M126" s="119"/>
      <x:c r="N126" s="119"/>
      <x:c r="O126" s="149" t="n">
        <x:v>0.035</x:v>
      </x:c>
      <x:c r="P126" s="149" t="n">
        <x:v>0.035</x:v>
      </x:c>
      <x:c r="Q126" s="149" t="n">
        <x:v>0.035</x:v>
      </x:c>
      <x:c r="R126" s="149" t="n">
        <x:v>0.035</x:v>
      </x:c>
      <x:c r="S126" s="149" t="n">
        <x:v>0.035</x:v>
      </x:c>
      <x:c r="T126" s="103"/>
      <x:c r="U126" s="103"/>
    </x:row>
    <x:row r="127" ht="24" customHeight="1">
      <x:c r="A127" s="103"/>
      <x:c r="B127" s="103"/>
      <x:c r="C127" s="105" t="str">
        <x:v>Upside</x:v>
      </x:c>
      <x:c r="D127" s="105"/>
      <x:c r="E127" s="119"/>
      <x:c r="F127" s="119"/>
      <x:c r="G127" s="119"/>
      <x:c r="H127" s="119"/>
      <x:c r="I127" s="119"/>
      <x:c r="J127" s="119"/>
      <x:c r="K127" s="119"/>
      <x:c r="L127" s="119"/>
      <x:c r="M127" s="119"/>
      <x:c r="N127" s="119"/>
      <x:c r="O127" s="149" t="n">
        <x:v>0.035</x:v>
      </x:c>
      <x:c r="P127" s="149" t="n">
        <x:v>0.035</x:v>
      </x:c>
      <x:c r="Q127" s="149" t="n">
        <x:v>0.035</x:v>
      </x:c>
      <x:c r="R127" s="149" t="n">
        <x:v>0.035</x:v>
      </x:c>
      <x:c r="S127" s="149" t="n">
        <x:v>0.035</x:v>
      </x:c>
      <x:c r="T127" s="103"/>
      <x:c r="U127" s="103"/>
    </x:row>
    <x:row r="128" ht="24" customHeight="1">
      <x:c r="A128" s="103"/>
      <x:c r="B128" s="103"/>
      <x:c r="C128" s="105" t="str">
        <x:v>Downside</x:v>
      </x:c>
      <x:c r="D128" s="105"/>
      <x:c r="E128" s="119"/>
      <x:c r="F128" s="119"/>
      <x:c r="G128" s="119"/>
      <x:c r="H128" s="119"/>
      <x:c r="I128" s="119"/>
      <x:c r="J128" s="119"/>
      <x:c r="K128" s="119"/>
      <x:c r="L128" s="119"/>
      <x:c r="M128" s="119"/>
      <x:c r="N128" s="119"/>
      <x:c r="O128" s="149" t="n">
        <x:v>0.035</x:v>
      </x:c>
      <x:c r="P128" s="149" t="n">
        <x:v>0.035</x:v>
      </x:c>
      <x:c r="Q128" s="149" t="n">
        <x:v>0.035</x:v>
      </x:c>
      <x:c r="R128" s="149" t="n">
        <x:v>0.035</x:v>
      </x:c>
      <x:c r="S128" s="149" t="n">
        <x:v>0.035</x:v>
      </x:c>
      <x:c r="T128" s="103"/>
      <x:c r="U128" s="103"/>
    </x:row>
    <x:row r="129" ht="24" customHeight="1">
      <x:c r="A129" s="103"/>
      <x:c r="B129" s="103"/>
      <x:c r="C129" s="144" t="str">
        <x:v>Yield on opening cash and short-term investments</x:v>
      </x:c>
      <x:c r="D129" s="144"/>
      <x:c r="E129" s="147"/>
      <x:c r="F129" s="147"/>
      <x:c r="G129" s="147"/>
      <x:c r="H129" s="147"/>
      <x:c r="I129" s="147"/>
      <x:c r="J129" s="147"/>
      <x:c r="K129" s="147"/>
      <x:c r="L129" s="147"/>
      <x:c r="M129" s="147"/>
      <x:c r="N129" s="147"/>
      <x:c r="O129" s="147" t="n">
        <x:f>IF(NOT(CHOOSE($D$4,ISNUMBER(O130),ISNUMBER(O131),ISNUMBER(O132))),"n.a.",CHOOSE($D$4,O130,O131,O132))</x:f>
        <x:v>0.035</x:v>
      </x:c>
      <x:c r="P129" s="147" t="n">
        <x:f>IF(NOT(CHOOSE($D$4,ISNUMBER(P130),ISNUMBER(P131),ISNUMBER(P132))),"n.a.",CHOOSE($D$4,P130,P131,P132))</x:f>
        <x:v>0.035</x:v>
      </x:c>
      <x:c r="Q129" s="147" t="n">
        <x:f>IF(NOT(CHOOSE($D$4,ISNUMBER(Q130),ISNUMBER(Q131),ISNUMBER(Q132))),"n.a.",CHOOSE($D$4,Q130,Q131,Q132))</x:f>
        <x:v>0.035</x:v>
      </x:c>
      <x:c r="R129" s="147" t="n">
        <x:f>IF(NOT(CHOOSE($D$4,ISNUMBER(R130),ISNUMBER(R131),ISNUMBER(R132))),"n.a.",CHOOSE($D$4,R130,R131,R132))</x:f>
        <x:v>0.035</x:v>
      </x:c>
      <x:c r="S129" s="147" t="n">
        <x:f>IF(NOT(CHOOSE($D$4,ISNUMBER(S130),ISNUMBER(S131),ISNUMBER(S132))),"n.a.",CHOOSE($D$4,S130,S131,S132))</x:f>
        <x:v>0.035</x:v>
      </x:c>
      <x:c r="T129" s="103"/>
      <x:c r="U129" s="103"/>
    </x:row>
    <x:row r="130" ht="24" customHeight="1">
      <x:c r="A130" s="103"/>
      <x:c r="B130" s="103"/>
      <x:c r="C130" s="105" t="str">
        <x:v>Base</x:v>
      </x:c>
      <x:c r="D130" s="105"/>
      <x:c r="E130" s="119"/>
      <x:c r="F130" s="119"/>
      <x:c r="G130" s="119"/>
      <x:c r="H130" s="119"/>
      <x:c r="I130" s="119"/>
      <x:c r="J130" s="119"/>
      <x:c r="K130" s="119"/>
      <x:c r="L130" s="119"/>
      <x:c r="M130" s="119"/>
      <x:c r="N130" s="119"/>
      <x:c r="O130" s="149" t="n">
        <x:v>0.035</x:v>
      </x:c>
      <x:c r="P130" s="149" t="n">
        <x:v>0.035</x:v>
      </x:c>
      <x:c r="Q130" s="149" t="n">
        <x:v>0.035</x:v>
      </x:c>
      <x:c r="R130" s="149" t="n">
        <x:v>0.035</x:v>
      </x:c>
      <x:c r="S130" s="149" t="n">
        <x:v>0.035</x:v>
      </x:c>
      <x:c r="T130" s="103"/>
      <x:c r="U130" s="103"/>
    </x:row>
    <x:row r="131" ht="24" customHeight="1">
      <x:c r="A131" s="103"/>
      <x:c r="B131" s="103"/>
      <x:c r="C131" s="105" t="str">
        <x:v>Upside</x:v>
      </x:c>
      <x:c r="D131" s="105"/>
      <x:c r="E131" s="119"/>
      <x:c r="F131" s="119"/>
      <x:c r="G131" s="119"/>
      <x:c r="H131" s="119"/>
      <x:c r="I131" s="119"/>
      <x:c r="J131" s="119"/>
      <x:c r="K131" s="119"/>
      <x:c r="L131" s="119"/>
      <x:c r="M131" s="119"/>
      <x:c r="N131" s="119"/>
      <x:c r="O131" s="149" t="n">
        <x:v>0.035</x:v>
      </x:c>
      <x:c r="P131" s="149" t="n">
        <x:v>0.035</x:v>
      </x:c>
      <x:c r="Q131" s="149" t="n">
        <x:v>0.035</x:v>
      </x:c>
      <x:c r="R131" s="149" t="n">
        <x:v>0.035</x:v>
      </x:c>
      <x:c r="S131" s="149" t="n">
        <x:v>0.035</x:v>
      </x:c>
      <x:c r="T131" s="103"/>
      <x:c r="U131" s="103"/>
    </x:row>
    <x:row r="132" ht="24" customHeight="1">
      <x:c r="A132" s="103"/>
      <x:c r="B132" s="103"/>
      <x:c r="C132" s="105" t="str">
        <x:v>Downside</x:v>
      </x:c>
      <x:c r="D132" s="105"/>
      <x:c r="E132" s="119"/>
      <x:c r="F132" s="119"/>
      <x:c r="G132" s="119"/>
      <x:c r="H132" s="119"/>
      <x:c r="I132" s="119"/>
      <x:c r="J132" s="119"/>
      <x:c r="K132" s="119"/>
      <x:c r="L132" s="119"/>
      <x:c r="M132" s="119"/>
      <x:c r="N132" s="119"/>
      <x:c r="O132" s="149" t="n">
        <x:v>0.035</x:v>
      </x:c>
      <x:c r="P132" s="149" t="n">
        <x:v>0.035</x:v>
      </x:c>
      <x:c r="Q132" s="149" t="n">
        <x:v>0.035</x:v>
      </x:c>
      <x:c r="R132" s="149" t="n">
        <x:v>0.035</x:v>
      </x:c>
      <x:c r="S132" s="149" t="n">
        <x:v>0.035</x:v>
      </x:c>
      <x:c r="T132" s="103"/>
      <x:c r="U132" s="103"/>
    </x:row>
    <x:row r="133" ht="24" customHeight="1">
      <x:c r="A133" s="103"/>
      <x:c r="B133" s="103"/>
      <x:c r="C133" s="142" t="str">
        <x:v>Cash interest capitalized within the capex budget</x:v>
      </x:c>
      <x:c r="D133" s="144"/>
      <x:c r="E133" s="147"/>
      <x:c r="F133" s="147"/>
      <x:c r="G133" s="147"/>
      <x:c r="H133" s="147"/>
      <x:c r="I133" s="147"/>
      <x:c r="J133" s="147"/>
      <x:c r="K133" s="147"/>
      <x:c r="L133" s="147"/>
      <x:c r="M133" s="147"/>
      <x:c r="N133" s="147"/>
      <x:c r="O133" s="147" t="n">
        <x:f>IF(NOT(CHOOSE($D$4,ISNUMBER(O134),ISNUMBER(O135),ISNUMBER(O136))),"n.a.",CHOOSE($D$4,O134,O135,O136))</x:f>
        <x:v>0.2</x:v>
      </x:c>
      <x:c r="P133" s="147" t="n">
        <x:f>IF(NOT(CHOOSE($D$4,ISNUMBER(P134),ISNUMBER(P135),ISNUMBER(P136))),"n.a.",CHOOSE($D$4,P134,P135,P136))</x:f>
        <x:v>0.2</x:v>
      </x:c>
      <x:c r="Q133" s="147" t="n">
        <x:f>IF(NOT(CHOOSE($D$4,ISNUMBER(Q134),ISNUMBER(Q135),ISNUMBER(Q136))),"n.a.",CHOOSE($D$4,Q134,Q135,Q136))</x:f>
        <x:v>0.2</x:v>
      </x:c>
      <x:c r="R133" s="147" t="n">
        <x:f>IF(NOT(CHOOSE($D$4,ISNUMBER(R134),ISNUMBER(R135),ISNUMBER(R136))),"n.a.",CHOOSE($D$4,R134,R135,R136))</x:f>
        <x:v>0.2</x:v>
      </x:c>
      <x:c r="S133" s="147" t="n">
        <x:f>IF(NOT(CHOOSE($D$4,ISNUMBER(S134),ISNUMBER(S135),ISNUMBER(S136))),"n.a.",CHOOSE($D$4,S134,S135,S136))</x:f>
        <x:v>0.2</x:v>
      </x:c>
      <x:c r="T133" s="103"/>
      <x:c r="U133" s="103"/>
    </x:row>
    <x:row r="134" ht="24" customHeight="1">
      <x:c r="A134" s="103"/>
      <x:c r="B134" s="103"/>
      <x:c r="C134" s="105" t="str">
        <x:v>Base</x:v>
      </x:c>
      <x:c r="D134" s="105"/>
      <x:c r="E134" s="119"/>
      <x:c r="F134" s="119"/>
      <x:c r="G134" s="119"/>
      <x:c r="H134" s="119"/>
      <x:c r="I134" s="119"/>
      <x:c r="J134" s="119"/>
      <x:c r="K134" s="119"/>
      <x:c r="L134" s="119"/>
      <x:c r="M134" s="119"/>
      <x:c r="N134" s="119"/>
      <x:c r="O134" s="149" t="n">
        <x:v>0.2</x:v>
      </x:c>
      <x:c r="P134" s="149" t="n">
        <x:v>0.2</x:v>
      </x:c>
      <x:c r="Q134" s="149" t="n">
        <x:v>0.2</x:v>
      </x:c>
      <x:c r="R134" s="149" t="n">
        <x:v>0.2</x:v>
      </x:c>
      <x:c r="S134" s="149" t="n">
        <x:v>0.2</x:v>
      </x:c>
      <x:c r="T134" s="103"/>
      <x:c r="U134" s="103"/>
    </x:row>
    <x:row r="135" ht="24" customHeight="1">
      <x:c r="A135" s="103"/>
      <x:c r="B135" s="103"/>
      <x:c r="C135" s="105" t="str">
        <x:v>Upside</x:v>
      </x:c>
      <x:c r="D135" s="105"/>
      <x:c r="E135" s="119"/>
      <x:c r="F135" s="119"/>
      <x:c r="G135" s="119"/>
      <x:c r="H135" s="119"/>
      <x:c r="I135" s="119"/>
      <x:c r="J135" s="119"/>
      <x:c r="K135" s="119"/>
      <x:c r="L135" s="119"/>
      <x:c r="M135" s="119"/>
      <x:c r="N135" s="119"/>
      <x:c r="O135" s="149" t="n">
        <x:v>0.2</x:v>
      </x:c>
      <x:c r="P135" s="149" t="n">
        <x:v>0.2</x:v>
      </x:c>
      <x:c r="Q135" s="149" t="n">
        <x:v>0.2</x:v>
      </x:c>
      <x:c r="R135" s="149" t="n">
        <x:v>0.2</x:v>
      </x:c>
      <x:c r="S135" s="149" t="n">
        <x:v>0.2</x:v>
      </x:c>
      <x:c r="T135" s="103"/>
      <x:c r="U135" s="103"/>
    </x:row>
    <x:row r="136" ht="24" customHeight="1">
      <x:c r="A136" s="103"/>
      <x:c r="B136" s="103"/>
      <x:c r="C136" s="105" t="str">
        <x:v>Downside</x:v>
      </x:c>
      <x:c r="D136" s="105"/>
      <x:c r="E136" s="119"/>
      <x:c r="F136" s="119"/>
      <x:c r="G136" s="119"/>
      <x:c r="H136" s="119"/>
      <x:c r="I136" s="119"/>
      <x:c r="J136" s="119"/>
      <x:c r="K136" s="119"/>
      <x:c r="L136" s="119"/>
      <x:c r="M136" s="119"/>
      <x:c r="N136" s="119"/>
      <x:c r="O136" s="149" t="n">
        <x:v>0.2</x:v>
      </x:c>
      <x:c r="P136" s="149" t="n">
        <x:v>0.2</x:v>
      </x:c>
      <x:c r="Q136" s="149" t="n">
        <x:v>0.2</x:v>
      </x:c>
      <x:c r="R136" s="149" t="n">
        <x:v>0.2</x:v>
      </x:c>
      <x:c r="S136" s="149" t="n">
        <x:v>0.2</x:v>
      </x:c>
      <x:c r="T136" s="103"/>
      <x:c r="U136" s="103"/>
    </x:row>
    <x:row r="137" ht="24" customHeight="1">
      <x:c r="A137" s="103"/>
      <x:c r="B137" s="103"/>
      <x:c r="C137" s="142" t="str">
        <x:v>Annual amortization of debt accounting adjustments</x:v>
      </x:c>
      <x:c r="D137" s="144"/>
      <x:c r="E137" s="147"/>
      <x:c r="F137" s="147"/>
      <x:c r="G137" s="147"/>
      <x:c r="H137" s="147"/>
      <x:c r="I137" s="147"/>
      <x:c r="J137" s="147"/>
      <x:c r="K137" s="147"/>
      <x:c r="L137" s="147"/>
      <x:c r="M137" s="147"/>
      <x:c r="N137" s="147"/>
      <x:c r="O137" s="147" t="n">
        <x:f>IF(NOT(CHOOSE($D$4,ISNUMBER(O138),ISNUMBER(O139),ISNUMBER(O140))),"n.a.",CHOOSE($D$4,O138,O139,O140))</x:f>
        <x:v>0.03</x:v>
      </x:c>
      <x:c r="P137" s="147" t="n">
        <x:f>IF(NOT(CHOOSE($D$4,ISNUMBER(P138),ISNUMBER(P139),ISNUMBER(P140))),"n.a.",CHOOSE($D$4,P138,P139,P140))</x:f>
        <x:v>0.03</x:v>
      </x:c>
      <x:c r="Q137" s="147" t="n">
        <x:f>IF(NOT(CHOOSE($D$4,ISNUMBER(Q138),ISNUMBER(Q139),ISNUMBER(Q140))),"n.a.",CHOOSE($D$4,Q138,Q139,Q140))</x:f>
        <x:v>0.03</x:v>
      </x:c>
      <x:c r="R137" s="147" t="n">
        <x:f>IF(NOT(CHOOSE($D$4,ISNUMBER(R138),ISNUMBER(R139),ISNUMBER(R140))),"n.a.",CHOOSE($D$4,R138,R139,R140))</x:f>
        <x:v>0.03</x:v>
      </x:c>
      <x:c r="S137" s="147" t="n">
        <x:f>IF(NOT(CHOOSE($D$4,ISNUMBER(S138),ISNUMBER(S139),ISNUMBER(S140))),"n.a.",CHOOSE($D$4,S138,S139,S140))</x:f>
        <x:v>0.03</x:v>
      </x:c>
      <x:c r="T137" s="103"/>
      <x:c r="U137" s="103"/>
    </x:row>
    <x:row r="138" ht="24" customHeight="1">
      <x:c r="A138" s="103"/>
      <x:c r="B138" s="103"/>
      <x:c r="C138" s="105" t="str">
        <x:v>Base</x:v>
      </x:c>
      <x:c r="D138" s="105"/>
      <x:c r="E138" s="119"/>
      <x:c r="F138" s="119"/>
      <x:c r="G138" s="119"/>
      <x:c r="H138" s="119"/>
      <x:c r="I138" s="119"/>
      <x:c r="J138" s="119"/>
      <x:c r="K138" s="119"/>
      <x:c r="L138" s="119"/>
      <x:c r="M138" s="119"/>
      <x:c r="N138" s="119"/>
      <x:c r="O138" s="149" t="n">
        <x:v>0.03</x:v>
      </x:c>
      <x:c r="P138" s="149" t="n">
        <x:v>0.03</x:v>
      </x:c>
      <x:c r="Q138" s="149" t="n">
        <x:v>0.03</x:v>
      </x:c>
      <x:c r="R138" s="149" t="n">
        <x:v>0.03</x:v>
      </x:c>
      <x:c r="S138" s="149" t="n">
        <x:v>0.03</x:v>
      </x:c>
      <x:c r="T138" s="103"/>
      <x:c r="U138" s="103"/>
    </x:row>
    <x:row r="139" ht="24" customHeight="1">
      <x:c r="A139" s="103"/>
      <x:c r="B139" s="103"/>
      <x:c r="C139" s="105" t="str">
        <x:v>Upside</x:v>
      </x:c>
      <x:c r="D139" s="105"/>
      <x:c r="E139" s="119"/>
      <x:c r="F139" s="119"/>
      <x:c r="G139" s="119"/>
      <x:c r="H139" s="119"/>
      <x:c r="I139" s="119"/>
      <x:c r="J139" s="119"/>
      <x:c r="K139" s="119"/>
      <x:c r="L139" s="119"/>
      <x:c r="M139" s="119"/>
      <x:c r="N139" s="119"/>
      <x:c r="O139" s="149" t="n">
        <x:v>0.03</x:v>
      </x:c>
      <x:c r="P139" s="149" t="n">
        <x:v>0.03</x:v>
      </x:c>
      <x:c r="Q139" s="149" t="n">
        <x:v>0.03</x:v>
      </x:c>
      <x:c r="R139" s="149" t="n">
        <x:v>0.03</x:v>
      </x:c>
      <x:c r="S139" s="149" t="n">
        <x:v>0.03</x:v>
      </x:c>
      <x:c r="T139" s="103"/>
      <x:c r="U139" s="103"/>
    </x:row>
    <x:row r="140" ht="24" customHeight="1">
      <x:c r="A140" s="103"/>
      <x:c r="B140" s="103"/>
      <x:c r="C140" s="105" t="str">
        <x:v>Downside</x:v>
      </x:c>
      <x:c r="D140" s="105"/>
      <x:c r="E140" s="119"/>
      <x:c r="F140" s="119"/>
      <x:c r="G140" s="119"/>
      <x:c r="H140" s="119"/>
      <x:c r="I140" s="119"/>
      <x:c r="J140" s="119"/>
      <x:c r="K140" s="119"/>
      <x:c r="L140" s="119"/>
      <x:c r="M140" s="119"/>
      <x:c r="N140" s="119"/>
      <x:c r="O140" s="149" t="n">
        <x:v>0.03</x:v>
      </x:c>
      <x:c r="P140" s="149" t="n">
        <x:v>0.03</x:v>
      </x:c>
      <x:c r="Q140" s="149" t="n">
        <x:v>0.03</x:v>
      </x:c>
      <x:c r="R140" s="149" t="n">
        <x:v>0.03</x:v>
      </x:c>
      <x:c r="S140" s="149" t="n">
        <x:v>0.03</x:v>
      </x:c>
      <x:c r="T140" s="103"/>
      <x:c r="U140" s="103"/>
    </x:row>
    <x:row r="141" ht="24" customHeight="1">
      <x:c r="A141" s="103"/>
      <x:c r="B141" s="103"/>
      <x:c r="C141" s="144" t="str">
        <x:v>Finance lease interest rate</x:v>
      </x:c>
      <x:c r="D141" s="144"/>
      <x:c r="E141" s="147"/>
      <x:c r="F141" s="147"/>
      <x:c r="G141" s="147"/>
      <x:c r="H141" s="147"/>
      <x:c r="I141" s="147"/>
      <x:c r="J141" s="147"/>
      <x:c r="K141" s="147"/>
      <x:c r="L141" s="147"/>
      <x:c r="M141" s="147"/>
      <x:c r="N141" s="147"/>
      <x:c r="O141" s="147" t="n">
        <x:f>IF(NOT(CHOOSE($D$4,ISNUMBER(O142),ISNUMBER(O143),ISNUMBER(O144))),"n.a.",CHOOSE($D$4,O142,O143,O144))</x:f>
        <x:v>0.045</x:v>
      </x:c>
      <x:c r="P141" s="147" t="n">
        <x:f>IF(NOT(CHOOSE($D$4,ISNUMBER(P142),ISNUMBER(P143),ISNUMBER(P144))),"n.a.",CHOOSE($D$4,P142,P143,P144))</x:f>
        <x:v>0.045</x:v>
      </x:c>
      <x:c r="Q141" s="147" t="n">
        <x:f>IF(NOT(CHOOSE($D$4,ISNUMBER(Q142),ISNUMBER(Q143),ISNUMBER(Q144))),"n.a.",CHOOSE($D$4,Q142,Q143,Q144))</x:f>
        <x:v>0.045</x:v>
      </x:c>
      <x:c r="R141" s="147" t="n">
        <x:f>IF(NOT(CHOOSE($D$4,ISNUMBER(R142),ISNUMBER(R143),ISNUMBER(R144))),"n.a.",CHOOSE($D$4,R142,R143,R144))</x:f>
        <x:v>0.045</x:v>
      </x:c>
      <x:c r="S141" s="147" t="n">
        <x:f>IF(NOT(CHOOSE($D$4,ISNUMBER(S142),ISNUMBER(S143),ISNUMBER(S144))),"n.a.",CHOOSE($D$4,S142,S143,S144))</x:f>
        <x:v>0.045</x:v>
      </x:c>
      <x:c r="T141" s="103"/>
      <x:c r="U141" s="103"/>
    </x:row>
    <x:row r="142" ht="24" customHeight="1">
      <x:c r="A142" s="103"/>
      <x:c r="B142" s="103"/>
      <x:c r="C142" s="105" t="str">
        <x:v>Base</x:v>
      </x:c>
      <x:c r="D142" s="105"/>
      <x:c r="E142" s="119"/>
      <x:c r="F142" s="119"/>
      <x:c r="G142" s="119"/>
      <x:c r="H142" s="119"/>
      <x:c r="I142" s="119"/>
      <x:c r="J142" s="119"/>
      <x:c r="K142" s="119"/>
      <x:c r="L142" s="119"/>
      <x:c r="M142" s="119"/>
      <x:c r="N142" s="119"/>
      <x:c r="O142" s="149" t="n">
        <x:v>0.045</x:v>
      </x:c>
      <x:c r="P142" s="149" t="n">
        <x:v>0.045</x:v>
      </x:c>
      <x:c r="Q142" s="149" t="n">
        <x:v>0.045</x:v>
      </x:c>
      <x:c r="R142" s="149" t="n">
        <x:v>0.045</x:v>
      </x:c>
      <x:c r="S142" s="149" t="n">
        <x:v>0.045</x:v>
      </x:c>
      <x:c r="T142" s="103"/>
      <x:c r="U142" s="103"/>
    </x:row>
    <x:row r="143" ht="24" customHeight="1">
      <x:c r="A143" s="103"/>
      <x:c r="B143" s="103"/>
      <x:c r="C143" s="105" t="str">
        <x:v>Upside</x:v>
      </x:c>
      <x:c r="D143" s="105"/>
      <x:c r="E143" s="119"/>
      <x:c r="F143" s="119"/>
      <x:c r="G143" s="119"/>
      <x:c r="H143" s="119"/>
      <x:c r="I143" s="119"/>
      <x:c r="J143" s="119"/>
      <x:c r="K143" s="119"/>
      <x:c r="L143" s="119"/>
      <x:c r="M143" s="119"/>
      <x:c r="N143" s="119"/>
      <x:c r="O143" s="149" t="n">
        <x:v>0.045</x:v>
      </x:c>
      <x:c r="P143" s="149" t="n">
        <x:v>0.045</x:v>
      </x:c>
      <x:c r="Q143" s="149" t="n">
        <x:v>0.045</x:v>
      </x:c>
      <x:c r="R143" s="149" t="n">
        <x:v>0.045</x:v>
      </x:c>
      <x:c r="S143" s="149" t="n">
        <x:v>0.045</x:v>
      </x:c>
      <x:c r="T143" s="103"/>
      <x:c r="U143" s="103"/>
    </x:row>
    <x:row r="144" ht="24" customHeight="1">
      <x:c r="A144" s="103"/>
      <x:c r="B144" s="103"/>
      <x:c r="C144" s="105" t="str">
        <x:v>Downside</x:v>
      </x:c>
      <x:c r="D144" s="105"/>
      <x:c r="E144" s="119"/>
      <x:c r="F144" s="119"/>
      <x:c r="G144" s="119"/>
      <x:c r="H144" s="119"/>
      <x:c r="I144" s="119"/>
      <x:c r="J144" s="119"/>
      <x:c r="K144" s="119"/>
      <x:c r="L144" s="119"/>
      <x:c r="M144" s="119"/>
      <x:c r="N144" s="119"/>
      <x:c r="O144" s="149" t="n">
        <x:v>0.045</x:v>
      </x:c>
      <x:c r="P144" s="149" t="n">
        <x:v>0.045</x:v>
      </x:c>
      <x:c r="Q144" s="149" t="n">
        <x:v>0.045</x:v>
      </x:c>
      <x:c r="R144" s="149" t="n">
        <x:v>0.045</x:v>
      </x:c>
      <x:c r="S144" s="149" t="n">
        <x:v>0.045</x:v>
      </x:c>
      <x:c r="T144" s="103"/>
      <x:c r="U144" s="103"/>
    </x:row>
    <x:row r="145" ht="24" customHeight="1">
      <x:c r="A145" s="103"/>
      <x:c r="B145" s="103"/>
      <x:c r="C145" s="144" t="str">
        <x:v>Operating lease interest rate</x:v>
      </x:c>
      <x:c r="D145" s="144"/>
      <x:c r="E145" s="147"/>
      <x:c r="F145" s="147"/>
      <x:c r="G145" s="147"/>
      <x:c r="H145" s="147"/>
      <x:c r="I145" s="147"/>
      <x:c r="J145" s="147"/>
      <x:c r="K145" s="147"/>
      <x:c r="L145" s="147"/>
      <x:c r="M145" s="147"/>
      <x:c r="N145" s="147"/>
      <x:c r="O145" s="147" t="n">
        <x:f>IF(NOT(CHOOSE($D$4,ISNUMBER(O146),ISNUMBER(O147),ISNUMBER(O148))),"n.a.",CHOOSE($D$4,O146,O147,O148))</x:f>
        <x:v>0.037</x:v>
      </x:c>
      <x:c r="P145" s="147" t="n">
        <x:f>IF(NOT(CHOOSE($D$4,ISNUMBER(P146),ISNUMBER(P147),ISNUMBER(P148))),"n.a.",CHOOSE($D$4,P146,P147,P148))</x:f>
        <x:v>0.037</x:v>
      </x:c>
      <x:c r="Q145" s="147" t="n">
        <x:f>IF(NOT(CHOOSE($D$4,ISNUMBER(Q146),ISNUMBER(Q147),ISNUMBER(Q148))),"n.a.",CHOOSE($D$4,Q146,Q147,Q148))</x:f>
        <x:v>0.037</x:v>
      </x:c>
      <x:c r="R145" s="147" t="n">
        <x:f>IF(NOT(CHOOSE($D$4,ISNUMBER(R146),ISNUMBER(R147),ISNUMBER(R148))),"n.a.",CHOOSE($D$4,R146,R147,R148))</x:f>
        <x:v>0.037</x:v>
      </x:c>
      <x:c r="S145" s="147" t="n">
        <x:f>IF(NOT(CHOOSE($D$4,ISNUMBER(S146),ISNUMBER(S147),ISNUMBER(S148))),"n.a.",CHOOSE($D$4,S146,S147,S148))</x:f>
        <x:v>0.037</x:v>
      </x:c>
      <x:c r="T145" s="103"/>
      <x:c r="U145" s="103"/>
    </x:row>
    <x:row r="146" ht="24" customHeight="1">
      <x:c r="A146" s="103"/>
      <x:c r="B146" s="103"/>
      <x:c r="C146" s="105" t="str">
        <x:v>Base</x:v>
      </x:c>
      <x:c r="D146" s="105"/>
      <x:c r="E146" s="119"/>
      <x:c r="F146" s="119"/>
      <x:c r="G146" s="119"/>
      <x:c r="H146" s="119"/>
      <x:c r="I146" s="119"/>
      <x:c r="J146" s="119"/>
      <x:c r="K146" s="119"/>
      <x:c r="L146" s="119"/>
      <x:c r="M146" s="119"/>
      <x:c r="N146" s="119"/>
      <x:c r="O146" s="149" t="n">
        <x:v>0.037</x:v>
      </x:c>
      <x:c r="P146" s="149" t="n">
        <x:v>0.037</x:v>
      </x:c>
      <x:c r="Q146" s="149" t="n">
        <x:v>0.037</x:v>
      </x:c>
      <x:c r="R146" s="149" t="n">
        <x:v>0.037</x:v>
      </x:c>
      <x:c r="S146" s="149" t="n">
        <x:v>0.037</x:v>
      </x:c>
      <x:c r="T146" s="103"/>
      <x:c r="U146" s="103"/>
    </x:row>
    <x:row r="147" ht="24" customHeight="1">
      <x:c r="A147" s="103"/>
      <x:c r="B147" s="103"/>
      <x:c r="C147" s="105" t="str">
        <x:v>Upside</x:v>
      </x:c>
      <x:c r="D147" s="105"/>
      <x:c r="E147" s="119"/>
      <x:c r="F147" s="119"/>
      <x:c r="G147" s="119"/>
      <x:c r="H147" s="119"/>
      <x:c r="I147" s="119"/>
      <x:c r="J147" s="119"/>
      <x:c r="K147" s="119"/>
      <x:c r="L147" s="119"/>
      <x:c r="M147" s="119"/>
      <x:c r="N147" s="119"/>
      <x:c r="O147" s="149" t="n">
        <x:v>0.037</x:v>
      </x:c>
      <x:c r="P147" s="149" t="n">
        <x:v>0.037</x:v>
      </x:c>
      <x:c r="Q147" s="149" t="n">
        <x:v>0.037</x:v>
      </x:c>
      <x:c r="R147" s="149" t="n">
        <x:v>0.037</x:v>
      </x:c>
      <x:c r="S147" s="149" t="n">
        <x:v>0.037</x:v>
      </x:c>
      <x:c r="T147" s="103"/>
      <x:c r="U147" s="103"/>
    </x:row>
    <x:row r="148" ht="24" customHeight="1">
      <x:c r="A148" s="103"/>
      <x:c r="B148" s="103"/>
      <x:c r="C148" s="105" t="str">
        <x:v>Downside</x:v>
      </x:c>
      <x:c r="D148" s="105"/>
      <x:c r="E148" s="119"/>
      <x:c r="F148" s="119"/>
      <x:c r="G148" s="119"/>
      <x:c r="H148" s="119"/>
      <x:c r="I148" s="119"/>
      <x:c r="J148" s="119"/>
      <x:c r="K148" s="119"/>
      <x:c r="L148" s="119"/>
      <x:c r="M148" s="119"/>
      <x:c r="N148" s="119"/>
      <x:c r="O148" s="149" t="n">
        <x:v>0.037</x:v>
      </x:c>
      <x:c r="P148" s="149" t="n">
        <x:v>0.037</x:v>
      </x:c>
      <x:c r="Q148" s="149" t="n">
        <x:v>0.037</x:v>
      </x:c>
      <x:c r="R148" s="149" t="n">
        <x:v>0.037</x:v>
      </x:c>
      <x:c r="S148" s="149" t="n">
        <x:v>0.037</x:v>
      </x:c>
      <x:c r="T148" s="103"/>
      <x:c r="U148" s="103"/>
    </x:row>
    <x:row r="149" ht="24" customHeight="1">
      <x:c r="A149" s="103"/>
      <x:c r="B149" s="103"/>
      <x:c r="C149" s="136" t="str">
        <x:v>New finance lease principal term in years</x:v>
      </x:c>
      <x:c r="D149" s="136"/>
      <x:c r="E149" s="156"/>
      <x:c r="F149" s="156"/>
      <x:c r="G149" s="156"/>
      <x:c r="H149" s="156"/>
      <x:c r="I149" s="156"/>
      <x:c r="J149" s="156"/>
      <x:c r="K149" s="156"/>
      <x:c r="L149" s="156"/>
      <x:c r="M149" s="156"/>
      <x:c r="N149" s="156"/>
      <x:c r="O149" s="156" t="n">
        <x:f>IF(NOT(CHOOSE($D$4,ISNUMBER(O150),ISNUMBER(O151),ISNUMBER(O152))),"n.a.",CHOOSE($D$4,O150,O151,O152))</x:f>
        <x:v>13</x:v>
      </x:c>
      <x:c r="P149" s="156" t="n">
        <x:f>IF(NOT(CHOOSE($D$4,ISNUMBER(P150),ISNUMBER(P151),ISNUMBER(P152))),"n.a.",CHOOSE($D$4,P150,P151,P152))</x:f>
        <x:v>13</x:v>
      </x:c>
      <x:c r="Q149" s="156" t="n">
        <x:f>IF(NOT(CHOOSE($D$4,ISNUMBER(Q150),ISNUMBER(Q151),ISNUMBER(Q152))),"n.a.",CHOOSE($D$4,Q150,Q151,Q152))</x:f>
        <x:v>13</x:v>
      </x:c>
      <x:c r="R149" s="156" t="n">
        <x:f>IF(NOT(CHOOSE($D$4,ISNUMBER(R150),ISNUMBER(R151),ISNUMBER(R152))),"n.a.",CHOOSE($D$4,R150,R151,R152))</x:f>
        <x:v>13</x:v>
      </x:c>
      <x:c r="S149" s="156" t="n">
        <x:f>IF(NOT(CHOOSE($D$4,ISNUMBER(S150),ISNUMBER(S151),ISNUMBER(S152))),"n.a.",CHOOSE($D$4,S150,S151,S152))</x:f>
        <x:v>13</x:v>
      </x:c>
      <x:c r="T149" s="103"/>
      <x:c r="U149" s="103"/>
    </x:row>
    <x:row r="150" ht="24" customHeight="1">
      <x:c r="A150" s="103"/>
      <x:c r="B150" s="103"/>
      <x:c r="C150" s="103" t="str">
        <x:v>Base</x:v>
      </x:c>
      <x:c r="D150" s="103"/>
      <x:c r="E150" s="132"/>
      <x:c r="F150" s="132"/>
      <x:c r="G150" s="132"/>
      <x:c r="H150" s="132"/>
      <x:c r="I150" s="132"/>
      <x:c r="J150" s="132"/>
      <x:c r="K150" s="132"/>
      <x:c r="L150" s="132"/>
      <x:c r="M150" s="132"/>
      <x:c r="N150" s="132"/>
      <x:c r="O150" s="159" t="n">
        <x:v>13</x:v>
      </x:c>
      <x:c r="P150" s="159" t="n">
        <x:v>13</x:v>
      </x:c>
      <x:c r="Q150" s="159" t="n">
        <x:v>13</x:v>
      </x:c>
      <x:c r="R150" s="159" t="n">
        <x:v>13</x:v>
      </x:c>
      <x:c r="S150" s="159" t="n">
        <x:v>13</x:v>
      </x:c>
      <x:c r="T150" s="103"/>
      <x:c r="U150" s="103"/>
    </x:row>
    <x:row r="151" ht="24" customHeight="1">
      <x:c r="A151" s="103"/>
      <x:c r="B151" s="103"/>
      <x:c r="C151" s="103" t="str">
        <x:v>Upside</x:v>
      </x:c>
      <x:c r="D151" s="103"/>
      <x:c r="E151" s="132"/>
      <x:c r="F151" s="132"/>
      <x:c r="G151" s="132"/>
      <x:c r="H151" s="132"/>
      <x:c r="I151" s="132"/>
      <x:c r="J151" s="132"/>
      <x:c r="K151" s="132"/>
      <x:c r="L151" s="132"/>
      <x:c r="M151" s="132"/>
      <x:c r="N151" s="132"/>
      <x:c r="O151" s="159" t="n">
        <x:v>13</x:v>
      </x:c>
      <x:c r="P151" s="159" t="n">
        <x:v>13</x:v>
      </x:c>
      <x:c r="Q151" s="159" t="n">
        <x:v>13</x:v>
      </x:c>
      <x:c r="R151" s="159" t="n">
        <x:v>13</x:v>
      </x:c>
      <x:c r="S151" s="159" t="n">
        <x:v>13</x:v>
      </x:c>
      <x:c r="T151" s="103"/>
      <x:c r="U151" s="103"/>
    </x:row>
    <x:row r="152" ht="24" customHeight="1">
      <x:c r="A152" s="103"/>
      <x:c r="B152" s="103"/>
      <x:c r="C152" s="103" t="str">
        <x:v>Downside</x:v>
      </x:c>
      <x:c r="D152" s="103"/>
      <x:c r="E152" s="132"/>
      <x:c r="F152" s="132"/>
      <x:c r="G152" s="132"/>
      <x:c r="H152" s="132"/>
      <x:c r="I152" s="132"/>
      <x:c r="J152" s="132"/>
      <x:c r="K152" s="132"/>
      <x:c r="L152" s="132"/>
      <x:c r="M152" s="132"/>
      <x:c r="N152" s="132"/>
      <x:c r="O152" s="159" t="n">
        <x:v>13</x:v>
      </x:c>
      <x:c r="P152" s="159" t="n">
        <x:v>13</x:v>
      </x:c>
      <x:c r="Q152" s="159" t="n">
        <x:v>13</x:v>
      </x:c>
      <x:c r="R152" s="159" t="n">
        <x:v>13</x:v>
      </x:c>
      <x:c r="S152" s="159" t="n">
        <x:v>13</x:v>
      </x:c>
      <x:c r="T152" s="103"/>
      <x:c r="U152" s="103"/>
    </x:row>
    <x:row r="153" ht="24" customHeight="1">
      <x:c r="A153" s="103"/>
      <x:c r="B153" s="103"/>
      <x:c r="C153" s="136" t="str">
        <x:v>New operating lease term in years</x:v>
      </x:c>
      <x:c r="D153" s="136"/>
      <x:c r="E153" s="156"/>
      <x:c r="F153" s="156"/>
      <x:c r="G153" s="156"/>
      <x:c r="H153" s="156"/>
      <x:c r="I153" s="156"/>
      <x:c r="J153" s="156"/>
      <x:c r="K153" s="156"/>
      <x:c r="L153" s="156"/>
      <x:c r="M153" s="156"/>
      <x:c r="N153" s="156"/>
      <x:c r="O153" s="156" t="n">
        <x:f>IF(NOT(CHOOSE($D$4,ISNUMBER(O154),ISNUMBER(O155),ISNUMBER(O156))),"n.a.",CHOOSE($D$4,O154,O155,O156))</x:f>
        <x:v>6</x:v>
      </x:c>
      <x:c r="P153" s="156" t="n">
        <x:f>IF(NOT(CHOOSE($D$4,ISNUMBER(P154),ISNUMBER(P155),ISNUMBER(P156))),"n.a.",CHOOSE($D$4,P154,P155,P156))</x:f>
        <x:v>6</x:v>
      </x:c>
      <x:c r="Q153" s="156" t="n">
        <x:f>IF(NOT(CHOOSE($D$4,ISNUMBER(Q154),ISNUMBER(Q155),ISNUMBER(Q156))),"n.a.",CHOOSE($D$4,Q154,Q155,Q156))</x:f>
        <x:v>6</x:v>
      </x:c>
      <x:c r="R153" s="156" t="n">
        <x:f>IF(NOT(CHOOSE($D$4,ISNUMBER(R154),ISNUMBER(R155),ISNUMBER(R156))),"n.a.",CHOOSE($D$4,R154,R155,R156))</x:f>
        <x:v>6</x:v>
      </x:c>
      <x:c r="S153" s="156" t="n">
        <x:f>IF(NOT(CHOOSE($D$4,ISNUMBER(S154),ISNUMBER(S155),ISNUMBER(S156))),"n.a.",CHOOSE($D$4,S154,S155,S156))</x:f>
        <x:v>6</x:v>
      </x:c>
      <x:c r="T153" s="103"/>
      <x:c r="U153" s="103"/>
    </x:row>
    <x:row r="154" ht="24" customHeight="1">
      <x:c r="A154" s="103"/>
      <x:c r="B154" s="103"/>
      <x:c r="C154" s="103" t="str">
        <x:v>Base</x:v>
      </x:c>
      <x:c r="D154" s="103"/>
      <x:c r="E154" s="132"/>
      <x:c r="F154" s="132"/>
      <x:c r="G154" s="132"/>
      <x:c r="H154" s="132"/>
      <x:c r="I154" s="132"/>
      <x:c r="J154" s="132"/>
      <x:c r="K154" s="132"/>
      <x:c r="L154" s="132"/>
      <x:c r="M154" s="132"/>
      <x:c r="N154" s="132"/>
      <x:c r="O154" s="159" t="n">
        <x:v>6</x:v>
      </x:c>
      <x:c r="P154" s="159" t="n">
        <x:v>6</x:v>
      </x:c>
      <x:c r="Q154" s="159" t="n">
        <x:v>6</x:v>
      </x:c>
      <x:c r="R154" s="159" t="n">
        <x:v>6</x:v>
      </x:c>
      <x:c r="S154" s="159" t="n">
        <x:v>6</x:v>
      </x:c>
      <x:c r="T154" s="103"/>
      <x:c r="U154" s="103"/>
    </x:row>
    <x:row r="155" ht="24" customHeight="1">
      <x:c r="A155" s="103"/>
      <x:c r="B155" s="103"/>
      <x:c r="C155" s="103" t="str">
        <x:v>Upside</x:v>
      </x:c>
      <x:c r="D155" s="103"/>
      <x:c r="E155" s="132"/>
      <x:c r="F155" s="132"/>
      <x:c r="G155" s="132"/>
      <x:c r="H155" s="132"/>
      <x:c r="I155" s="132"/>
      <x:c r="J155" s="132"/>
      <x:c r="K155" s="132"/>
      <x:c r="L155" s="132"/>
      <x:c r="M155" s="132"/>
      <x:c r="N155" s="132"/>
      <x:c r="O155" s="159" t="n">
        <x:v>6</x:v>
      </x:c>
      <x:c r="P155" s="159" t="n">
        <x:v>6</x:v>
      </x:c>
      <x:c r="Q155" s="159" t="n">
        <x:v>6</x:v>
      </x:c>
      <x:c r="R155" s="159" t="n">
        <x:v>6</x:v>
      </x:c>
      <x:c r="S155" s="159" t="n">
        <x:v>6</x:v>
      </x:c>
      <x:c r="T155" s="103"/>
      <x:c r="U155" s="103"/>
    </x:row>
    <x:row r="156" ht="24" customHeight="1">
      <x:c r="A156" s="103"/>
      <x:c r="B156" s="103"/>
      <x:c r="C156" s="103" t="str">
        <x:v>Downside</x:v>
      </x:c>
      <x:c r="D156" s="103"/>
      <x:c r="E156" s="132"/>
      <x:c r="F156" s="132"/>
      <x:c r="G156" s="132"/>
      <x:c r="H156" s="132"/>
      <x:c r="I156" s="132"/>
      <x:c r="J156" s="132"/>
      <x:c r="K156" s="132"/>
      <x:c r="L156" s="132"/>
      <x:c r="M156" s="132"/>
      <x:c r="N156" s="132"/>
      <x:c r="O156" s="159" t="n">
        <x:v>6</x:v>
      </x:c>
      <x:c r="P156" s="159" t="n">
        <x:v>6</x:v>
      </x:c>
      <x:c r="Q156" s="159" t="n">
        <x:v>6</x:v>
      </x:c>
      <x:c r="R156" s="159" t="n">
        <x:v>6</x:v>
      </x:c>
      <x:c r="S156" s="159" t="n">
        <x:v>6</x:v>
      </x:c>
      <x:c r="T156" s="103"/>
      <x:c r="U156" s="103"/>
    </x:row>
    <x:row r="157" ht="24" customHeight="1">
      <x:c r="A157" s="103"/>
      <x:c r="B157" s="103"/>
      <x:c r="C157" s="136" t="str">
        <x:v>Legacy operating ROU remaining life in years</x:v>
      </x:c>
      <x:c r="D157" s="136"/>
      <x:c r="E157" s="156"/>
      <x:c r="F157" s="156"/>
      <x:c r="G157" s="156"/>
      <x:c r="H157" s="156"/>
      <x:c r="I157" s="156"/>
      <x:c r="J157" s="156"/>
      <x:c r="K157" s="156"/>
      <x:c r="L157" s="156"/>
      <x:c r="M157" s="156"/>
      <x:c r="N157" s="156"/>
      <x:c r="O157" s="156" t="n">
        <x:f>IF(NOT(CHOOSE($D$4,ISNUMBER(O158),ISNUMBER(O159),ISNUMBER(O160))),"n.a.",CHOOSE($D$4,O158,O159,O160))</x:f>
        <x:v>6</x:v>
      </x:c>
      <x:c r="P157" s="156" t="n">
        <x:f>IF(NOT(CHOOSE($D$4,ISNUMBER(P158),ISNUMBER(P159),ISNUMBER(P160))),"n.a.",CHOOSE($D$4,P158,P159,P160))</x:f>
        <x:v>6</x:v>
      </x:c>
      <x:c r="Q157" s="156" t="n">
        <x:f>IF(NOT(CHOOSE($D$4,ISNUMBER(Q158),ISNUMBER(Q159),ISNUMBER(Q160))),"n.a.",CHOOSE($D$4,Q158,Q159,Q160))</x:f>
        <x:v>6</x:v>
      </x:c>
      <x:c r="R157" s="156" t="n">
        <x:f>IF(NOT(CHOOSE($D$4,ISNUMBER(R158),ISNUMBER(R159),ISNUMBER(R160))),"n.a.",CHOOSE($D$4,R158,R159,R160))</x:f>
        <x:v>6</x:v>
      </x:c>
      <x:c r="S157" s="156" t="n">
        <x:f>IF(NOT(CHOOSE($D$4,ISNUMBER(S158),ISNUMBER(S159),ISNUMBER(S160))),"n.a.",CHOOSE($D$4,S158,S159,S160))</x:f>
        <x:v>6</x:v>
      </x:c>
      <x:c r="T157" s="103"/>
      <x:c r="U157" s="103"/>
    </x:row>
    <x:row r="158" ht="24" customHeight="1">
      <x:c r="A158" s="103"/>
      <x:c r="B158" s="103"/>
      <x:c r="C158" s="103" t="str">
        <x:v>Base</x:v>
      </x:c>
      <x:c r="D158" s="103"/>
      <x:c r="E158" s="132"/>
      <x:c r="F158" s="132"/>
      <x:c r="G158" s="132"/>
      <x:c r="H158" s="132"/>
      <x:c r="I158" s="132"/>
      <x:c r="J158" s="132"/>
      <x:c r="K158" s="132"/>
      <x:c r="L158" s="132"/>
      <x:c r="M158" s="132"/>
      <x:c r="N158" s="132"/>
      <x:c r="O158" s="159" t="n">
        <x:v>6</x:v>
      </x:c>
      <x:c r="P158" s="159" t="n">
        <x:v>6</x:v>
      </x:c>
      <x:c r="Q158" s="159" t="n">
        <x:v>6</x:v>
      </x:c>
      <x:c r="R158" s="159" t="n">
        <x:v>6</x:v>
      </x:c>
      <x:c r="S158" s="159" t="n">
        <x:v>6</x:v>
      </x:c>
      <x:c r="T158" s="103"/>
      <x:c r="U158" s="103"/>
    </x:row>
    <x:row r="159" ht="24" customHeight="1">
      <x:c r="A159" s="103"/>
      <x:c r="B159" s="103"/>
      <x:c r="C159" s="103" t="str">
        <x:v>Upside</x:v>
      </x:c>
      <x:c r="D159" s="103"/>
      <x:c r="E159" s="132"/>
      <x:c r="F159" s="132"/>
      <x:c r="G159" s="132"/>
      <x:c r="H159" s="132"/>
      <x:c r="I159" s="132"/>
      <x:c r="J159" s="132"/>
      <x:c r="K159" s="132"/>
      <x:c r="L159" s="132"/>
      <x:c r="M159" s="132"/>
      <x:c r="N159" s="132"/>
      <x:c r="O159" s="159" t="n">
        <x:v>6</x:v>
      </x:c>
      <x:c r="P159" s="159" t="n">
        <x:v>6</x:v>
      </x:c>
      <x:c r="Q159" s="159" t="n">
        <x:v>6</x:v>
      </x:c>
      <x:c r="R159" s="159" t="n">
        <x:v>6</x:v>
      </x:c>
      <x:c r="S159" s="159" t="n">
        <x:v>6</x:v>
      </x:c>
      <x:c r="T159" s="103"/>
      <x:c r="U159" s="103"/>
    </x:row>
    <x:row r="160" ht="24" customHeight="1">
      <x:c r="A160" s="103"/>
      <x:c r="B160" s="103"/>
      <x:c r="C160" s="103" t="str">
        <x:v>Downside</x:v>
      </x:c>
      <x:c r="D160" s="103"/>
      <x:c r="E160" s="132"/>
      <x:c r="F160" s="132"/>
      <x:c r="G160" s="132"/>
      <x:c r="H160" s="132"/>
      <x:c r="I160" s="132"/>
      <x:c r="J160" s="132"/>
      <x:c r="K160" s="132"/>
      <x:c r="L160" s="132"/>
      <x:c r="M160" s="132"/>
      <x:c r="N160" s="132"/>
      <x:c r="O160" s="159" t="n">
        <x:v>6</x:v>
      </x:c>
      <x:c r="P160" s="159" t="n">
        <x:v>6</x:v>
      </x:c>
      <x:c r="Q160" s="159" t="n">
        <x:v>6</x:v>
      </x:c>
      <x:c r="R160" s="159" t="n">
        <x:v>6</x:v>
      </x:c>
      <x:c r="S160" s="159" t="n">
        <x:v>6</x:v>
      </x:c>
      <x:c r="T160" s="103"/>
      <x:c r="U160" s="103"/>
    </x:row>
    <x:row r="161" ht="24" customHeight="1">
      <x:c r="A161" s="103"/>
      <x:c r="B161" s="103"/>
      <x:c r="C161" s="136" t="str">
        <x:v>Planned new debt face value</x:v>
      </x:c>
      <x:c r="D161" s="136"/>
      <x:c r="E161" s="163"/>
      <x:c r="F161" s="163"/>
      <x:c r="G161" s="163"/>
      <x:c r="H161" s="163"/>
      <x:c r="I161" s="163"/>
      <x:c r="J161" s="163"/>
      <x:c r="K161" s="163"/>
      <x:c r="L161" s="163"/>
      <x:c r="M161" s="163"/>
      <x:c r="N161" s="163"/>
      <x:c r="O161" s="163" t="n">
        <x:f>IF(NOT(CHOOSE($D$4,ISNUMBER(O162),ISNUMBER(O163),ISNUMBER(O164))),"n.a.",CHOOSE($D$4,O162,O163,O164))</x:f>
        <x:v>0</x:v>
      </x:c>
      <x:c r="P161" s="163" t="n">
        <x:f>IF(NOT(CHOOSE($D$4,ISNUMBER(P162),ISNUMBER(P163),ISNUMBER(P164))),"n.a.",CHOOSE($D$4,P162,P163,P164))</x:f>
        <x:v>0</x:v>
      </x:c>
      <x:c r="Q161" s="163" t="n">
        <x:f>IF(NOT(CHOOSE($D$4,ISNUMBER(Q162),ISNUMBER(Q163),ISNUMBER(Q164))),"n.a.",CHOOSE($D$4,Q162,Q163,Q164))</x:f>
        <x:v>0</x:v>
      </x:c>
      <x:c r="R161" s="163" t="n">
        <x:f>IF(NOT(CHOOSE($D$4,ISNUMBER(R162),ISNUMBER(R163),ISNUMBER(R164))),"n.a.",CHOOSE($D$4,R162,R163,R164))</x:f>
        <x:v>0</x:v>
      </x:c>
      <x:c r="S161" s="163" t="n">
        <x:f>IF(NOT(CHOOSE($D$4,ISNUMBER(S162),ISNUMBER(S163),ISNUMBER(S164))),"n.a.",CHOOSE($D$4,S162,S163,S164))</x:f>
        <x:v>0</x:v>
      </x:c>
      <x:c r="T161" s="103"/>
      <x:c r="U161" s="103"/>
    </x:row>
    <x:row r="162" ht="24" customHeight="1">
      <x:c r="A162" s="103"/>
      <x:c r="B162" s="103"/>
      <x:c r="C162" s="103" t="str">
        <x:v>Base</x:v>
      </x:c>
      <x:c r="D162" s="103"/>
      <x:c r="E162" s="109"/>
      <x:c r="F162" s="109"/>
      <x:c r="G162" s="109"/>
      <x:c r="H162" s="109"/>
      <x:c r="I162" s="109"/>
      <x:c r="J162" s="109"/>
      <x:c r="K162" s="109"/>
      <x:c r="L162" s="109"/>
      <x:c r="M162" s="109"/>
      <x:c r="N162" s="109"/>
      <x:c r="O162" s="166" t="n">
        <x:v>0</x:v>
      </x:c>
      <x:c r="P162" s="166" t="n">
        <x:v>0</x:v>
      </x:c>
      <x:c r="Q162" s="166" t="n">
        <x:v>0</x:v>
      </x:c>
      <x:c r="R162" s="166" t="n">
        <x:v>0</x:v>
      </x:c>
      <x:c r="S162" s="166" t="n">
        <x:v>0</x:v>
      </x:c>
      <x:c r="T162" s="103"/>
      <x:c r="U162" s="103"/>
    </x:row>
    <x:row r="163" ht="24" customHeight="1">
      <x:c r="A163" s="103"/>
      <x:c r="B163" s="103"/>
      <x:c r="C163" s="103" t="str">
        <x:v>Upside</x:v>
      </x:c>
      <x:c r="D163" s="103"/>
      <x:c r="E163" s="109"/>
      <x:c r="F163" s="109"/>
      <x:c r="G163" s="109"/>
      <x:c r="H163" s="109"/>
      <x:c r="I163" s="109"/>
      <x:c r="J163" s="109"/>
      <x:c r="K163" s="109"/>
      <x:c r="L163" s="109"/>
      <x:c r="M163" s="109"/>
      <x:c r="N163" s="109"/>
      <x:c r="O163" s="166" t="n">
        <x:v>0</x:v>
      </x:c>
      <x:c r="P163" s="166" t="n">
        <x:v>0</x:v>
      </x:c>
      <x:c r="Q163" s="166" t="n">
        <x:v>0</x:v>
      </x:c>
      <x:c r="R163" s="166" t="n">
        <x:v>0</x:v>
      </x:c>
      <x:c r="S163" s="166" t="n">
        <x:v>0</x:v>
      </x:c>
      <x:c r="T163" s="103"/>
      <x:c r="U163" s="103"/>
    </x:row>
    <x:row r="164" ht="24" customHeight="1">
      <x:c r="A164" s="103"/>
      <x:c r="B164" s="103"/>
      <x:c r="C164" s="103" t="str">
        <x:v>Downside</x:v>
      </x:c>
      <x:c r="D164" s="103"/>
      <x:c r="E164" s="109"/>
      <x:c r="F164" s="109"/>
      <x:c r="G164" s="109"/>
      <x:c r="H164" s="109"/>
      <x:c r="I164" s="109"/>
      <x:c r="J164" s="109"/>
      <x:c r="K164" s="109"/>
      <x:c r="L164" s="109"/>
      <x:c r="M164" s="109"/>
      <x:c r="N164" s="109"/>
      <x:c r="O164" s="166" t="n">
        <x:v>0</x:v>
      </x:c>
      <x:c r="P164" s="166" t="n">
        <x:v>0</x:v>
      </x:c>
      <x:c r="Q164" s="166" t="n">
        <x:v>0</x:v>
      </x:c>
      <x:c r="R164" s="166" t="n">
        <x:v>0</x:v>
      </x:c>
      <x:c r="S164" s="166" t="n">
        <x:v>0</x:v>
      </x:c>
      <x:c r="T164" s="103"/>
      <x:c r="U164" s="103"/>
    </x:row>
    <x:row r="165" ht="24" customHeight="1">
      <x:c r="A165" s="103"/>
      <x:c r="B165" s="103"/>
      <x:c r="C165" s="144" t="str">
        <x:v>Planned short-term investment balance growth</x:v>
      </x:c>
      <x:c r="D165" s="144"/>
      <x:c r="E165" s="147"/>
      <x:c r="F165" s="147"/>
      <x:c r="G165" s="147"/>
      <x:c r="H165" s="147"/>
      <x:c r="I165" s="147"/>
      <x:c r="J165" s="147"/>
      <x:c r="K165" s="147"/>
      <x:c r="L165" s="147"/>
      <x:c r="M165" s="147"/>
      <x:c r="N165" s="147"/>
      <x:c r="O165" s="147" t="n">
        <x:f>IF(NOT(CHOOSE($D$4,ISNUMBER(O166),ISNUMBER(O167),ISNUMBER(O168))),"n.a.",CHOOSE($D$4,O166,O167,O168))</x:f>
        <x:v>0</x:v>
      </x:c>
      <x:c r="P165" s="147" t="n">
        <x:f>IF(NOT(CHOOSE($D$4,ISNUMBER(P166),ISNUMBER(P167),ISNUMBER(P168))),"n.a.",CHOOSE($D$4,P166,P167,P168))</x:f>
        <x:v>0</x:v>
      </x:c>
      <x:c r="Q165" s="147" t="n">
        <x:f>IF(NOT(CHOOSE($D$4,ISNUMBER(Q166),ISNUMBER(Q167),ISNUMBER(Q168))),"n.a.",CHOOSE($D$4,Q166,Q167,Q168))</x:f>
        <x:v>0</x:v>
      </x:c>
      <x:c r="R165" s="147" t="n">
        <x:f>IF(NOT(CHOOSE($D$4,ISNUMBER(R166),ISNUMBER(R167),ISNUMBER(R168))),"n.a.",CHOOSE($D$4,R166,R167,R168))</x:f>
        <x:v>0</x:v>
      </x:c>
      <x:c r="S165" s="147" t="n">
        <x:f>IF(NOT(CHOOSE($D$4,ISNUMBER(S166),ISNUMBER(S167),ISNUMBER(S168))),"n.a.",CHOOSE($D$4,S166,S167,S168))</x:f>
        <x:v>0</x:v>
      </x:c>
      <x:c r="T165" s="103"/>
      <x:c r="U165" s="103"/>
    </x:row>
    <x:row r="166" ht="24" customHeight="1">
      <x:c r="A166" s="103"/>
      <x:c r="B166" s="103"/>
      <x:c r="C166" s="105" t="str">
        <x:v>Base</x:v>
      </x:c>
      <x:c r="D166" s="105"/>
      <x:c r="E166" s="119"/>
      <x:c r="F166" s="119"/>
      <x:c r="G166" s="119"/>
      <x:c r="H166" s="119"/>
      <x:c r="I166" s="119"/>
      <x:c r="J166" s="119"/>
      <x:c r="K166" s="119"/>
      <x:c r="L166" s="119"/>
      <x:c r="M166" s="119"/>
      <x:c r="N166" s="119"/>
      <x:c r="O166" s="149" t="n">
        <x:v>0</x:v>
      </x:c>
      <x:c r="P166" s="149" t="n">
        <x:v>0</x:v>
      </x:c>
      <x:c r="Q166" s="149" t="n">
        <x:v>0</x:v>
      </x:c>
      <x:c r="R166" s="149" t="n">
        <x:v>0</x:v>
      </x:c>
      <x:c r="S166" s="149" t="n">
        <x:v>0</x:v>
      </x:c>
      <x:c r="T166" s="103"/>
      <x:c r="U166" s="103"/>
    </x:row>
    <x:row r="167" ht="24" customHeight="1">
      <x:c r="A167" s="103"/>
      <x:c r="B167" s="103"/>
      <x:c r="C167" s="105" t="str">
        <x:v>Upside</x:v>
      </x:c>
      <x:c r="D167" s="105"/>
      <x:c r="E167" s="119"/>
      <x:c r="F167" s="119"/>
      <x:c r="G167" s="119"/>
      <x:c r="H167" s="119"/>
      <x:c r="I167" s="119"/>
      <x:c r="J167" s="119"/>
      <x:c r="K167" s="119"/>
      <x:c r="L167" s="119"/>
      <x:c r="M167" s="119"/>
      <x:c r="N167" s="119"/>
      <x:c r="O167" s="149" t="n">
        <x:v>0</x:v>
      </x:c>
      <x:c r="P167" s="149" t="n">
        <x:v>0</x:v>
      </x:c>
      <x:c r="Q167" s="149" t="n">
        <x:v>0</x:v>
      </x:c>
      <x:c r="R167" s="149" t="n">
        <x:v>0</x:v>
      </x:c>
      <x:c r="S167" s="149" t="n">
        <x:v>0</x:v>
      </x:c>
      <x:c r="T167" s="103"/>
      <x:c r="U167" s="103"/>
    </x:row>
    <x:row r="168" ht="24" customHeight="1">
      <x:c r="A168" s="103"/>
      <x:c r="B168" s="103"/>
      <x:c r="C168" s="105" t="str">
        <x:v>Downside</x:v>
      </x:c>
      <x:c r="D168" s="105"/>
      <x:c r="E168" s="119"/>
      <x:c r="F168" s="119"/>
      <x:c r="G168" s="119"/>
      <x:c r="H168" s="119"/>
      <x:c r="I168" s="119"/>
      <x:c r="J168" s="119"/>
      <x:c r="K168" s="119"/>
      <x:c r="L168" s="119"/>
      <x:c r="M168" s="119"/>
      <x:c r="N168" s="119"/>
      <x:c r="O168" s="149" t="n">
        <x:v>0</x:v>
      </x:c>
      <x:c r="P168" s="149" t="n">
        <x:v>0</x:v>
      </x:c>
      <x:c r="Q168" s="149" t="n">
        <x:v>0</x:v>
      </x:c>
      <x:c r="R168" s="149" t="n">
        <x:v>0</x:v>
      </x:c>
      <x:c r="S168" s="149" t="n">
        <x:v>0</x:v>
      </x:c>
      <x:c r="T168" s="103"/>
      <x:c r="U168" s="103"/>
    </x:row>
    <x:row r="169" ht="24" customHeight="1">
      <x:c r="A169" s="103"/>
      <x:c r="B169" s="103"/>
      <x:c r="C169" s="144" t="str">
        <x:v>Cash purchases of equity investments / revenue</x:v>
      </x:c>
      <x:c r="D169" s="144"/>
      <x:c r="E169" s="147"/>
      <x:c r="F169" s="147"/>
      <x:c r="G169" s="147"/>
      <x:c r="H169" s="147"/>
      <x:c r="I169" s="147"/>
      <x:c r="J169" s="147"/>
      <x:c r="K169" s="147"/>
      <x:c r="L169" s="147"/>
      <x:c r="M169" s="147"/>
      <x:c r="N169" s="147"/>
      <x:c r="O169" s="147" t="n">
        <x:f>IF(NOT(CHOOSE($D$4,ISNUMBER(O170),ISNUMBER(O171),ISNUMBER(O172))),"n.a.",CHOOSE($D$4,O170,O171,O172))</x:f>
        <x:v>0.01</x:v>
      </x:c>
      <x:c r="P169" s="147" t="n">
        <x:f>IF(NOT(CHOOSE($D$4,ISNUMBER(P170),ISNUMBER(P171),ISNUMBER(P172))),"n.a.",CHOOSE($D$4,P170,P171,P172))</x:f>
        <x:v>0.01</x:v>
      </x:c>
      <x:c r="Q169" s="147" t="n">
        <x:f>IF(NOT(CHOOSE($D$4,ISNUMBER(Q170),ISNUMBER(Q171),ISNUMBER(Q172))),"n.a.",CHOOSE($D$4,Q170,Q171,Q172))</x:f>
        <x:v>0.01</x:v>
      </x:c>
      <x:c r="R169" s="147" t="n">
        <x:f>IF(NOT(CHOOSE($D$4,ISNUMBER(R170),ISNUMBER(R171),ISNUMBER(R172))),"n.a.",CHOOSE($D$4,R170,R171,R172))</x:f>
        <x:v>0.01</x:v>
      </x:c>
      <x:c r="S169" s="147" t="n">
        <x:f>IF(NOT(CHOOSE($D$4,ISNUMBER(S170),ISNUMBER(S171),ISNUMBER(S172))),"n.a.",CHOOSE($D$4,S170,S171,S172))</x:f>
        <x:v>0.01</x:v>
      </x:c>
      <x:c r="T169" s="103"/>
      <x:c r="U169" s="103"/>
    </x:row>
    <x:row r="170" ht="24" customHeight="1">
      <x:c r="A170" s="103"/>
      <x:c r="B170" s="103"/>
      <x:c r="C170" s="105" t="str">
        <x:v>Base</x:v>
      </x:c>
      <x:c r="D170" s="105"/>
      <x:c r="E170" s="119"/>
      <x:c r="F170" s="119"/>
      <x:c r="G170" s="119"/>
      <x:c r="H170" s="119"/>
      <x:c r="I170" s="119"/>
      <x:c r="J170" s="119"/>
      <x:c r="K170" s="119"/>
      <x:c r="L170" s="119"/>
      <x:c r="M170" s="119"/>
      <x:c r="N170" s="119"/>
      <x:c r="O170" s="149" t="n">
        <x:v>0.01</x:v>
      </x:c>
      <x:c r="P170" s="149" t="n">
        <x:v>0.01</x:v>
      </x:c>
      <x:c r="Q170" s="149" t="n">
        <x:v>0.01</x:v>
      </x:c>
      <x:c r="R170" s="149" t="n">
        <x:v>0.01</x:v>
      </x:c>
      <x:c r="S170" s="149" t="n">
        <x:v>0.01</x:v>
      </x:c>
      <x:c r="T170" s="103"/>
      <x:c r="U170" s="103"/>
    </x:row>
    <x:row r="171" ht="24" customHeight="1">
      <x:c r="A171" s="103"/>
      <x:c r="B171" s="103"/>
      <x:c r="C171" s="105" t="str">
        <x:v>Upside</x:v>
      </x:c>
      <x:c r="D171" s="105"/>
      <x:c r="E171" s="119"/>
      <x:c r="F171" s="119"/>
      <x:c r="G171" s="119"/>
      <x:c r="H171" s="119"/>
      <x:c r="I171" s="119"/>
      <x:c r="J171" s="119"/>
      <x:c r="K171" s="119"/>
      <x:c r="L171" s="119"/>
      <x:c r="M171" s="119"/>
      <x:c r="N171" s="119"/>
      <x:c r="O171" s="149" t="n">
        <x:v>0.01</x:v>
      </x:c>
      <x:c r="P171" s="149" t="n">
        <x:v>0.01</x:v>
      </x:c>
      <x:c r="Q171" s="149" t="n">
        <x:v>0.01</x:v>
      </x:c>
      <x:c r="R171" s="149" t="n">
        <x:v>0.01</x:v>
      </x:c>
      <x:c r="S171" s="149" t="n">
        <x:v>0.01</x:v>
      </x:c>
      <x:c r="T171" s="103"/>
      <x:c r="U171" s="103"/>
    </x:row>
    <x:row r="172" ht="24" customHeight="1">
      <x:c r="A172" s="103"/>
      <x:c r="B172" s="103"/>
      <x:c r="C172" s="105" t="str">
        <x:v>Downside</x:v>
      </x:c>
      <x:c r="D172" s="105"/>
      <x:c r="E172" s="119"/>
      <x:c r="F172" s="119"/>
      <x:c r="G172" s="119"/>
      <x:c r="H172" s="119"/>
      <x:c r="I172" s="119"/>
      <x:c r="J172" s="119"/>
      <x:c r="K172" s="119"/>
      <x:c r="L172" s="119"/>
      <x:c r="M172" s="119"/>
      <x:c r="N172" s="119"/>
      <x:c r="O172" s="149" t="n">
        <x:v>0.01</x:v>
      </x:c>
      <x:c r="P172" s="149" t="n">
        <x:v>0.01</x:v>
      </x:c>
      <x:c r="Q172" s="149" t="n">
        <x:v>0.01</x:v>
      </x:c>
      <x:c r="R172" s="149" t="n">
        <x:v>0.01</x:v>
      </x:c>
      <x:c r="S172" s="149" t="n">
        <x:v>0.01</x:v>
      </x:c>
      <x:c r="T172" s="103"/>
      <x:c r="U172" s="103"/>
    </x:row>
    <x:row r="173" ht="24" customHeight="1">
      <x:c r="A173" s="103"/>
      <x:c r="B173" s="103"/>
      <x:c r="C173" s="142" t="str">
        <x:v>Cash proceeds from employee share issuance / revenue</x:v>
      </x:c>
      <x:c r="D173" s="144"/>
      <x:c r="E173" s="147" t="n">
        <x:f>'Cash Flow'!E43/'Income Statement'!E8</x:f>
        <x:v>0.007994118317093124</x:v>
      </x:c>
      <x:c r="F173" s="147" t="n">
        <x:f>'Cash Flow'!F43/'Income Statement'!F8</x:f>
        <x:v>0.009079376585719464</x:v>
      </x:c>
      <x:c r="G173" s="147" t="n">
        <x:f>'Cash Flow'!G43/'Income Statement'!G8</x:f>
        <x:v>0.00907479955182251</x:v>
      </x:c>
      <x:c r="H173" s="147" t="n">
        <x:f>'Cash Flow'!H43/'Income Statement'!H8</x:f>
        <x:v>0.00939062336118589</x:v>
      </x:c>
      <x:c r="I173" s="147" t="n">
        <x:f>'Cash Flow'!I43/'Income Statement'!I8</x:f>
        <x:v>0.010072105087811147</x:v>
      </x:c>
      <x:c r="J173" s="147" t="n">
        <x:f>'Cash Flow'!J43/'Income Statement'!J8</x:f>
        <x:v>0.009285318000706108</x:v>
      </x:c>
      <x:c r="K173" s="147" t="n">
        <x:f>'Cash Flow'!K43/'Income Statement'!K8</x:f>
        <x:v>0.008805417266356794</x:v>
      </x:c>
      <x:c r="L173" s="147" t="n">
        <x:f>'Cash Flow'!L43/'Income Statement'!L8</x:f>
        <x:v>0.008167361558734019</x:v>
      </x:c>
      <x:c r="M173" s="147" t="n">
        <x:f>'Cash Flow'!M43/'Income Statement'!M8</x:f>
        <x:v>0.00729792278968068</x:v>
      </x:c>
      <x:c r="N173" s="147" t="n">
        <x:f>'Cash Flow'!N43/'Income Statement'!N8</x:f>
        <x:v>0.006054140712815552</x:v>
      </x:c>
      <x:c r="O173" s="147" t="n">
        <x:f>IF(NOT(CHOOSE($D$4,ISNUMBER(O174),ISNUMBER(O175),ISNUMBER(O176))),"n.a.",CHOOSE($D$4,O174,O175,O176))</x:f>
        <x:v>0.006</x:v>
      </x:c>
      <x:c r="P173" s="147" t="n">
        <x:f>IF(NOT(CHOOSE($D$4,ISNUMBER(P174),ISNUMBER(P175),ISNUMBER(P176))),"n.a.",CHOOSE($D$4,P174,P175,P176))</x:f>
        <x:v>0.006</x:v>
      </x:c>
      <x:c r="Q173" s="147" t="n">
        <x:f>IF(NOT(CHOOSE($D$4,ISNUMBER(Q174),ISNUMBER(Q175),ISNUMBER(Q176))),"n.a.",CHOOSE($D$4,Q174,Q175,Q176))</x:f>
        <x:v>0.006</x:v>
      </x:c>
      <x:c r="R173" s="147" t="n">
        <x:f>IF(NOT(CHOOSE($D$4,ISNUMBER(R174),ISNUMBER(R175),ISNUMBER(R176))),"n.a.",CHOOSE($D$4,R174,R175,R176))</x:f>
        <x:v>0.006</x:v>
      </x:c>
      <x:c r="S173" s="147" t="n">
        <x:f>IF(NOT(CHOOSE($D$4,ISNUMBER(S174),ISNUMBER(S175),ISNUMBER(S176))),"n.a.",CHOOSE($D$4,S174,S175,S176))</x:f>
        <x:v>0.006</x:v>
      </x:c>
      <x:c r="T173" s="103"/>
      <x:c r="U173" s="103"/>
    </x:row>
    <x:row r="174" ht="24" customHeight="1">
      <x:c r="A174" s="103"/>
      <x:c r="B174" s="103"/>
      <x:c r="C174" s="105" t="str">
        <x:v>Base</x:v>
      </x:c>
      <x:c r="D174" s="105"/>
      <x:c r="E174" s="119"/>
      <x:c r="F174" s="119"/>
      <x:c r="G174" s="119"/>
      <x:c r="H174" s="119"/>
      <x:c r="I174" s="119"/>
      <x:c r="J174" s="119"/>
      <x:c r="K174" s="119"/>
      <x:c r="L174" s="119"/>
      <x:c r="M174" s="119"/>
      <x:c r="N174" s="119"/>
      <x:c r="O174" s="149" t="n">
        <x:v>0.006</x:v>
      </x:c>
      <x:c r="P174" s="149" t="n">
        <x:v>0.006</x:v>
      </x:c>
      <x:c r="Q174" s="149" t="n">
        <x:v>0.006</x:v>
      </x:c>
      <x:c r="R174" s="149" t="n">
        <x:v>0.006</x:v>
      </x:c>
      <x:c r="S174" s="149" t="n">
        <x:v>0.006</x:v>
      </x:c>
      <x:c r="T174" s="103"/>
      <x:c r="U174" s="103"/>
    </x:row>
    <x:row r="175" ht="24" customHeight="1">
      <x:c r="A175" s="103"/>
      <x:c r="B175" s="103"/>
      <x:c r="C175" s="105" t="str">
        <x:v>Upside</x:v>
      </x:c>
      <x:c r="D175" s="105"/>
      <x:c r="E175" s="119"/>
      <x:c r="F175" s="119"/>
      <x:c r="G175" s="119"/>
      <x:c r="H175" s="119"/>
      <x:c r="I175" s="119"/>
      <x:c r="J175" s="119"/>
      <x:c r="K175" s="119"/>
      <x:c r="L175" s="119"/>
      <x:c r="M175" s="119"/>
      <x:c r="N175" s="119"/>
      <x:c r="O175" s="149" t="n">
        <x:v>0.006</x:v>
      </x:c>
      <x:c r="P175" s="149" t="n">
        <x:v>0.006</x:v>
      </x:c>
      <x:c r="Q175" s="149" t="n">
        <x:v>0.006</x:v>
      </x:c>
      <x:c r="R175" s="149" t="n">
        <x:v>0.006</x:v>
      </x:c>
      <x:c r="S175" s="149" t="n">
        <x:v>0.006</x:v>
      </x:c>
      <x:c r="T175" s="103"/>
      <x:c r="U175" s="103"/>
    </x:row>
    <x:row r="176" ht="24" customHeight="1">
      <x:c r="A176" s="103"/>
      <x:c r="B176" s="103"/>
      <x:c r="C176" s="105" t="str">
        <x:v>Downside</x:v>
      </x:c>
      <x:c r="D176" s="105"/>
      <x:c r="E176" s="119"/>
      <x:c r="F176" s="119"/>
      <x:c r="G176" s="119"/>
      <x:c r="H176" s="119"/>
      <x:c r="I176" s="119"/>
      <x:c r="J176" s="119"/>
      <x:c r="K176" s="119"/>
      <x:c r="L176" s="119"/>
      <x:c r="M176" s="119"/>
      <x:c r="N176" s="119"/>
      <x:c r="O176" s="149" t="n">
        <x:v>0.006</x:v>
      </x:c>
      <x:c r="P176" s="149" t="n">
        <x:v>0.006</x:v>
      </x:c>
      <x:c r="Q176" s="149" t="n">
        <x:v>0.006</x:v>
      </x:c>
      <x:c r="R176" s="149" t="n">
        <x:v>0.006</x:v>
      </x:c>
      <x:c r="S176" s="149" t="n">
        <x:v>0.006</x:v>
      </x:c>
      <x:c r="T176" s="103"/>
      <x:c r="U176" s="103"/>
    </x:row>
    <x:row r="177" ht="24" customHeight="1">
      <x:c r="A177" s="103"/>
      <x:c r="B177" s="103"/>
      <x:c r="C177" s="144" t="str">
        <x:v>Stock-based compensation / revenue</x:v>
      </x:c>
      <x:c r="D177" s="144"/>
      <x:c r="E177" s="147" t="n">
        <x:f>'Cash Flow'!E12/'Income Statement'!E8</x:f>
        <x:v>0.033819676714541634</x:v>
      </x:c>
      <x:c r="F177" s="147" t="n">
        <x:f>'Cash Flow'!F12/'Income Statement'!F8</x:f>
        <x:v>0.03570134106560348</x:v>
      </x:c>
      <x:c r="G177" s="147" t="n">
        <x:f>'Cash Flow'!G12/'Income Statement'!G8</x:f>
        <x:v>0.036966696598142126</x:v>
      </x:c>
      <x:c r="H177" s="147" t="n">
        <x:f>'Cash Flow'!H12/'Income Statement'!H8</x:f>
        <x:v>0.036982134741111075</x:v>
      </x:c>
      <x:c r="I177" s="147" t="n">
        <x:f>'Cash Flow'!I12/'Income Statement'!I8</x:f>
        <x:v>0.036397601256484696</x:v>
      </x:c>
      <x:c r="J177" s="147" t="n">
        <x:f>'Cash Flow'!J12/'Income Statement'!J8</x:f>
        <x:v>0.037837292580824126</x:v>
      </x:c>
      <x:c r="K177" s="147" t="n">
        <x:f>'Cash Flow'!K12/'Income Statement'!K8</x:f>
        <x:v>0.04535308968218389</x:v>
      </x:c>
      <x:c r="L177" s="147" t="n">
        <x:f>'Cash Flow'!L12/'Income Statement'!L8</x:f>
        <x:v>0.04379043904667879</x:v>
      </x:c>
      <x:c r="M177" s="147" t="n">
        <x:f>'Cash Flow'!M12/'Income Statement'!M8</x:f>
        <x:v>0.042502591188539135</x:v>
      </x:c>
      <x:c r="N177" s="147" t="n">
        <x:f>'Cash Flow'!N12/'Income Statement'!N8</x:f>
        <x:v>0.0373825861336371</x:v>
      </x:c>
      <x:c r="O177" s="147" t="n">
        <x:f>IF(NOT(CHOOSE($D$4,ISNUMBER(O178),ISNUMBER(O179),ISNUMBER(O180))),"n.a.",CHOOSE($D$4,O178,O179,O180))</x:f>
        <x:v>0.0375</x:v>
      </x:c>
      <x:c r="P177" s="147" t="n">
        <x:f>IF(NOT(CHOOSE($D$4,ISNUMBER(P178),ISNUMBER(P179),ISNUMBER(P180))),"n.a.",CHOOSE($D$4,P178,P179,P180))</x:f>
        <x:v>0.0375</x:v>
      </x:c>
      <x:c r="Q177" s="147" t="n">
        <x:f>IF(NOT(CHOOSE($D$4,ISNUMBER(Q178),ISNUMBER(Q179),ISNUMBER(Q180))),"n.a.",CHOOSE($D$4,Q178,Q179,Q180))</x:f>
        <x:v>0.0375</x:v>
      </x:c>
      <x:c r="R177" s="147" t="n">
        <x:f>IF(NOT(CHOOSE($D$4,ISNUMBER(R178),ISNUMBER(R179),ISNUMBER(R180))),"n.a.",CHOOSE($D$4,R178,R179,R180))</x:f>
        <x:v>0.0375</x:v>
      </x:c>
      <x:c r="S177" s="147" t="n">
        <x:f>IF(NOT(CHOOSE($D$4,ISNUMBER(S178),ISNUMBER(S179),ISNUMBER(S180))),"n.a.",CHOOSE($D$4,S178,S179,S180))</x:f>
        <x:v>0.0375</x:v>
      </x:c>
      <x:c r="T177" s="103"/>
      <x:c r="U177" s="103"/>
    </x:row>
    <x:row r="178" ht="24" customHeight="1">
      <x:c r="A178" s="103"/>
      <x:c r="B178" s="103"/>
      <x:c r="C178" s="105" t="str">
        <x:v>Base</x:v>
      </x:c>
      <x:c r="D178" s="105"/>
      <x:c r="E178" s="119"/>
      <x:c r="F178" s="119"/>
      <x:c r="G178" s="119"/>
      <x:c r="H178" s="119"/>
      <x:c r="I178" s="119"/>
      <x:c r="J178" s="119"/>
      <x:c r="K178" s="119"/>
      <x:c r="L178" s="119"/>
      <x:c r="M178" s="119"/>
      <x:c r="N178" s="119"/>
      <x:c r="O178" s="149" t="n">
        <x:v>0.0375</x:v>
      </x:c>
      <x:c r="P178" s="149" t="n">
        <x:v>0.0375</x:v>
      </x:c>
      <x:c r="Q178" s="149" t="n">
        <x:v>0.0375</x:v>
      </x:c>
      <x:c r="R178" s="149" t="n">
        <x:v>0.0375</x:v>
      </x:c>
      <x:c r="S178" s="149" t="n">
        <x:v>0.0375</x:v>
      </x:c>
      <x:c r="T178" s="103"/>
      <x:c r="U178" s="103"/>
    </x:row>
    <x:row r="179" ht="24" customHeight="1">
      <x:c r="A179" s="103"/>
      <x:c r="B179" s="103"/>
      <x:c r="C179" s="105" t="str">
        <x:v>Upside</x:v>
      </x:c>
      <x:c r="D179" s="105"/>
      <x:c r="E179" s="119"/>
      <x:c r="F179" s="119"/>
      <x:c r="G179" s="119"/>
      <x:c r="H179" s="119"/>
      <x:c r="I179" s="119"/>
      <x:c r="J179" s="119"/>
      <x:c r="K179" s="119"/>
      <x:c r="L179" s="119"/>
      <x:c r="M179" s="119"/>
      <x:c r="N179" s="119"/>
      <x:c r="O179" s="149" t="n">
        <x:v>0.0375</x:v>
      </x:c>
      <x:c r="P179" s="149" t="n">
        <x:v>0.0375</x:v>
      </x:c>
      <x:c r="Q179" s="149" t="n">
        <x:v>0.0375</x:v>
      </x:c>
      <x:c r="R179" s="149" t="n">
        <x:v>0.0375</x:v>
      </x:c>
      <x:c r="S179" s="149" t="n">
        <x:v>0.0375</x:v>
      </x:c>
      <x:c r="T179" s="103"/>
      <x:c r="U179" s="103"/>
    </x:row>
    <x:row r="180" ht="24" customHeight="1">
      <x:c r="A180" s="103"/>
      <x:c r="B180" s="103"/>
      <x:c r="C180" s="105" t="str">
        <x:v>Downside</x:v>
      </x:c>
      <x:c r="D180" s="105"/>
      <x:c r="E180" s="119"/>
      <x:c r="F180" s="119"/>
      <x:c r="G180" s="119"/>
      <x:c r="H180" s="119"/>
      <x:c r="I180" s="119"/>
      <x:c r="J180" s="119"/>
      <x:c r="K180" s="119"/>
      <x:c r="L180" s="119"/>
      <x:c r="M180" s="119"/>
      <x:c r="N180" s="119"/>
      <x:c r="O180" s="149" t="n">
        <x:v>0.0375</x:v>
      </x:c>
      <x:c r="P180" s="149" t="n">
        <x:v>0.0375</x:v>
      </x:c>
      <x:c r="Q180" s="149" t="n">
        <x:v>0.0375</x:v>
      </x:c>
      <x:c r="R180" s="149" t="n">
        <x:v>0.0375</x:v>
      </x:c>
      <x:c r="S180" s="149" t="n">
        <x:v>0.0375</x:v>
      </x:c>
      <x:c r="T180" s="103"/>
      <x:c r="U180" s="103"/>
    </x:row>
    <x:row r="181" ht="24" customHeight="1">
      <x:c r="A181" s="103"/>
      <x:c r="B181" s="103"/>
      <x:c r="C181" s="144" t="str">
        <x:v>Share of buybacks charged to retained earnings</x:v>
      </x:c>
      <x:c r="D181" s="144"/>
      <x:c r="E181" s="147"/>
      <x:c r="F181" s="147"/>
      <x:c r="G181" s="147"/>
      <x:c r="H181" s="147"/>
      <x:c r="I181" s="147"/>
      <x:c r="J181" s="147"/>
      <x:c r="K181" s="147"/>
      <x:c r="L181" s="147"/>
      <x:c r="M181" s="147"/>
      <x:c r="N181" s="147"/>
      <x:c r="O181" s="147" t="n">
        <x:f>IF(NOT(CHOOSE($D$4,ISNUMBER(O182),ISNUMBER(O183),ISNUMBER(O184))),"n.a.",CHOOSE($D$4,O182,O183,O184))</x:f>
        <x:v>0.75</x:v>
      </x:c>
      <x:c r="P181" s="147" t="n">
        <x:f>IF(NOT(CHOOSE($D$4,ISNUMBER(P182),ISNUMBER(P183),ISNUMBER(P184))),"n.a.",CHOOSE($D$4,P182,P183,P184))</x:f>
        <x:v>0.75</x:v>
      </x:c>
      <x:c r="Q181" s="147" t="n">
        <x:f>IF(NOT(CHOOSE($D$4,ISNUMBER(Q182),ISNUMBER(Q183),ISNUMBER(Q184))),"n.a.",CHOOSE($D$4,Q182,Q183,Q184))</x:f>
        <x:v>0.75</x:v>
      </x:c>
      <x:c r="R181" s="147" t="n">
        <x:f>IF(NOT(CHOOSE($D$4,ISNUMBER(R182),ISNUMBER(R183),ISNUMBER(R184))),"n.a.",CHOOSE($D$4,R182,R183,R184))</x:f>
        <x:v>0.75</x:v>
      </x:c>
      <x:c r="S181" s="147" t="n">
        <x:f>IF(NOT(CHOOSE($D$4,ISNUMBER(S182),ISNUMBER(S183),ISNUMBER(S184))),"n.a.",CHOOSE($D$4,S182,S183,S184))</x:f>
        <x:v>0.75</x:v>
      </x:c>
      <x:c r="T181" s="103"/>
      <x:c r="U181" s="103"/>
    </x:row>
    <x:row r="182" ht="24" customHeight="1">
      <x:c r="A182" s="103"/>
      <x:c r="B182" s="103"/>
      <x:c r="C182" s="105" t="str">
        <x:v>Base</x:v>
      </x:c>
      <x:c r="D182" s="105"/>
      <x:c r="E182" s="119"/>
      <x:c r="F182" s="119"/>
      <x:c r="G182" s="119"/>
      <x:c r="H182" s="119"/>
      <x:c r="I182" s="119"/>
      <x:c r="J182" s="119"/>
      <x:c r="K182" s="119"/>
      <x:c r="L182" s="119"/>
      <x:c r="M182" s="119"/>
      <x:c r="N182" s="119"/>
      <x:c r="O182" s="149" t="n">
        <x:v>0.75</x:v>
      </x:c>
      <x:c r="P182" s="149" t="n">
        <x:v>0.75</x:v>
      </x:c>
      <x:c r="Q182" s="149" t="n">
        <x:v>0.75</x:v>
      </x:c>
      <x:c r="R182" s="149" t="n">
        <x:v>0.75</x:v>
      </x:c>
      <x:c r="S182" s="149" t="n">
        <x:v>0.75</x:v>
      </x:c>
      <x:c r="T182" s="103"/>
      <x:c r="U182" s="103"/>
    </x:row>
    <x:row r="183" ht="24" customHeight="1">
      <x:c r="A183" s="103"/>
      <x:c r="B183" s="103"/>
      <x:c r="C183" s="105" t="str">
        <x:v>Upside</x:v>
      </x:c>
      <x:c r="D183" s="105"/>
      <x:c r="E183" s="119"/>
      <x:c r="F183" s="119"/>
      <x:c r="G183" s="119"/>
      <x:c r="H183" s="119"/>
      <x:c r="I183" s="119"/>
      <x:c r="J183" s="119"/>
      <x:c r="K183" s="119"/>
      <x:c r="L183" s="119"/>
      <x:c r="M183" s="119"/>
      <x:c r="N183" s="119"/>
      <x:c r="O183" s="149" t="n">
        <x:v>0.75</x:v>
      </x:c>
      <x:c r="P183" s="149" t="n">
        <x:v>0.75</x:v>
      </x:c>
      <x:c r="Q183" s="149" t="n">
        <x:v>0.75</x:v>
      </x:c>
      <x:c r="R183" s="149" t="n">
        <x:v>0.75</x:v>
      </x:c>
      <x:c r="S183" s="149" t="n">
        <x:v>0.75</x:v>
      </x:c>
      <x:c r="T183" s="103"/>
      <x:c r="U183" s="103"/>
    </x:row>
    <x:row r="184" ht="24" customHeight="1">
      <x:c r="A184" s="103"/>
      <x:c r="B184" s="103"/>
      <x:c r="C184" s="105" t="str">
        <x:v>Downside</x:v>
      </x:c>
      <x:c r="D184" s="105"/>
      <x:c r="E184" s="119"/>
      <x:c r="F184" s="119"/>
      <x:c r="G184" s="119"/>
      <x:c r="H184" s="119"/>
      <x:c r="I184" s="119"/>
      <x:c r="J184" s="119"/>
      <x:c r="K184" s="119"/>
      <x:c r="L184" s="119"/>
      <x:c r="M184" s="119"/>
      <x:c r="N184" s="119"/>
      <x:c r="O184" s="149" t="n">
        <x:v>0.75</x:v>
      </x:c>
      <x:c r="P184" s="149" t="n">
        <x:v>0.75</x:v>
      </x:c>
      <x:c r="Q184" s="149" t="n">
        <x:v>0.75</x:v>
      </x:c>
      <x:c r="R184" s="149" t="n">
        <x:v>0.75</x:v>
      </x:c>
      <x:c r="S184" s="149" t="n">
        <x:v>0.75</x:v>
      </x:c>
      <x:c r="T184" s="103"/>
      <x:c r="U184" s="103"/>
    </x:row>
    <x:row r="185" ht="24" customHeight="1">
      <x:c r="A185" s="103"/>
      <x:c r="B185" s="103"/>
      <x:c r="C185" s="144" t="str">
        <x:v>Dividends as share of positive net income</x:v>
      </x:c>
      <x:c r="D185" s="144"/>
      <x:c r="E185" s="147" t="n">
        <x:f>-'Cash Flow'!E45/'Income Statement'!E28</x:f>
        <x:v>0.4647102671740751</x:v>
      </x:c>
      <x:c r="F185" s="147" t="n">
        <x:f>-'Cash Flow'!F45/'Income Statement'!F28</x:f>
        <x:v>0.7663387846237403</x:v>
      </x:c>
      <x:c r="G185" s="147" t="n">
        <x:f>-'Cash Flow'!G45/'Income Statement'!G28</x:f>
        <x:v>0.35196228338430174</x:v>
      </x:c>
      <x:c r="H185" s="147" t="n">
        <x:f>-'Cash Flow'!H45/'Income Statement'!H28</x:f>
        <x:v>0.34183961518484224</x:v>
      </x:c>
      <x:c r="I185" s="147" t="n">
        <x:f>-'Cash Flow'!I45/'Income Statement'!I28</x:f>
        <x:v>0.269638164874084</x:v>
      </x:c>
      <x:c r="J185" s="147" t="n">
        <x:f>-'Cash Flow'!J45/'Income Statement'!J28</x:f>
        <x:v>0.24931947537738183</x:v>
      </x:c>
      <x:c r="K185" s="147" t="n">
        <x:f>-'Cash Flow'!K45/'Income Statement'!K28</x:f>
        <x:v>0.2736280593137187</x:v>
      </x:c>
      <x:c r="L185" s="147" t="n">
        <x:f>-'Cash Flow'!L45/'Income Statement'!L28</x:f>
        <x:v>0.24701597531088318</x:v>
      </x:c>
      <x:c r="M185" s="147" t="n">
        <x:f>-'Cash Flow'!M45/'Income Statement'!M28</x:f>
        <x:v>0.23648754811846964</x:v>
      </x:c>
      <x:c r="N185" s="147" t="n">
        <x:f>-'Cash Flow'!N45/'Income Statement'!N28</x:f>
        <x:v>0.19772110445685576</x:v>
      </x:c>
      <x:c r="O185" s="147" t="n">
        <x:f>IF(NOT(CHOOSE($D$4,ISNUMBER(O186),ISNUMBER(O187),ISNUMBER(O188))),"n.a.",CHOOSE($D$4,O186,O187,O188))</x:f>
        <x:v>0.2</x:v>
      </x:c>
      <x:c r="P185" s="147" t="n">
        <x:f>IF(NOT(CHOOSE($D$4,ISNUMBER(P186),ISNUMBER(P187),ISNUMBER(P188))),"n.a.",CHOOSE($D$4,P186,P187,P188))</x:f>
        <x:v>0.2</x:v>
      </x:c>
      <x:c r="Q185" s="147" t="n">
        <x:f>IF(NOT(CHOOSE($D$4,ISNUMBER(Q186),ISNUMBER(Q187),ISNUMBER(Q188))),"n.a.",CHOOSE($D$4,Q186,Q187,Q188))</x:f>
        <x:v>0.2</x:v>
      </x:c>
      <x:c r="R185" s="147" t="n">
        <x:f>IF(NOT(CHOOSE($D$4,ISNUMBER(R186),ISNUMBER(R187),ISNUMBER(R188))),"n.a.",CHOOSE($D$4,R186,R187,R188))</x:f>
        <x:v>0.2</x:v>
      </x:c>
      <x:c r="S185" s="147" t="n">
        <x:f>IF(NOT(CHOOSE($D$4,ISNUMBER(S186),ISNUMBER(S187),ISNUMBER(S188))),"n.a.",CHOOSE($D$4,S186,S187,S188))</x:f>
        <x:v>0.2</x:v>
      </x:c>
      <x:c r="T185" s="103"/>
      <x:c r="U185" s="103"/>
    </x:row>
    <x:row r="186" ht="24" customHeight="1">
      <x:c r="A186" s="103"/>
      <x:c r="B186" s="103"/>
      <x:c r="C186" s="105" t="str">
        <x:v>Base</x:v>
      </x:c>
      <x:c r="D186" s="105"/>
      <x:c r="E186" s="119"/>
      <x:c r="F186" s="119"/>
      <x:c r="G186" s="119"/>
      <x:c r="H186" s="119"/>
      <x:c r="I186" s="119"/>
      <x:c r="J186" s="119"/>
      <x:c r="K186" s="119"/>
      <x:c r="L186" s="119"/>
      <x:c r="M186" s="119"/>
      <x:c r="N186" s="119"/>
      <x:c r="O186" s="149" t="n">
        <x:v>0.2</x:v>
      </x:c>
      <x:c r="P186" s="149" t="n">
        <x:v>0.2</x:v>
      </x:c>
      <x:c r="Q186" s="149" t="n">
        <x:v>0.2</x:v>
      </x:c>
      <x:c r="R186" s="149" t="n">
        <x:v>0.2</x:v>
      </x:c>
      <x:c r="S186" s="149" t="n">
        <x:v>0.2</x:v>
      </x:c>
      <x:c r="T186" s="103"/>
      <x:c r="U186" s="103"/>
    </x:row>
    <x:row r="187" ht="24" customHeight="1">
      <x:c r="A187" s="103"/>
      <x:c r="B187" s="103"/>
      <x:c r="C187" s="105" t="str">
        <x:v>Upside</x:v>
      </x:c>
      <x:c r="D187" s="105"/>
      <x:c r="E187" s="119"/>
      <x:c r="F187" s="119"/>
      <x:c r="G187" s="119"/>
      <x:c r="H187" s="119"/>
      <x:c r="I187" s="119"/>
      <x:c r="J187" s="119"/>
      <x:c r="K187" s="119"/>
      <x:c r="L187" s="119"/>
      <x:c r="M187" s="119"/>
      <x:c r="N187" s="119"/>
      <x:c r="O187" s="149" t="n">
        <x:v>0.2</x:v>
      </x:c>
      <x:c r="P187" s="149" t="n">
        <x:v>0.2</x:v>
      </x:c>
      <x:c r="Q187" s="149" t="n">
        <x:v>0.2</x:v>
      </x:c>
      <x:c r="R187" s="149" t="n">
        <x:v>0.2</x:v>
      </x:c>
      <x:c r="S187" s="149" t="n">
        <x:v>0.2</x:v>
      </x:c>
      <x:c r="T187" s="103"/>
      <x:c r="U187" s="103"/>
    </x:row>
    <x:row r="188" ht="24" customHeight="1">
      <x:c r="A188" s="103"/>
      <x:c r="B188" s="103"/>
      <x:c r="C188" s="105" t="str">
        <x:v>Downside</x:v>
      </x:c>
      <x:c r="D188" s="105"/>
      <x:c r="E188" s="119"/>
      <x:c r="F188" s="119"/>
      <x:c r="G188" s="119"/>
      <x:c r="H188" s="119"/>
      <x:c r="I188" s="119"/>
      <x:c r="J188" s="119"/>
      <x:c r="K188" s="119"/>
      <x:c r="L188" s="119"/>
      <x:c r="M188" s="119"/>
      <x:c r="N188" s="119"/>
      <x:c r="O188" s="149" t="n">
        <x:v>0.2</x:v>
      </x:c>
      <x:c r="P188" s="149" t="n">
        <x:v>0.2</x:v>
      </x:c>
      <x:c r="Q188" s="149" t="n">
        <x:v>0.2</x:v>
      </x:c>
      <x:c r="R188" s="149" t="n">
        <x:v>0.2</x:v>
      </x:c>
      <x:c r="S188" s="149" t="n">
        <x:v>0.2</x:v>
      </x:c>
      <x:c r="T188" s="103"/>
      <x:c r="U188" s="103"/>
    </x:row>
    <x:row r="189" ht="24" customHeight="1">
      <x:c r="A189" s="103"/>
      <x:c r="B189" s="103"/>
      <x:c r="C189" s="144" t="str">
        <x:v>Effective income tax rate</x:v>
      </x:c>
      <x:c r="D189" s="144"/>
      <x:c r="E189" s="147" t="n">
        <x:f>'Income Statement'!E26</x:f>
        <x:v>0.14755359352530015</x:v>
      </x:c>
      <x:c r="F189" s="147" t="n">
        <x:f>'Income Statement'!F26</x:f>
        <x:v>0.5456763722103416</x:v>
      </x:c>
      <x:c r="G189" s="147" t="n">
        <x:f>'Income Statement'!G26</x:f>
        <x:v>0.10181285478850027</x:v>
      </x:c>
      <x:c r="H189" s="147" t="n">
        <x:f>'Income Statement'!H26</x:f>
        <x:v>0.16507655177615205</x:v>
      </x:c>
      <x:c r="I189" s="147" t="n">
        <x:f>'Income Statement'!I26</x:f>
        <x:v>0.13826615285083402</x:v>
      </x:c>
      <x:c r="J189" s="147" t="n">
        <x:f>'Income Statement'!J26</x:f>
        <x:v>0.13113383343685794</x:v>
      </x:c>
      <x:c r="K189" s="147" t="n">
        <x:f>'Income Statement'!K26</x:f>
        <x:v>0.18978625253328257</x:v>
      </x:c>
      <x:c r="L189" s="147" t="n">
        <x:f>'Income Statement'!L26</x:f>
        <x:v>0.18231326597827197</x:v>
      </x:c>
      <x:c r="M189" s="147" t="n">
        <x:f>'Income Statement'!M26</x:f>
        <x:v>0.17629644009803683</x:v>
      </x:c>
      <x:c r="N189" s="147" t="n">
        <x:f>'Income Statement'!N26</x:f>
        <x:v>0.19396265985271252</x:v>
      </x:c>
      <x:c r="O189" s="147" t="n">
        <x:f>IF(NOT(CHOOSE($D$4,ISNUMBER(O190),ISNUMBER(O191),ISNUMBER(O192))),"n.a.",CHOOSE($D$4,O190,O191,O192))</x:f>
        <x:v>0.2</x:v>
      </x:c>
      <x:c r="P189" s="147" t="n">
        <x:f>IF(NOT(CHOOSE($D$4,ISNUMBER(P190),ISNUMBER(P191),ISNUMBER(P192))),"n.a.",CHOOSE($D$4,P190,P191,P192))</x:f>
        <x:v>0.2</x:v>
      </x:c>
      <x:c r="Q189" s="147" t="n">
        <x:f>IF(NOT(CHOOSE($D$4,ISNUMBER(Q190),ISNUMBER(Q191),ISNUMBER(Q192))),"n.a.",CHOOSE($D$4,Q190,Q191,Q192))</x:f>
        <x:v>0.2</x:v>
      </x:c>
      <x:c r="R189" s="147" t="n">
        <x:f>IF(NOT(CHOOSE($D$4,ISNUMBER(R190),ISNUMBER(R191),ISNUMBER(R192))),"n.a.",CHOOSE($D$4,R190,R191,R192))</x:f>
        <x:v>0.2</x:v>
      </x:c>
      <x:c r="S189" s="147" t="n">
        <x:f>IF(NOT(CHOOSE($D$4,ISNUMBER(S190),ISNUMBER(S191),ISNUMBER(S192))),"n.a.",CHOOSE($D$4,S190,S191,S192))</x:f>
        <x:v>0.2</x:v>
      </x:c>
      <x:c r="T189" s="103"/>
      <x:c r="U189" s="103"/>
    </x:row>
    <x:row r="190" ht="24" customHeight="1">
      <x:c r="A190" s="103"/>
      <x:c r="B190" s="103"/>
      <x:c r="C190" s="105" t="str">
        <x:v>Base</x:v>
      </x:c>
      <x:c r="D190" s="105"/>
      <x:c r="E190" s="119"/>
      <x:c r="F190" s="119"/>
      <x:c r="G190" s="119"/>
      <x:c r="H190" s="119"/>
      <x:c r="I190" s="119"/>
      <x:c r="J190" s="119"/>
      <x:c r="K190" s="119"/>
      <x:c r="L190" s="119"/>
      <x:c r="M190" s="119"/>
      <x:c r="N190" s="119"/>
      <x:c r="O190" s="149" t="n">
        <x:v>0.2</x:v>
      </x:c>
      <x:c r="P190" s="149" t="n">
        <x:v>0.2</x:v>
      </x:c>
      <x:c r="Q190" s="149" t="n">
        <x:v>0.2</x:v>
      </x:c>
      <x:c r="R190" s="149" t="n">
        <x:v>0.2</x:v>
      </x:c>
      <x:c r="S190" s="149" t="n">
        <x:v>0.2</x:v>
      </x:c>
      <x:c r="T190" s="103"/>
      <x:c r="U190" s="103"/>
    </x:row>
    <x:row r="191" ht="24" customHeight="1">
      <x:c r="A191" s="103"/>
      <x:c r="B191" s="103"/>
      <x:c r="C191" s="105" t="str">
        <x:v>Upside</x:v>
      </x:c>
      <x:c r="D191" s="105"/>
      <x:c r="E191" s="119"/>
      <x:c r="F191" s="119"/>
      <x:c r="G191" s="119"/>
      <x:c r="H191" s="119"/>
      <x:c r="I191" s="119"/>
      <x:c r="J191" s="119"/>
      <x:c r="K191" s="119"/>
      <x:c r="L191" s="119"/>
      <x:c r="M191" s="119"/>
      <x:c r="N191" s="119"/>
      <x:c r="O191" s="149" t="n">
        <x:v>0.2</x:v>
      </x:c>
      <x:c r="P191" s="149" t="n">
        <x:v>0.2</x:v>
      </x:c>
      <x:c r="Q191" s="149" t="n">
        <x:v>0.2</x:v>
      </x:c>
      <x:c r="R191" s="149" t="n">
        <x:v>0.2</x:v>
      </x:c>
      <x:c r="S191" s="149" t="n">
        <x:v>0.2</x:v>
      </x:c>
      <x:c r="T191" s="103"/>
      <x:c r="U191" s="103"/>
    </x:row>
    <x:row r="192" ht="24" customHeight="1">
      <x:c r="A192" s="103"/>
      <x:c r="B192" s="103"/>
      <x:c r="C192" s="105" t="str">
        <x:v>Downside</x:v>
      </x:c>
      <x:c r="D192" s="105"/>
      <x:c r="E192" s="119"/>
      <x:c r="F192" s="119"/>
      <x:c r="G192" s="119"/>
      <x:c r="H192" s="119"/>
      <x:c r="I192" s="119"/>
      <x:c r="J192" s="119"/>
      <x:c r="K192" s="119"/>
      <x:c r="L192" s="119"/>
      <x:c r="M192" s="119"/>
      <x:c r="N192" s="119"/>
      <x:c r="O192" s="149" t="n">
        <x:v>0.2</x:v>
      </x:c>
      <x:c r="P192" s="149" t="n">
        <x:v>0.2</x:v>
      </x:c>
      <x:c r="Q192" s="149" t="n">
        <x:v>0.2</x:v>
      </x:c>
      <x:c r="R192" s="149" t="n">
        <x:v>0.2</x:v>
      </x:c>
      <x:c r="S192" s="149" t="n">
        <x:v>0.2</x:v>
      </x:c>
      <x:c r="T192" s="103"/>
      <x:c r="U192" s="103"/>
    </x:row>
    <x:row r="193" ht="24" customHeight="1">
      <x:c r="A193" s="103"/>
      <x:c r="B193" s="103"/>
      <x:c r="C193" s="144" t="str">
        <x:v>Cash share repurchases / revenue</x:v>
      </x:c>
      <x:c r="D193" s="144"/>
      <x:c r="E193" s="147" t="n">
        <x:f>-'Cash Flow'!E44/'Income Statement'!E8</x:f>
        <x:v>0.12206563046877426</x:v>
      </x:c>
      <x:c r="F193" s="147" t="n">
        <x:f>-'Cash Flow'!F44/'Income Statement'!F8</x:f>
        <x:v>0.09714570496556724</x:v>
      </x:c>
      <x:c r="G193" s="147" t="n">
        <x:f>-'Cash Flow'!G44/'Income Statement'!G8</x:f>
        <x:v>0.15529667919550552</x:v>
      </x:c>
      <x:c r="H193" s="147" t="n">
        <x:f>-'Cash Flow'!H44/'Income Statement'!H8</x:f>
        <x:v>0.16059853861483062</x:v>
      </x:c>
      <x:c r="I193" s="147" t="n">
        <x:f>-'Cash Flow'!I44/'Income Statement'!I8</x:f>
        <x:v>0.16292061301223168</x:v>
      </x:c>
      <x:c r="J193" s="147" t="n">
        <x:f>-'Cash Flow'!J44/'Income Statement'!J8</x:f>
        <x:v>0.16490644071216018</x:v>
      </x:c>
      <x:c r="K193" s="147" t="n">
        <x:f>-'Cash Flow'!K44/'Income Statement'!K8</x:f>
        <x:v>0.10497133284571644</x:v>
      </x:c>
      <x:c r="L193" s="147" t="n">
        <x:f>-'Cash Flow'!L44/'Income Statement'!L8</x:f>
        <x:v>0.07038943872846991</x:v>
      </x:c>
      <x:c r="M193" s="147" t="n">
        <x:f>-'Cash Flow'!M44/'Income Statement'!M8</x:f>
        <x:v>0.06538314094645824</x:v>
      </x:c>
      <x:c r="N193" s="147" t="n">
        <x:f>-'Cash Flow'!N44/'Income Statement'!N8</x:f>
        <x:v>0.06711387148587115</x:v>
      </x:c>
      <x:c r="O193" s="147" t="n">
        <x:f>IF(NOT(CHOOSE($D$4,ISNUMBER(O194),ISNUMBER(O195),ISNUMBER(O196))),"n.a.",CHOOSE($D$4,O194,O195,O196))</x:f>
        <x:v>0.065</x:v>
      </x:c>
      <x:c r="P193" s="147" t="n">
        <x:f>IF(NOT(CHOOSE($D$4,ISNUMBER(P194),ISNUMBER(P195),ISNUMBER(P196))),"n.a.",CHOOSE($D$4,P194,P195,P196))</x:f>
        <x:v>0.065</x:v>
      </x:c>
      <x:c r="Q193" s="147" t="n">
        <x:f>IF(NOT(CHOOSE($D$4,ISNUMBER(Q194),ISNUMBER(Q195),ISNUMBER(Q196))),"n.a.",CHOOSE($D$4,Q194,Q195,Q196))</x:f>
        <x:v>0.065</x:v>
      </x:c>
      <x:c r="R193" s="147" t="n">
        <x:f>IF(NOT(CHOOSE($D$4,ISNUMBER(R194),ISNUMBER(R195),ISNUMBER(R196))),"n.a.",CHOOSE($D$4,R194,R195,R196))</x:f>
        <x:v>0.065</x:v>
      </x:c>
      <x:c r="S193" s="147" t="n">
        <x:f>IF(NOT(CHOOSE($D$4,ISNUMBER(S194),ISNUMBER(S195),ISNUMBER(S196))),"n.a.",CHOOSE($D$4,S194,S195,S196))</x:f>
        <x:v>0.065</x:v>
      </x:c>
      <x:c r="T193" s="103"/>
      <x:c r="U193" s="103"/>
    </x:row>
    <x:row r="194" ht="24" customHeight="1">
      <x:c r="A194" s="103"/>
      <x:c r="B194" s="103"/>
      <x:c r="C194" s="105" t="str">
        <x:v>Base</x:v>
      </x:c>
      <x:c r="D194" s="105"/>
      <x:c r="E194" s="119"/>
      <x:c r="F194" s="119"/>
      <x:c r="G194" s="119"/>
      <x:c r="H194" s="119"/>
      <x:c r="I194" s="119"/>
      <x:c r="J194" s="119"/>
      <x:c r="K194" s="119"/>
      <x:c r="L194" s="119"/>
      <x:c r="M194" s="119"/>
      <x:c r="N194" s="119"/>
      <x:c r="O194" s="149" t="n">
        <x:v>0.065</x:v>
      </x:c>
      <x:c r="P194" s="149" t="n">
        <x:v>0.065</x:v>
      </x:c>
      <x:c r="Q194" s="149" t="n">
        <x:v>0.065</x:v>
      </x:c>
      <x:c r="R194" s="149" t="n">
        <x:v>0.065</x:v>
      </x:c>
      <x:c r="S194" s="149" t="n">
        <x:v>0.065</x:v>
      </x:c>
      <x:c r="T194" s="103"/>
      <x:c r="U194" s="103"/>
    </x:row>
    <x:row r="195" ht="24" customHeight="1">
      <x:c r="A195" s="103"/>
      <x:c r="B195" s="103"/>
      <x:c r="C195" s="105" t="str">
        <x:v>Upside</x:v>
      </x:c>
      <x:c r="D195" s="105"/>
      <x:c r="E195" s="119"/>
      <x:c r="F195" s="119"/>
      <x:c r="G195" s="119"/>
      <x:c r="H195" s="119"/>
      <x:c r="I195" s="119"/>
      <x:c r="J195" s="119"/>
      <x:c r="K195" s="119"/>
      <x:c r="L195" s="119"/>
      <x:c r="M195" s="119"/>
      <x:c r="N195" s="119"/>
      <x:c r="O195" s="149" t="n">
        <x:v>0.07</x:v>
      </x:c>
      <x:c r="P195" s="149" t="n">
        <x:v>0.07</x:v>
      </x:c>
      <x:c r="Q195" s="149" t="n">
        <x:v>0.07</x:v>
      </x:c>
      <x:c r="R195" s="149" t="n">
        <x:v>0.07</x:v>
      </x:c>
      <x:c r="S195" s="149" t="n">
        <x:v>0.07</x:v>
      </x:c>
      <x:c r="T195" s="103"/>
      <x:c r="U195" s="103"/>
    </x:row>
    <x:row r="196" ht="24" customHeight="1">
      <x:c r="A196" s="103"/>
      <x:c r="B196" s="103"/>
      <x:c r="C196" s="105" t="str">
        <x:v>Downside</x:v>
      </x:c>
      <x:c r="D196" s="105"/>
      <x:c r="E196" s="119"/>
      <x:c r="F196" s="119"/>
      <x:c r="G196" s="119"/>
      <x:c r="H196" s="119"/>
      <x:c r="I196" s="119"/>
      <x:c r="J196" s="119"/>
      <x:c r="K196" s="119"/>
      <x:c r="L196" s="119"/>
      <x:c r="M196" s="119"/>
      <x:c r="N196" s="119"/>
      <x:c r="O196" s="149" t="n">
        <x:v>0.045</x:v>
      </x:c>
      <x:c r="P196" s="149" t="n">
        <x:v>0.045</x:v>
      </x:c>
      <x:c r="Q196" s="149" t="n">
        <x:v>0.045</x:v>
      </x:c>
      <x:c r="R196" s="149" t="n">
        <x:v>0.045</x:v>
      </x:c>
      <x:c r="S196" s="149" t="n">
        <x:v>0.045</x:v>
      </x:c>
      <x:c r="T196" s="103"/>
      <x:c r="U196" s="103"/>
    </x:row>
    <x:row r="197" ht="24" customHeight="1">
      <x:c r="A197" s="103"/>
      <x:c r="B197" s="103"/>
      <x:c r="C197" s="144" t="str">
        <x:v>Net change in diluted weighted average shares</x:v>
      </x:c>
      <x:c r="D197" s="144"/>
      <x:c r="E197" s="147" t="str">
        <x:f>"n.a."</x:f>
        <x:v>n.a.</x:v>
      </x:c>
      <x:c r="F197" s="147" t="n">
        <x:f>'Income Statement'!F32/'Income Statement'!E32-1</x:f>
        <x:v>-0.004851889683350374</x:v>
      </x:c>
      <x:c r="G197" s="147" t="n">
        <x:f>'Income Statement'!G32/'Income Statement'!F32-1</x:f>
        <x:v>-0.005260456761611465</x:v>
      </x:c>
      <x:c r="H197" s="147" t="n">
        <x:f>'Income Statement'!H32/'Income Statement'!G32-1</x:f>
        <x:v>-0.009028763059460876</x:v>
      </x:c>
      <x:c r="I197" s="147" t="n">
        <x:f>'Income Statement'!I32/'Income Statement'!H32-1</x:f>
        <x:v>-0.009761811792268649</x:v>
      </x:c>
      <x:c r="J197" s="147" t="n">
        <x:f>'Income Statement'!J32/'Income Statement'!I32-1</x:f>
        <x:v>-0.008937960042061044</x:v>
      </x:c>
      <x:c r="K197" s="147" t="n">
        <x:f>'Income Statement'!K32/'Income Statement'!J32-1</x:f>
        <x:v>-0.009018567639257347</x:v>
      </x:c>
      <x:c r="L197" s="147" t="n">
        <x:f>'Income Statement'!L32/'Income Statement'!K32-1</x:f>
        <x:v>-0.0004014989293361637</x:v>
      </x:c>
      <x:c r="M197" s="147" t="n">
        <x:f>'Income Statement'!M32/'Income Statement'!L32-1</x:f>
        <x:v>-0.0005355469272995128</x:v>
      </x:c>
      <x:c r="N197" s="147" t="n">
        <x:f>'Income Statement'!N32/'Income Statement'!M32-1</x:f>
        <x:v>-0.0016075016744808712</x:v>
      </x:c>
      <x:c r="O197" s="147" t="n">
        <x:f>IF(NOT(CHOOSE($D$4,ISNUMBER(O198),ISNUMBER(O199),ISNUMBER(O200))),"n.a.",CHOOSE($D$4,O198,O199,O200))</x:f>
        <x:v>-0.003</x:v>
      </x:c>
      <x:c r="P197" s="147" t="n">
        <x:f>IF(NOT(CHOOSE($D$4,ISNUMBER(P198),ISNUMBER(P199),ISNUMBER(P200))),"n.a.",CHOOSE($D$4,P198,P199,P200))</x:f>
        <x:v>-0.003</x:v>
      </x:c>
      <x:c r="Q197" s="147" t="n">
        <x:f>IF(NOT(CHOOSE($D$4,ISNUMBER(Q198),ISNUMBER(Q199),ISNUMBER(Q200))),"n.a.",CHOOSE($D$4,Q198,Q199,Q200))</x:f>
        <x:v>-0.003</x:v>
      </x:c>
      <x:c r="R197" s="147" t="n">
        <x:f>IF(NOT(CHOOSE($D$4,ISNUMBER(R198),ISNUMBER(R199),ISNUMBER(R200))),"n.a.",CHOOSE($D$4,R198,R199,R200))</x:f>
        <x:v>-0.003</x:v>
      </x:c>
      <x:c r="S197" s="147" t="n">
        <x:f>IF(NOT(CHOOSE($D$4,ISNUMBER(S198),ISNUMBER(S199),ISNUMBER(S200))),"n.a.",CHOOSE($D$4,S198,S199,S200))</x:f>
        <x:v>-0.003</x:v>
      </x:c>
      <x:c r="T197" s="103"/>
      <x:c r="U197" s="103"/>
    </x:row>
    <x:row r="198" ht="24" customHeight="1">
      <x:c r="A198" s="103"/>
      <x:c r="B198" s="103"/>
      <x:c r="C198" s="105" t="str">
        <x:v>Base</x:v>
      </x:c>
      <x:c r="D198" s="105"/>
      <x:c r="E198" s="119"/>
      <x:c r="F198" s="119"/>
      <x:c r="G198" s="119"/>
      <x:c r="H198" s="119"/>
      <x:c r="I198" s="119"/>
      <x:c r="J198" s="119"/>
      <x:c r="K198" s="119"/>
      <x:c r="L198" s="119"/>
      <x:c r="M198" s="119"/>
      <x:c r="N198" s="119"/>
      <x:c r="O198" s="149" t="n">
        <x:v>-0.003</x:v>
      </x:c>
      <x:c r="P198" s="149" t="n">
        <x:v>-0.003</x:v>
      </x:c>
      <x:c r="Q198" s="149" t="n">
        <x:v>-0.003</x:v>
      </x:c>
      <x:c r="R198" s="149" t="n">
        <x:v>-0.003</x:v>
      </x:c>
      <x:c r="S198" s="149" t="n">
        <x:v>-0.003</x:v>
      </x:c>
      <x:c r="T198" s="103"/>
      <x:c r="U198" s="103"/>
    </x:row>
    <x:row r="199" ht="24" customHeight="1">
      <x:c r="A199" s="103"/>
      <x:c r="B199" s="103"/>
      <x:c r="C199" s="105" t="str">
        <x:v>Upside</x:v>
      </x:c>
      <x:c r="D199" s="105"/>
      <x:c r="E199" s="119"/>
      <x:c r="F199" s="119"/>
      <x:c r="G199" s="119"/>
      <x:c r="H199" s="119"/>
      <x:c r="I199" s="119"/>
      <x:c r="J199" s="119"/>
      <x:c r="K199" s="119"/>
      <x:c r="L199" s="119"/>
      <x:c r="M199" s="119"/>
      <x:c r="N199" s="119"/>
      <x:c r="O199" s="149" t="n">
        <x:v>-0.005</x:v>
      </x:c>
      <x:c r="P199" s="149" t="n">
        <x:v>-0.005</x:v>
      </x:c>
      <x:c r="Q199" s="149" t="n">
        <x:v>-0.005</x:v>
      </x:c>
      <x:c r="R199" s="149" t="n">
        <x:v>-0.005</x:v>
      </x:c>
      <x:c r="S199" s="149" t="n">
        <x:v>-0.005</x:v>
      </x:c>
      <x:c r="T199" s="103"/>
      <x:c r="U199" s="103"/>
    </x:row>
    <x:row r="200" ht="24" customHeight="1">
      <x:c r="A200" s="103"/>
      <x:c r="B200" s="103"/>
      <x:c r="C200" s="105" t="str">
        <x:v>Downside</x:v>
      </x:c>
      <x:c r="D200" s="105"/>
      <x:c r="E200" s="119"/>
      <x:c r="F200" s="119"/>
      <x:c r="G200" s="119"/>
      <x:c r="H200" s="119"/>
      <x:c r="I200" s="119"/>
      <x:c r="J200" s="119"/>
      <x:c r="K200" s="119"/>
      <x:c r="L200" s="119"/>
      <x:c r="M200" s="119"/>
      <x:c r="N200" s="119"/>
      <x:c r="O200" s="149" t="n">
        <x:v>0.002</x:v>
      </x:c>
      <x:c r="P200" s="149" t="n">
        <x:v>0.002</x:v>
      </x:c>
      <x:c r="Q200" s="149" t="n">
        <x:v>0.002</x:v>
      </x:c>
      <x:c r="R200" s="149" t="n">
        <x:v>0.002</x:v>
      </x:c>
      <x:c r="S200" s="149" t="n">
        <x:v>0.002</x:v>
      </x:c>
      <x:c r="T200" s="103"/>
      <x:c r="U200" s="103"/>
    </x:row>
    <x:row r="201" ht="24" customHeight="1">
      <x:c r="A201" s="103"/>
      <x:c r="B201" s="103"/>
      <x:c r="C201" s="103"/>
      <x:c r="D201" s="103"/>
      <x:c r="E201" s="103"/>
      <x:c r="F201" s="103"/>
      <x:c r="G201" s="103"/>
      <x:c r="H201" s="103"/>
      <x:c r="I201" s="103"/>
      <x:c r="J201" s="103"/>
      <x:c r="K201" s="103"/>
      <x:c r="L201" s="103"/>
      <x:c r="M201" s="103"/>
      <x:c r="N201" s="103"/>
      <x:c r="O201" s="103"/>
      <x:c r="P201" s="103"/>
      <x:c r="Q201" s="103"/>
      <x:c r="R201" s="103"/>
      <x:c r="S201" s="103"/>
      <x:c r="T201" s="103"/>
      <x:c r="U201" s="103"/>
    </x:row>
    <x:row r="202" ht="24" customHeight="1">
      <x:c r="A202" s="103"/>
      <x:c r="B202" s="103"/>
      <x:c r="C202" s="103"/>
      <x:c r="D202" s="103"/>
      <x:c r="E202" s="103"/>
      <x:c r="F202" s="103"/>
      <x:c r="G202" s="103"/>
      <x:c r="H202" s="103"/>
      <x:c r="I202" s="103"/>
      <x:c r="J202" s="103"/>
      <x:c r="K202" s="103"/>
      <x:c r="L202" s="103"/>
      <x:c r="M202" s="103"/>
      <x:c r="N202" s="103"/>
      <x:c r="O202" s="103"/>
      <x:c r="P202" s="103"/>
      <x:c r="Q202" s="103"/>
      <x:c r="R202" s="103"/>
      <x:c r="S202" s="103"/>
      <x:c r="T202" s="103"/>
      <x:c r="U202" s="103"/>
    </x:row>
    <x:row r="203" ht="24" customHeight="1">
      <x:c r="A203" s="103"/>
      <x:c r="B203" s="103"/>
      <x:c r="C203" s="136" t="str">
        <x:v>Shared allocation assumptions</x:v>
      </x:c>
      <x:c r="D203" s="136"/>
      <x:c r="E203" s="136"/>
      <x:c r="F203" s="136"/>
      <x:c r="G203" s="136"/>
      <x:c r="H203" s="136"/>
      <x:c r="I203" s="136"/>
      <x:c r="J203" s="136"/>
      <x:c r="K203" s="136"/>
      <x:c r="L203" s="136"/>
      <x:c r="M203" s="136"/>
      <x:c r="N203" s="136"/>
      <x:c r="O203" s="136"/>
      <x:c r="P203" s="136"/>
      <x:c r="Q203" s="136"/>
      <x:c r="R203" s="136"/>
      <x:c r="S203" s="136"/>
      <x:c r="T203" s="103"/>
      <x:c r="U203" s="103"/>
    </x:row>
    <x:row r="204" ht="24" customHeight="1">
      <x:c r="A204" s="103"/>
      <x:c r="B204" s="103"/>
      <x:c r="C204" s="103"/>
      <x:c r="D204" s="103"/>
      <x:c r="E204" s="103" t="str">
        <x:v>PBP</x:v>
      </x:c>
      <x:c r="F204" s="103" t="str">
        <x:v>IC</x:v>
      </x:c>
      <x:c r="G204" s="103" t="str">
        <x:v>MPC</x:v>
      </x:c>
      <x:c r="H204" s="103" t="str">
        <x:v>R&amp;D</x:v>
      </x:c>
      <x:c r="I204" s="103"/>
      <x:c r="J204" s="103"/>
      <x:c r="K204" s="103"/>
      <x:c r="L204" s="103"/>
      <x:c r="M204" s="103"/>
      <x:c r="N204" s="103"/>
      <x:c r="O204" s="103"/>
      <x:c r="P204" s="103"/>
      <x:c r="Q204" s="103"/>
      <x:c r="R204" s="103"/>
      <x:c r="S204" s="103"/>
      <x:c r="T204" s="103"/>
      <x:c r="U204" s="103"/>
    </x:row>
    <x:row r="205" ht="24" customHeight="1">
      <x:c r="A205" s="103"/>
      <x:c r="B205" s="103"/>
      <x:c r="C205" s="103" t="str">
        <x:v>ppe expense allocation</x:v>
      </x:c>
      <x:c r="D205" s="103"/>
      <x:c r="E205" s="168" t="n">
        <x:v>0.05</x:v>
      </x:c>
      <x:c r="F205" s="168" t="n">
        <x:v>0.75</x:v>
      </x:c>
      <x:c r="G205" s="168" t="n">
        <x:v>0.05</x:v>
      </x:c>
      <x:c r="H205" s="168" t="n">
        <x:v>0.15</x:v>
      </x:c>
      <x:c r="I205" s="103"/>
      <x:c r="J205" s="103"/>
      <x:c r="K205" s="103"/>
      <x:c r="L205" s="103"/>
      <x:c r="M205" s="103"/>
      <x:c r="N205" s="103"/>
      <x:c r="O205" s="103"/>
      <x:c r="P205" s="103"/>
      <x:c r="Q205" s="103"/>
      <x:c r="R205" s="103"/>
      <x:c r="S205" s="103"/>
      <x:c r="T205" s="103"/>
      <x:c r="U205" s="103"/>
    </x:row>
    <x:row r="206" ht="24" customHeight="1">
      <x:c r="A206" s="103"/>
      <x:c r="B206" s="103"/>
      <x:c r="C206" s="103" t="str">
        <x:v>intangibles expense allocation</x:v>
      </x:c>
      <x:c r="D206" s="103"/>
      <x:c r="E206" s="168" t="n">
        <x:v>0.2</x:v>
      </x:c>
      <x:c r="F206" s="168" t="n">
        <x:v>0.05</x:v>
      </x:c>
      <x:c r="G206" s="168" t="n">
        <x:v>0.65</x:v>
      </x:c>
      <x:c r="H206" s="168" t="n">
        <x:v>0.1</x:v>
      </x:c>
      <x:c r="I206" s="103"/>
      <x:c r="J206" s="103"/>
      <x:c r="K206" s="103"/>
      <x:c r="L206" s="103"/>
      <x:c r="M206" s="103"/>
      <x:c r="N206" s="103"/>
      <x:c r="O206" s="103"/>
      <x:c r="P206" s="103"/>
      <x:c r="Q206" s="103"/>
      <x:c r="R206" s="103"/>
      <x:c r="S206" s="103"/>
      <x:c r="T206" s="103"/>
      <x:c r="U206" s="103"/>
    </x:row>
    <x:row r="207" ht="24" customHeight="1">
      <x:c r="A207" s="103"/>
      <x:c r="B207" s="103"/>
      <x:c r="C207" s="103" t="str">
        <x:v>operating leases expense allocation</x:v>
      </x:c>
      <x:c r="D207" s="103"/>
      <x:c r="E207" s="168" t="n">
        <x:v>0.2</x:v>
      </x:c>
      <x:c r="F207" s="168" t="n">
        <x:v>0.6</x:v>
      </x:c>
      <x:c r="G207" s="168" t="n">
        <x:v>0.1</x:v>
      </x:c>
      <x:c r="H207" s="168" t="n">
        <x:v>0.1</x:v>
      </x:c>
      <x:c r="I207" s="103"/>
      <x:c r="J207" s="103"/>
      <x:c r="K207" s="103"/>
      <x:c r="L207" s="103"/>
      <x:c r="M207" s="103"/>
      <x:c r="N207" s="103"/>
      <x:c r="O207" s="103"/>
      <x:c r="P207" s="103"/>
      <x:c r="Q207" s="103"/>
      <x:c r="R207" s="103"/>
      <x:c r="S207" s="103"/>
      <x:c r="T207" s="103"/>
      <x:c r="U207" s="103"/>
    </x:row>
    <x:row r="208" ht="24" customHeight="1">
      <x:c r="A208" s="103"/>
      <x:c r="B208" s="103"/>
      <x:c r="C208" s="103" t="str">
        <x:v>Operating expense allocation</x:v>
      </x:c>
      <x:c r="D208" s="103"/>
      <x:c r="E208" s="168" t="n">
        <x:v>0.44284331036054</x:v>
      </x:c>
      <x:c r="F208" s="168" t="n">
        <x:v>0.32669305690038164</x:v>
      </x:c>
      <x:c r="G208" s="168" t="n">
        <x:v>0.23046363273907844</x:v>
      </x:c>
      <x:c r="H208" s="168" t="n">
        <x:v>0</x:v>
      </x:c>
      <x:c r="I208" s="103"/>
      <x:c r="J208" s="103"/>
      <x:c r="K208" s="103"/>
      <x:c r="L208" s="103"/>
      <x:c r="M208" s="103"/>
      <x:c r="N208" s="103"/>
      <x:c r="O208" s="103"/>
      <x:c r="P208" s="103"/>
      <x:c r="Q208" s="103"/>
      <x:c r="R208" s="103"/>
      <x:c r="S208" s="103"/>
      <x:c r="T208" s="103"/>
      <x:c r="U208" s="103"/>
    </x:row>
    <x:row r="209" ht="24" customHeight="1">
      <x:c r="A209" s="103"/>
      <x:c r="B209" s="103"/>
      <x:c r="C209" s="103"/>
      <x:c r="D209" s="103"/>
      <x:c r="E209" s="103"/>
      <x:c r="F209" s="103"/>
      <x:c r="G209" s="103"/>
      <x:c r="H209" s="103"/>
      <x:c r="I209" s="103"/>
      <x:c r="J209" s="103"/>
      <x:c r="K209" s="103"/>
      <x:c r="L209" s="103"/>
      <x:c r="M209" s="103"/>
      <x:c r="N209" s="103"/>
      <x:c r="O209" s="103"/>
      <x:c r="P209" s="103"/>
      <x:c r="Q209" s="103"/>
      <x:c r="R209" s="103"/>
      <x:c r="S209" s="103"/>
      <x:c r="T209" s="103"/>
      <x:c r="U209" s="103"/>
    </x:row>
    <x:row r="210" ht="24" customHeight="1">
      <x:c r="A210" s="103"/>
      <x:c r="B210" s="103"/>
      <x:c r="C210" s="103"/>
      <x:c r="D210" s="103"/>
      <x:c r="E210" s="103"/>
      <x:c r="F210" s="103"/>
      <x:c r="G210" s="103"/>
      <x:c r="H210" s="103"/>
      <x:c r="I210" s="103"/>
      <x:c r="J210" s="103"/>
      <x:c r="K210" s="103"/>
      <x:c r="L210" s="103"/>
      <x:c r="M210" s="103"/>
      <x:c r="N210" s="103"/>
      <x:c r="O210" s="103"/>
      <x:c r="P210" s="103"/>
      <x:c r="Q210" s="103"/>
      <x:c r="R210" s="103"/>
      <x:c r="S210" s="103"/>
      <x:c r="T210" s="103"/>
      <x:c r="U210" s="103"/>
    </x:row>
    <x:row r="211" ht="24" customHeight="1">
      <x:c r="A211" s="103"/>
      <x:c r="B211" s="103"/>
      <x:c r="C211" s="103" t="str">
        <x:v>Assumed FY2032 legacy debt maturity</x:v>
      </x:c>
      <x:c r="D211" s="103"/>
      <x:c r="E211" s="103"/>
      <x:c r="F211" s="103"/>
      <x:c r="G211" s="103"/>
      <x:c r="H211" s="103"/>
      <x:c r="I211" s="103"/>
      <x:c r="J211" s="103"/>
      <x:c r="K211" s="103"/>
      <x:c r="L211" s="103"/>
      <x:c r="M211" s="103"/>
      <x:c r="N211" s="103"/>
      <x:c r="O211" s="166" t="n">
        <x:v>0</x:v>
      </x:c>
      <x:c r="P211" s="103"/>
      <x:c r="Q211" s="103"/>
      <x:c r="R211" s="103"/>
      <x:c r="S211" s="103"/>
      <x:c r="T211" s="103"/>
      <x:c r="U211" s="103"/>
    </x:row>
    <x:row r="212" ht="24" customHeight="1">
      <x:c r="A212" s="103"/>
      <x:c r="B212" s="103"/>
      <x:c r="C212" s="103" t="str">
        <x:v>Assumed FY2032 legacy operating lease payment</x:v>
      </x:c>
      <x:c r="D212" s="103"/>
      <x:c r="E212" s="103"/>
      <x:c r="F212" s="103"/>
      <x:c r="G212" s="103"/>
      <x:c r="H212" s="103"/>
      <x:c r="I212" s="103"/>
      <x:c r="J212" s="103"/>
      <x:c r="K212" s="103"/>
      <x:c r="L212" s="103"/>
      <x:c r="M212" s="103"/>
      <x:c r="N212" s="103"/>
      <x:c r="O212" s="166" t="n">
        <x:v>2000</x:v>
      </x:c>
      <x:c r="P212" s="103"/>
      <x:c r="Q212" s="103"/>
      <x:c r="R212" s="103"/>
      <x:c r="S212" s="103"/>
      <x:c r="T212" s="103"/>
      <x:c r="U212" s="103"/>
    </x:row>
    <x:row r="213" ht="24" customHeight="1">
      <x:c r="A213" s="103"/>
      <x:c r="B213" s="103"/>
      <x:c r="C213" s="103" t="str">
        <x:v>Assumed FY2032 legacy finance lease payment</x:v>
      </x:c>
      <x:c r="D213" s="103"/>
      <x:c r="E213" s="103"/>
      <x:c r="F213" s="103"/>
      <x:c r="G213" s="103"/>
      <x:c r="H213" s="103"/>
      <x:c r="I213" s="103"/>
      <x:c r="J213" s="103"/>
      <x:c r="K213" s="103"/>
      <x:c r="L213" s="103"/>
      <x:c r="M213" s="103"/>
      <x:c r="N213" s="103"/>
      <x:c r="O213" s="166" t="n">
        <x:v>6500</x:v>
      </x:c>
      <x:c r="P213" s="103"/>
      <x:c r="Q213" s="103"/>
      <x:c r="R213" s="103"/>
      <x:c r="S213" s="103"/>
      <x:c r="T213" s="103"/>
      <x:c r="U213" s="103"/>
    </x:row>
    <x:row r="214" ht="24" customHeight="1">
      <x:c r="A214" s="103"/>
      <x:c r="B214" s="103"/>
      <x:c r="C214" s="103"/>
      <x:c r="D214" s="103"/>
      <x:c r="E214" s="103"/>
      <x:c r="F214" s="103"/>
      <x:c r="G214" s="103"/>
      <x:c r="H214" s="103"/>
      <x:c r="I214" s="103"/>
      <x:c r="J214" s="103"/>
      <x:c r="K214" s="103"/>
      <x:c r="L214" s="103"/>
      <x:c r="M214" s="103"/>
      <x:c r="N214" s="103"/>
      <x:c r="O214" s="103"/>
      <x:c r="P214" s="103"/>
      <x:c r="Q214" s="103"/>
      <x:c r="R214" s="103"/>
      <x:c r="S214" s="103"/>
      <x:c r="T214" s="103"/>
      <x:c r="U214" s="103"/>
    </x:row>
    <x:row r="215" ht="24" customHeight="1">
      <x:c r="A215" s="103"/>
      <x:c r="B215" s="103"/>
      <x:c r="C215" s="103"/>
      <x:c r="D215" s="103"/>
      <x:c r="E215" s="103"/>
      <x:c r="F215" s="103"/>
      <x:c r="G215" s="103"/>
      <x:c r="H215" s="103"/>
      <x:c r="I215" s="103"/>
      <x:c r="J215" s="103"/>
      <x:c r="K215" s="103"/>
      <x:c r="L215" s="103"/>
      <x:c r="M215" s="103"/>
      <x:c r="N215" s="103"/>
      <x:c r="O215" s="103"/>
      <x:c r="P215" s="103"/>
      <x:c r="Q215" s="103"/>
      <x:c r="R215" s="103"/>
      <x:c r="S215" s="103"/>
      <x:c r="T215" s="103"/>
      <x:c r="U215" s="103"/>
    </x:row>
    <x:row r="216" ht="24" customHeight="1">
      <x:c r="A216" s="103"/>
      <x:c r="B216" s="103"/>
      <x:c r="C216" s="103"/>
      <x:c r="D216" s="103"/>
      <x:c r="E216" s="103"/>
      <x:c r="F216" s="103"/>
      <x:c r="G216" s="103"/>
      <x:c r="H216" s="103"/>
      <x:c r="I216" s="103"/>
      <x:c r="J216" s="103"/>
      <x:c r="K216" s="103"/>
      <x:c r="L216" s="103"/>
      <x:c r="M216" s="103"/>
      <x:c r="N216" s="103"/>
      <x:c r="O216" s="103"/>
      <x:c r="P216" s="103"/>
      <x:c r="Q216" s="103"/>
      <x:c r="R216" s="103"/>
      <x:c r="S216" s="103"/>
      <x:c r="T216" s="103"/>
      <x:c r="U216" s="103"/>
    </x:row>
    <x:row r="217" ht="24" customHeight="1">
      <x:c r="A217" s="103"/>
      <x:c r="B217" s="103"/>
      <x:c r="C217" s="103"/>
      <x:c r="D217" s="103"/>
      <x:c r="E217" s="103"/>
      <x:c r="F217" s="103"/>
      <x:c r="G217" s="103"/>
      <x:c r="H217" s="103"/>
      <x:c r="I217" s="103"/>
      <x:c r="J217" s="103"/>
      <x:c r="K217" s="103"/>
      <x:c r="L217" s="103"/>
      <x:c r="M217" s="103"/>
      <x:c r="N217" s="103"/>
      <x:c r="O217" s="103"/>
      <x:c r="P217" s="103"/>
      <x:c r="Q217" s="103"/>
      <x:c r="R217" s="103"/>
      <x:c r="S217" s="103"/>
      <x:c r="T217" s="103"/>
      <x:c r="U217" s="103"/>
    </x:row>
    <x:row r="218" ht="24" customHeight="1">
      <x:c r="A218" s="103"/>
      <x:c r="B218" s="103"/>
      <x:c r="C218" s="103"/>
      <x:c r="D218" s="103"/>
      <x:c r="E218" s="103"/>
      <x:c r="F218" s="103"/>
      <x:c r="G218" s="103"/>
      <x:c r="H218" s="103"/>
      <x:c r="I218" s="103"/>
      <x:c r="J218" s="103"/>
      <x:c r="K218" s="103"/>
      <x:c r="L218" s="103"/>
      <x:c r="M218" s="103"/>
      <x:c r="N218" s="103"/>
      <x:c r="O218" s="103"/>
      <x:c r="P218" s="103"/>
      <x:c r="Q218" s="103"/>
      <x:c r="R218" s="103"/>
      <x:c r="S218" s="103"/>
      <x:c r="T218" s="103"/>
      <x:c r="U218" s="103"/>
    </x:row>
    <x:row r="219" ht="24" customHeight="1">
      <x:c r="A219" s="103"/>
      <x:c r="B219" s="103"/>
      <x:c r="C219" s="103"/>
      <x:c r="D219" s="103"/>
      <x:c r="E219" s="103"/>
      <x:c r="F219" s="103"/>
      <x:c r="G219" s="103"/>
      <x:c r="H219" s="103"/>
      <x:c r="I219" s="103"/>
      <x:c r="J219" s="103"/>
      <x:c r="K219" s="103"/>
      <x:c r="L219" s="103"/>
      <x:c r="M219" s="103"/>
      <x:c r="N219" s="103"/>
      <x:c r="O219" s="103"/>
      <x:c r="P219" s="103"/>
      <x:c r="Q219" s="103"/>
      <x:c r="R219" s="103"/>
      <x:c r="S219" s="103"/>
      <x:c r="T219" s="103"/>
      <x:c r="U219" s="103"/>
    </x:row>
    <x:row r="220" ht="24" customHeight="1">
      <x:c r="A220" s="103"/>
      <x:c r="B220" s="103"/>
      <x:c r="C220" s="103"/>
      <x:c r="D220" s="103"/>
      <x:c r="E220" s="103"/>
      <x:c r="F220" s="103"/>
      <x:c r="G220" s="103"/>
      <x:c r="H220" s="103"/>
      <x:c r="I220" s="103"/>
      <x:c r="J220" s="103"/>
      <x:c r="K220" s="103"/>
      <x:c r="L220" s="103"/>
      <x:c r="M220" s="103"/>
      <x:c r="N220" s="103"/>
      <x:c r="O220" s="103"/>
      <x:c r="P220" s="103"/>
      <x:c r="Q220" s="103"/>
      <x:c r="R220" s="103"/>
      <x:c r="S220" s="103"/>
      <x:c r="T220" s="103"/>
      <x:c r="U220" s="103"/>
    </x:row>
    <x:row r="221" ht="24" customHeight="1">
      <x:c r="A221" s="103"/>
      <x:c r="B221" s="103"/>
      <x:c r="C221" s="103"/>
      <x:c r="D221" s="103"/>
      <x:c r="E221" s="103"/>
      <x:c r="F221" s="103"/>
      <x:c r="G221" s="103"/>
      <x:c r="H221" s="103"/>
      <x:c r="I221" s="103"/>
      <x:c r="J221" s="103"/>
      <x:c r="K221" s="103"/>
      <x:c r="L221" s="103"/>
      <x:c r="M221" s="103"/>
      <x:c r="N221" s="103"/>
      <x:c r="O221" s="103"/>
      <x:c r="P221" s="103"/>
      <x:c r="Q221" s="103"/>
      <x:c r="R221" s="103"/>
      <x:c r="S221" s="103"/>
      <x:c r="T221" s="103"/>
      <x:c r="U221" s="103"/>
    </x:row>
    <x:row r="222" ht="24" customHeight="1">
      <x:c r="A222" s="103"/>
      <x:c r="B222" s="103"/>
      <x:c r="C222" s="103"/>
      <x:c r="D222" s="103"/>
      <x:c r="E222" s="103"/>
      <x:c r="F222" s="103"/>
      <x:c r="G222" s="103"/>
      <x:c r="H222" s="103"/>
      <x:c r="I222" s="103"/>
      <x:c r="J222" s="103"/>
      <x:c r="K222" s="103"/>
      <x:c r="L222" s="103"/>
      <x:c r="M222" s="103"/>
      <x:c r="N222" s="103"/>
      <x:c r="O222" s="103"/>
      <x:c r="P222" s="103"/>
      <x:c r="Q222" s="103"/>
      <x:c r="R222" s="103"/>
      <x:c r="S222" s="103"/>
      <x:c r="T222" s="103"/>
      <x:c r="U222" s="103"/>
    </x:row>
    <x:row r="223" ht="24" customHeight="1">
      <x:c r="A223" s="103"/>
      <x:c r="B223" s="103"/>
      <x:c r="C223" s="103"/>
      <x:c r="D223" s="103"/>
      <x:c r="E223" s="103"/>
      <x:c r="F223" s="103"/>
      <x:c r="G223" s="103"/>
      <x:c r="H223" s="103"/>
      <x:c r="I223" s="103"/>
      <x:c r="J223" s="103"/>
      <x:c r="K223" s="103"/>
      <x:c r="L223" s="103"/>
      <x:c r="M223" s="103"/>
      <x:c r="N223" s="103"/>
      <x:c r="O223" s="103"/>
      <x:c r="P223" s="103"/>
      <x:c r="Q223" s="103"/>
      <x:c r="R223" s="103"/>
      <x:c r="S223" s="103"/>
      <x:c r="T223" s="103"/>
      <x:c r="U223" s="103"/>
    </x:row>
    <x:row r="224" ht="24" customHeight="1">
      <x:c r="A224" s="103"/>
      <x:c r="B224" s="103"/>
      <x:c r="C224" s="103"/>
      <x:c r="D224" s="103"/>
      <x:c r="E224" s="103"/>
      <x:c r="F224" s="103"/>
      <x:c r="G224" s="103"/>
      <x:c r="H224" s="103"/>
      <x:c r="I224" s="103"/>
      <x:c r="J224" s="103"/>
      <x:c r="K224" s="103"/>
      <x:c r="L224" s="103"/>
      <x:c r="M224" s="103"/>
      <x:c r="N224" s="103"/>
      <x:c r="O224" s="103"/>
      <x:c r="P224" s="103"/>
      <x:c r="Q224" s="103"/>
      <x:c r="R224" s="103"/>
      <x:c r="S224" s="103"/>
      <x:c r="T224" s="103"/>
      <x:c r="U224" s="103"/>
    </x:row>
    <x:row r="225" ht="24" customHeight="1">
      <x:c r="A225" s="103"/>
      <x:c r="B225" s="103"/>
      <x:c r="C225" s="103"/>
      <x:c r="D225" s="103"/>
      <x:c r="E225" s="103"/>
      <x:c r="F225" s="103"/>
      <x:c r="G225" s="103"/>
      <x:c r="H225" s="103"/>
      <x:c r="I225" s="103"/>
      <x:c r="J225" s="103"/>
      <x:c r="K225" s="103"/>
      <x:c r="L225" s="103"/>
      <x:c r="M225" s="103"/>
      <x:c r="N225" s="103"/>
      <x:c r="O225" s="103"/>
      <x:c r="P225" s="103"/>
      <x:c r="Q225" s="103"/>
      <x:c r="R225" s="103"/>
      <x:c r="S225" s="103"/>
      <x:c r="T225" s="103"/>
      <x:c r="U225" s="103"/>
    </x:row>
    <x:row r="226" ht="24" customHeight="1">
      <x:c r="A226" s="103"/>
      <x:c r="B226" s="103"/>
      <x:c r="C226" s="103"/>
      <x:c r="D226" s="103"/>
      <x:c r="E226" s="103"/>
      <x:c r="F226" s="103"/>
      <x:c r="G226" s="103"/>
      <x:c r="H226" s="103"/>
      <x:c r="I226" s="103"/>
      <x:c r="J226" s="103"/>
      <x:c r="K226" s="103"/>
      <x:c r="L226" s="103"/>
      <x:c r="M226" s="103"/>
      <x:c r="N226" s="103"/>
      <x:c r="O226" s="103"/>
      <x:c r="P226" s="103"/>
      <x:c r="Q226" s="103"/>
      <x:c r="R226" s="103"/>
      <x:c r="S226" s="103"/>
      <x:c r="T226" s="103"/>
      <x:c r="U226" s="103"/>
    </x:row>
    <x:row r="227" ht="24" customHeight="1">
      <x:c r="A227" s="103"/>
      <x:c r="B227" s="103"/>
      <x:c r="C227" s="103"/>
      <x:c r="D227" s="103"/>
      <x:c r="E227" s="103"/>
      <x:c r="F227" s="103"/>
      <x:c r="G227" s="103"/>
      <x:c r="H227" s="103"/>
      <x:c r="I227" s="103"/>
      <x:c r="J227" s="103"/>
      <x:c r="K227" s="103"/>
      <x:c r="L227" s="103"/>
      <x:c r="M227" s="103"/>
      <x:c r="N227" s="103"/>
      <x:c r="O227" s="103"/>
      <x:c r="P227" s="103"/>
      <x:c r="Q227" s="103"/>
      <x:c r="R227" s="103"/>
      <x:c r="S227" s="103"/>
      <x:c r="T227" s="103"/>
      <x:c r="U227" s="103"/>
    </x:row>
    <x:row r="228" ht="24" customHeight="1">
      <x:c r="A228" s="103"/>
      <x:c r="B228" s="103"/>
      <x:c r="C228" s="103"/>
      <x:c r="D228" s="103"/>
      <x:c r="E228" s="103"/>
      <x:c r="F228" s="103"/>
      <x:c r="G228" s="103"/>
      <x:c r="H228" s="103"/>
      <x:c r="I228" s="103"/>
      <x:c r="J228" s="103"/>
      <x:c r="K228" s="103"/>
      <x:c r="L228" s="103"/>
      <x:c r="M228" s="103"/>
      <x:c r="N228" s="103"/>
      <x:c r="O228" s="103"/>
      <x:c r="P228" s="103"/>
      <x:c r="Q228" s="103"/>
      <x:c r="R228" s="103"/>
      <x:c r="S228" s="103"/>
      <x:c r="T228" s="103"/>
      <x:c r="U228" s="103"/>
    </x:row>
    <x:row r="229" ht="24" customHeight="1">
      <x:c r="A229" s="103"/>
      <x:c r="B229" s="103"/>
      <x:c r="C229" s="104" t="str">
        <x:v>Selected-case observations</x:v>
      </x:c>
      <x:c r="D229" s="104"/>
      <x:c r="E229" s="104"/>
      <x:c r="F229" s="104"/>
      <x:c r="G229" s="104"/>
      <x:c r="H229" s="104"/>
      <x:c r="I229" s="104"/>
      <x:c r="J229" s="104"/>
      <x:c r="K229" s="104"/>
      <x:c r="L229" s="104"/>
      <x:c r="M229" s="104"/>
      <x:c r="N229" s="104"/>
      <x:c r="O229" s="104"/>
      <x:c r="P229" s="104"/>
      <x:c r="Q229" s="104"/>
      <x:c r="R229" s="104"/>
      <x:c r="S229" s="104"/>
      <x:c r="T229" s="103"/>
      <x:c r="U229" s="103"/>
    </x:row>
    <x:row r="230" ht="24" customHeight="1">
      <x:c r="A230" s="103"/>
      <x:c r="B230" s="103"/>
      <x:c r="C230" s="103" t="str">
        <x:f>"FY2031 segment growth: PBP "&amp;(FIXED((S9)*100,1,TRUE)&amp;"%")&amp;", IC "&amp;(FIXED((S13)*100,1,TRUE)&amp;"%")&amp;", MPC "&amp;(FIXED((S17)*100,1,TRUE)&amp;"%")&amp;"."</x:f>
        <x:v>FY2031 segment growth: PBP 10.0%, IC 16.0%, MPC 2.0%.</x:v>
      </x:c>
      <x:c r="D230" s="103"/>
      <x:c r="E230" s="103"/>
      <x:c r="F230" s="103"/>
      <x:c r="G230" s="103"/>
      <x:c r="H230" s="103"/>
      <x:c r="I230" s="103"/>
      <x:c r="J230" s="103"/>
      <x:c r="K230" s="103"/>
      <x:c r="L230" s="103"/>
      <x:c r="M230" s="103"/>
      <x:c r="N230" s="103"/>
      <x:c r="O230" s="103"/>
      <x:c r="P230" s="103"/>
      <x:c r="Q230" s="103"/>
      <x:c r="R230" s="103"/>
      <x:c r="S230" s="103"/>
      <x:c r="T230" s="103"/>
      <x:c r="U230" s="103"/>
    </x:row>
    <x:row r="231" ht="24" customHeight="1">
      <x:c r="A231" s="103"/>
      <x:c r="B231" s="103"/>
      <x:c r="C231" s="103" t="str">
        <x:f>"FY2031 cash capex / revenue: "&amp;(FIXED((S45)*100,1,TRUE)&amp;"%")&amp;". New finance lease assets / revenue: "&amp;(FIXED((S53)*100,1,TRUE)&amp;"%")&amp;"."</x:f>
        <x:v>FY2031 cash capex / revenue: 20.0%. New finance lease assets / revenue: 5.5%.</x:v>
      </x:c>
      <x:c r="D231" s="103"/>
      <x:c r="E231" s="103"/>
      <x:c r="F231" s="103"/>
      <x:c r="G231" s="103"/>
      <x:c r="H231" s="103"/>
      <x:c r="I231" s="103"/>
      <x:c r="J231" s="103"/>
      <x:c r="K231" s="103"/>
      <x:c r="L231" s="103"/>
      <x:c r="M231" s="103"/>
      <x:c r="N231" s="103"/>
      <x:c r="O231" s="103"/>
      <x:c r="P231" s="103"/>
      <x:c r="Q231" s="103"/>
      <x:c r="R231" s="103"/>
      <x:c r="S231" s="103"/>
      <x:c r="T231" s="103"/>
      <x:c r="U231" s="103"/>
    </x:row>
    <x:row r="232" ht="24" customHeight="1">
      <x:c r="A232" s="103"/>
      <x:c r="B232" s="103"/>
      <x:c r="C232" s="103" t="str">
        <x:f>"FY2031 collection days: "&amp;FIXED(S69,1,TRUE)&amp;"; operating payable days: "&amp;FIXED(S77,1,TRUE)&amp;". These drivers affect cash conversion."</x:f>
        <x:v>FY2031 collection days: 89.0; operating payable days: 53.9. These drivers affect cash conversion.</x:v>
      </x:c>
      <x:c r="D232" s="103"/>
      <x:c r="E232" s="103"/>
      <x:c r="F232" s="103"/>
      <x:c r="G232" s="103"/>
      <x:c r="H232" s="103"/>
      <x:c r="I232" s="103"/>
      <x:c r="J232" s="103"/>
      <x:c r="K232" s="103"/>
      <x:c r="L232" s="103"/>
      <x:c r="M232" s="103"/>
      <x:c r="N232" s="103"/>
      <x:c r="O232" s="103"/>
      <x:c r="P232" s="103"/>
      <x:c r="Q232" s="103"/>
      <x:c r="R232" s="103"/>
      <x:c r="S232" s="103"/>
      <x:c r="T232" s="103"/>
      <x:c r="U232" s="103"/>
    </x:row>
    <x:row r="233" ht="24" customHeight="1">
      <x:c r="A233" s="103"/>
      <x:c r="B233" s="103"/>
      <x:c r="C233" s="103"/>
      <x:c r="D233" s="103"/>
      <x:c r="E233" s="103"/>
      <x:c r="F233" s="103"/>
      <x:c r="G233" s="103"/>
      <x:c r="H233" s="103"/>
      <x:c r="I233" s="103"/>
      <x:c r="J233" s="103"/>
      <x:c r="K233" s="103"/>
      <x:c r="L233" s="103"/>
      <x:c r="M233" s="103"/>
      <x:c r="N233" s="103"/>
      <x:c r="O233" s="103"/>
      <x:c r="P233" s="103"/>
      <x:c r="Q233" s="103"/>
      <x:c r="R233" s="103"/>
      <x:c r="S233" s="103"/>
      <x:c r="T233" s="103"/>
      <x:c r="U233" s="103"/>
    </x:row>
    <x:row r="234" ht="24" customHeight="1">
      <x:c r="A234" s="103"/>
      <x:c r="B234" s="103"/>
      <x:c r="C234" s="103"/>
      <x:c r="D234" s="103"/>
      <x:c r="E234" s="103"/>
      <x:c r="F234" s="103"/>
      <x:c r="G234" s="103"/>
      <x:c r="H234" s="103"/>
      <x:c r="I234" s="103"/>
      <x:c r="J234" s="103"/>
      <x:c r="K234" s="103"/>
      <x:c r="L234" s="103"/>
      <x:c r="M234" s="103"/>
      <x:c r="N234" s="103"/>
      <x:c r="O234" s="103"/>
      <x:c r="P234" s="103"/>
      <x:c r="Q234" s="103"/>
      <x:c r="R234" s="103"/>
      <x:c r="S234" s="103"/>
      <x:c r="T234" s="103"/>
      <x:c r="U234" s="103"/>
    </x:row>
    <x:row r="235" ht="24" customHeight="1">
      <x:c r="A235" s="103"/>
      <x:c r="B235" s="103"/>
      <x:c r="C235" s="103"/>
      <x:c r="D235" s="103"/>
      <x:c r="E235" s="103"/>
      <x:c r="F235" s="103"/>
      <x:c r="G235" s="103"/>
      <x:c r="H235" s="103"/>
      <x:c r="I235" s="103"/>
      <x:c r="J235" s="103"/>
      <x:c r="K235" s="103"/>
      <x:c r="L235" s="103"/>
      <x:c r="M235" s="103"/>
      <x:c r="N235" s="103"/>
      <x:c r="O235" s="103"/>
      <x:c r="P235" s="103"/>
      <x:c r="Q235" s="103"/>
      <x:c r="R235" s="103"/>
      <x:c r="S235" s="103"/>
      <x:c r="T235" s="103"/>
      <x:c r="U235" s="103"/>
    </x:row>
    <x:row r="236" ht="24" customHeight="1">
      <x:c r="A236" s="103"/>
      <x:c r="B236" s="103"/>
      <x:c r="C236" s="103"/>
      <x:c r="D236" s="103"/>
      <x:c r="E236" s="103"/>
      <x:c r="F236" s="103"/>
      <x:c r="G236" s="103"/>
      <x:c r="H236" s="103"/>
      <x:c r="I236" s="103"/>
      <x:c r="J236" s="103"/>
      <x:c r="K236" s="103"/>
      <x:c r="L236" s="103"/>
      <x:c r="M236" s="103"/>
      <x:c r="N236" s="103"/>
      <x:c r="O236" s="103"/>
      <x:c r="P236" s="103"/>
      <x:c r="Q236" s="103"/>
      <x:c r="R236" s="103"/>
      <x:c r="S236" s="103"/>
      <x:c r="T236" s="103"/>
      <x:c r="U236" s="103"/>
    </x:row>
    <x:row r="237" ht="24" customHeight="1">
      <x:c r="A237" s="103"/>
      <x:c r="B237" s="103"/>
      <x:c r="C237" s="103"/>
      <x:c r="D237" s="103"/>
      <x:c r="E237" s="103"/>
      <x:c r="F237" s="103"/>
      <x:c r="G237" s="103"/>
      <x:c r="H237" s="103"/>
      <x:c r="I237" s="103"/>
      <x:c r="J237" s="103"/>
      <x:c r="K237" s="103"/>
      <x:c r="L237" s="103"/>
      <x:c r="M237" s="103"/>
      <x:c r="N237" s="103"/>
      <x:c r="O237" s="103"/>
      <x:c r="P237" s="103"/>
      <x:c r="Q237" s="103"/>
      <x:c r="R237" s="103"/>
      <x:c r="S237" s="103"/>
      <x:c r="T237" s="103"/>
      <x:c r="U237" s="103"/>
    </x:row>
    <x:row r="238" ht="24" customHeight="1">
      <x:c r="A238" s="103"/>
      <x:c r="B238" s="103"/>
      <x:c r="C238" s="103"/>
      <x:c r="D238" s="103"/>
      <x:c r="E238" s="103"/>
      <x:c r="F238" s="103"/>
      <x:c r="G238" s="103"/>
      <x:c r="H238" s="103"/>
      <x:c r="I238" s="103"/>
      <x:c r="J238" s="103"/>
      <x:c r="K238" s="103"/>
      <x:c r="L238" s="103"/>
      <x:c r="M238" s="103"/>
      <x:c r="N238" s="103"/>
      <x:c r="O238" s="103"/>
      <x:c r="P238" s="103"/>
      <x:c r="Q238" s="103"/>
      <x:c r="R238" s="103"/>
      <x:c r="S238" s="103"/>
      <x:c r="T238" s="103"/>
      <x:c r="U238" s="103"/>
    </x:row>
    <x:row r="239" ht="24" customHeight="1">
      <x:c r="A239" s="103"/>
      <x:c r="B239" s="103"/>
      <x:c r="C239" s="103"/>
      <x:c r="D239" s="103"/>
      <x:c r="E239" s="103"/>
      <x:c r="F239" s="103"/>
      <x:c r="G239" s="103"/>
      <x:c r="H239" s="103"/>
      <x:c r="I239" s="103"/>
      <x:c r="J239" s="103"/>
      <x:c r="K239" s="103"/>
      <x:c r="L239" s="103"/>
      <x:c r="M239" s="103"/>
      <x:c r="N239" s="103"/>
      <x:c r="O239" s="103"/>
      <x:c r="P239" s="103"/>
      <x:c r="Q239" s="103"/>
      <x:c r="R239" s="103"/>
      <x:c r="S239" s="103"/>
      <x:c r="T239" s="103"/>
      <x:c r="U239" s="103"/>
    </x:row>
    <x:row r="240" ht="24" customHeight="1">
      <x:c r="A240" s="103"/>
      <x:c r="B240" s="103"/>
      <x:c r="C240" s="103"/>
      <x:c r="D240" s="103"/>
      <x:c r="E240" s="103"/>
      <x:c r="F240" s="103"/>
      <x:c r="G240" s="103"/>
      <x:c r="H240" s="103"/>
      <x:c r="I240" s="103"/>
      <x:c r="J240" s="103"/>
      <x:c r="K240" s="103"/>
      <x:c r="L240" s="103"/>
      <x:c r="M240" s="103"/>
      <x:c r="N240" s="103"/>
      <x:c r="O240" s="103"/>
      <x:c r="P240" s="103"/>
      <x:c r="Q240" s="103"/>
      <x:c r="R240" s="103"/>
      <x:c r="S240" s="103"/>
      <x:c r="T240" s="103"/>
      <x:c r="U240" s="103"/>
    </x:row>
    <x:row r="241" ht="24" customHeight="1">
      <x:c r="A241" s="103"/>
      <x:c r="B241" s="103"/>
      <x:c r="C241" s="103"/>
      <x:c r="D241" s="103"/>
      <x:c r="E241" s="103"/>
      <x:c r="F241" s="103"/>
      <x:c r="G241" s="103"/>
      <x:c r="H241" s="103"/>
      <x:c r="I241" s="103"/>
      <x:c r="J241" s="103"/>
      <x:c r="K241" s="103"/>
      <x:c r="L241" s="103"/>
      <x:c r="M241" s="103"/>
      <x:c r="N241" s="103"/>
      <x:c r="O241" s="103"/>
      <x:c r="P241" s="103"/>
      <x:c r="Q241" s="103"/>
      <x:c r="R241" s="103"/>
      <x:c r="S241" s="103"/>
      <x:c r="T241" s="103"/>
      <x:c r="U241" s="103"/>
    </x:row>
    <x:row r="242" ht="24" customHeight="1">
      <x:c r="A242" s="103"/>
      <x:c r="B242" s="103"/>
      <x:c r="C242" s="103"/>
      <x:c r="D242" s="103"/>
      <x:c r="E242" s="103"/>
      <x:c r="F242" s="103"/>
      <x:c r="G242" s="103"/>
      <x:c r="H242" s="103"/>
      <x:c r="I242" s="103"/>
      <x:c r="J242" s="103"/>
      <x:c r="K242" s="103"/>
      <x:c r="L242" s="103"/>
      <x:c r="M242" s="103"/>
      <x:c r="N242" s="103"/>
      <x:c r="O242" s="103"/>
      <x:c r="P242" s="103"/>
      <x:c r="Q242" s="103"/>
      <x:c r="R242" s="103"/>
      <x:c r="S242" s="103"/>
      <x:c r="T242" s="103"/>
      <x:c r="U242" s="103"/>
    </x:row>
    <x:row r="243" ht="24" customHeight="1">
      <x:c r="A243" s="103"/>
      <x:c r="B243" s="103"/>
      <x:c r="C243" s="103"/>
      <x:c r="D243" s="103"/>
      <x:c r="E243" s="103"/>
      <x:c r="F243" s="103"/>
      <x:c r="G243" s="103"/>
      <x:c r="H243" s="103"/>
      <x:c r="I243" s="103"/>
      <x:c r="J243" s="103"/>
      <x:c r="K243" s="103"/>
      <x:c r="L243" s="103"/>
      <x:c r="M243" s="103"/>
      <x:c r="N243" s="103"/>
      <x:c r="O243" s="103"/>
      <x:c r="P243" s="103"/>
      <x:c r="Q243" s="103"/>
      <x:c r="R243" s="103"/>
      <x:c r="S243" s="103"/>
      <x:c r="T243" s="103"/>
      <x:c r="U243" s="103"/>
    </x:row>
    <x:row r="244" ht="24" customHeight="1">
      <x:c r="A244" s="103"/>
      <x:c r="B244" s="103"/>
      <x:c r="C244" s="103"/>
      <x:c r="D244" s="103"/>
      <x:c r="E244" s="103"/>
      <x:c r="F244" s="103"/>
      <x:c r="G244" s="103"/>
      <x:c r="H244" s="103"/>
      <x:c r="I244" s="103"/>
      <x:c r="J244" s="103"/>
      <x:c r="K244" s="103"/>
      <x:c r="L244" s="103"/>
      <x:c r="M244" s="103"/>
      <x:c r="N244" s="103"/>
      <x:c r="O244" s="103"/>
      <x:c r="P244" s="103"/>
      <x:c r="Q244" s="103"/>
      <x:c r="R244" s="103"/>
      <x:c r="S244" s="103"/>
      <x:c r="T244" s="103"/>
      <x:c r="U244" s="103"/>
    </x:row>
    <x:row r="245" ht="24" customHeight="1">
      <x:c r="A245" s="103"/>
      <x:c r="B245" s="103"/>
      <x:c r="C245" s="103"/>
      <x:c r="D245" s="103"/>
      <x:c r="E245" s="103"/>
      <x:c r="F245" s="103"/>
      <x:c r="G245" s="103"/>
      <x:c r="H245" s="103"/>
      <x:c r="I245" s="103"/>
      <x:c r="J245" s="103"/>
      <x:c r="K245" s="103"/>
      <x:c r="L245" s="103"/>
      <x:c r="M245" s="103"/>
      <x:c r="N245" s="103"/>
      <x:c r="O245" s="103"/>
      <x:c r="P245" s="103"/>
      <x:c r="Q245" s="103"/>
      <x:c r="R245" s="103"/>
      <x:c r="S245" s="103"/>
      <x:c r="T245" s="103"/>
      <x:c r="U245" s="103"/>
    </x:row>
    <x:row r="246" ht="24" customHeight="1"/>
    <x:row r="247" ht="24" customHeight="1"/>
    <x:row r="248" ht="24" customHeight="1"/>
    <x:row r="249" ht="24" customHeight="1"/>
    <x:row r="250" ht="24" customHeight="1"/>
    <x:row r="251" ht="24" customHeight="1"/>
    <x:row r="252" ht="24" customHeight="1"/>
    <x:row r="253" ht="24" customHeight="1"/>
    <x:row r="254" ht="24" customHeight="1"/>
    <x:row r="255" ht="24" customHeight="1"/>
    <x:row r="256" ht="24" customHeight="1">
      <x:c r="C256" s="138" t="str">
        <x:v>Fiscal year</x:v>
      </x:c>
      <x:c r="D256" s="138" t="str">
        <x:v>PBP</x:v>
      </x:c>
      <x:c r="E256" s="138" t="str">
        <x:v>Intelligent Cloud</x:v>
      </x:c>
      <x:c r="F256" s="138" t="str">
        <x:v>MPC</x:v>
      </x:c>
    </x:row>
    <x:row r="257" ht="24" customHeight="1">
      <x:c r="C257" s="128" t="str">
        <x:f>"FY2027 E"</x:f>
        <x:v>FY2027 E</x:v>
      </x:c>
      <x:c r="D257" s="130" t="n">
        <x:f>IF(OR(O9="n.a.",ISBLANK(O9)),"",O9)</x:f>
        <x:v>0.14</x:v>
      </x:c>
      <x:c r="E257" s="130" t="n">
        <x:f>IF(OR(O13="n.a.",ISBLANK(O13)),"",O13)</x:f>
        <x:v>0.24</x:v>
      </x:c>
      <x:c r="F257" s="130" t="n">
        <x:f>IF(OR(O17="n.a.",ISBLANK(O17)),"",O17)</x:f>
        <x:v>0.01</x:v>
      </x:c>
    </x:row>
    <x:row r="258" ht="24" customHeight="1">
      <x:c r="C258" s="128" t="str">
        <x:f>"FY2028 E"</x:f>
        <x:v>FY2028 E</x:v>
      </x:c>
      <x:c r="D258" s="130" t="n">
        <x:f>IF(OR(P9="n.a.",ISBLANK(P9)),"",P9)</x:f>
        <x:v>0.13</x:v>
      </x:c>
      <x:c r="E258" s="130" t="n">
        <x:f>IF(OR(P13="n.a.",ISBLANK(P13)),"",P13)</x:f>
        <x:v>0.22</x:v>
      </x:c>
      <x:c r="F258" s="130" t="n">
        <x:f>IF(OR(P17="n.a.",ISBLANK(P17)),"",P17)</x:f>
        <x:v>0.02</x:v>
      </x:c>
    </x:row>
    <x:row r="259" ht="24" customHeight="1">
      <x:c r="C259" s="128" t="str">
        <x:f>"FY2029 E"</x:f>
        <x:v>FY2029 E</x:v>
      </x:c>
      <x:c r="D259" s="130" t="n">
        <x:f>IF(OR(Q9="n.a.",ISBLANK(Q9)),"",Q9)</x:f>
        <x:v>0.12</x:v>
      </x:c>
      <x:c r="E259" s="130" t="n">
        <x:f>IF(OR(Q13="n.a.",ISBLANK(Q13)),"",Q13)</x:f>
        <x:v>0.2</x:v>
      </x:c>
      <x:c r="F259" s="130" t="n">
        <x:f>IF(OR(Q17="n.a.",ISBLANK(Q17)),"",Q17)</x:f>
        <x:v>0.02</x:v>
      </x:c>
    </x:row>
    <x:row r="260" ht="24" customHeight="1">
      <x:c r="C260" s="128" t="str">
        <x:f>"FY2030 E"</x:f>
        <x:v>FY2030 E</x:v>
      </x:c>
      <x:c r="D260" s="130" t="n">
        <x:f>IF(OR(R9="n.a.",ISBLANK(R9)),"",R9)</x:f>
        <x:v>0.11</x:v>
      </x:c>
      <x:c r="E260" s="130" t="n">
        <x:f>IF(OR(R13="n.a.",ISBLANK(R13)),"",R13)</x:f>
        <x:v>0.18</x:v>
      </x:c>
      <x:c r="F260" s="130" t="n">
        <x:f>IF(OR(R17="n.a.",ISBLANK(R17)),"",R17)</x:f>
        <x:v>0.02</x:v>
      </x:c>
    </x:row>
    <x:row r="261" ht="24" customHeight="1">
      <x:c r="C261" s="128" t="str">
        <x:f>"FY2031 E"</x:f>
        <x:v>FY2031 E</x:v>
      </x:c>
      <x:c r="D261" s="130" t="n">
        <x:f>IF(OR(S9="n.a.",ISBLANK(S9)),"",S9)</x:f>
        <x:v>0.1</x:v>
      </x:c>
      <x:c r="E261" s="130" t="n">
        <x:f>IF(OR(S13="n.a.",ISBLANK(S13)),"",S13)</x:f>
        <x:v>0.16</x:v>
      </x:c>
      <x:c r="F261" s="130" t="n">
        <x:f>IF(OR(S17="n.a.",ISBLANK(S17)),"",S17)</x:f>
        <x:v>0.02</x:v>
      </x:c>
    </x:row>
    <x:row r="262" ht="24" customHeight="1"/>
    <x:row r="263" ht="24" customHeight="1"/>
    <x:row r="264" ht="24" customHeight="1"/>
    <x:row r="265" ht="24" customHeight="1"/>
    <x:row r="266" ht="24" customHeight="1"/>
    <x:row r="267" ht="24" customHeight="1"/>
    <x:row r="268" ht="24" customHeight="1"/>
    <x:row r="269" ht="24" customHeight="1"/>
    <x:row r="270" ht="24" customHeight="1"/>
    <x:row r="271" ht="24" customHeight="1"/>
    <x:row r="272" ht="24" customHeight="1"/>
    <x:row r="273" ht="24" customHeight="1"/>
    <x:row r="274" ht="24" customHeight="1"/>
    <x:row r="275" ht="24" customHeight="1">
      <x:c r="C275" s="138" t="str">
        <x:v>Fiscal year</x:v>
      </x:c>
      <x:c r="D275" s="138" t="str">
        <x:v>Cash capex / revenue</x:v>
      </x:c>
      <x:c r="E275" s="138" t="str">
        <x:v>Finance lease additions / revenue</x:v>
      </x:c>
    </x:row>
    <x:row r="276" ht="24" customHeight="1">
      <x:c r="C276" s="128" t="str">
        <x:f>"FY2027 E"</x:f>
        <x:v>FY2027 E</x:v>
      </x:c>
      <x:c r="D276" s="130" t="n">
        <x:f>IF(OR(O45="n.a.",ISBLANK(O45)),"",O45)</x:f>
        <x:v>0.32</x:v>
      </x:c>
      <x:c r="E276" s="130" t="n">
        <x:f>IF(OR(O53="n.a.",ISBLANK(O53)),"",O53)</x:f>
        <x:v>0.075</x:v>
      </x:c>
    </x:row>
    <x:row r="277" ht="24" customHeight="1">
      <x:c r="C277" s="128" t="str">
        <x:f>"FY2028 E"</x:f>
        <x:v>FY2028 E</x:v>
      </x:c>
      <x:c r="D277" s="130" t="n">
        <x:f>IF(OR(P45="n.a.",ISBLANK(P45)),"",P45)</x:f>
        <x:v>0.28</x:v>
      </x:c>
      <x:c r="E277" s="130" t="n">
        <x:f>IF(OR(P53="n.a.",ISBLANK(P53)),"",P53)</x:f>
        <x:v>0.07</x:v>
      </x:c>
    </x:row>
    <x:row r="278" ht="24" customHeight="1">
      <x:c r="C278" s="128" t="str">
        <x:f>"FY2029 E"</x:f>
        <x:v>FY2029 E</x:v>
      </x:c>
      <x:c r="D278" s="130" t="n">
        <x:f>IF(OR(Q45="n.a.",ISBLANK(Q45)),"",Q45)</x:f>
        <x:v>0.25</x:v>
      </x:c>
      <x:c r="E278" s="130" t="n">
        <x:f>IF(OR(Q53="n.a.",ISBLANK(Q53)),"",Q53)</x:f>
        <x:v>0.065</x:v>
      </x:c>
    </x:row>
    <x:row r="279" ht="24" customHeight="1">
      <x:c r="C279" s="128" t="str">
        <x:f>"FY2030 E"</x:f>
        <x:v>FY2030 E</x:v>
      </x:c>
      <x:c r="D279" s="130" t="n">
        <x:f>IF(OR(R45="n.a.",ISBLANK(R45)),"",R45)</x:f>
        <x:v>0.22</x:v>
      </x:c>
      <x:c r="E279" s="130" t="n">
        <x:f>IF(OR(R53="n.a.",ISBLANK(R53)),"",R53)</x:f>
        <x:v>0.06</x:v>
      </x:c>
    </x:row>
    <x:row r="280" ht="24" customHeight="1">
      <x:c r="C280" s="128" t="str">
        <x:f>"FY2031 E"</x:f>
        <x:v>FY2031 E</x:v>
      </x:c>
      <x:c r="D280" s="130" t="n">
        <x:f>IF(OR(S45="n.a.",ISBLANK(S45)),"",S45)</x:f>
        <x:v>0.2</x:v>
      </x:c>
      <x:c r="E280" s="130" t="n">
        <x:f>IF(OR(S53="n.a.",ISBLANK(S53)),"",S53)</x:f>
        <x:v>0.055</x:v>
      </x:c>
    </x:row>
  </x:sheetData>
  <x:mergeCells>
    <x:mergeCell ref="C230:S230"/>
    <x:mergeCell ref="C231:S231"/>
    <x:mergeCell ref="C232:S232"/>
  </x:mergeCells>
  <x:dataValidations count="1">
    <x:dataValidation type="list" sqref="D4">
      <x:formula1>"1,2,3"</x:formula1>
    </x:dataValidation>
  </x:dataValidations>
  <x:pageMargins left="0.7" right="0.7" top="0.75" bottom="0.75" header="0.3" footer="0.3"/>
  <x:drawing xmlns:r="http://schemas.openxmlformats.org/officeDocument/2006/relationships" r:id="R37a1db6db2314fb9"/>
  <x:legacyDrawing xmlns:r="http://schemas.openxmlformats.org/officeDocument/2006/relationships" r:id="R49fdfc4ace734210"/>
</x:worksheet>
</file>

<file path=xl/worksheets/sheet7.xml><?xml version="1.0" encoding="utf-8"?>
<x:worksheet xmlns:x="http://schemas.openxmlformats.org/spreadsheetml/2006/main">
  <x:sheetPr>
    <x:tabColor rgb="FF002060"/>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Income Statement</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74" t="str">
        <x:v>Revenue</x:v>
      </x:c>
      <x:c r="D8" s="174"/>
      <x:c r="E8" s="175" t="n">
        <x:f>'Historical Inputs'!E9</x:f>
        <x:v>96571</x:v>
      </x:c>
      <x:c r="F8" s="175" t="n">
        <x:f>'Historical Inputs'!F9</x:f>
        <x:v>110360</x:v>
      </x:c>
      <x:c r="G8" s="175" t="n">
        <x:f>'Historical Inputs'!G9</x:f>
        <x:v>125843</x:v>
      </x:c>
      <x:c r="H8" s="175" t="n">
        <x:f>'Historical Inputs'!H9</x:f>
        <x:v>143015</x:v>
      </x:c>
      <x:c r="I8" s="175" t="n">
        <x:f>'Historical Inputs'!I9</x:f>
        <x:v>168088</x:v>
      </x:c>
      <x:c r="J8" s="175" t="n">
        <x:f>'Historical Inputs'!J9</x:f>
        <x:v>198270</x:v>
      </x:c>
      <x:c r="K8" s="175" t="n">
        <x:f>'Historical Inputs'!K9</x:f>
        <x:v>211915</x:v>
      </x:c>
      <x:c r="L8" s="175" t="n">
        <x:f>'Historical Inputs'!L9</x:f>
        <x:v>245122</x:v>
      </x:c>
      <x:c r="M8" s="175" t="n">
        <x:f>'Historical Inputs'!M9</x:f>
        <x:v>281724</x:v>
      </x:c>
      <x:c r="N8" s="175" t="n">
        <x:f>'Historical Inputs'!N9</x:f>
        <x:v>331839</x:v>
      </x:c>
      <x:c r="O8" s="175" t="n">
        <x:f>'Segments'!O51</x:f>
        <x:v>385048.80000000005</x:v>
      </x:c>
      <x:c r="P8" s="175" t="n">
        <x:f>'Segments'!P51</x:f>
        <x:v>444477.44240000006</x:v>
      </x:c>
      <x:c r="Q8" s="175" t="n">
        <x:f>'Segments'!Q51</x:f>
        <x:v>508922.316432</x:v>
      </x:c>
      <x:c r="R8" s="175" t="n">
        <x:f>'Segments'!R51</x:f>
        <x:v>577301.7649200001</x:v>
      </x:c>
      <x:c r="S8" s="175" t="n">
        <x:f>'Segments'!S51</x:f>
        <x:v>648107.1509938752</x:v>
      </x:c>
      <x:c r="T8" s="103"/>
      <x:c r="U8" s="103"/>
    </x:row>
    <x:row r="9" ht="24" customHeight="1">
      <x:c r="A9" s="103"/>
      <x:c r="B9" s="103"/>
      <x:c r="C9" s="105" t="str">
        <x:v>Revenue growth</x:v>
      </x:c>
      <x:c r="D9" s="105"/>
      <x:c r="E9" s="119" t="str">
        <x:f>"n.a."</x:f>
        <x:v>n.a.</x:v>
      </x:c>
      <x:c r="F9" s="119" t="n">
        <x:f>F8/E8-1</x:f>
        <x:v>0.1427861366248666</x:v>
      </x:c>
      <x:c r="G9" s="119" t="n">
        <x:f>G8/F8-1</x:f>
        <x:v>0.14029539688292858</x:v>
      </x:c>
      <x:c r="H9" s="119" t="n">
        <x:f>H8/G8-1</x:f>
        <x:v>0.1364557424727637</x:v>
      </x:c>
      <x:c r="I9" s="119" t="n">
        <x:f>I8/H8-1</x:f>
        <x:v>0.17531727441177503</x:v>
      </x:c>
      <x:c r="J9" s="119" t="n">
        <x:f>J8/I8-1</x:f>
        <x:v>0.17956070629670173</x:v>
      </x:c>
      <x:c r="K9" s="119" t="n">
        <x:f>K8/J8-1</x:f>
        <x:v>0.06882029555656421</x:v>
      </x:c>
      <x:c r="L9" s="119" t="n">
        <x:f>L8/K8-1</x:f>
        <x:v>0.1566996201307127</x:v>
      </x:c>
      <x:c r="M9" s="119" t="n">
        <x:f>M8/L8-1</x:f>
        <x:v>0.14932156232406713</x:v>
      </x:c>
      <x:c r="N9" s="119" t="n">
        <x:f>N8/M8-1</x:f>
        <x:v>0.17788686799846665</x:v>
      </x:c>
      <x:c r="O9" s="119" t="n">
        <x:f>O8/N8-1</x:f>
        <x:v>0.16034824116514357</x:v>
      </x:c>
      <x:c r="P9" s="119" t="n">
        <x:f>P8/O8-1</x:f>
        <x:v>0.15434054696443678</x:v>
      </x:c>
      <x:c r="Q9" s="119" t="n">
        <x:f>Q8/P8-1</x:f>
        <x:v>0.14499020171647747</x:v>
      </x:c>
      <x:c r="R9" s="119" t="n">
        <x:f>R8/Q8-1</x:f>
        <x:v>0.1343612694514973</x:v>
      </x:c>
      <x:c r="S9" s="119" t="n">
        <x:f>S8/R8-1</x:f>
        <x:v>0.12264883008574734</x:v>
      </x:c>
      <x:c r="T9" s="103"/>
      <x:c r="U9" s="103"/>
    </x:row>
    <x:row r="10" ht="24" customHeight="1">
      <x:c r="A10" s="103"/>
      <x:c r="B10" s="103"/>
      <x:c r="C10" s="103" t="str">
        <x:v>Cost of revenue</x:v>
      </x:c>
      <x:c r="D10" s="103"/>
      <x:c r="E10" s="109" t="n">
        <x:f>'Historical Inputs'!E10</x:f>
        <x:v>34261</x:v>
      </x:c>
      <x:c r="F10" s="109" t="n">
        <x:f>'Historical Inputs'!F10</x:f>
        <x:v>38353</x:v>
      </x:c>
      <x:c r="G10" s="109" t="n">
        <x:f>'Historical Inputs'!G10</x:f>
        <x:v>42910</x:v>
      </x:c>
      <x:c r="H10" s="109" t="n">
        <x:f>'Historical Inputs'!H10</x:f>
        <x:v>46078</x:v>
      </x:c>
      <x:c r="I10" s="109" t="n">
        <x:f>'Historical Inputs'!I10</x:f>
        <x:v>52232</x:v>
      </x:c>
      <x:c r="J10" s="109" t="n">
        <x:f>'Historical Inputs'!J10</x:f>
        <x:v>62650</x:v>
      </x:c>
      <x:c r="K10" s="109" t="n">
        <x:f>'Historical Inputs'!K10</x:f>
        <x:v>65863</x:v>
      </x:c>
      <x:c r="L10" s="109" t="n">
        <x:f>'Historical Inputs'!L10</x:f>
        <x:v>74114</x:v>
      </x:c>
      <x:c r="M10" s="109" t="n">
        <x:f>'Historical Inputs'!M10</x:f>
        <x:v>87831</x:v>
      </x:c>
      <x:c r="N10" s="109" t="n">
        <x:f>'Historical Inputs'!N10</x:f>
        <x:v>106374</x:v>
      </x:c>
      <x:c r="O10" s="109" t="n">
        <x:f>'Segments'!O52</x:f>
        <x:v>126934.72594780002</x:v>
      </x:c>
      <x:c r="P10" s="109" t="n">
        <x:f>'Segments'!P52</x:f>
        <x:v>158587.80304314074</x:v>
      </x:c>
      <x:c r="Q10" s="109" t="n">
        <x:f>'Segments'!Q52</x:f>
        <x:v>192262.23061159597</x:v>
      </x:c>
      <x:c r="R10" s="109" t="n">
        <x:f>'Segments'!R52</x:f>
        <x:v>226627.30469749935</x:v>
      </x:c>
      <x:c r="S10" s="109" t="n">
        <x:f>'Segments'!S52</x:f>
        <x:v>261654.77493136932</x:v>
      </x:c>
      <x:c r="T10" s="103"/>
      <x:c r="U10" s="103"/>
    </x:row>
    <x:row r="11" ht="24" customHeight="1">
      <x:c r="A11" s="103"/>
      <x:c r="B11" s="103"/>
      <x:c r="C11" s="174" t="str">
        <x:v>Gross profit</x:v>
      </x:c>
      <x:c r="D11" s="174"/>
      <x:c r="E11" s="175" t="n">
        <x:f>'Historical Inputs'!E11</x:f>
        <x:v>62310</x:v>
      </x:c>
      <x:c r="F11" s="175" t="n">
        <x:f>'Historical Inputs'!F11</x:f>
        <x:v>72007</x:v>
      </x:c>
      <x:c r="G11" s="175" t="n">
        <x:f>'Historical Inputs'!G11</x:f>
        <x:v>82933</x:v>
      </x:c>
      <x:c r="H11" s="175" t="n">
        <x:f>'Historical Inputs'!H11</x:f>
        <x:v>96937</x:v>
      </x:c>
      <x:c r="I11" s="175" t="n">
        <x:f>'Historical Inputs'!I11</x:f>
        <x:v>115856</x:v>
      </x:c>
      <x:c r="J11" s="175" t="n">
        <x:f>'Historical Inputs'!J11</x:f>
        <x:v>135620</x:v>
      </x:c>
      <x:c r="K11" s="175" t="n">
        <x:f>'Historical Inputs'!K11</x:f>
        <x:v>146052</x:v>
      </x:c>
      <x:c r="L11" s="175" t="n">
        <x:f>'Historical Inputs'!L11</x:f>
        <x:v>171008</x:v>
      </x:c>
      <x:c r="M11" s="175" t="n">
        <x:f>'Historical Inputs'!M11</x:f>
        <x:v>193893</x:v>
      </x:c>
      <x:c r="N11" s="175" t="n">
        <x:f>'Historical Inputs'!N11</x:f>
        <x:v>225465</x:v>
      </x:c>
      <x:c r="O11" s="175" t="n">
        <x:f>O8-O10</x:f>
        <x:v>258114.0740522</x:v>
      </x:c>
      <x:c r="P11" s="175" t="n">
        <x:f>P8-P10</x:f>
        <x:v>285889.6393568593</x:v>
      </x:c>
      <x:c r="Q11" s="175" t="n">
        <x:f>Q8-Q10</x:f>
        <x:v>316660.08582040406</x:v>
      </x:c>
      <x:c r="R11" s="175" t="n">
        <x:f>R8-R10</x:f>
        <x:v>350674.4602225007</x:v>
      </x:c>
      <x:c r="S11" s="175" t="n">
        <x:f>S8-S10</x:f>
        <x:v>386452.3760625059</x:v>
      </x:c>
      <x:c r="T11" s="103"/>
      <x:c r="U11" s="103"/>
    </x:row>
    <x:row r="12" ht="24" customHeight="1">
      <x:c r="A12" s="103"/>
      <x:c r="B12" s="103"/>
      <x:c r="C12" s="105" t="str">
        <x:v>Gross margin</x:v>
      </x:c>
      <x:c r="D12" s="105"/>
      <x:c r="E12" s="119" t="n">
        <x:f>E11/E8</x:f>
        <x:v>0.6452247569146017</x:v>
      </x:c>
      <x:c r="F12" s="119" t="n">
        <x:f>F11/F8</x:f>
        <x:v>0.652473722363175</x:v>
      </x:c>
      <x:c r="G12" s="119" t="n">
        <x:f>G11/G8</x:f>
        <x:v>0.6590195720063889</x:v>
      </x:c>
      <x:c r="H12" s="119" t="n">
        <x:f>H11/H8</x:f>
        <x:v>0.6778100199279796</x:v>
      </x:c>
      <x:c r="I12" s="119" t="n">
        <x:f>I11/I8</x:f>
        <x:v>0.689258007710247</x:v>
      </x:c>
      <x:c r="J12" s="119" t="n">
        <x:f>J11/J8</x:f>
        <x:v>0.684016744842891</x:v>
      </x:c>
      <x:c r="K12" s="119" t="n">
        <x:f>K11/K8</x:f>
        <x:v>0.6892008588349102</x:v>
      </x:c>
      <x:c r="L12" s="119" t="n">
        <x:f>L11/L8</x:f>
        <x:v>0.6976444382797138</x:v>
      </x:c>
      <x:c r="M12" s="119" t="n">
        <x:f>M11/M8</x:f>
        <x:v>0.6882374238616519</x:v>
      </x:c>
      <x:c r="N12" s="119" t="n">
        <x:f>N11/N8</x:f>
        <x:v>0.6794409337058032</x:v>
      </x:c>
      <x:c r="O12" s="119" t="n">
        <x:f>O11/O8</x:f>
        <x:v>0.6703411984460151</x:v>
      </x:c>
      <x:c r="P12" s="119" t="n">
        <x:f>P11/P8</x:f>
        <x:v>0.6432039336196003</x:v>
      </x:c>
      <x:c r="Q12" s="119" t="n">
        <x:f>Q11/Q8</x:f>
        <x:v>0.6222169388060521</x:v>
      </x:c>
      <x:c r="R12" s="119" t="n">
        <x:f>R11/R8</x:f>
        <x:v>0.6074370139351568</x:v>
      </x:c>
      <x:c r="S12" s="119" t="n">
        <x:f>S11/S8</x:f>
        <x:v>0.5962785250400021</x:v>
      </x:c>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t="str">
        <x:v>Research and development</x:v>
      </x:c>
      <x:c r="D14" s="103"/>
      <x:c r="E14" s="109" t="n">
        <x:f>'Historical Inputs'!E12</x:f>
        <x:v>13037</x:v>
      </x:c>
      <x:c r="F14" s="109" t="n">
        <x:f>'Historical Inputs'!F12</x:f>
        <x:v>14726</x:v>
      </x:c>
      <x:c r="G14" s="109" t="n">
        <x:f>'Historical Inputs'!G12</x:f>
        <x:v>16876</x:v>
      </x:c>
      <x:c r="H14" s="109" t="n">
        <x:f>'Historical Inputs'!H12</x:f>
        <x:v>19269</x:v>
      </x:c>
      <x:c r="I14" s="109" t="n">
        <x:f>'Historical Inputs'!I12</x:f>
        <x:v>20716</x:v>
      </x:c>
      <x:c r="J14" s="109" t="n">
        <x:f>'Historical Inputs'!J12</x:f>
        <x:v>24512</x:v>
      </x:c>
      <x:c r="K14" s="109" t="n">
        <x:f>'Historical Inputs'!K12</x:f>
        <x:v>27195</x:v>
      </x:c>
      <x:c r="L14" s="109" t="n">
        <x:f>'Historical Inputs'!L12</x:f>
        <x:v>29510</x:v>
      </x:c>
      <x:c r="M14" s="109" t="n">
        <x:f>'Historical Inputs'!M12</x:f>
        <x:v>32488</x:v>
      </x:c>
      <x:c r="N14" s="109" t="n">
        <x:f>'Historical Inputs'!N12</x:f>
        <x:v>35562</x:v>
      </x:c>
      <x:c r="O14" s="109" t="n">
        <x:f>'Expense Plan'!O18</x:f>
        <x:v>42340.911817928674</x:v>
      </x:c>
      <x:c r="P14" s="109" t="n">
        <x:f>'Expense Plan'!P18</x:f>
        <x:v>51150.89940868524</x:v>
      </x:c>
      <x:c r="Q14" s="109" t="n">
        <x:f>'Expense Plan'!Q18</x:f>
        <x:v>60522.53930091431</x:v>
      </x:c>
      <x:c r="R14" s="109" t="n">
        <x:f>'Expense Plan'!R18</x:f>
        <x:v>70220.21893489482</x:v>
      </x:c>
      <x:c r="S14" s="109" t="n">
        <x:f>'Expense Plan'!S18</x:f>
        <x:v>80133.32454351732</x:v>
      </x:c>
      <x:c r="T14" s="103"/>
      <x:c r="U14" s="103"/>
    </x:row>
    <x:row r="15" ht="24" customHeight="1">
      <x:c r="A15" s="103"/>
      <x:c r="B15" s="103"/>
      <x:c r="C15" s="103" t="str">
        <x:v>Sales and marketing</x:v>
      </x:c>
      <x:c r="D15" s="103"/>
      <x:c r="E15" s="109" t="n">
        <x:f>'Historical Inputs'!E13</x:f>
        <x:v>15461</x:v>
      </x:c>
      <x:c r="F15" s="109" t="n">
        <x:f>'Historical Inputs'!F13</x:f>
        <x:v>17469</x:v>
      </x:c>
      <x:c r="G15" s="109" t="n">
        <x:f>'Historical Inputs'!G13</x:f>
        <x:v>18213</x:v>
      </x:c>
      <x:c r="H15" s="109" t="n">
        <x:f>'Historical Inputs'!H13</x:f>
        <x:v>19598</x:v>
      </x:c>
      <x:c r="I15" s="109" t="n">
        <x:f>'Historical Inputs'!I13</x:f>
        <x:v>20117</x:v>
      </x:c>
      <x:c r="J15" s="109" t="n">
        <x:f>'Historical Inputs'!J13</x:f>
        <x:v>21825</x:v>
      </x:c>
      <x:c r="K15" s="109" t="n">
        <x:f>'Historical Inputs'!K13</x:f>
        <x:v>22759</x:v>
      </x:c>
      <x:c r="L15" s="109" t="n">
        <x:f>'Historical Inputs'!L13</x:f>
        <x:v>24456</x:v>
      </x:c>
      <x:c r="M15" s="109" t="n">
        <x:f>'Historical Inputs'!M13</x:f>
        <x:v>25654</x:v>
      </x:c>
      <x:c r="N15" s="109" t="n">
        <x:f>'Historical Inputs'!N13</x:f>
        <x:v>26710</x:v>
      </x:c>
      <x:c r="O15" s="109" t="n">
        <x:f>'Expense Plan'!O20</x:f>
        <x:v>30803.904000000006</x:v>
      </x:c>
      <x:c r="P15" s="109" t="n">
        <x:f>'Expense Plan'!P20</x:f>
        <x:v>35113.7179496</x:v>
      </x:c>
      <x:c r="Q15" s="109" t="n">
        <x:f>'Expense Plan'!Q20</x:f>
        <x:v>39695.940681696</x:v>
      </x:c>
      <x:c r="R15" s="109" t="n">
        <x:f>'Expense Plan'!R20</x:f>
        <x:v>44452.23589884001</x:v>
      </x:c>
      <x:c r="S15" s="109" t="n">
        <x:f>'Expense Plan'!S20</x:f>
        <x:v>49256.14347553452</x:v>
      </x:c>
      <x:c r="T15" s="103"/>
      <x:c r="U15" s="103"/>
    </x:row>
    <x:row r="16" ht="24" customHeight="1">
      <x:c r="A16" s="103"/>
      <x:c r="B16" s="103"/>
      <x:c r="C16" s="103" t="str">
        <x:v>General and administrative</x:v>
      </x:c>
      <x:c r="D16" s="103"/>
      <x:c r="E16" s="109" t="n">
        <x:f>'Historical Inputs'!E14</x:f>
        <x:v>4481</x:v>
      </x:c>
      <x:c r="F16" s="109" t="n">
        <x:f>'Historical Inputs'!F14</x:f>
        <x:v>4754</x:v>
      </x:c>
      <x:c r="G16" s="109" t="n">
        <x:f>'Historical Inputs'!G14</x:f>
        <x:v>4885</x:v>
      </x:c>
      <x:c r="H16" s="109" t="n">
        <x:f>'Historical Inputs'!H14</x:f>
        <x:v>5111</x:v>
      </x:c>
      <x:c r="I16" s="109" t="n">
        <x:f>'Historical Inputs'!I14</x:f>
        <x:v>5107</x:v>
      </x:c>
      <x:c r="J16" s="109" t="n">
        <x:f>'Historical Inputs'!J14</x:f>
        <x:v>5900</x:v>
      </x:c>
      <x:c r="K16" s="109" t="n">
        <x:f>'Historical Inputs'!K14</x:f>
        <x:v>7575</x:v>
      </x:c>
      <x:c r="L16" s="109" t="n">
        <x:f>'Historical Inputs'!L14</x:f>
        <x:v>7609</x:v>
      </x:c>
      <x:c r="M16" s="109" t="n">
        <x:f>'Historical Inputs'!M14</x:f>
        <x:v>7223</x:v>
      </x:c>
      <x:c r="N16" s="109" t="n">
        <x:f>'Historical Inputs'!N14</x:f>
        <x:v>7956</x:v>
      </x:c>
      <x:c r="O16" s="109" t="n">
        <x:f>'Expense Plan'!O21</x:f>
        <x:v>9241.1712</x:v>
      </x:c>
      <x:c r="P16" s="109" t="n">
        <x:f>'Expense Plan'!P21</x:f>
        <x:v>10445.219896400002</x:v>
      </x:c>
      <x:c r="Q16" s="109" t="n">
        <x:f>'Expense Plan'!Q21</x:f>
        <x:v>11705.213277936</x:v>
      </x:c>
      <x:c r="R16" s="109" t="n">
        <x:f>'Expense Plan'!R21</x:f>
        <x:v>12989.289710700003</x:v>
      </x:c>
      <x:c r="S16" s="109" t="n">
        <x:f>'Expense Plan'!S21</x:f>
        <x:v>14258.357321865255</x:v>
      </x:c>
      <x:c r="T16" s="103"/>
      <x:c r="U16" s="103"/>
    </x:row>
    <x:row r="17" ht="24" customHeight="1">
      <x:c r="A17" s="103"/>
      <x:c r="B17" s="103"/>
      <x:c r="C17" s="103" t="str">
        <x:v>Impairment, integration and restructuring</x:v>
      </x:c>
      <x:c r="D17" s="103"/>
      <x:c r="E17" s="109" t="n">
        <x:f>'Historical Inputs'!E24</x:f>
        <x:v>306</x:v>
      </x:c>
      <x:c r="F17" s="109" t="n">
        <x:f>'Historical Inputs'!F24</x:f>
        <x:v>0</x:v>
      </x:c>
      <x:c r="G17" s="109" t="n">
        <x:f>'Historical Inputs'!G24</x:f>
        <x:v>0</x:v>
      </x:c>
      <x:c r="H17" s="109" t="n">
        <x:f>'Historical Inputs'!H24</x:f>
        <x:v>0</x:v>
      </x:c>
      <x:c r="I17" s="109" t="n">
        <x:f>'Historical Inputs'!I24</x:f>
        <x:v>0</x:v>
      </x:c>
      <x:c r="J17" s="109" t="n">
        <x:f>'Historical Inputs'!J24</x:f>
        <x:v>0</x:v>
      </x:c>
      <x:c r="K17" s="109" t="n">
        <x:f>'Historical Inputs'!K24</x:f>
        <x:v>0</x:v>
      </x:c>
      <x:c r="L17" s="109" t="n">
        <x:f>'Historical Inputs'!L24</x:f>
        <x:v>0</x:v>
      </x:c>
      <x:c r="M17" s="109" t="n">
        <x:f>'Historical Inputs'!M24</x:f>
        <x:v>0</x:v>
      </x:c>
      <x:c r="N17" s="109" t="n">
        <x:f>'Historical Inputs'!N24</x:f>
        <x:v>0</x:v>
      </x:c>
      <x:c r="O17" s="109" t="n">
        <x:f>'Expense Plan'!O22</x:f>
        <x:v>0</x:v>
      </x:c>
      <x:c r="P17" s="109" t="n">
        <x:f>'Expense Plan'!P22</x:f>
        <x:v>0</x:v>
      </x:c>
      <x:c r="Q17" s="109" t="n">
        <x:f>'Expense Plan'!Q22</x:f>
        <x:v>0</x:v>
      </x:c>
      <x:c r="R17" s="109" t="n">
        <x:f>'Expense Plan'!R22</x:f>
        <x:v>0</x:v>
      </x:c>
      <x:c r="S17" s="109" t="n">
        <x:f>'Expense Plan'!S22</x:f>
        <x:v>0</x:v>
      </x:c>
      <x:c r="T17" s="103"/>
      <x:c r="U17" s="103"/>
    </x:row>
    <x:row r="18" ht="24" customHeight="1">
      <x:c r="A18" s="103"/>
      <x:c r="B18" s="103"/>
      <x:c r="C18" s="174" t="str">
        <x:v>Total operating expenses</x:v>
      </x:c>
      <x:c r="D18" s="174"/>
      <x:c r="E18" s="175" t="n">
        <x:f>SUM(E14:E17)</x:f>
        <x:v>33285</x:v>
      </x:c>
      <x:c r="F18" s="175" t="n">
        <x:f>SUM(F14:F17)</x:f>
        <x:v>36949</x:v>
      </x:c>
      <x:c r="G18" s="175" t="n">
        <x:f>SUM(G14:G17)</x:f>
        <x:v>39974</x:v>
      </x:c>
      <x:c r="H18" s="175" t="n">
        <x:f>SUM(H14:H17)</x:f>
        <x:v>43978</x:v>
      </x:c>
      <x:c r="I18" s="175" t="n">
        <x:f>SUM(I14:I17)</x:f>
        <x:v>45940</x:v>
      </x:c>
      <x:c r="J18" s="175" t="n">
        <x:f>SUM(J14:J17)</x:f>
        <x:v>52237</x:v>
      </x:c>
      <x:c r="K18" s="175" t="n">
        <x:f>SUM(K14:K17)</x:f>
        <x:v>57529</x:v>
      </x:c>
      <x:c r="L18" s="175" t="n">
        <x:f>SUM(L14:L17)</x:f>
        <x:v>61575</x:v>
      </x:c>
      <x:c r="M18" s="175" t="n">
        <x:f>SUM(M14:M17)</x:f>
        <x:v>65365</x:v>
      </x:c>
      <x:c r="N18" s="175" t="n">
        <x:f>SUM(N14:N17)</x:f>
        <x:v>70228</x:v>
      </x:c>
      <x:c r="O18" s="175" t="n">
        <x:f>SUM(O14:O17)</x:f>
        <x:v>82385.98701792868</x:v>
      </x:c>
      <x:c r="P18" s="175" t="n">
        <x:f>SUM(P14:P17)</x:f>
        <x:v>96709.83725468523</x:v>
      </x:c>
      <x:c r="Q18" s="175" t="n">
        <x:f>SUM(Q14:Q17)</x:f>
        <x:v>111923.69326054631</x:v>
      </x:c>
      <x:c r="R18" s="175" t="n">
        <x:f>SUM(R14:R17)</x:f>
        <x:v>127661.74454443483</x:v>
      </x:c>
      <x:c r="S18" s="175" t="n">
        <x:f>SUM(S14:S17)</x:f>
        <x:v>143647.82534091707</x:v>
      </x:c>
      <x:c r="T18" s="103"/>
      <x:c r="U18" s="103"/>
    </x:row>
    <x:row r="19" ht="24" customHeight="1">
      <x:c r="A19" s="103"/>
      <x:c r="B19" s="103"/>
      <x:c r="C19" s="174" t="str">
        <x:v>Operating income</x:v>
      </x:c>
      <x:c r="D19" s="174"/>
      <x:c r="E19" s="175" t="n">
        <x:f>'Historical Inputs'!E15</x:f>
        <x:v>29025</x:v>
      </x:c>
      <x:c r="F19" s="175" t="n">
        <x:f>'Historical Inputs'!F15</x:f>
        <x:v>35058</x:v>
      </x:c>
      <x:c r="G19" s="175" t="n">
        <x:f>'Historical Inputs'!G15</x:f>
        <x:v>42959</x:v>
      </x:c>
      <x:c r="H19" s="175" t="n">
        <x:f>'Historical Inputs'!H15</x:f>
        <x:v>52959</x:v>
      </x:c>
      <x:c r="I19" s="175" t="n">
        <x:f>'Historical Inputs'!I15</x:f>
        <x:v>69916</x:v>
      </x:c>
      <x:c r="J19" s="175" t="n">
        <x:f>'Historical Inputs'!J15</x:f>
        <x:v>83383</x:v>
      </x:c>
      <x:c r="K19" s="175" t="n">
        <x:f>'Historical Inputs'!K15</x:f>
        <x:v>88523</x:v>
      </x:c>
      <x:c r="L19" s="175" t="n">
        <x:f>'Historical Inputs'!L15</x:f>
        <x:v>109433</x:v>
      </x:c>
      <x:c r="M19" s="175" t="n">
        <x:f>'Historical Inputs'!M15</x:f>
        <x:v>128528</x:v>
      </x:c>
      <x:c r="N19" s="175" t="n">
        <x:f>'Historical Inputs'!N15</x:f>
        <x:v>155237</x:v>
      </x:c>
      <x:c r="O19" s="175" t="n">
        <x:f>O11-O18</x:f>
        <x:v>175728.08703427133</x:v>
      </x:c>
      <x:c r="P19" s="175" t="n">
        <x:f>P11-P18</x:f>
        <x:v>189179.8021021741</x:v>
      </x:c>
      <x:c r="Q19" s="175" t="n">
        <x:f>Q11-Q18</x:f>
        <x:v>204736.39255985775</x:v>
      </x:c>
      <x:c r="R19" s="175" t="n">
        <x:f>R11-R18</x:f>
        <x:v>223012.7156780659</x:v>
      </x:c>
      <x:c r="S19" s="175" t="n">
        <x:f>S11-S18</x:f>
        <x:v>242804.5507215888</x:v>
      </x:c>
      <x:c r="T19" s="103"/>
      <x:c r="U19" s="103"/>
    </x:row>
    <x:row r="20" ht="24" customHeight="1">
      <x:c r="A20" s="103"/>
      <x:c r="B20" s="103"/>
      <x:c r="C20" s="105" t="str">
        <x:v>Operating margin</x:v>
      </x:c>
      <x:c r="D20" s="105"/>
      <x:c r="E20" s="119" t="n">
        <x:f>E19/E8</x:f>
        <x:v>0.3005560675565128</x:v>
      </x:c>
      <x:c r="F20" s="119" t="n">
        <x:f>F19/F8</x:f>
        <x:v>0.3176694454512505</x:v>
      </x:c>
      <x:c r="G20" s="119" t="n">
        <x:f>G19/G8</x:f>
        <x:v>0.3413698020549415</x:v>
      </x:c>
      <x:c r="H20" s="119" t="n">
        <x:f>H19/H8</x:f>
        <x:v>0.37030381428521486</x:v>
      </x:c>
      <x:c r="I20" s="119" t="n">
        <x:f>I19/I8</x:f>
        <x:v>0.415948788729713</x:v>
      </x:c>
      <x:c r="J20" s="119" t="n">
        <x:f>J19/J8</x:f>
        <x:v>0.4205527815604983</x:v>
      </x:c>
      <x:c r="K20" s="119" t="n">
        <x:f>K19/K8</x:f>
        <x:v>0.417728806361041</x:v>
      </x:c>
      <x:c r="L20" s="119" t="n">
        <x:f>L19/L8</x:f>
        <x:v>0.44644299573273716</x:v>
      </x:c>
      <x:c r="M20" s="119" t="n">
        <x:f>M19/M8</x:f>
        <x:v>0.4562195624085985</x:v>
      </x:c>
      <x:c r="N20" s="119" t="n">
        <x:f>N19/N8</x:f>
        <x:v>0.4678081840892722</x:v>
      </x:c>
      <x:c r="O20" s="119" t="n">
        <x:f>O19/O8</x:f>
        <x:v>0.45637874221208147</x:v>
      </x:c>
      <x:c r="P20" s="119" t="n">
        <x:f>P19/P8</x:f>
        <x:v>0.4256229541834091</x:v>
      </x:c>
      <x:c r="Q20" s="119" t="n">
        <x:f>Q19/Q8</x:f>
        <x:v>0.4022939964496796</x:v>
      </x:c>
      <x:c r="R20" s="119" t="n">
        <x:f>R19/R8</x:f>
        <x:v>0.38630180822151133</x:v>
      </x:c>
      <x:c r="S20" s="119" t="n">
        <x:f>S19/S8</x:f>
        <x:v>0.3746364321844728</x:v>
      </x:c>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t="str">
        <x:v>Other income and expense, net</x:v>
      </x:c>
      <x:c r="D22" s="103"/>
      <x:c r="E22" s="109" t="n">
        <x:f>'Historical Inputs'!E16</x:f>
        <x:v>876</x:v>
      </x:c>
      <x:c r="F22" s="109" t="n">
        <x:f>'Historical Inputs'!F16</x:f>
        <x:v>1416</x:v>
      </x:c>
      <x:c r="G22" s="109" t="n">
        <x:f>'Historical Inputs'!G16</x:f>
        <x:v>729</x:v>
      </x:c>
      <x:c r="H22" s="109" t="n">
        <x:f>'Historical Inputs'!H16</x:f>
        <x:v>77</x:v>
      </x:c>
      <x:c r="I22" s="109" t="n">
        <x:f>'Historical Inputs'!I16</x:f>
        <x:v>1186</x:v>
      </x:c>
      <x:c r="J22" s="109" t="n">
        <x:f>'Historical Inputs'!J16</x:f>
        <x:v>333</x:v>
      </x:c>
      <x:c r="K22" s="109" t="n">
        <x:f>'Historical Inputs'!K16</x:f>
        <x:v>788</x:v>
      </x:c>
      <x:c r="L22" s="109" t="n">
        <x:f>'Historical Inputs'!L16</x:f>
        <x:v>-1646</x:v>
      </x:c>
      <x:c r="M22" s="109" t="n">
        <x:f>'Historical Inputs'!M16</x:f>
        <x:v>-4901</x:v>
      </x:c>
      <x:c r="N22" s="109" t="n">
        <x:f>'Historical Inputs'!N16</x:f>
        <x:v>10697</x:v>
      </x:c>
      <x:c r="O22" s="109" t="n">
        <x:f>'Debt and Leases'!O26-'Debt and Leases'!O25</x:f>
        <x:v>-1694.7628800000002</x:v>
      </x:c>
      <x:c r="P22" s="109" t="n">
        <x:f>'Debt and Leases'!P26-'Debt and Leases'!P25</x:f>
        <x:v>-1730.5016880917674</x:v>
      </x:c>
      <x:c r="Q22" s="109" t="n">
        <x:f>'Debt and Leases'!Q26-'Debt and Leases'!Q25</x:f>
        <x:v>-617.126328978964</x:v>
      </x:c>
      <x:c r="R22" s="109" t="n">
        <x:f>'Debt and Leases'!R26-'Debt and Leases'!R25</x:f>
        <x:v>1517.8983101153235</x:v>
      </x:c>
      <x:c r="S22" s="109" t="n">
        <x:f>'Debt and Leases'!S26-'Debt and Leases'!S25</x:f>
        <x:v>4956.134473784497</x:v>
      </x:c>
      <x:c r="T22" s="103"/>
      <x:c r="U22" s="103"/>
    </x:row>
    <x:row r="23" ht="24" customHeight="1">
      <x:c r="A23" s="103"/>
      <x:c r="B23" s="103"/>
      <x:c r="C23" s="174" t="str">
        <x:v>Income before income taxes</x:v>
      </x:c>
      <x:c r="D23" s="174"/>
      <x:c r="E23" s="175" t="n">
        <x:f>'Historical Inputs'!E17</x:f>
        <x:v>29901</x:v>
      </x:c>
      <x:c r="F23" s="175" t="n">
        <x:f>'Historical Inputs'!F17</x:f>
        <x:v>36474</x:v>
      </x:c>
      <x:c r="G23" s="175" t="n">
        <x:f>'Historical Inputs'!G17</x:f>
        <x:v>43688</x:v>
      </x:c>
      <x:c r="H23" s="175" t="n">
        <x:f>'Historical Inputs'!H17</x:f>
        <x:v>53036</x:v>
      </x:c>
      <x:c r="I23" s="175" t="n">
        <x:f>'Historical Inputs'!I17</x:f>
        <x:v>71102</x:v>
      </x:c>
      <x:c r="J23" s="175" t="n">
        <x:f>'Historical Inputs'!J17</x:f>
        <x:v>83716</x:v>
      </x:c>
      <x:c r="K23" s="175" t="n">
        <x:f>'Historical Inputs'!K17</x:f>
        <x:v>89311</x:v>
      </x:c>
      <x:c r="L23" s="175" t="n">
        <x:f>'Historical Inputs'!L17</x:f>
        <x:v>107787</x:v>
      </x:c>
      <x:c r="M23" s="175" t="n">
        <x:f>'Historical Inputs'!M17</x:f>
        <x:v>123627</x:v>
      </x:c>
      <x:c r="N23" s="175" t="n">
        <x:f>'Historical Inputs'!N17</x:f>
        <x:v>165934</x:v>
      </x:c>
      <x:c r="O23" s="175" t="n">
        <x:f>O19+O22</x:f>
        <x:v>174033.32415427134</x:v>
      </x:c>
      <x:c r="P23" s="175" t="n">
        <x:f>P19+P22</x:f>
        <x:v>187449.30041408233</x:v>
      </x:c>
      <x:c r="Q23" s="175" t="n">
        <x:f>Q19+Q22</x:f>
        <x:v>204119.26623087877</x:v>
      </x:c>
      <x:c r="R23" s="175" t="n">
        <x:f>R19+R22</x:f>
        <x:v>224530.61398818123</x:v>
      </x:c>
      <x:c r="S23" s="175" t="n">
        <x:f>S19+S22</x:f>
        <x:v>247760.6851953733</x:v>
      </x:c>
      <x:c r="T23" s="103"/>
      <x:c r="U23" s="103"/>
    </x:row>
    <x:row r="24" ht="24" customHeight="1">
      <x:c r="A24" s="103"/>
      <x:c r="B24" s="103"/>
      <x:c r="C24" s="103"/>
      <x:c r="D24" s="103"/>
      <x:c r="E24" s="103"/>
      <x:c r="F24" s="103"/>
      <x:c r="G24" s="103"/>
      <x:c r="H24" s="103"/>
      <x:c r="I24" s="103"/>
      <x:c r="J24" s="103"/>
      <x:c r="K24" s="103"/>
      <x:c r="L24" s="103"/>
      <x:c r="M24" s="103"/>
      <x:c r="N24" s="103"/>
      <x:c r="O24" s="103"/>
      <x:c r="P24" s="103"/>
      <x:c r="Q24" s="103"/>
      <x:c r="R24" s="103"/>
      <x:c r="S24" s="103"/>
      <x:c r="T24" s="103"/>
      <x:c r="U24" s="103"/>
    </x:row>
    <x:row r="25" ht="24" customHeight="1">
      <x:c r="A25" s="103"/>
      <x:c r="B25" s="103"/>
      <x:c r="C25" s="103" t="str">
        <x:v>Income tax expense</x:v>
      </x:c>
      <x:c r="D25" s="103"/>
      <x:c r="E25" s="109" t="n">
        <x:f>'Historical Inputs'!E18</x:f>
        <x:v>4412</x:v>
      </x:c>
      <x:c r="F25" s="109" t="n">
        <x:f>'Historical Inputs'!F18</x:f>
        <x:v>19903</x:v>
      </x:c>
      <x:c r="G25" s="109" t="n">
        <x:f>'Historical Inputs'!G18</x:f>
        <x:v>4448</x:v>
      </x:c>
      <x:c r="H25" s="109" t="n">
        <x:f>'Historical Inputs'!H18</x:f>
        <x:v>8755</x:v>
      </x:c>
      <x:c r="I25" s="109" t="n">
        <x:f>'Historical Inputs'!I18</x:f>
        <x:v>9831</x:v>
      </x:c>
      <x:c r="J25" s="109" t="n">
        <x:f>'Historical Inputs'!J18</x:f>
        <x:v>10978</x:v>
      </x:c>
      <x:c r="K25" s="109" t="n">
        <x:f>'Historical Inputs'!K18</x:f>
        <x:v>16950</x:v>
      </x:c>
      <x:c r="L25" s="109" t="n">
        <x:f>'Historical Inputs'!L18</x:f>
        <x:v>19651</x:v>
      </x:c>
      <x:c r="M25" s="109" t="n">
        <x:f>'Historical Inputs'!M18</x:f>
        <x:v>21795</x:v>
      </x:c>
      <x:c r="N25" s="109" t="n">
        <x:f>'Historical Inputs'!N18</x:f>
        <x:v>32185</x:v>
      </x:c>
      <x:c r="O25" s="109" t="n">
        <x:f>'Tax and Equity'!O10</x:f>
        <x:v>34806.66483085427</x:v>
      </x:c>
      <x:c r="P25" s="109" t="n">
        <x:f>'Tax and Equity'!P10</x:f>
        <x:v>37489.86008281647</x:v>
      </x:c>
      <x:c r="Q25" s="109" t="n">
        <x:f>'Tax and Equity'!Q10</x:f>
        <x:v>40823.85324617576</x:v>
      </x:c>
      <x:c r="R25" s="109" t="n">
        <x:f>'Tax and Equity'!R10</x:f>
        <x:v>44906.12279763625</x:v>
      </x:c>
      <x:c r="S25" s="109" t="n">
        <x:f>'Tax and Equity'!S10</x:f>
        <x:v>49552.13703907467</x:v>
      </x:c>
      <x:c r="T25" s="103"/>
      <x:c r="U25" s="103"/>
    </x:row>
    <x:row r="26" ht="24" customHeight="1">
      <x:c r="A26" s="103"/>
      <x:c r="B26" s="103"/>
      <x:c r="C26" s="105" t="str">
        <x:v>Effective tax rate</x:v>
      </x:c>
      <x:c r="D26" s="105"/>
      <x:c r="E26" s="119" t="n">
        <x:f>E25/E23</x:f>
        <x:v>0.14755359352530015</x:v>
      </x:c>
      <x:c r="F26" s="119" t="n">
        <x:f>F25/F23</x:f>
        <x:v>0.5456763722103416</x:v>
      </x:c>
      <x:c r="G26" s="119" t="n">
        <x:f>G25/G23</x:f>
        <x:v>0.10181285478850027</x:v>
      </x:c>
      <x:c r="H26" s="119" t="n">
        <x:f>H25/H23</x:f>
        <x:v>0.16507655177615205</x:v>
      </x:c>
      <x:c r="I26" s="119" t="n">
        <x:f>I25/I23</x:f>
        <x:v>0.13826615285083402</x:v>
      </x:c>
      <x:c r="J26" s="119" t="n">
        <x:f>J25/J23</x:f>
        <x:v>0.13113383343685794</x:v>
      </x:c>
      <x:c r="K26" s="119" t="n">
        <x:f>K25/K23</x:f>
        <x:v>0.18978625253328257</x:v>
      </x:c>
      <x:c r="L26" s="119" t="n">
        <x:f>L25/L23</x:f>
        <x:v>0.18231326597827197</x:v>
      </x:c>
      <x:c r="M26" s="119" t="n">
        <x:f>M25/M23</x:f>
        <x:v>0.17629644009803683</x:v>
      </x:c>
      <x:c r="N26" s="119" t="n">
        <x:f>N25/N23</x:f>
        <x:v>0.19396265985271252</x:v>
      </x:c>
      <x:c r="O26" s="119" t="n">
        <x:f>O25/O23</x:f>
        <x:v>0.20000000000000004</x:v>
      </x:c>
      <x:c r="P26" s="119" t="n">
        <x:f>P25/P23</x:f>
        <x:v>0.2</x:v>
      </x:c>
      <x:c r="Q26" s="119" t="n">
        <x:f>Q25/Q23</x:f>
        <x:v>0.2</x:v>
      </x:c>
      <x:c r="R26" s="119" t="n">
        <x:f>R25/R23</x:f>
        <x:v>0.2</x:v>
      </x:c>
      <x:c r="S26" s="119" t="n">
        <x:f>S25/S23</x:f>
        <x:v>0.2</x:v>
      </x:c>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74" t="str">
        <x:v>Net income</x:v>
      </x:c>
      <x:c r="D28" s="174"/>
      <x:c r="E28" s="175" t="n">
        <x:f>'Historical Inputs'!E19</x:f>
        <x:v>25489</x:v>
      </x:c>
      <x:c r="F28" s="175" t="n">
        <x:f>'Historical Inputs'!F19</x:f>
        <x:v>16571</x:v>
      </x:c>
      <x:c r="G28" s="175" t="n">
        <x:f>'Historical Inputs'!G19</x:f>
        <x:v>39240</x:v>
      </x:c>
      <x:c r="H28" s="175" t="n">
        <x:f>'Historical Inputs'!H19</x:f>
        <x:v>44281</x:v>
      </x:c>
      <x:c r="I28" s="175" t="n">
        <x:f>'Historical Inputs'!I19</x:f>
        <x:v>61271</x:v>
      </x:c>
      <x:c r="J28" s="175" t="n">
        <x:f>'Historical Inputs'!J19</x:f>
        <x:v>72738</x:v>
      </x:c>
      <x:c r="K28" s="175" t="n">
        <x:f>'Historical Inputs'!K19</x:f>
        <x:v>72361</x:v>
      </x:c>
      <x:c r="L28" s="175" t="n">
        <x:f>'Historical Inputs'!L19</x:f>
        <x:v>88136</x:v>
      </x:c>
      <x:c r="M28" s="175" t="n">
        <x:f>'Historical Inputs'!M19</x:f>
        <x:v>101832</x:v>
      </x:c>
      <x:c r="N28" s="175" t="n">
        <x:f>'Historical Inputs'!N19</x:f>
        <x:v>133749</x:v>
      </x:c>
      <x:c r="O28" s="175" t="n">
        <x:f>O23-O25</x:f>
        <x:v>139226.65932341706</x:v>
      </x:c>
      <x:c r="P28" s="175" t="n">
        <x:f>P23-P25</x:f>
        <x:v>149959.44033126585</x:v>
      </x:c>
      <x:c r="Q28" s="175" t="n">
        <x:f>Q23-Q25</x:f>
        <x:v>163295.41298470303</x:v>
      </x:c>
      <x:c r="R28" s="175" t="n">
        <x:f>R23-R25</x:f>
        <x:v>179624.49119054497</x:v>
      </x:c>
      <x:c r="S28" s="175" t="n">
        <x:f>S23-S25</x:f>
        <x:v>198208.54815629864</x:v>
      </x:c>
      <x:c r="T28" s="103"/>
      <x:c r="U28" s="103"/>
    </x:row>
    <x:row r="29" ht="24" customHeight="1">
      <x:c r="A29" s="103"/>
      <x:c r="B29" s="103"/>
      <x:c r="C29" s="105" t="str">
        <x:v>Net margin</x:v>
      </x:c>
      <x:c r="D29" s="105"/>
      <x:c r="E29" s="119" t="n">
        <x:f>E28/E8</x:f>
        <x:v>0.26394052044609667</x:v>
      </x:c>
      <x:c r="F29" s="119" t="n">
        <x:f>F28/F8</x:f>
        <x:v>0.1501540413193186</x:v>
      </x:c>
      <x:c r="G29" s="119" t="n">
        <x:f>G28/G8</x:f>
        <x:v>0.3118171054409065</x:v>
      </x:c>
      <x:c r="H29" s="119" t="n">
        <x:f>H28/H8</x:f>
        <x:v>0.3096248645247002</x:v>
      </x:c>
      <x:c r="I29" s="119" t="n">
        <x:f>I28/I8</x:f>
        <x:v>0.36451739564989766</x:v>
      </x:c>
      <x:c r="J29" s="119" t="n">
        <x:f>J28/J8</x:f>
        <x:v>0.3668633681343622</x:v>
      </x:c>
      <x:c r="K29" s="119" t="n">
        <x:f>K28/K8</x:f>
        <x:v>0.3414623787839464</x:v>
      </x:c>
      <x:c r="L29" s="119" t="n">
        <x:f>L28/L8</x:f>
        <x:v>0.35955972944084985</x:v>
      </x:c>
      <x:c r="M29" s="119" t="n">
        <x:f>M28/M8</x:f>
        <x:v>0.3614601524896707</x:v>
      </x:c>
      <x:c r="N29" s="119" t="n">
        <x:f>N28/N8</x:f>
        <x:v>0.4030538905915218</x:v>
      </x:c>
      <x:c r="O29" s="119" t="n">
        <x:f>O28/O8</x:f>
        <x:v>0.36158185488025685</x:v>
      </x:c>
      <x:c r="P29" s="119" t="n">
        <x:f>P28/P8</x:f>
        <x:v>0.3373836915582149</x:v>
      </x:c>
      <x:c r="Q29" s="119" t="n">
        <x:f>Q28/Q8</x:f>
        <x:v>0.32086510595477463</x:v>
      </x:c>
      <x:c r="R29" s="119" t="n">
        <x:f>R28/R8</x:f>
        <x:v>0.3111448848860466</x:v>
      </x:c>
      <x:c r="S29" s="119" t="n">
        <x:f>S28/S8</x:f>
        <x:v>0.30582681868630046</x:v>
      </x:c>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t="str">
        <x:v>Basic weighted average shares</x:v>
      </x:c>
      <x:c r="D31" s="103"/>
      <x:c r="E31" s="125" t="n">
        <x:f>'Historical Inputs'!E22</x:f>
        <x:v>7746</x:v>
      </x:c>
      <x:c r="F31" s="125" t="n">
        <x:f>'Historical Inputs'!F22</x:f>
        <x:v>7700</x:v>
      </x:c>
      <x:c r="G31" s="125" t="n">
        <x:f>'Historical Inputs'!G22</x:f>
        <x:v>7673</x:v>
      </x:c>
      <x:c r="H31" s="125" t="n">
        <x:f>'Historical Inputs'!H22</x:f>
        <x:v>7610</x:v>
      </x:c>
      <x:c r="I31" s="125" t="n">
        <x:f>'Historical Inputs'!I22</x:f>
        <x:v>7547</x:v>
      </x:c>
      <x:c r="J31" s="125" t="n">
        <x:f>'Historical Inputs'!J22</x:f>
        <x:v>7496</x:v>
      </x:c>
      <x:c r="K31" s="125" t="n">
        <x:f>'Historical Inputs'!K22</x:f>
        <x:v>7446</x:v>
      </x:c>
      <x:c r="L31" s="125" t="n">
        <x:f>'Historical Inputs'!L22</x:f>
        <x:v>7431</x:v>
      </x:c>
      <x:c r="M31" s="125" t="n">
        <x:f>'Historical Inputs'!M22</x:f>
        <x:v>7433</x:v>
      </x:c>
      <x:c r="N31" s="125" t="n">
        <x:f>'Historical Inputs'!N22</x:f>
        <x:v>7429</x:v>
      </x:c>
      <x:c r="O31" s="125" t="n">
        <x:f>'Tax and Equity'!O35</x:f>
        <x:v>7406.713</x:v>
      </x:c>
      <x:c r="P31" s="125" t="n">
        <x:f>'Tax and Equity'!P35</x:f>
        <x:v>7384.492861</x:v>
      </x:c>
      <x:c r="Q31" s="125" t="n">
        <x:f>'Tax and Equity'!Q35</x:f>
        <x:v>7362.339382417</x:v>
      </x:c>
      <x:c r="R31" s="125" t="n">
        <x:f>'Tax and Equity'!R35</x:f>
        <x:v>7340.25236426975</x:v>
      </x:c>
      <x:c r="S31" s="125" t="n">
        <x:f>'Tax and Equity'!S35</x:f>
        <x:v>7318.23160717694</x:v>
      </x:c>
      <x:c r="T31" s="103"/>
      <x:c r="U31" s="103"/>
    </x:row>
    <x:row r="32" ht="24" customHeight="1">
      <x:c r="A32" s="103"/>
      <x:c r="B32" s="103"/>
      <x:c r="C32" s="103" t="str">
        <x:v>Diluted weighted average shares</x:v>
      </x:c>
      <x:c r="D32" s="103"/>
      <x:c r="E32" s="125" t="n">
        <x:f>'Historical Inputs'!E23</x:f>
        <x:v>7832</x:v>
      </x:c>
      <x:c r="F32" s="125" t="n">
        <x:f>'Historical Inputs'!F23</x:f>
        <x:v>7794</x:v>
      </x:c>
      <x:c r="G32" s="125" t="n">
        <x:f>'Historical Inputs'!G23</x:f>
        <x:v>7753</x:v>
      </x:c>
      <x:c r="H32" s="125" t="n">
        <x:f>'Historical Inputs'!H23</x:f>
        <x:v>7683</x:v>
      </x:c>
      <x:c r="I32" s="125" t="n">
        <x:f>'Historical Inputs'!I23</x:f>
        <x:v>7608</x:v>
      </x:c>
      <x:c r="J32" s="125" t="n">
        <x:f>'Historical Inputs'!J23</x:f>
        <x:v>7540</x:v>
      </x:c>
      <x:c r="K32" s="125" t="n">
        <x:f>'Historical Inputs'!K23</x:f>
        <x:v>7472</x:v>
      </x:c>
      <x:c r="L32" s="125" t="n">
        <x:f>'Historical Inputs'!L23</x:f>
        <x:v>7469</x:v>
      </x:c>
      <x:c r="M32" s="125" t="n">
        <x:f>'Historical Inputs'!M23</x:f>
        <x:v>7465</x:v>
      </x:c>
      <x:c r="N32" s="125" t="n">
        <x:f>'Historical Inputs'!N23</x:f>
        <x:v>7453</x:v>
      </x:c>
      <x:c r="O32" s="125" t="n">
        <x:f>'Tax and Equity'!O34</x:f>
        <x:v>7430.641</x:v>
      </x:c>
      <x:c r="P32" s="125" t="n">
        <x:f>'Tax and Equity'!P34</x:f>
        <x:v>7408.349077</x:v>
      </x:c>
      <x:c r="Q32" s="125" t="n">
        <x:f>'Tax and Equity'!Q34</x:f>
        <x:v>7386.124029769</x:v>
      </x:c>
      <x:c r="R32" s="125" t="n">
        <x:f>'Tax and Equity'!R34</x:f>
        <x:v>7363.965657679693</x:v>
      </x:c>
      <x:c r="S32" s="125" t="n">
        <x:f>'Tax and Equity'!S34</x:f>
        <x:v>7341.873760706654</x:v>
      </x:c>
      <x:c r="T32" s="103"/>
      <x:c r="U32" s="103"/>
    </x:row>
    <x:row r="33" ht="24" customHeight="1">
      <x:c r="A33" s="103"/>
      <x:c r="B33" s="103"/>
      <x:c r="C33" s="103" t="str">
        <x:v>Diluted earnings per share</x:v>
      </x:c>
      <x:c r="D33" s="103"/>
      <x:c r="E33" s="121" t="n">
        <x:f>'Historical Inputs'!E21</x:f>
        <x:v>3.25</x:v>
      </x:c>
      <x:c r="F33" s="121" t="n">
        <x:f>'Historical Inputs'!F21</x:f>
        <x:v>2.13</x:v>
      </x:c>
      <x:c r="G33" s="121" t="n">
        <x:f>'Historical Inputs'!G21</x:f>
        <x:v>5.06</x:v>
      </x:c>
      <x:c r="H33" s="121" t="n">
        <x:f>'Historical Inputs'!H21</x:f>
        <x:v>5.76</x:v>
      </x:c>
      <x:c r="I33" s="121" t="n">
        <x:f>'Historical Inputs'!I21</x:f>
        <x:v>8.05</x:v>
      </x:c>
      <x:c r="J33" s="121" t="n">
        <x:f>'Historical Inputs'!J21</x:f>
        <x:v>9.65</x:v>
      </x:c>
      <x:c r="K33" s="121" t="n">
        <x:f>'Historical Inputs'!K21</x:f>
        <x:v>9.68</x:v>
      </x:c>
      <x:c r="L33" s="121" t="n">
        <x:f>'Historical Inputs'!L21</x:f>
        <x:v>11.8</x:v>
      </x:c>
      <x:c r="M33" s="121" t="n">
        <x:f>'Historical Inputs'!M21</x:f>
        <x:v>13.64</x:v>
      </x:c>
      <x:c r="N33" s="121" t="n">
        <x:f>'Historical Inputs'!N21</x:f>
        <x:v>17.95</x:v>
      </x:c>
      <x:c r="O33" s="121" t="n">
        <x:f>O28/O32</x:f>
        <x:v>18.73683028468433</x:v>
      </x:c>
      <x:c r="P33" s="121" t="n">
        <x:f>P28/P32</x:f>
        <x:v>20.24195117868173</x:v>
      </x:c>
      <x:c r="Q33" s="121" t="n">
        <x:f>Q28/Q32</x:f>
        <x:v>22.108403856550193</x:v>
      </x:c>
      <x:c r="R33" s="121" t="n">
        <x:f>R28/R32</x:f>
        <x:v>24.39235862041523</x:v>
      </x:c>
      <x:c r="S33" s="121" t="n">
        <x:f>S28/S32</x:f>
        <x:v>26.996997580794837</x:v>
      </x:c>
      <x:c r="T33" s="103"/>
      <x:c r="U33" s="103"/>
    </x:row>
    <x:row r="34" ht="24" customHeight="1">
      <x:c r="A34" s="103"/>
      <x:c r="B34" s="103"/>
      <x:c r="C34" s="103" t="str">
        <x:v>Basic earnings per share</x:v>
      </x:c>
      <x:c r="D34" s="103"/>
      <x:c r="E34" s="121" t="n">
        <x:f>'Historical Inputs'!E20</x:f>
        <x:v>3.29</x:v>
      </x:c>
      <x:c r="F34" s="121" t="n">
        <x:f>'Historical Inputs'!F20</x:f>
        <x:v>2.15</x:v>
      </x:c>
      <x:c r="G34" s="121" t="n">
        <x:f>'Historical Inputs'!G20</x:f>
        <x:v>5.11</x:v>
      </x:c>
      <x:c r="H34" s="121" t="n">
        <x:f>'Historical Inputs'!H20</x:f>
        <x:v>5.82</x:v>
      </x:c>
      <x:c r="I34" s="121" t="n">
        <x:f>'Historical Inputs'!I20</x:f>
        <x:v>8.12</x:v>
      </x:c>
      <x:c r="J34" s="121" t="n">
        <x:f>'Historical Inputs'!J20</x:f>
        <x:v>9.7</x:v>
      </x:c>
      <x:c r="K34" s="121" t="n">
        <x:f>'Historical Inputs'!K20</x:f>
        <x:v>9.72</x:v>
      </x:c>
      <x:c r="L34" s="121" t="n">
        <x:f>'Historical Inputs'!L20</x:f>
        <x:v>11.86</x:v>
      </x:c>
      <x:c r="M34" s="121" t="n">
        <x:f>'Historical Inputs'!M20</x:f>
        <x:v>13.7</x:v>
      </x:c>
      <x:c r="N34" s="121" t="n">
        <x:f>'Historical Inputs'!N20</x:f>
        <x:v>18</x:v>
      </x:c>
      <x:c r="O34" s="121" t="n">
        <x:f>O28/O31</x:f>
        <x:v>18.79736116728393</x:v>
      </x:c>
      <x:c r="P34" s="121" t="n">
        <x:f>P28/P31</x:f>
        <x:v>20.307344479030142</x:v>
      </x:c>
      <x:c r="Q34" s="121" t="n">
        <x:f>Q28/Q31</x:f>
        <x:v>22.179826886911915</x:v>
      </x:c>
      <x:c r="R34" s="121" t="n">
        <x:f>R28/R31</x:f>
        <x:v>24.471160155869523</x:v>
      </x:c>
      <x:c r="S34" s="121" t="n">
        <x:f>S28/S31</x:f>
        <x:v>27.084213618207553</x:v>
      </x:c>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74" t="str">
        <x:v>Operating income plus disclosed D&amp;A</x:v>
      </x:c>
      <x:c r="D36" s="174"/>
      <x:c r="E36" s="175" t="n">
        <x:f>E19+'PPE and Intangibles'!E21+'PPE and Intangibles'!E42</x:f>
        <x:v>36825</x:v>
      </x:c>
      <x:c r="F36" s="175" t="n">
        <x:f>F19+'PPE and Intangibles'!F21+'PPE and Intangibles'!F42</x:f>
        <x:v>44958</x:v>
      </x:c>
      <x:c r="G36" s="175" t="n">
        <x:f>G19+'PPE and Intangibles'!G21+'PPE and Intangibles'!G42</x:f>
        <x:v>54559</x:v>
      </x:c>
      <x:c r="H36" s="175" t="n">
        <x:f>H19+'PPE and Intangibles'!H21+'PPE and Intangibles'!H42</x:f>
        <x:v>65259</x:v>
      </x:c>
      <x:c r="I36" s="175" t="n">
        <x:f>I19+'PPE and Intangibles'!I21+'PPE and Intangibles'!I42</x:f>
        <x:v>80816</x:v>
      </x:c>
      <x:c r="J36" s="175" t="n">
        <x:f>J19+'PPE and Intangibles'!J21+'PPE and Intangibles'!J42</x:f>
        <x:v>97983</x:v>
      </x:c>
      <x:c r="K36" s="175" t="n">
        <x:f>K19+'PPE and Intangibles'!K21+'PPE and Intangibles'!K42</x:f>
        <x:v>102023</x:v>
      </x:c>
      <x:c r="L36" s="175" t="n">
        <x:f>L19+'PPE and Intangibles'!L21+'PPE and Intangibles'!L42</x:f>
        <x:v>129433</x:v>
      </x:c>
      <x:c r="M36" s="175" t="n">
        <x:f>M19+'PPE and Intangibles'!M21+'PPE and Intangibles'!M42</x:f>
        <x:v>156528</x:v>
      </x:c>
      <x:c r="N36" s="175" t="n">
        <x:f>N19+'PPE and Intangibles'!N21+'PPE and Intangibles'!N42</x:f>
        <x:v>194237</x:v>
      </x:c>
      <x:c r="O36" s="175" t="n">
        <x:f>O19+'PPE and Intangibles'!O21+'PPE and Intangibles'!O42</x:f>
        <x:v>229144.45363427134</x:v>
      </x:c>
      <x:c r="P36" s="175" t="n">
        <x:f>P19+'PPE and Intangibles'!P21+'PPE and Intangibles'!P42</x:f>
        <x:v>266920.4223635874</x:v>
      </x:c>
      <x:c r="Q36" s="175" t="n">
        <x:f>Q19+'PPE and Intangibles'!Q21+'PPE and Intangibles'!Q42</x:f>
        <x:v>308245.96315238444</x:v>
      </x:c>
      <x:c r="R36" s="175" t="n">
        <x:f>R19+'PPE and Intangibles'!R21+'PPE and Intangibles'!R42</x:f>
        <x:v>352499.80753028055</x:v>
      </x:c>
      <x:c r="S36" s="175" t="n">
        <x:f>S19+'PPE and Intangibles'!S21+'PPE and Intangibles'!S42</x:f>
        <x:v>398785.1006277711</x:v>
      </x:c>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4" t="str">
        <x:v>Selected-case observations</x:v>
      </x:c>
      <x:c r="D53" s="104"/>
      <x:c r="E53" s="104"/>
      <x:c r="F53" s="104"/>
      <x:c r="G53" s="104"/>
      <x:c r="H53" s="104"/>
      <x:c r="I53" s="104"/>
      <x:c r="J53" s="104"/>
      <x:c r="K53" s="104"/>
      <x:c r="L53" s="104"/>
      <x:c r="M53" s="104"/>
      <x:c r="N53" s="104"/>
      <x:c r="O53" s="104"/>
      <x:c r="P53" s="104"/>
      <x:c r="Q53" s="104"/>
      <x:c r="R53" s="104"/>
      <x:c r="S53" s="104"/>
      <x:c r="T53" s="103"/>
      <x:c r="U53" s="103"/>
    </x:row>
    <x:row r="54" ht="24" customHeight="1">
      <x:c r="A54" s="103"/>
      <x:c r="B54" s="103"/>
      <x:c r="C54" s="103" t="str">
        <x:f>"FY2026 to FY2031 revenue CAGR: "&amp;(FIXED(((S8/N8)^(1/5)-1)*100,1,TRUE)&amp;"%")&amp;"."</x:f>
        <x:v>FY2026 to FY2031 revenue CAGR: 14.3%.</x:v>
      </x:c>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t="str">
        <x:f>"Operating margin changes from "&amp;(FIXED((N20)*100,1,TRUE)&amp;"%")&amp;" to "&amp;(FIXED((S20)*100,1,TRUE)&amp;"%")&amp;"; net margin changes from "&amp;(FIXED((N29)*100,1,TRUE)&amp;"%")&amp;" to "&amp;(FIXED((S29)*100,1,TRUE)&amp;"%")&amp;"."</x:f>
        <x:v>Operating margin changes from 46.8% to 37.5%; net margin changes from 40.3% to 30.6%.</x:v>
      </x:c>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t="str">
        <x:f>"FY2031 diluted shares: "&amp;FIXED(S32,0,FALSE)&amp;"m. EPS: "&amp;FIXED(S33,2,TRUE)&amp;" dollars."</x:f>
        <x:v>FY2031 diluted shares: 7,342m. EPS: 27.00 dollars.</x:v>
      </x:c>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23" t="str">
        <x:v>Fiscal year</x:v>
      </x:c>
      <x:c r="D80" s="123" t="str">
        <x:v>Revenue</x:v>
      </x:c>
      <x:c r="E80" s="123" t="str">
        <x:v>Operating income</x:v>
      </x:c>
      <x:c r="F80" s="123" t="str">
        <x:v>Net income</x:v>
      </x:c>
      <x:c r="G80" s="103"/>
      <x:c r="H80" s="103"/>
      <x:c r="I80" s="103"/>
      <x:c r="J80" s="103"/>
      <x:c r="K80" s="103"/>
      <x:c r="L80" s="103"/>
      <x:c r="M80" s="103"/>
      <x:c r="N80" s="103"/>
      <x:c r="O80" s="103"/>
      <x:c r="P80" s="103"/>
      <x:c r="Q80" s="103"/>
      <x:c r="R80" s="103"/>
      <x:c r="S80" s="103"/>
      <x:c r="T80" s="103"/>
      <x:c r="U80" s="103"/>
    </x:row>
    <x:row r="81" ht="24" customHeight="1">
      <x:c r="A81" s="103"/>
      <x:c r="B81" s="103"/>
      <x:c r="C81" s="103" t="str">
        <x:f>"FY2017 A"</x:f>
        <x:v>FY2017 A</x:v>
      </x:c>
      <x:c r="D81" s="125" t="n">
        <x:f>IF(OR(E8="n.a.",ISBLANK(E8)),"",E8)</x:f>
        <x:v>96571</x:v>
      </x:c>
      <x:c r="E81" s="125" t="n">
        <x:f>IF(OR(E19="n.a.",ISBLANK(E19)),"",E19)</x:f>
        <x:v>29025</x:v>
      </x:c>
      <x:c r="F81" s="125" t="n">
        <x:f>IF(OR(E28="n.a.",ISBLANK(E28)),"",E28)</x:f>
        <x:v>25489</x:v>
      </x:c>
      <x:c r="G81" s="103"/>
      <x:c r="H81" s="103"/>
      <x:c r="I81" s="103"/>
      <x:c r="J81" s="103"/>
      <x:c r="K81" s="103"/>
      <x:c r="L81" s="103"/>
      <x:c r="M81" s="103"/>
      <x:c r="N81" s="103"/>
      <x:c r="O81" s="103"/>
      <x:c r="P81" s="103"/>
      <x:c r="Q81" s="103"/>
      <x:c r="R81" s="103"/>
      <x:c r="S81" s="103"/>
      <x:c r="T81" s="103"/>
      <x:c r="U81" s="103"/>
    </x:row>
    <x:row r="82" ht="24" customHeight="1">
      <x:c r="A82" s="103"/>
      <x:c r="B82" s="103"/>
      <x:c r="C82" s="103" t="str">
        <x:f>"FY2018 A"</x:f>
        <x:v>FY2018 A</x:v>
      </x:c>
      <x:c r="D82" s="125" t="n">
        <x:f>IF(OR(F8="n.a.",ISBLANK(F8)),"",F8)</x:f>
        <x:v>110360</x:v>
      </x:c>
      <x:c r="E82" s="125" t="n">
        <x:f>IF(OR(F19="n.a.",ISBLANK(F19)),"",F19)</x:f>
        <x:v>35058</x:v>
      </x:c>
      <x:c r="F82" s="125" t="n">
        <x:f>IF(OR(F28="n.a.",ISBLANK(F28)),"",F28)</x:f>
        <x:v>16571</x:v>
      </x:c>
      <x:c r="G82" s="103"/>
      <x:c r="H82" s="103"/>
      <x:c r="I82" s="103"/>
      <x:c r="J82" s="103"/>
      <x:c r="K82" s="103"/>
      <x:c r="L82" s="103"/>
      <x:c r="M82" s="103"/>
      <x:c r="N82" s="103"/>
      <x:c r="O82" s="103"/>
      <x:c r="P82" s="103"/>
      <x:c r="Q82" s="103"/>
      <x:c r="R82" s="103"/>
      <x:c r="S82" s="103"/>
      <x:c r="T82" s="103"/>
      <x:c r="U82" s="103"/>
    </x:row>
    <x:row r="83" ht="24" customHeight="1">
      <x:c r="A83" s="103"/>
      <x:c r="B83" s="103"/>
      <x:c r="C83" s="103" t="str">
        <x:f>"FY2019 A"</x:f>
        <x:v>FY2019 A</x:v>
      </x:c>
      <x:c r="D83" s="125" t="n">
        <x:f>IF(OR(G8="n.a.",ISBLANK(G8)),"",G8)</x:f>
        <x:v>125843</x:v>
      </x:c>
      <x:c r="E83" s="125" t="n">
        <x:f>IF(OR(G19="n.a.",ISBLANK(G19)),"",G19)</x:f>
        <x:v>42959</x:v>
      </x:c>
      <x:c r="F83" s="125" t="n">
        <x:f>IF(OR(G28="n.a.",ISBLANK(G28)),"",G28)</x:f>
        <x:v>39240</x:v>
      </x:c>
      <x:c r="G83" s="103"/>
      <x:c r="H83" s="103"/>
      <x:c r="I83" s="103"/>
      <x:c r="J83" s="103"/>
      <x:c r="K83" s="103"/>
      <x:c r="L83" s="103"/>
      <x:c r="M83" s="103"/>
      <x:c r="N83" s="103"/>
      <x:c r="O83" s="103"/>
      <x:c r="P83" s="103"/>
      <x:c r="Q83" s="103"/>
      <x:c r="R83" s="103"/>
      <x:c r="S83" s="103"/>
      <x:c r="T83" s="103"/>
      <x:c r="U83" s="103"/>
    </x:row>
    <x:row r="84" ht="24" customHeight="1">
      <x:c r="A84" s="103"/>
      <x:c r="B84" s="103"/>
      <x:c r="C84" s="103" t="str">
        <x:f>"FY2020 A"</x:f>
        <x:v>FY2020 A</x:v>
      </x:c>
      <x:c r="D84" s="125" t="n">
        <x:f>IF(OR(H8="n.a.",ISBLANK(H8)),"",H8)</x:f>
        <x:v>143015</x:v>
      </x:c>
      <x:c r="E84" s="125" t="n">
        <x:f>IF(OR(H19="n.a.",ISBLANK(H19)),"",H19)</x:f>
        <x:v>52959</x:v>
      </x:c>
      <x:c r="F84" s="125" t="n">
        <x:f>IF(OR(H28="n.a.",ISBLANK(H28)),"",H28)</x:f>
        <x:v>44281</x:v>
      </x:c>
      <x:c r="G84" s="103"/>
      <x:c r="H84" s="103"/>
      <x:c r="I84" s="103"/>
      <x:c r="J84" s="103"/>
      <x:c r="K84" s="103"/>
      <x:c r="L84" s="103"/>
      <x:c r="M84" s="103"/>
      <x:c r="N84" s="103"/>
      <x:c r="O84" s="103"/>
      <x:c r="P84" s="103"/>
      <x:c r="Q84" s="103"/>
      <x:c r="R84" s="103"/>
      <x:c r="S84" s="103"/>
      <x:c r="T84" s="103"/>
      <x:c r="U84" s="103"/>
    </x:row>
    <x:row r="85" ht="24" customHeight="1">
      <x:c r="A85" s="103"/>
      <x:c r="B85" s="103"/>
      <x:c r="C85" s="103" t="str">
        <x:f>"FY2021 A"</x:f>
        <x:v>FY2021 A</x:v>
      </x:c>
      <x:c r="D85" s="125" t="n">
        <x:f>IF(OR(I8="n.a.",ISBLANK(I8)),"",I8)</x:f>
        <x:v>168088</x:v>
      </x:c>
      <x:c r="E85" s="125" t="n">
        <x:f>IF(OR(I19="n.a.",ISBLANK(I19)),"",I19)</x:f>
        <x:v>69916</x:v>
      </x:c>
      <x:c r="F85" s="125" t="n">
        <x:f>IF(OR(I28="n.a.",ISBLANK(I28)),"",I28)</x:f>
        <x:v>61271</x:v>
      </x:c>
      <x:c r="G85" s="103"/>
      <x:c r="H85" s="103"/>
      <x:c r="I85" s="103"/>
      <x:c r="J85" s="103"/>
      <x:c r="K85" s="103"/>
      <x:c r="L85" s="103"/>
      <x:c r="M85" s="103"/>
      <x:c r="N85" s="103"/>
      <x:c r="O85" s="103"/>
      <x:c r="P85" s="103"/>
      <x:c r="Q85" s="103"/>
      <x:c r="R85" s="103"/>
      <x:c r="S85" s="103"/>
      <x:c r="T85" s="103"/>
      <x:c r="U85" s="103"/>
    </x:row>
    <x:row r="86" ht="24" customHeight="1">
      <x:c r="A86" s="103"/>
      <x:c r="B86" s="103"/>
      <x:c r="C86" s="103" t="str">
        <x:f>"FY2022 A"</x:f>
        <x:v>FY2022 A</x:v>
      </x:c>
      <x:c r="D86" s="125" t="n">
        <x:f>IF(OR(J8="n.a.",ISBLANK(J8)),"",J8)</x:f>
        <x:v>198270</x:v>
      </x:c>
      <x:c r="E86" s="125" t="n">
        <x:f>IF(OR(J19="n.a.",ISBLANK(J19)),"",J19)</x:f>
        <x:v>83383</x:v>
      </x:c>
      <x:c r="F86" s="125" t="n">
        <x:f>IF(OR(J28="n.a.",ISBLANK(J28)),"",J28)</x:f>
        <x:v>72738</x:v>
      </x:c>
      <x:c r="G86" s="103"/>
      <x:c r="H86" s="103"/>
      <x:c r="I86" s="103"/>
      <x:c r="J86" s="103"/>
      <x:c r="K86" s="103"/>
      <x:c r="L86" s="103"/>
      <x:c r="M86" s="103"/>
      <x:c r="N86" s="103"/>
      <x:c r="O86" s="103"/>
      <x:c r="P86" s="103"/>
      <x:c r="Q86" s="103"/>
      <x:c r="R86" s="103"/>
      <x:c r="S86" s="103"/>
      <x:c r="T86" s="103"/>
      <x:c r="U86" s="103"/>
    </x:row>
    <x:row r="87" ht="24" customHeight="1">
      <x:c r="A87" s="103"/>
      <x:c r="B87" s="103"/>
      <x:c r="C87" s="103" t="str">
        <x:f>"FY2023 A"</x:f>
        <x:v>FY2023 A</x:v>
      </x:c>
      <x:c r="D87" s="125" t="n">
        <x:f>IF(OR(K8="n.a.",ISBLANK(K8)),"",K8)</x:f>
        <x:v>211915</x:v>
      </x:c>
      <x:c r="E87" s="125" t="n">
        <x:f>IF(OR(K19="n.a.",ISBLANK(K19)),"",K19)</x:f>
        <x:v>88523</x:v>
      </x:c>
      <x:c r="F87" s="125" t="n">
        <x:f>IF(OR(K28="n.a.",ISBLANK(K28)),"",K28)</x:f>
        <x:v>72361</x:v>
      </x:c>
      <x:c r="G87" s="103"/>
      <x:c r="H87" s="103"/>
      <x:c r="I87" s="103"/>
      <x:c r="J87" s="103"/>
      <x:c r="K87" s="103"/>
      <x:c r="L87" s="103"/>
      <x:c r="M87" s="103"/>
      <x:c r="N87" s="103"/>
      <x:c r="O87" s="103"/>
      <x:c r="P87" s="103"/>
      <x:c r="Q87" s="103"/>
      <x:c r="R87" s="103"/>
      <x:c r="S87" s="103"/>
      <x:c r="T87" s="103"/>
      <x:c r="U87" s="103"/>
    </x:row>
    <x:row r="88" ht="24" customHeight="1">
      <x:c r="A88" s="103"/>
      <x:c r="B88" s="103"/>
      <x:c r="C88" s="103" t="str">
        <x:f>"FY2024 A"</x:f>
        <x:v>FY2024 A</x:v>
      </x:c>
      <x:c r="D88" s="125" t="n">
        <x:f>IF(OR(L8="n.a.",ISBLANK(L8)),"",L8)</x:f>
        <x:v>245122</x:v>
      </x:c>
      <x:c r="E88" s="125" t="n">
        <x:f>IF(OR(L19="n.a.",ISBLANK(L19)),"",L19)</x:f>
        <x:v>109433</x:v>
      </x:c>
      <x:c r="F88" s="125" t="n">
        <x:f>IF(OR(L28="n.a.",ISBLANK(L28)),"",L28)</x:f>
        <x:v>88136</x:v>
      </x:c>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"FY2025 A"</x:f>
        <x:v>FY2025 A</x:v>
      </x:c>
      <x:c r="D89" s="125" t="n">
        <x:f>IF(OR(M8="n.a.",ISBLANK(M8)),"",M8)</x:f>
        <x:v>281724</x:v>
      </x:c>
      <x:c r="E89" s="125" t="n">
        <x:f>IF(OR(M19="n.a.",ISBLANK(M19)),"",M19)</x:f>
        <x:v>128528</x:v>
      </x:c>
      <x:c r="F89" s="125" t="n">
        <x:f>IF(OR(M28="n.a.",ISBLANK(M28)),"",M28)</x:f>
        <x:v>101832</x:v>
      </x:c>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"FY2026 A"</x:f>
        <x:v>FY2026 A</x:v>
      </x:c>
      <x:c r="D90" s="125" t="n">
        <x:f>IF(OR(N8="n.a.",ISBLANK(N8)),"",N8)</x:f>
        <x:v>331839</x:v>
      </x:c>
      <x:c r="E90" s="125" t="n">
        <x:f>IF(OR(N19="n.a.",ISBLANK(N19)),"",N19)</x:f>
        <x:v>155237</x:v>
      </x:c>
      <x:c r="F90" s="125" t="n">
        <x:f>IF(OR(N28="n.a.",ISBLANK(N28)),"",N28)</x:f>
        <x:v>133749</x:v>
      </x:c>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"FY2027 E"</x:f>
        <x:v>FY2027 E</x:v>
      </x:c>
      <x:c r="D91" s="125" t="n">
        <x:f>IF(OR(O8="n.a.",ISBLANK(O8)),"",O8)</x:f>
        <x:v>385048.80000000005</x:v>
      </x:c>
      <x:c r="E91" s="125" t="n">
        <x:f>IF(OR(O19="n.a.",ISBLANK(O19)),"",O19)</x:f>
        <x:v>175728.08703427133</x:v>
      </x:c>
      <x:c r="F91" s="125" t="n">
        <x:f>IF(OR(O28="n.a.",ISBLANK(O28)),"",O28)</x:f>
        <x:v>139226.65932341706</x:v>
      </x:c>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"FY2028 E"</x:f>
        <x:v>FY2028 E</x:v>
      </x:c>
      <x:c r="D92" s="125" t="n">
        <x:f>IF(OR(P8="n.a.",ISBLANK(P8)),"",P8)</x:f>
        <x:v>444477.44240000006</x:v>
      </x:c>
      <x:c r="E92" s="125" t="n">
        <x:f>IF(OR(P19="n.a.",ISBLANK(P19)),"",P19)</x:f>
        <x:v>189179.8021021741</x:v>
      </x:c>
      <x:c r="F92" s="125" t="n">
        <x:f>IF(OR(P28="n.a.",ISBLANK(P28)),"",P28)</x:f>
        <x:v>149959.44033126585</x:v>
      </x:c>
      <x:c r="G92" s="103"/>
      <x:c r="H92" s="103"/>
      <x:c r="I92" s="103"/>
      <x:c r="J92" s="103"/>
      <x:c r="K92" s="103"/>
      <x:c r="L92" s="103"/>
      <x:c r="M92" s="103"/>
      <x:c r="N92" s="103"/>
      <x:c r="O92" s="103"/>
      <x:c r="P92" s="103"/>
      <x:c r="Q92" s="103"/>
      <x:c r="R92" s="103"/>
      <x:c r="S92" s="103"/>
      <x:c r="T92" s="103"/>
      <x:c r="U92" s="103"/>
    </x:row>
    <x:row r="93" ht="24" customHeight="1">
      <x:c r="A93" s="103"/>
      <x:c r="B93" s="103"/>
      <x:c r="C93" s="103" t="str">
        <x:f>"FY2029 E"</x:f>
        <x:v>FY2029 E</x:v>
      </x:c>
      <x:c r="D93" s="125" t="n">
        <x:f>IF(OR(Q8="n.a.",ISBLANK(Q8)),"",Q8)</x:f>
        <x:v>508922.316432</x:v>
      </x:c>
      <x:c r="E93" s="125" t="n">
        <x:f>IF(OR(Q19="n.a.",ISBLANK(Q19)),"",Q19)</x:f>
        <x:v>204736.39255985775</x:v>
      </x:c>
      <x:c r="F93" s="125" t="n">
        <x:f>IF(OR(Q28="n.a.",ISBLANK(Q28)),"",Q28)</x:f>
        <x:v>163295.41298470303</x:v>
      </x:c>
      <x:c r="G93" s="103"/>
      <x:c r="H93" s="103"/>
      <x:c r="I93" s="103"/>
      <x:c r="J93" s="103"/>
      <x:c r="K93" s="103"/>
      <x:c r="L93" s="103"/>
      <x:c r="M93" s="103"/>
      <x:c r="N93" s="103"/>
      <x:c r="O93" s="103"/>
      <x:c r="P93" s="103"/>
      <x:c r="Q93" s="103"/>
      <x:c r="R93" s="103"/>
      <x:c r="S93" s="103"/>
      <x:c r="T93" s="103"/>
      <x:c r="U93" s="103"/>
    </x:row>
    <x:row r="94" ht="24" customHeight="1">
      <x:c r="A94" s="103"/>
      <x:c r="B94" s="103"/>
      <x:c r="C94" s="103" t="str">
        <x:f>"FY2030 E"</x:f>
        <x:v>FY2030 E</x:v>
      </x:c>
      <x:c r="D94" s="125" t="n">
        <x:f>IF(OR(R8="n.a.",ISBLANK(R8)),"",R8)</x:f>
        <x:v>577301.7649200001</x:v>
      </x:c>
      <x:c r="E94" s="125" t="n">
        <x:f>IF(OR(R19="n.a.",ISBLANK(R19)),"",R19)</x:f>
        <x:v>223012.7156780659</x:v>
      </x:c>
      <x:c r="F94" s="125" t="n">
        <x:f>IF(OR(R28="n.a.",ISBLANK(R28)),"",R28)</x:f>
        <x:v>179624.49119054497</x:v>
      </x:c>
      <x:c r="G94" s="103"/>
      <x:c r="H94" s="103"/>
      <x:c r="I94" s="103"/>
      <x:c r="J94" s="103"/>
      <x:c r="K94" s="103"/>
      <x:c r="L94" s="103"/>
      <x:c r="M94" s="103"/>
      <x:c r="N94" s="103"/>
      <x:c r="O94" s="103"/>
      <x:c r="P94" s="103"/>
      <x:c r="Q94" s="103"/>
      <x:c r="R94" s="103"/>
      <x:c r="S94" s="103"/>
      <x:c r="T94" s="103"/>
      <x:c r="U94" s="103"/>
    </x:row>
    <x:row r="95" ht="24" customHeight="1">
      <x:c r="A95" s="103"/>
      <x:c r="B95" s="103"/>
      <x:c r="C95" s="103" t="str">
        <x:f>"FY2031 E"</x:f>
        <x:v>FY2031 E</x:v>
      </x:c>
      <x:c r="D95" s="125" t="n">
        <x:f>IF(OR(S8="n.a.",ISBLANK(S8)),"",S8)</x:f>
        <x:v>648107.1509938752</x:v>
      </x:c>
      <x:c r="E95" s="125" t="n">
        <x:f>IF(OR(S19="n.a.",ISBLANK(S19)),"",S19)</x:f>
        <x:v>242804.5507215888</x:v>
      </x:c>
      <x:c r="F95" s="125" t="n">
        <x:f>IF(OR(S28="n.a.",ISBLANK(S28)),"",S28)</x:f>
        <x:v>198208.54815629864</x:v>
      </x:c>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row r="99" ht="24" customHeight="1">
      <x:c r="C99" s="138" t="str">
        <x:v>Fiscal year</x:v>
      </x:c>
      <x:c r="D99" s="138" t="str">
        <x:v>Gross margin</x:v>
      </x:c>
      <x:c r="E99" s="138" t="str">
        <x:v>Operating margin</x:v>
      </x:c>
      <x:c r="F99" s="138" t="str">
        <x:v>Net margin</x:v>
      </x:c>
    </x:row>
    <x:row r="100" ht="24" customHeight="1">
      <x:c r="C100" s="128" t="str">
        <x:f>"FY2017 A"</x:f>
        <x:v>FY2017 A</x:v>
      </x:c>
      <x:c r="D100" s="130" t="n">
        <x:f>IF(OR(E12="n.a.",ISBLANK(E12)),"",E12)</x:f>
        <x:v>0.6452247569146017</x:v>
      </x:c>
      <x:c r="E100" s="130" t="n">
        <x:f>IF(OR(E20="n.a.",ISBLANK(E20)),"",E20)</x:f>
        <x:v>0.3005560675565128</x:v>
      </x:c>
      <x:c r="F100" s="130" t="n">
        <x:f>IF(OR(E29="n.a.",ISBLANK(E29)),"",E29)</x:f>
        <x:v>0.26394052044609667</x:v>
      </x:c>
    </x:row>
    <x:row r="101" ht="24" customHeight="1">
      <x:c r="C101" s="128" t="str">
        <x:f>"FY2018 A"</x:f>
        <x:v>FY2018 A</x:v>
      </x:c>
      <x:c r="D101" s="130" t="n">
        <x:f>IF(OR(F12="n.a.",ISBLANK(F12)),"",F12)</x:f>
        <x:v>0.652473722363175</x:v>
      </x:c>
      <x:c r="E101" s="130" t="n">
        <x:f>IF(OR(F20="n.a.",ISBLANK(F20)),"",F20)</x:f>
        <x:v>0.3176694454512505</x:v>
      </x:c>
      <x:c r="F101" s="130" t="n">
        <x:f>IF(OR(F29="n.a.",ISBLANK(F29)),"",F29)</x:f>
        <x:v>0.1501540413193186</x:v>
      </x:c>
    </x:row>
    <x:row r="102" ht="24" customHeight="1">
      <x:c r="C102" s="128" t="str">
        <x:f>"FY2019 A"</x:f>
        <x:v>FY2019 A</x:v>
      </x:c>
      <x:c r="D102" s="130" t="n">
        <x:f>IF(OR(G12="n.a.",ISBLANK(G12)),"",G12)</x:f>
        <x:v>0.6590195720063889</x:v>
      </x:c>
      <x:c r="E102" s="130" t="n">
        <x:f>IF(OR(G20="n.a.",ISBLANK(G20)),"",G20)</x:f>
        <x:v>0.3413698020549415</x:v>
      </x:c>
      <x:c r="F102" s="130" t="n">
        <x:f>IF(OR(G29="n.a.",ISBLANK(G29)),"",G29)</x:f>
        <x:v>0.3118171054409065</x:v>
      </x:c>
    </x:row>
    <x:row r="103" ht="24" customHeight="1">
      <x:c r="C103" s="128" t="str">
        <x:f>"FY2020 A"</x:f>
        <x:v>FY2020 A</x:v>
      </x:c>
      <x:c r="D103" s="130" t="n">
        <x:f>IF(OR(H12="n.a.",ISBLANK(H12)),"",H12)</x:f>
        <x:v>0.6778100199279796</x:v>
      </x:c>
      <x:c r="E103" s="130" t="n">
        <x:f>IF(OR(H20="n.a.",ISBLANK(H20)),"",H20)</x:f>
        <x:v>0.37030381428521486</x:v>
      </x:c>
      <x:c r="F103" s="130" t="n">
        <x:f>IF(OR(H29="n.a.",ISBLANK(H29)),"",H29)</x:f>
        <x:v>0.3096248645247002</x:v>
      </x:c>
    </x:row>
    <x:row r="104" ht="24" customHeight="1">
      <x:c r="C104" s="128" t="str">
        <x:f>"FY2021 A"</x:f>
        <x:v>FY2021 A</x:v>
      </x:c>
      <x:c r="D104" s="130" t="n">
        <x:f>IF(OR(I12="n.a.",ISBLANK(I12)),"",I12)</x:f>
        <x:v>0.689258007710247</x:v>
      </x:c>
      <x:c r="E104" s="130" t="n">
        <x:f>IF(OR(I20="n.a.",ISBLANK(I20)),"",I20)</x:f>
        <x:v>0.415948788729713</x:v>
      </x:c>
      <x:c r="F104" s="130" t="n">
        <x:f>IF(OR(I29="n.a.",ISBLANK(I29)),"",I29)</x:f>
        <x:v>0.36451739564989766</x:v>
      </x:c>
    </x:row>
    <x:row r="105" ht="24" customHeight="1">
      <x:c r="C105" s="128" t="str">
        <x:f>"FY2022 A"</x:f>
        <x:v>FY2022 A</x:v>
      </x:c>
      <x:c r="D105" s="130" t="n">
        <x:f>IF(OR(J12="n.a.",ISBLANK(J12)),"",J12)</x:f>
        <x:v>0.684016744842891</x:v>
      </x:c>
      <x:c r="E105" s="130" t="n">
        <x:f>IF(OR(J20="n.a.",ISBLANK(J20)),"",J20)</x:f>
        <x:v>0.4205527815604983</x:v>
      </x:c>
      <x:c r="F105" s="130" t="n">
        <x:f>IF(OR(J29="n.a.",ISBLANK(J29)),"",J29)</x:f>
        <x:v>0.3668633681343622</x:v>
      </x:c>
    </x:row>
    <x:row r="106" ht="24" customHeight="1">
      <x:c r="C106" s="128" t="str">
        <x:f>"FY2023 A"</x:f>
        <x:v>FY2023 A</x:v>
      </x:c>
      <x:c r="D106" s="130" t="n">
        <x:f>IF(OR(K12="n.a.",ISBLANK(K12)),"",K12)</x:f>
        <x:v>0.6892008588349102</x:v>
      </x:c>
      <x:c r="E106" s="130" t="n">
        <x:f>IF(OR(K20="n.a.",ISBLANK(K20)),"",K20)</x:f>
        <x:v>0.417728806361041</x:v>
      </x:c>
      <x:c r="F106" s="130" t="n">
        <x:f>IF(OR(K29="n.a.",ISBLANK(K29)),"",K29)</x:f>
        <x:v>0.3414623787839464</x:v>
      </x:c>
    </x:row>
    <x:row r="107" ht="24" customHeight="1">
      <x:c r="C107" s="128" t="str">
        <x:f>"FY2024 A"</x:f>
        <x:v>FY2024 A</x:v>
      </x:c>
      <x:c r="D107" s="130" t="n">
        <x:f>IF(OR(L12="n.a.",ISBLANK(L12)),"",L12)</x:f>
        <x:v>0.6976444382797138</x:v>
      </x:c>
      <x:c r="E107" s="130" t="n">
        <x:f>IF(OR(L20="n.a.",ISBLANK(L20)),"",L20)</x:f>
        <x:v>0.44644299573273716</x:v>
      </x:c>
      <x:c r="F107" s="130" t="n">
        <x:f>IF(OR(L29="n.a.",ISBLANK(L29)),"",L29)</x:f>
        <x:v>0.35955972944084985</x:v>
      </x:c>
    </x:row>
    <x:row r="108" ht="24" customHeight="1">
      <x:c r="C108" s="128" t="str">
        <x:f>"FY2025 A"</x:f>
        <x:v>FY2025 A</x:v>
      </x:c>
      <x:c r="D108" s="130" t="n">
        <x:f>IF(OR(M12="n.a.",ISBLANK(M12)),"",M12)</x:f>
        <x:v>0.6882374238616519</x:v>
      </x:c>
      <x:c r="E108" s="130" t="n">
        <x:f>IF(OR(M20="n.a.",ISBLANK(M20)),"",M20)</x:f>
        <x:v>0.4562195624085985</x:v>
      </x:c>
      <x:c r="F108" s="130" t="n">
        <x:f>IF(OR(M29="n.a.",ISBLANK(M29)),"",M29)</x:f>
        <x:v>0.3614601524896707</x:v>
      </x:c>
    </x:row>
    <x:row r="109" ht="24" customHeight="1">
      <x:c r="C109" s="128" t="str">
        <x:f>"FY2026 A"</x:f>
        <x:v>FY2026 A</x:v>
      </x:c>
      <x:c r="D109" s="130" t="n">
        <x:f>IF(OR(N12="n.a.",ISBLANK(N12)),"",N12)</x:f>
        <x:v>0.6794409337058032</x:v>
      </x:c>
      <x:c r="E109" s="130" t="n">
        <x:f>IF(OR(N20="n.a.",ISBLANK(N20)),"",N20)</x:f>
        <x:v>0.4678081840892722</x:v>
      </x:c>
      <x:c r="F109" s="130" t="n">
        <x:f>IF(OR(N29="n.a.",ISBLANK(N29)),"",N29)</x:f>
        <x:v>0.4030538905915218</x:v>
      </x:c>
    </x:row>
    <x:row r="110" ht="24" customHeight="1">
      <x:c r="C110" s="128" t="str">
        <x:f>"FY2027 E"</x:f>
        <x:v>FY2027 E</x:v>
      </x:c>
      <x:c r="D110" s="130" t="n">
        <x:f>IF(OR(O12="n.a.",ISBLANK(O12)),"",O12)</x:f>
        <x:v>0.6703411984460151</x:v>
      </x:c>
      <x:c r="E110" s="130" t="n">
        <x:f>IF(OR(O20="n.a.",ISBLANK(O20)),"",O20)</x:f>
        <x:v>0.45637874221208147</x:v>
      </x:c>
      <x:c r="F110" s="130" t="n">
        <x:f>IF(OR(O29="n.a.",ISBLANK(O29)),"",O29)</x:f>
        <x:v>0.36158185488025685</x:v>
      </x:c>
    </x:row>
    <x:row r="111" ht="24" customHeight="1">
      <x:c r="C111" s="128" t="str">
        <x:f>"FY2028 E"</x:f>
        <x:v>FY2028 E</x:v>
      </x:c>
      <x:c r="D111" s="130" t="n">
        <x:f>IF(OR(P12="n.a.",ISBLANK(P12)),"",P12)</x:f>
        <x:v>0.6432039336196003</x:v>
      </x:c>
      <x:c r="E111" s="130" t="n">
        <x:f>IF(OR(P20="n.a.",ISBLANK(P20)),"",P20)</x:f>
        <x:v>0.4256229541834091</x:v>
      </x:c>
      <x:c r="F111" s="130" t="n">
        <x:f>IF(OR(P29="n.a.",ISBLANK(P29)),"",P29)</x:f>
        <x:v>0.3373836915582149</x:v>
      </x:c>
    </x:row>
    <x:row r="112" ht="24" customHeight="1">
      <x:c r="C112" s="128" t="str">
        <x:f>"FY2029 E"</x:f>
        <x:v>FY2029 E</x:v>
      </x:c>
      <x:c r="D112" s="130" t="n">
        <x:f>IF(OR(Q12="n.a.",ISBLANK(Q12)),"",Q12)</x:f>
        <x:v>0.6222169388060521</x:v>
      </x:c>
      <x:c r="E112" s="130" t="n">
        <x:f>IF(OR(Q20="n.a.",ISBLANK(Q20)),"",Q20)</x:f>
        <x:v>0.4022939964496796</x:v>
      </x:c>
      <x:c r="F112" s="130" t="n">
        <x:f>IF(OR(Q29="n.a.",ISBLANK(Q29)),"",Q29)</x:f>
        <x:v>0.32086510595477463</x:v>
      </x:c>
    </x:row>
    <x:row r="113" ht="24" customHeight="1">
      <x:c r="C113" s="128" t="str">
        <x:f>"FY2030 E"</x:f>
        <x:v>FY2030 E</x:v>
      </x:c>
      <x:c r="D113" s="130" t="n">
        <x:f>IF(OR(R12="n.a.",ISBLANK(R12)),"",R12)</x:f>
        <x:v>0.6074370139351568</x:v>
      </x:c>
      <x:c r="E113" s="130" t="n">
        <x:f>IF(OR(R20="n.a.",ISBLANK(R20)),"",R20)</x:f>
        <x:v>0.38630180822151133</x:v>
      </x:c>
      <x:c r="F113" s="130" t="n">
        <x:f>IF(OR(R29="n.a.",ISBLANK(R29)),"",R29)</x:f>
        <x:v>0.3111448848860466</x:v>
      </x:c>
    </x:row>
    <x:row r="114" ht="24" customHeight="1">
      <x:c r="C114" s="128" t="str">
        <x:f>"FY2031 E"</x:f>
        <x:v>FY2031 E</x:v>
      </x:c>
      <x:c r="D114" s="130" t="n">
        <x:f>IF(OR(S12="n.a.",ISBLANK(S12)),"",S12)</x:f>
        <x:v>0.5962785250400021</x:v>
      </x:c>
      <x:c r="E114" s="130" t="n">
        <x:f>IF(OR(S20="n.a.",ISBLANK(S20)),"",S20)</x:f>
        <x:v>0.3746364321844728</x:v>
      </x:c>
      <x:c r="F114" s="130" t="n">
        <x:f>IF(OR(S29="n.a.",ISBLANK(S29)),"",S29)</x:f>
        <x:v>0.30582681868630046</x:v>
      </x:c>
    </x:row>
  </x:sheetData>
  <x:mergeCells>
    <x:mergeCell ref="C54:S54"/>
    <x:mergeCell ref="C55:S55"/>
    <x:mergeCell ref="C56:S56"/>
  </x:mergeCells>
  <x:pageMargins left="0.7" right="0.7" top="0.75" bottom="0.75" header="0.3" footer="0.3"/>
  <x:drawing xmlns:r="http://schemas.openxmlformats.org/officeDocument/2006/relationships" r:id="Rba9bd02b2b8c423c"/>
  <x:legacyDrawing xmlns:r="http://schemas.openxmlformats.org/officeDocument/2006/relationships" r:id="R0d152a594be84e19"/>
</x:worksheet>
</file>

<file path=xl/worksheets/sheet8.xml><?xml version="1.0" encoding="utf-8"?>
<x:worksheet xmlns:x="http://schemas.openxmlformats.org/spreadsheetml/2006/main">
  <x:sheetPr>
    <x:tabColor rgb="FF002060"/>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Balance Sheet</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Cash and cash equivalents</x:v>
      </x:c>
      <x:c r="D8" s="103"/>
      <x:c r="E8" s="109" t="n">
        <x:f>'Historical Inputs'!E28</x:f>
        <x:v>7663</x:v>
      </x:c>
      <x:c r="F8" s="109" t="n">
        <x:f>'Historical Inputs'!F28</x:f>
        <x:v>11946</x:v>
      </x:c>
      <x:c r="G8" s="109" t="n">
        <x:f>'Historical Inputs'!G28</x:f>
        <x:v>11356</x:v>
      </x:c>
      <x:c r="H8" s="109" t="n">
        <x:f>'Historical Inputs'!H28</x:f>
        <x:v>13576</x:v>
      </x:c>
      <x:c r="I8" s="109" t="n">
        <x:f>'Historical Inputs'!I28</x:f>
        <x:v>14224</x:v>
      </x:c>
      <x:c r="J8" s="109" t="n">
        <x:f>'Historical Inputs'!J28</x:f>
        <x:v>13931</x:v>
      </x:c>
      <x:c r="K8" s="109" t="n">
        <x:f>'Historical Inputs'!K28</x:f>
        <x:v>34704</x:v>
      </x:c>
      <x:c r="L8" s="109" t="n">
        <x:f>'Historical Inputs'!L28</x:f>
        <x:v>18315</x:v>
      </x:c>
      <x:c r="M8" s="109" t="n">
        <x:f>'Historical Inputs'!M28</x:f>
        <x:v>30242</x:v>
      </x:c>
      <x:c r="N8" s="109" t="n">
        <x:f>'Historical Inputs'!N28</x:f>
        <x:v>20935</x:v>
      </x:c>
      <x:c r="O8" s="109" t="n">
        <x:f>'Cash Flow'!O54</x:f>
        <x:v>37832.17978311873</x:v>
      </x:c>
      <x:c r="P8" s="109" t="n">
        <x:f>'Cash Flow'!P54</x:f>
        <x:v>94472.09354841156</x:v>
      </x:c>
      <x:c r="Q8" s="109" t="n">
        <x:f>'Cash Flow'!Q54</x:f>
        <x:v>178678.8120071388</x:v>
      </x:c>
      <x:c r="R8" s="109" t="n">
        <x:f>'Cash Flow'!R54</x:f>
        <x:v>300717.550255754</x:v>
      </x:c>
      <x:c r="S8" s="109" t="n">
        <x:f>'Cash Flow'!S54</x:f>
        <x:v>457382.5410788633</x:v>
      </x:c>
      <x:c r="T8" s="103"/>
      <x:c r="U8" s="103"/>
    </x:row>
    <x:row r="9" ht="24" customHeight="1">
      <x:c r="A9" s="103"/>
      <x:c r="B9" s="103"/>
      <x:c r="C9" s="103" t="str">
        <x:v>Short-term investments</x:v>
      </x:c>
      <x:c r="D9" s="103"/>
      <x:c r="E9" s="109" t="n">
        <x:f>'Historical Inputs'!E29</x:f>
        <x:v>125318</x:v>
      </x:c>
      <x:c r="F9" s="109" t="n">
        <x:f>'Historical Inputs'!F29</x:f>
        <x:v>121822</x:v>
      </x:c>
      <x:c r="G9" s="109" t="n">
        <x:f>'Historical Inputs'!G29</x:f>
        <x:v>122463</x:v>
      </x:c>
      <x:c r="H9" s="109" t="n">
        <x:f>'Historical Inputs'!H29</x:f>
        <x:v>122951</x:v>
      </x:c>
      <x:c r="I9" s="109" t="n">
        <x:f>'Historical Inputs'!I29</x:f>
        <x:v>116110</x:v>
      </x:c>
      <x:c r="J9" s="109" t="n">
        <x:f>'Historical Inputs'!J29</x:f>
        <x:v>90826</x:v>
      </x:c>
      <x:c r="K9" s="109" t="n">
        <x:f>'Historical Inputs'!K29</x:f>
        <x:v>76558</x:v>
      </x:c>
      <x:c r="L9" s="109" t="n">
        <x:f>'Historical Inputs'!L29</x:f>
        <x:v>57228</x:v>
      </x:c>
      <x:c r="M9" s="109" t="n">
        <x:f>'Historical Inputs'!M29</x:f>
        <x:v>64323</x:v>
      </x:c>
      <x:c r="N9" s="109" t="n">
        <x:f>'Historical Inputs'!N29</x:f>
        <x:v>55908</x:v>
      </x:c>
      <x:c r="O9" s="109" t="n">
        <x:f>'Debt and Leases'!O78</x:f>
        <x:v>55908</x:v>
      </x:c>
      <x:c r="P9" s="109" t="n">
        <x:f>'Debt and Leases'!P78</x:f>
        <x:v>55908</x:v>
      </x:c>
      <x:c r="Q9" s="109" t="n">
        <x:f>'Debt and Leases'!Q78</x:f>
        <x:v>55908</x:v>
      </x:c>
      <x:c r="R9" s="109" t="n">
        <x:f>'Debt and Leases'!R78</x:f>
        <x:v>55908</x:v>
      </x:c>
      <x:c r="S9" s="109" t="n">
        <x:f>'Debt and Leases'!S78</x:f>
        <x:v>55908</x:v>
      </x:c>
      <x:c r="T9" s="103"/>
      <x:c r="U9" s="103"/>
    </x:row>
    <x:row r="10" ht="24" customHeight="1">
      <x:c r="A10" s="103"/>
      <x:c r="B10" s="103"/>
      <x:c r="C10" s="174" t="str">
        <x:v>Cash and short-term investments</x:v>
      </x:c>
      <x:c r="D10" s="174"/>
      <x:c r="E10" s="175" t="n">
        <x:f>SUM(E8:E9)</x:f>
        <x:v>132981</x:v>
      </x:c>
      <x:c r="F10" s="175" t="n">
        <x:f>SUM(F8:F9)</x:f>
        <x:v>133768</x:v>
      </x:c>
      <x:c r="G10" s="175" t="n">
        <x:f>SUM(G8:G9)</x:f>
        <x:v>133819</x:v>
      </x:c>
      <x:c r="H10" s="175" t="n">
        <x:f>SUM(H8:H9)</x:f>
        <x:v>136527</x:v>
      </x:c>
      <x:c r="I10" s="175" t="n">
        <x:f>SUM(I8:I9)</x:f>
        <x:v>130334</x:v>
      </x:c>
      <x:c r="J10" s="175" t="n">
        <x:f>SUM(J8:J9)</x:f>
        <x:v>104757</x:v>
      </x:c>
      <x:c r="K10" s="175" t="n">
        <x:f>SUM(K8:K9)</x:f>
        <x:v>111262</x:v>
      </x:c>
      <x:c r="L10" s="175" t="n">
        <x:f>SUM(L8:L9)</x:f>
        <x:v>75543</x:v>
      </x:c>
      <x:c r="M10" s="175" t="n">
        <x:f>SUM(M8:M9)</x:f>
        <x:v>94565</x:v>
      </x:c>
      <x:c r="N10" s="175" t="n">
        <x:f>SUM(N8:N9)</x:f>
        <x:v>76843</x:v>
      </x:c>
      <x:c r="O10" s="175" t="n">
        <x:f>SUM(O8:O9)</x:f>
        <x:v>93740.17978311873</x:v>
      </x:c>
      <x:c r="P10" s="175" t="n">
        <x:f>SUM(P8:P9)</x:f>
        <x:v>150380.09354841156</x:v>
      </x:c>
      <x:c r="Q10" s="175" t="n">
        <x:f>SUM(Q8:Q9)</x:f>
        <x:v>234586.8120071388</x:v>
      </x:c>
      <x:c r="R10" s="175" t="n">
        <x:f>SUM(R8:R9)</x:f>
        <x:v>356625.550255754</x:v>
      </x:c>
      <x:c r="S10" s="175" t="n">
        <x:f>SUM(S8:S9)</x:f>
        <x:v>513290.5410788633</x:v>
      </x:c>
      <x:c r="T10" s="103"/>
      <x:c r="U10" s="103"/>
    </x:row>
    <x:row r="11" ht="24" customHeight="1">
      <x:c r="A11" s="103"/>
      <x:c r="B11" s="103"/>
      <x:c r="C11" s="103" t="str">
        <x:v>Accounts receivable, net</x:v>
      </x:c>
      <x:c r="D11" s="103"/>
      <x:c r="E11" s="109" t="n">
        <x:f>'Historical Inputs'!E31</x:f>
        <x:v>22431</x:v>
      </x:c>
      <x:c r="F11" s="109" t="n">
        <x:f>'Historical Inputs'!F31</x:f>
        <x:v>26481</x:v>
      </x:c>
      <x:c r="G11" s="109" t="n">
        <x:f>'Historical Inputs'!G31</x:f>
        <x:v>29524</x:v>
      </x:c>
      <x:c r="H11" s="109" t="n">
        <x:f>'Historical Inputs'!H31</x:f>
        <x:v>32011</x:v>
      </x:c>
      <x:c r="I11" s="109" t="n">
        <x:f>'Historical Inputs'!I31</x:f>
        <x:v>38043</x:v>
      </x:c>
      <x:c r="J11" s="109" t="n">
        <x:f>'Historical Inputs'!J31</x:f>
        <x:v>44261</x:v>
      </x:c>
      <x:c r="K11" s="109" t="n">
        <x:f>'Historical Inputs'!K31</x:f>
        <x:v>48688</x:v>
      </x:c>
      <x:c r="L11" s="109" t="n">
        <x:f>'Historical Inputs'!L31</x:f>
        <x:v>56924</x:v>
      </x:c>
      <x:c r="M11" s="109" t="n">
        <x:f>'Historical Inputs'!M31</x:f>
        <x:v>69905</x:v>
      </x:c>
      <x:c r="N11" s="109" t="n">
        <x:f>'Historical Inputs'!N31</x:f>
        <x:v>80876</x:v>
      </x:c>
      <x:c r="O11" s="109" t="n">
        <x:f>'Working Capital'!O8</x:f>
        <x:v>93844.32435247215</x:v>
      </x:c>
      <x:c r="P11" s="109" t="n">
        <x:f>'Working Capital'!P8</x:f>
        <x:v>108328.3087025407</x:v>
      </x:c>
      <x:c r="Q11" s="109" t="n">
        <x:f>'Working Capital'!Q8</x:f>
        <x:v>124034.85203292692</x:v>
      </x:c>
      <x:c r="R11" s="109" t="n">
        <x:f>'Working Capital'!R8</x:f>
        <x:v>140700.3322082996</x:v>
      </x:c>
      <x:c r="S11" s="109" t="n">
        <x:f>'Working Capital'!S8</x:f>
        <x:v>157957.06334632353</x:v>
      </x:c>
      <x:c r="T11" s="103"/>
      <x:c r="U11" s="103"/>
    </x:row>
    <x:row r="12" ht="24" customHeight="1">
      <x:c r="A12" s="103"/>
      <x:c r="B12" s="103"/>
      <x:c r="C12" s="103" t="str">
        <x:v>Inventories</x:v>
      </x:c>
      <x:c r="D12" s="103"/>
      <x:c r="E12" s="109" t="n">
        <x:f>'Historical Inputs'!E32</x:f>
        <x:v>2181</x:v>
      </x:c>
      <x:c r="F12" s="109" t="n">
        <x:f>'Historical Inputs'!F32</x:f>
        <x:v>2662</x:v>
      </x:c>
      <x:c r="G12" s="109" t="n">
        <x:f>'Historical Inputs'!G32</x:f>
        <x:v>2063</x:v>
      </x:c>
      <x:c r="H12" s="109" t="n">
        <x:f>'Historical Inputs'!H32</x:f>
        <x:v>1895</x:v>
      </x:c>
      <x:c r="I12" s="109" t="n">
        <x:f>'Historical Inputs'!I32</x:f>
        <x:v>2636</x:v>
      </x:c>
      <x:c r="J12" s="109" t="n">
        <x:f>'Historical Inputs'!J32</x:f>
        <x:v>3742</x:v>
      </x:c>
      <x:c r="K12" s="109" t="n">
        <x:f>'Historical Inputs'!K32</x:f>
        <x:v>2500</x:v>
      </x:c>
      <x:c r="L12" s="109" t="n">
        <x:f>'Historical Inputs'!L32</x:f>
        <x:v>1246</x:v>
      </x:c>
      <x:c r="M12" s="109" t="n">
        <x:f>'Historical Inputs'!M32</x:f>
        <x:v>938</x:v>
      </x:c>
      <x:c r="N12" s="109" t="n">
        <x:f>'Historical Inputs'!N32</x:f>
        <x:v>1397</x:v>
      </x:c>
      <x:c r="O12" s="109" t="n">
        <x:f>'Working Capital'!O10</x:f>
        <x:v>1667.0221308691657</x:v>
      </x:c>
      <x:c r="P12" s="109" t="n">
        <x:f>'Working Capital'!P10</x:f>
        <x:v>2082.7190934934065</x:v>
      </x:c>
      <x:c r="Q12" s="109" t="n">
        <x:f>'Working Capital'!Q10</x:f>
        <x:v>2524.9622667606704</x:v>
      </x:c>
      <x:c r="R12" s="109" t="n">
        <x:f>'Working Capital'!R10</x:f>
        <x:v>2976.275637490426</x:v>
      </x:c>
      <x:c r="S12" s="109" t="n">
        <x:f>'Working Capital'!S10</x:f>
        <x:v>3436.2881961675116</x:v>
      </x:c>
      <x:c r="T12" s="103"/>
      <x:c r="U12" s="103"/>
    </x:row>
    <x:row r="13" ht="24" customHeight="1">
      <x:c r="A13" s="103"/>
      <x:c r="B13" s="103"/>
      <x:c r="C13" s="103" t="str">
        <x:v>Other current assets</x:v>
      </x:c>
      <x:c r="D13" s="103"/>
      <x:c r="E13" s="109" t="n">
        <x:f>'Historical Inputs'!E33</x:f>
        <x:v>5103</x:v>
      </x:c>
      <x:c r="F13" s="109" t="n">
        <x:f>'Historical Inputs'!F33</x:f>
        <x:v>6751</x:v>
      </x:c>
      <x:c r="G13" s="109" t="n">
        <x:f>'Historical Inputs'!G33</x:f>
        <x:v>10146</x:v>
      </x:c>
      <x:c r="H13" s="109" t="n">
        <x:f>'Historical Inputs'!H33</x:f>
        <x:v>11482</x:v>
      </x:c>
      <x:c r="I13" s="109" t="n">
        <x:f>'Historical Inputs'!I33</x:f>
        <x:v>13393</x:v>
      </x:c>
      <x:c r="J13" s="109" t="n">
        <x:f>'Historical Inputs'!J33</x:f>
        <x:v>16924</x:v>
      </x:c>
      <x:c r="K13" s="109" t="n">
        <x:f>'Historical Inputs'!K33</x:f>
        <x:v>21807</x:v>
      </x:c>
      <x:c r="L13" s="109" t="n">
        <x:f>'Historical Inputs'!L33</x:f>
        <x:v>26021</x:v>
      </x:c>
      <x:c r="M13" s="109" t="n">
        <x:f>'Historical Inputs'!M33</x:f>
        <x:v>25723</x:v>
      </x:c>
      <x:c r="N13" s="109" t="n">
        <x:f>'Historical Inputs'!N33</x:f>
        <x:v>48594</x:v>
      </x:c>
      <x:c r="O13" s="109" t="n">
        <x:f>'Working Capital'!O18</x:f>
        <x:v>51981.58800000001</x:v>
      </x:c>
      <x:c r="P13" s="109" t="n">
        <x:f>'Working Capital'!P18</x:f>
        <x:v>55559.68030000001</x:v>
      </x:c>
      <x:c r="Q13" s="109" t="n">
        <x:f>'Working Capital'!Q18</x:f>
        <x:v>61070.67797184</x:v>
      </x:c>
      <x:c r="R13" s="109" t="n">
        <x:f>'Working Capital'!R18</x:f>
        <x:v>66389.70296580001</x:v>
      </x:c>
      <x:c r="S13" s="109" t="n">
        <x:f>'Working Capital'!S18</x:f>
        <x:v>71291.78660932627</x:v>
      </x:c>
      <x:c r="T13" s="103"/>
      <x:c r="U13" s="103"/>
    </x:row>
    <x:row r="14" ht="24" customHeight="1">
      <x:c r="A14" s="103"/>
      <x:c r="B14" s="103"/>
      <x:c r="C14" s="174" t="str">
        <x:v>Total current assets</x:v>
      </x:c>
      <x:c r="D14" s="174"/>
      <x:c r="E14" s="175" t="n">
        <x:f>SUM(E8:E9,E11:E13)</x:f>
        <x:v>162696</x:v>
      </x:c>
      <x:c r="F14" s="175" t="n">
        <x:f>SUM(F8:F9,F11:F13)</x:f>
        <x:v>169662</x:v>
      </x:c>
      <x:c r="G14" s="175" t="n">
        <x:f>SUM(G8:G9,G11:G13)</x:f>
        <x:v>175552</x:v>
      </x:c>
      <x:c r="H14" s="175" t="n">
        <x:f>SUM(H8:H9,H11:H13)</x:f>
        <x:v>181915</x:v>
      </x:c>
      <x:c r="I14" s="175" t="n">
        <x:f>SUM(I8:I9,I11:I13)</x:f>
        <x:v>184406</x:v>
      </x:c>
      <x:c r="J14" s="175" t="n">
        <x:f>SUM(J8:J9,J11:J13)</x:f>
        <x:v>169684</x:v>
      </x:c>
      <x:c r="K14" s="175" t="n">
        <x:f>SUM(K8:K9,K11:K13)</x:f>
        <x:v>184257</x:v>
      </x:c>
      <x:c r="L14" s="175" t="n">
        <x:f>SUM(L8:L9,L11:L13)</x:f>
        <x:v>159734</x:v>
      </x:c>
      <x:c r="M14" s="175" t="n">
        <x:f>SUM(M8:M9,M11:M13)</x:f>
        <x:v>191131</x:v>
      </x:c>
      <x:c r="N14" s="175" t="n">
        <x:f>SUM(N8:N9,N11:N13)</x:f>
        <x:v>207710</x:v>
      </x:c>
      <x:c r="O14" s="175" t="n">
        <x:f>SUM(O8:O9,O11:O13)</x:f>
        <x:v>241233.11426646006</x:v>
      </x:c>
      <x:c r="P14" s="175" t="n">
        <x:f>SUM(P8:P9,P11:P13)</x:f>
        <x:v>316350.8016444457</x:v>
      </x:c>
      <x:c r="Q14" s="175" t="n">
        <x:f>SUM(Q8:Q9,Q11:Q13)</x:f>
        <x:v>422217.3042786664</x:v>
      </x:c>
      <x:c r="R14" s="175" t="n">
        <x:f>SUM(R8:R9,R11:R13)</x:f>
        <x:v>566691.861067344</x:v>
      </x:c>
      <x:c r="S14" s="175" t="n">
        <x:f>SUM(S8:S9,S11:S13)</x:f>
        <x:v>745975.6792306807</x:v>
      </x:c>
      <x:c r="T14" s="103"/>
      <x:c r="U14" s="103"/>
    </x:row>
    <x:row r="15" ht="24" customHeight="1">
      <x:c r="A15" s="103"/>
      <x:c r="B15" s="103"/>
      <x:c r="C15" s="103"/>
      <x:c r="D15" s="103"/>
      <x:c r="E15" s="103"/>
      <x:c r="F15" s="103"/>
      <x:c r="G15" s="103"/>
      <x:c r="H15" s="103"/>
      <x:c r="I15" s="103"/>
      <x:c r="J15" s="103"/>
      <x:c r="K15" s="103"/>
      <x:c r="L15" s="103"/>
      <x:c r="M15" s="103"/>
      <x:c r="N15" s="103"/>
      <x:c r="O15" s="103"/>
      <x:c r="P15" s="103"/>
      <x:c r="Q15" s="103"/>
      <x:c r="R15" s="103"/>
      <x:c r="S15" s="103"/>
      <x:c r="T15" s="103"/>
      <x:c r="U15" s="103"/>
    </x:row>
    <x:row r="16" ht="24" customHeight="1">
      <x:c r="A16" s="103"/>
      <x:c r="B16" s="103"/>
      <x:c r="C16" s="103" t="str">
        <x:v>Property and equipment, net</x:v>
      </x:c>
      <x:c r="D16" s="103"/>
      <x:c r="E16" s="109" t="n">
        <x:f>'Historical Inputs'!E35</x:f>
        <x:v>23734</x:v>
      </x:c>
      <x:c r="F16" s="109" t="n">
        <x:f>'Historical Inputs'!F35</x:f>
        <x:v>29460</x:v>
      </x:c>
      <x:c r="G16" s="109" t="n">
        <x:f>'Historical Inputs'!G35</x:f>
        <x:v>36477</x:v>
      </x:c>
      <x:c r="H16" s="109" t="n">
        <x:f>'Historical Inputs'!H35</x:f>
        <x:v>44151</x:v>
      </x:c>
      <x:c r="I16" s="109" t="n">
        <x:f>'Historical Inputs'!I35</x:f>
        <x:v>59715</x:v>
      </x:c>
      <x:c r="J16" s="109" t="n">
        <x:f>'Historical Inputs'!J35</x:f>
        <x:v>74398</x:v>
      </x:c>
      <x:c r="K16" s="109" t="n">
        <x:f>'Historical Inputs'!K35</x:f>
        <x:v>95641</x:v>
      </x:c>
      <x:c r="L16" s="109" t="n">
        <x:f>'Historical Inputs'!L35</x:f>
        <x:v>135591</x:v>
      </x:c>
      <x:c r="M16" s="109" t="n">
        <x:f>'Historical Inputs'!M35</x:f>
        <x:v>204966</x:v>
      </x:c>
      <x:c r="N16" s="109" t="n">
        <x:f>'Historical Inputs'!N35</x:f>
        <x:v>313076</x:v>
      </x:c>
      <x:c r="O16" s="109" t="n">
        <x:f>'PPE and Intangibles'!O24</x:f>
        <x:v>412794.0326000001</x:v>
      </x:c>
      <x:c r="P16" s="109" t="n">
        <x:f>'PPE and Intangibles'!P24</x:f>
        <x:v>490520.0570755468</x:v>
      </x:c>
      <x:c r="Q16" s="109" t="n">
        <x:f>'PPE and Intangibles'!Q24</x:f>
        <x:v>547220.2457194201</x:v>
      </x:c>
      <x:c r="R16" s="109" t="n">
        <x:f>'PPE and Intangibles'!R24</x:f>
        <x:v>578278.6497470614</x:v>
      </x:c>
      <x:c r="S16" s="109" t="n">
        <x:f>'PPE and Intangibles'!S24</x:f>
        <x:v>586467.1006086343</x:v>
      </x:c>
      <x:c r="T16" s="103"/>
      <x:c r="U16" s="103"/>
    </x:row>
    <x:row r="17" ht="24" customHeight="1">
      <x:c r="A17" s="103"/>
      <x:c r="B17" s="103"/>
      <x:c r="C17" s="103" t="str">
        <x:v>Operating lease right-of-use assets</x:v>
      </x:c>
      <x:c r="D17" s="103"/>
      <x:c r="E17" s="109" t="n">
        <x:f>'Historical Inputs'!E36</x:f>
        <x:v>6555</x:v>
      </x:c>
      <x:c r="F17" s="109" t="n">
        <x:f>'Historical Inputs'!F36</x:f>
        <x:v>6686</x:v>
      </x:c>
      <x:c r="G17" s="109" t="n">
        <x:f>'Historical Inputs'!G36</x:f>
        <x:v>7379</x:v>
      </x:c>
      <x:c r="H17" s="109" t="n">
        <x:f>'Historical Inputs'!H36</x:f>
        <x:v>8753</x:v>
      </x:c>
      <x:c r="I17" s="109" t="n">
        <x:f>'Historical Inputs'!I36</x:f>
        <x:v>11088</x:v>
      </x:c>
      <x:c r="J17" s="109" t="n">
        <x:f>'Historical Inputs'!J36</x:f>
        <x:v>13148</x:v>
      </x:c>
      <x:c r="K17" s="109" t="n">
        <x:f>'Historical Inputs'!K36</x:f>
        <x:v>14346</x:v>
      </x:c>
      <x:c r="L17" s="109" t="n">
        <x:f>'Historical Inputs'!L36</x:f>
        <x:v>18961</x:v>
      </x:c>
      <x:c r="M17" s="109" t="n">
        <x:f>'Historical Inputs'!M36</x:f>
        <x:v>24823</x:v>
      </x:c>
      <x:c r="N17" s="109" t="n">
        <x:f>'Historical Inputs'!N36</x:f>
        <x:v>24177</x:v>
      </x:c>
      <x:c r="O17" s="109" t="n">
        <x:f>'Debt and Leases'!O62</x:f>
        <x:v>25441.921000000002</x:v>
      </x:c>
      <x:c r="P17" s="109" t="n">
        <x:f>'Debt and Leases'!P62</x:f>
        <x:v>26641.582333000002</x:v>
      </x:c>
      <x:c r="Q17" s="109" t="n">
        <x:f>'Debt and Leases'!Q62</x:f>
        <x:v>27855.833795106668</x:v>
      </x:c>
      <x:c r="R17" s="109" t="n">
        <x:f>'Debt and Leases'!R62</x:f>
        <x:v>29136.34409690556</x:v>
      </x:c>
      <x:c r="S17" s="109" t="n">
        <x:f>'Debt and Leases'!S62</x:f>
        <x:v>30505.42674025375</x:v>
      </x:c>
      <x:c r="T17" s="103"/>
      <x:c r="U17" s="103"/>
    </x:row>
    <x:row r="18" ht="24" customHeight="1">
      <x:c r="A18" s="103"/>
      <x:c r="B18" s="103"/>
      <x:c r="C18" s="103" t="str">
        <x:v>Equity and other investments</x:v>
      </x:c>
      <x:c r="D18" s="103"/>
      <x:c r="E18" s="109" t="n">
        <x:f>'Historical Inputs'!E37</x:f>
        <x:v>6023</x:v>
      </x:c>
      <x:c r="F18" s="109" t="n">
        <x:f>'Historical Inputs'!F37</x:f>
        <x:v>1862</x:v>
      </x:c>
      <x:c r="G18" s="109" t="n">
        <x:f>'Historical Inputs'!G37</x:f>
        <x:v>2649</x:v>
      </x:c>
      <x:c r="H18" s="109" t="n">
        <x:f>'Historical Inputs'!H37</x:f>
        <x:v>2965</x:v>
      </x:c>
      <x:c r="I18" s="109" t="n">
        <x:f>'Historical Inputs'!I37</x:f>
        <x:v>5984</x:v>
      </x:c>
      <x:c r="J18" s="109" t="n">
        <x:f>'Historical Inputs'!J37</x:f>
        <x:v>6891</x:v>
      </x:c>
      <x:c r="K18" s="109" t="n">
        <x:f>'Historical Inputs'!K37</x:f>
        <x:v>9879</x:v>
      </x:c>
      <x:c r="L18" s="109" t="n">
        <x:f>'Historical Inputs'!L37</x:f>
        <x:v>14600</x:v>
      </x:c>
      <x:c r="M18" s="109" t="n">
        <x:f>'Historical Inputs'!M37</x:f>
        <x:v>15405</x:v>
      </x:c>
      <x:c r="N18" s="109" t="n">
        <x:f>'Historical Inputs'!N37</x:f>
        <x:v>36348</x:v>
      </x:c>
      <x:c r="O18" s="109" t="n">
        <x:f>'Debt and Leases'!O84</x:f>
        <x:v>40198.488</x:v>
      </x:c>
      <x:c r="P18" s="109" t="n">
        <x:f>'Debt and Leases'!P84</x:f>
        <x:v>44643.262424</x:v>
      </x:c>
      <x:c r="Q18" s="109" t="n">
        <x:f>'Debt and Leases'!Q84</x:f>
        <x:v>49732.48558832</x:v>
      </x:c>
      <x:c r="R18" s="109" t="n">
        <x:f>'Debt and Leases'!R84</x:f>
        <x:v>55505.50323752</x:v>
      </x:c>
      <x:c r="S18" s="109" t="n">
        <x:f>'Debt and Leases'!S84</x:f>
        <x:v>61986.574747458755</x:v>
      </x:c>
      <x:c r="T18" s="103"/>
      <x:c r="U18" s="103"/>
    </x:row>
    <x:row r="19" ht="24" customHeight="1">
      <x:c r="A19" s="103"/>
      <x:c r="B19" s="103"/>
      <x:c r="C19" s="103" t="str">
        <x:v>Goodwill</x:v>
      </x:c>
      <x:c r="D19" s="103"/>
      <x:c r="E19" s="109" t="n">
        <x:f>'Historical Inputs'!E38</x:f>
        <x:v>35122</x:v>
      </x:c>
      <x:c r="F19" s="109" t="n">
        <x:f>'Historical Inputs'!F38</x:f>
        <x:v>35683</x:v>
      </x:c>
      <x:c r="G19" s="109" t="n">
        <x:f>'Historical Inputs'!G38</x:f>
        <x:v>42026</x:v>
      </x:c>
      <x:c r="H19" s="109" t="n">
        <x:f>'Historical Inputs'!H38</x:f>
        <x:v>43351</x:v>
      </x:c>
      <x:c r="I19" s="109" t="n">
        <x:f>'Historical Inputs'!I38</x:f>
        <x:v>49711</x:v>
      </x:c>
      <x:c r="J19" s="109" t="n">
        <x:f>'Historical Inputs'!J38</x:f>
        <x:v>67524</x:v>
      </x:c>
      <x:c r="K19" s="109" t="n">
        <x:f>'Historical Inputs'!K38</x:f>
        <x:v>67886</x:v>
      </x:c>
      <x:c r="L19" s="109" t="n">
        <x:f>'Historical Inputs'!L38</x:f>
        <x:v>119220</x:v>
      </x:c>
      <x:c r="M19" s="109" t="n">
        <x:f>'Historical Inputs'!M38</x:f>
        <x:v>119509</x:v>
      </x:c>
      <x:c r="N19" s="109" t="n">
        <x:f>'Historical Inputs'!N38</x:f>
        <x:v>119651</x:v>
      </x:c>
      <x:c r="O19" s="109" t="n">
        <x:f>'Balance Sheet'!N19</x:f>
        <x:v>119651</x:v>
      </x:c>
      <x:c r="P19" s="109" t="n">
        <x:f>'Balance Sheet'!O19</x:f>
        <x:v>119651</x:v>
      </x:c>
      <x:c r="Q19" s="109" t="n">
        <x:f>'Balance Sheet'!P19</x:f>
        <x:v>119651</x:v>
      </x:c>
      <x:c r="R19" s="109" t="n">
        <x:f>'Balance Sheet'!Q19</x:f>
        <x:v>119651</x:v>
      </x:c>
      <x:c r="S19" s="109" t="n">
        <x:f>'Balance Sheet'!R19</x:f>
        <x:v>119651</x:v>
      </x:c>
      <x:c r="T19" s="103"/>
      <x:c r="U19" s="103"/>
    </x:row>
    <x:row r="20" ht="24" customHeight="1">
      <x:c r="A20" s="103"/>
      <x:c r="B20" s="103"/>
      <x:c r="C20" s="103" t="str">
        <x:v>Intangible assets, net</x:v>
      </x:c>
      <x:c r="D20" s="103"/>
      <x:c r="E20" s="109" t="n">
        <x:f>'Historical Inputs'!E39</x:f>
        <x:v>10106</x:v>
      </x:c>
      <x:c r="F20" s="109" t="n">
        <x:f>'Historical Inputs'!F39</x:f>
        <x:v>8053</x:v>
      </x:c>
      <x:c r="G20" s="109" t="n">
        <x:f>'Historical Inputs'!G39</x:f>
        <x:v>7750</x:v>
      </x:c>
      <x:c r="H20" s="109" t="n">
        <x:f>'Historical Inputs'!H39</x:f>
        <x:v>7038</x:v>
      </x:c>
      <x:c r="I20" s="109" t="n">
        <x:f>'Historical Inputs'!I39</x:f>
        <x:v>7800</x:v>
      </x:c>
      <x:c r="J20" s="109" t="n">
        <x:f>'Historical Inputs'!J39</x:f>
        <x:v>11298</x:v>
      </x:c>
      <x:c r="K20" s="109" t="n">
        <x:f>'Historical Inputs'!K39</x:f>
        <x:v>9366</x:v>
      </x:c>
      <x:c r="L20" s="109" t="n">
        <x:f>'Historical Inputs'!L39</x:f>
        <x:v>27597</x:v>
      </x:c>
      <x:c r="M20" s="109" t="n">
        <x:f>'Historical Inputs'!M39</x:f>
        <x:v>22604</x:v>
      </x:c>
      <x:c r="N20" s="109" t="n">
        <x:f>'Historical Inputs'!N39</x:f>
        <x:v>18609</x:v>
      </x:c>
      <x:c r="O20" s="109" t="n">
        <x:f>'PPE and Intangibles'!O43</x:f>
        <x:v>15512</x:v>
      </x:c>
      <x:c r="P20" s="109" t="n">
        <x:f>'PPE and Intangibles'!P43</x:f>
        <x:v>13371</x:v>
      </x:c>
      <x:c r="Q20" s="109" t="n">
        <x:f>'PPE and Intangibles'!Q43</x:f>
        <x:v>11427</x:v>
      </x:c>
      <x:c r="R20" s="109" t="n">
        <x:f>'PPE and Intangibles'!R43</x:f>
        <x:v>9950</x:v>
      </x:c>
      <x:c r="S20" s="109" t="n">
        <x:f>'PPE and Intangibles'!S43</x:f>
        <x:v>8822</x:v>
      </x:c>
      <x:c r="T20" s="103"/>
      <x:c r="U20" s="103"/>
    </x:row>
    <x:row r="21" ht="24" customHeight="1">
      <x:c r="A21" s="103"/>
      <x:c r="B21" s="103"/>
      <x:c r="C21" s="103" t="str">
        <x:v>Other long-term assets</x:v>
      </x:c>
      <x:c r="D21" s="103"/>
      <x:c r="E21" s="109" t="n">
        <x:f>'Historical Inputs'!E40</x:f>
        <x:v>6076</x:v>
      </x:c>
      <x:c r="F21" s="109" t="n">
        <x:f>'Historical Inputs'!F40</x:f>
        <x:v>7442</x:v>
      </x:c>
      <x:c r="G21" s="109" t="n">
        <x:f>'Historical Inputs'!G40</x:f>
        <x:v>14723</x:v>
      </x:c>
      <x:c r="H21" s="109" t="n">
        <x:f>'Historical Inputs'!H40</x:f>
        <x:v>13138</x:v>
      </x:c>
      <x:c r="I21" s="109" t="n">
        <x:f>'Historical Inputs'!I40</x:f>
        <x:v>15075</x:v>
      </x:c>
      <x:c r="J21" s="109" t="n">
        <x:f>'Historical Inputs'!J40</x:f>
        <x:v>21897</x:v>
      </x:c>
      <x:c r="K21" s="109" t="n">
        <x:f>'Historical Inputs'!K40</x:f>
        <x:v>30601</x:v>
      </x:c>
      <x:c r="L21" s="109" t="n">
        <x:f>'Historical Inputs'!L40</x:f>
        <x:v>36460</x:v>
      </x:c>
      <x:c r="M21" s="109" t="n">
        <x:f>'Historical Inputs'!M40</x:f>
        <x:v>40565</x:v>
      </x:c>
      <x:c r="N21" s="109" t="n">
        <x:f>'Historical Inputs'!N40</x:f>
        <x:v>38805</x:v>
      </x:c>
      <x:c r="O21" s="109" t="n">
        <x:f>'Working Capital'!O24</x:f>
        <x:v>45027.31349841339</x:v>
      </x:c>
      <x:c r="P21" s="109" t="n">
        <x:f>'Working Capital'!P24</x:f>
        <x:v>51976.85369209768</x:v>
      </x:c>
      <x:c r="Q21" s="109" t="n">
        <x:f>'Working Capital'!Q24</x:f>
        <x:v>59512.98819350275</x:v>
      </x:c>
      <x:c r="R21" s="109" t="n">
        <x:f>'Working Capital'!R24</x:f>
        <x:v>67509.22883603374</x:v>
      </x:c>
      <x:c r="S21" s="109" t="n">
        <x:f>'Working Capital'!S24</x:f>
        <x:v>75789.15677276428</x:v>
      </x:c>
      <x:c r="T21" s="103"/>
      <x:c r="U21" s="103"/>
    </x:row>
    <x:row r="22" ht="24" customHeight="1">
      <x:c r="A22" s="103"/>
      <x:c r="B22" s="103"/>
      <x:c r="C22" s="174" t="str">
        <x:v>Total assets</x:v>
      </x:c>
      <x:c r="D22" s="174"/>
      <x:c r="E22" s="175" t="n">
        <x:f>E14+SUM(E16:E21)</x:f>
        <x:v>250312</x:v>
      </x:c>
      <x:c r="F22" s="175" t="n">
        <x:f>F14+SUM(F16:F21)</x:f>
        <x:v>258848</x:v>
      </x:c>
      <x:c r="G22" s="175" t="n">
        <x:f>G14+SUM(G16:G21)</x:f>
        <x:v>286556</x:v>
      </x:c>
      <x:c r="H22" s="175" t="n">
        <x:f>H14+SUM(H16:H21)</x:f>
        <x:v>301311</x:v>
      </x:c>
      <x:c r="I22" s="175" t="n">
        <x:f>I14+SUM(I16:I21)</x:f>
        <x:v>333779</x:v>
      </x:c>
      <x:c r="J22" s="175" t="n">
        <x:f>J14+SUM(J16:J21)</x:f>
        <x:v>364840</x:v>
      </x:c>
      <x:c r="K22" s="175" t="n">
        <x:f>K14+SUM(K16:K21)</x:f>
        <x:v>411976</x:v>
      </x:c>
      <x:c r="L22" s="175" t="n">
        <x:f>L14+SUM(L16:L21)</x:f>
        <x:v>512163</x:v>
      </x:c>
      <x:c r="M22" s="175" t="n">
        <x:f>M14+SUM(M16:M21)</x:f>
        <x:v>619003</x:v>
      </x:c>
      <x:c r="N22" s="175" t="n">
        <x:f>N14+SUM(N16:N21)</x:f>
        <x:v>758376</x:v>
      </x:c>
      <x:c r="O22" s="175" t="n">
        <x:f>O14+SUM(O16:O21)</x:f>
        <x:v>899857.8693648736</x:v>
      </x:c>
      <x:c r="P22" s="175" t="n">
        <x:f>P14+SUM(P16:P21)</x:f>
        <x:v>1063154.5571690903</x:v>
      </x:c>
      <x:c r="Q22" s="175" t="n">
        <x:f>Q14+SUM(Q16:Q21)</x:f>
        <x:v>1237616.8575750159</x:v>
      </x:c>
      <x:c r="R22" s="175" t="n">
        <x:f>R14+SUM(R16:R21)</x:f>
        <x:v>1426722.5869848647</x:v>
      </x:c>
      <x:c r="S22" s="175" t="n">
        <x:f>S14+SUM(S16:S21)</x:f>
        <x:v>1629196.9380997918</x:v>
      </x:c>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t="str">
        <x:v>Accounts payable</x:v>
      </x:c>
      <x:c r="D24" s="103"/>
      <x:c r="E24" s="109" t="n">
        <x:f>'Historical Inputs'!E42</x:f>
        <x:v>7390</x:v>
      </x:c>
      <x:c r="F24" s="109" t="n">
        <x:f>'Historical Inputs'!F42</x:f>
        <x:v>8617</x:v>
      </x:c>
      <x:c r="G24" s="109" t="n">
        <x:f>'Historical Inputs'!G42</x:f>
        <x:v>9382</x:v>
      </x:c>
      <x:c r="H24" s="109" t="n">
        <x:f>'Historical Inputs'!H42</x:f>
        <x:v>12530</x:v>
      </x:c>
      <x:c r="I24" s="109" t="n">
        <x:f>'Historical Inputs'!I42</x:f>
        <x:v>15163</x:v>
      </x:c>
      <x:c r="J24" s="109" t="n">
        <x:f>'Historical Inputs'!J42</x:f>
        <x:v>19000</x:v>
      </x:c>
      <x:c r="K24" s="109" t="n">
        <x:f>'Historical Inputs'!K42</x:f>
        <x:v>18095</x:v>
      </x:c>
      <x:c r="L24" s="109" t="n">
        <x:f>'Historical Inputs'!L42</x:f>
        <x:v>21996</x:v>
      </x:c>
      <x:c r="M24" s="109" t="n">
        <x:f>'Historical Inputs'!M42</x:f>
        <x:v>27724</x:v>
      </x:c>
      <x:c r="N24" s="109" t="n">
        <x:f>'Historical Inputs'!N42</x:f>
        <x:v>42416</x:v>
      </x:c>
      <x:c r="O24" s="109" t="n">
        <x:f>'Working Capital'!O15</x:f>
        <x:v>43396.82385049379</x:v>
      </x:c>
      <x:c r="P24" s="109" t="n">
        <x:f>'Working Capital'!P15</x:f>
        <x:v>45831.880185966715</x:v>
      </x:c>
      <x:c r="Q24" s="109" t="n">
        <x:f>'Working Capital'!Q15</x:f>
        <x:v>48762.2663039591</x:v>
      </x:c>
      <x:c r="R24" s="109" t="n">
        <x:f>'Working Capital'!R15</x:f>
        <x:v>51263.4626621842</x:v>
      </x:c>
      <x:c r="S24" s="109" t="n">
        <x:f>'Working Capital'!S15</x:f>
        <x:v>54212.19889011545</x:v>
      </x:c>
      <x:c r="T24" s="103"/>
      <x:c r="U24" s="103"/>
    </x:row>
    <x:row r="25" ht="24" customHeight="1">
      <x:c r="A25" s="103"/>
      <x:c r="B25" s="103"/>
      <x:c r="C25" s="103" t="str">
        <x:v>Short-term debt</x:v>
      </x:c>
      <x:c r="D25" s="103"/>
      <x:c r="E25" s="109" t="n">
        <x:f>'Historical Inputs'!E61</x:f>
        <x:v>9072</x:v>
      </x:c>
      <x:c r="F25" s="109" t="n">
        <x:f>'Historical Inputs'!F61</x:f>
        <x:v>0</x:v>
      </x:c>
      <x:c r="G25" s="109" t="n">
        <x:f>'Historical Inputs'!G61</x:f>
        <x:v>0</x:v>
      </x:c>
      <x:c r="H25" s="109" t="n">
        <x:f>'Historical Inputs'!H61</x:f>
        <x:v>0</x:v>
      </x:c>
      <x:c r="I25" s="109" t="n">
        <x:f>'Historical Inputs'!I61</x:f>
        <x:v>0</x:v>
      </x:c>
      <x:c r="J25" s="109" t="n">
        <x:f>'Historical Inputs'!J61</x:f>
        <x:v>0</x:v>
      </x:c>
      <x:c r="K25" s="109" t="n">
        <x:f>'Historical Inputs'!K61</x:f>
        <x:v>0</x:v>
      </x:c>
      <x:c r="L25" s="109" t="n">
        <x:f>'Historical Inputs'!L61</x:f>
        <x:v>6693</x:v>
      </x:c>
      <x:c r="M25" s="109" t="n">
        <x:f>'Historical Inputs'!M61</x:f>
        <x:v>0</x:v>
      </x:c>
      <x:c r="N25" s="109" t="n">
        <x:f>'Historical Inputs'!N61</x:f>
        <x:v>0</x:v>
      </x:c>
      <x:c r="O25" s="109" t="n">
        <x:f>0</x:f>
        <x:v>0</x:v>
      </x:c>
      <x:c r="P25" s="109" t="n">
        <x:f>0</x:f>
        <x:v>0</x:v>
      </x:c>
      <x:c r="Q25" s="109" t="n">
        <x:f>0</x:f>
        <x:v>0</x:v>
      </x:c>
      <x:c r="R25" s="109" t="n">
        <x:f>0</x:f>
        <x:v>0</x:v>
      </x:c>
      <x:c r="S25" s="109" t="n">
        <x:f>0</x:f>
        <x:v>0</x:v>
      </x:c>
      <x:c r="T25" s="103"/>
      <x:c r="U25" s="103"/>
    </x:row>
    <x:row r="26" ht="24" customHeight="1">
      <x:c r="A26" s="103"/>
      <x:c r="B26" s="103"/>
      <x:c r="C26" s="103" t="str">
        <x:v>Current portion of long-term debt</x:v>
      </x:c>
      <x:c r="D26" s="103"/>
      <x:c r="E26" s="109" t="n">
        <x:f>'Historical Inputs'!E43</x:f>
        <x:v>1049</x:v>
      </x:c>
      <x:c r="F26" s="109" t="n">
        <x:f>'Historical Inputs'!F43</x:f>
        <x:v>3998</x:v>
      </x:c>
      <x:c r="G26" s="109" t="n">
        <x:f>'Historical Inputs'!G43</x:f>
        <x:v>5516</x:v>
      </x:c>
      <x:c r="H26" s="109" t="n">
        <x:f>'Historical Inputs'!H43</x:f>
        <x:v>3749</x:v>
      </x:c>
      <x:c r="I26" s="109" t="n">
        <x:f>'Historical Inputs'!I43</x:f>
        <x:v>8072</x:v>
      </x:c>
      <x:c r="J26" s="109" t="n">
        <x:f>'Historical Inputs'!J43</x:f>
        <x:v>2749</x:v>
      </x:c>
      <x:c r="K26" s="109" t="n">
        <x:f>'Historical Inputs'!K43</x:f>
        <x:v>5247</x:v>
      </x:c>
      <x:c r="L26" s="109" t="n">
        <x:f>'Historical Inputs'!L43</x:f>
        <x:v>2249</x:v>
      </x:c>
      <x:c r="M26" s="109" t="n">
        <x:f>'Historical Inputs'!M43</x:f>
        <x:v>2999</x:v>
      </x:c>
      <x:c r="N26" s="109" t="n">
        <x:f>'Historical Inputs'!N43</x:f>
        <x:v>9227</x:v>
      </x:c>
      <x:c r="O26" s="109" t="n">
        <x:f>'Debt and Leases'!O19</x:f>
        <x:v>0</x:v>
      </x:c>
      <x:c r="P26" s="109" t="n">
        <x:f>'Debt and Leases'!P19</x:f>
        <x:v>1996.0245405405406</x:v>
      </x:c>
      <x:c r="Q26" s="109" t="n">
        <x:f>'Debt and Leases'!Q19</x:f>
        <x:v>0</x:v>
      </x:c>
      <x:c r="R26" s="109" t="n">
        <x:f>'Debt and Leases'!R19</x:f>
        <x:v>498.7567567567567</x:v>
      </x:c>
      <x:c r="S26" s="109" t="n">
        <x:f>'Debt and Leases'!S19</x:f>
        <x:v>0</x:v>
      </x:c>
      <x:c r="T26" s="103"/>
      <x:c r="U26" s="103"/>
    </x:row>
    <x:row r="27" ht="24" customHeight="1">
      <x:c r="A27" s="103"/>
      <x:c r="B27" s="103"/>
      <x:c r="C27" s="103" t="str">
        <x:v>Accrued compensation</x:v>
      </x:c>
      <x:c r="D27" s="103"/>
      <x:c r="E27" s="109" t="n">
        <x:f>'Historical Inputs'!E44</x:f>
        <x:v>5819</x:v>
      </x:c>
      <x:c r="F27" s="109" t="n">
        <x:f>'Historical Inputs'!F44</x:f>
        <x:v>6103</x:v>
      </x:c>
      <x:c r="G27" s="109" t="n">
        <x:f>'Historical Inputs'!G44</x:f>
        <x:v>6830</x:v>
      </x:c>
      <x:c r="H27" s="109" t="n">
        <x:f>'Historical Inputs'!H44</x:f>
        <x:v>7874</x:v>
      </x:c>
      <x:c r="I27" s="109" t="n">
        <x:f>'Historical Inputs'!I44</x:f>
        <x:v>10057</x:v>
      </x:c>
      <x:c r="J27" s="109" t="n">
        <x:f>'Historical Inputs'!J44</x:f>
        <x:v>10661</x:v>
      </x:c>
      <x:c r="K27" s="109" t="n">
        <x:f>'Historical Inputs'!K44</x:f>
        <x:v>11009</x:v>
      </x:c>
      <x:c r="L27" s="109" t="n">
        <x:f>'Historical Inputs'!L44</x:f>
        <x:v>12564</x:v>
      </x:c>
      <x:c r="M27" s="109" t="n">
        <x:f>'Historical Inputs'!M44</x:f>
        <x:v>13709</x:v>
      </x:c>
      <x:c r="N27" s="109" t="n">
        <x:f>'Historical Inputs'!N44</x:f>
        <x:v>14945</x:v>
      </x:c>
      <x:c r="O27" s="109" t="n">
        <x:f>'Working Capital'!O19</x:f>
        <x:v>17341.40446421307</x:v>
      </x:c>
      <x:c r="P27" s="109" t="n">
        <x:f>'Working Capital'!P19</x:f>
        <x:v>20017.88631435124</x:v>
      </x:c>
      <x:c r="Q27" s="109" t="n">
        <x:f>'Working Capital'!Q19</x:f>
        <x:v>22920.283689006537</x:v>
      </x:c>
      <x:c r="R27" s="109" t="n">
        <x:f>'Working Capital'!R19</x:f>
        <x:v>25999.8821016499</x:v>
      </x:c>
      <x:c r="S27" s="109" t="n">
        <x:f>'Working Capital'!S19</x:f>
        <x:v>29188.73722378462</x:v>
      </x:c>
      <x:c r="T27" s="103"/>
      <x:c r="U27" s="103"/>
    </x:row>
    <x:row r="28" ht="24" customHeight="1">
      <x:c r="A28" s="103"/>
      <x:c r="B28" s="103"/>
      <x:c r="C28" s="103" t="str">
        <x:v>Short-term income taxes</x:v>
      </x:c>
      <x:c r="D28" s="103"/>
      <x:c r="E28" s="109" t="n">
        <x:f>'Historical Inputs'!E45</x:f>
        <x:v>718</x:v>
      </x:c>
      <x:c r="F28" s="109" t="n">
        <x:f>'Historical Inputs'!F45</x:f>
        <x:v>2121</x:v>
      </x:c>
      <x:c r="G28" s="109" t="n">
        <x:f>'Historical Inputs'!G45</x:f>
        <x:v>5665</x:v>
      </x:c>
      <x:c r="H28" s="109" t="n">
        <x:f>'Historical Inputs'!H45</x:f>
        <x:v>2130</x:v>
      </x:c>
      <x:c r="I28" s="109" t="n">
        <x:f>'Historical Inputs'!I45</x:f>
        <x:v>2174</x:v>
      </x:c>
      <x:c r="J28" s="109" t="n">
        <x:f>'Historical Inputs'!J45</x:f>
        <x:v>4067</x:v>
      </x:c>
      <x:c r="K28" s="109" t="n">
        <x:f>'Historical Inputs'!K45</x:f>
        <x:v>4152</x:v>
      </x:c>
      <x:c r="L28" s="109" t="n">
        <x:f>'Historical Inputs'!L45</x:f>
        <x:v>5017</x:v>
      </x:c>
      <x:c r="M28" s="109" t="n">
        <x:f>'Historical Inputs'!M45</x:f>
        <x:v>7211</x:v>
      </x:c>
      <x:c r="N28" s="109" t="n">
        <x:f>'Historical Inputs'!N45</x:f>
        <x:v>2534</x:v>
      </x:c>
      <x:c r="O28" s="109" t="n">
        <x:f>'Working Capital'!O22</x:f>
        <x:v>2534</x:v>
      </x:c>
      <x:c r="P28" s="109" t="n">
        <x:f>'Working Capital'!P22</x:f>
        <x:v>2534</x:v>
      </x:c>
      <x:c r="Q28" s="109" t="n">
        <x:f>'Working Capital'!Q22</x:f>
        <x:v>2534</x:v>
      </x:c>
      <x:c r="R28" s="109" t="n">
        <x:f>'Working Capital'!R22</x:f>
        <x:v>2534</x:v>
      </x:c>
      <x:c r="S28" s="109" t="n">
        <x:f>'Working Capital'!S22</x:f>
        <x:v>2534</x:v>
      </x:c>
      <x:c r="T28" s="103"/>
      <x:c r="U28" s="103"/>
    </x:row>
    <x:row r="29" ht="24" customHeight="1">
      <x:c r="A29" s="103"/>
      <x:c r="B29" s="103"/>
      <x:c r="C29" s="103" t="str">
        <x:v>Short-term unearned revenue</x:v>
      </x:c>
      <x:c r="D29" s="103"/>
      <x:c r="E29" s="109" t="n">
        <x:f>'Historical Inputs'!E46</x:f>
        <x:v>24013</x:v>
      </x:c>
      <x:c r="F29" s="109" t="n">
        <x:f>'Historical Inputs'!F46</x:f>
        <x:v>28905</x:v>
      </x:c>
      <x:c r="G29" s="109" t="n">
        <x:f>'Historical Inputs'!G46</x:f>
        <x:v>32676</x:v>
      </x:c>
      <x:c r="H29" s="109" t="n">
        <x:f>'Historical Inputs'!H46</x:f>
        <x:v>36000</x:v>
      </x:c>
      <x:c r="I29" s="109" t="n">
        <x:f>'Historical Inputs'!I46</x:f>
        <x:v>41525</x:v>
      </x:c>
      <x:c r="J29" s="109" t="n">
        <x:f>'Historical Inputs'!J46</x:f>
        <x:v>45538</x:v>
      </x:c>
      <x:c r="K29" s="109" t="n">
        <x:f>'Historical Inputs'!K46</x:f>
        <x:v>50901</x:v>
      </x:c>
      <x:c r="L29" s="109" t="n">
        <x:f>'Historical Inputs'!L46</x:f>
        <x:v>57582</x:v>
      </x:c>
      <x:c r="M29" s="109" t="n">
        <x:f>'Historical Inputs'!M46</x:f>
        <x:v>64555</x:v>
      </x:c>
      <x:c r="N29" s="109" t="n">
        <x:f>'Historical Inputs'!N46</x:f>
        <x:v>72965</x:v>
      </x:c>
      <x:c r="O29" s="109" t="n">
        <x:f>'Working Capital'!O20</x:f>
        <x:v>84664.80941661469</x:v>
      </x:c>
      <x:c r="P29" s="109" t="n">
        <x:f>'Working Capital'!P20</x:f>
        <x:v>97732.0224106148</x:v>
      </x:c>
      <x:c r="Q29" s="109" t="n">
        <x:f>'Working Capital'!Q20</x:f>
        <x:v>111902.20805408912</x:v>
      </x:c>
      <x:c r="R29" s="109" t="n">
        <x:f>'Working Capital'!R20</x:f>
        <x:v>126937.53078266208</x:v>
      </x:c>
      <x:c r="S29" s="109" t="n">
        <x:f>'Working Capital'!S20</x:f>
        <x:v>142506.27042712911</x:v>
      </x:c>
      <x:c r="T29" s="103"/>
      <x:c r="U29" s="103"/>
    </x:row>
    <x:row r="30" ht="24" customHeight="1">
      <x:c r="A30" s="103"/>
      <x:c r="B30" s="103"/>
      <x:c r="C30" s="103" t="str">
        <x:v>Securities lending payable</x:v>
      </x:c>
      <x:c r="D30" s="103"/>
      <x:c r="E30" s="109" t="n">
        <x:f>'Historical Inputs'!E62</x:f>
        <x:v>0</x:v>
      </x:c>
      <x:c r="F30" s="109" t="n">
        <x:f>'Historical Inputs'!F62</x:f>
        <x:v>0</x:v>
      </x:c>
      <x:c r="G30" s="109" t="n">
        <x:f>'Historical Inputs'!G62</x:f>
        <x:v>0</x:v>
      </x:c>
      <x:c r="H30" s="109" t="n">
        <x:f>'Historical Inputs'!H62</x:f>
        <x:v>0</x:v>
      </x:c>
      <x:c r="I30" s="109" t="n">
        <x:f>'Historical Inputs'!I62</x:f>
        <x:v>0</x:v>
      </x:c>
      <x:c r="J30" s="109" t="n">
        <x:f>'Historical Inputs'!J62</x:f>
        <x:v>0</x:v>
      </x:c>
      <x:c r="K30" s="109" t="n">
        <x:f>'Historical Inputs'!K62</x:f>
        <x:v>0</x:v>
      </x:c>
      <x:c r="L30" s="109" t="n">
        <x:f>'Historical Inputs'!L62</x:f>
        <x:v>0</x:v>
      </x:c>
      <x:c r="M30" s="109" t="n">
        <x:f>'Historical Inputs'!M62</x:f>
        <x:v>0</x:v>
      </x:c>
      <x:c r="N30" s="109" t="n">
        <x:f>'Historical Inputs'!N62</x:f>
        <x:v>0</x:v>
      </x:c>
      <x:c r="O30" s="109" t="n">
        <x:f>0</x:f>
        <x:v>0</x:v>
      </x:c>
      <x:c r="P30" s="109" t="n">
        <x:f>0</x:f>
        <x:v>0</x:v>
      </x:c>
      <x:c r="Q30" s="109" t="n">
        <x:f>0</x:f>
        <x:v>0</x:v>
      </x:c>
      <x:c r="R30" s="109" t="n">
        <x:f>0</x:f>
        <x:v>0</x:v>
      </x:c>
      <x:c r="S30" s="109" t="n">
        <x:f>0</x:f>
        <x:v>0</x:v>
      </x:c>
      <x:c r="T30" s="103"/>
      <x:c r="U30" s="103"/>
    </x:row>
    <x:row r="31" ht="24" customHeight="1">
      <x:c r="A31" s="103"/>
      <x:c r="B31" s="103"/>
      <x:c r="C31" s="103" t="str">
        <x:v>Other current liabilities</x:v>
      </x:c>
      <x:c r="D31" s="103"/>
      <x:c r="E31" s="109" t="n">
        <x:f>'Historical Inputs'!E47</x:f>
        <x:v>7684</x:v>
      </x:c>
      <x:c r="F31" s="109" t="n">
        <x:f>'Historical Inputs'!F47</x:f>
        <x:v>8744</x:v>
      </x:c>
      <x:c r="G31" s="109" t="n">
        <x:f>'Historical Inputs'!G47</x:f>
        <x:v>9351</x:v>
      </x:c>
      <x:c r="H31" s="109" t="n">
        <x:f>'Historical Inputs'!H47</x:f>
        <x:v>10027</x:v>
      </x:c>
      <x:c r="I31" s="109" t="n">
        <x:f>'Historical Inputs'!I47</x:f>
        <x:v>11666</x:v>
      </x:c>
      <x:c r="J31" s="109" t="n">
        <x:f>'Historical Inputs'!J47</x:f>
        <x:v>13067</x:v>
      </x:c>
      <x:c r="K31" s="109" t="n">
        <x:f>'Historical Inputs'!K47</x:f>
        <x:v>14745</x:v>
      </x:c>
      <x:c r="L31" s="109" t="n">
        <x:f>'Historical Inputs'!L47</x:f>
        <x:v>19185</x:v>
      </x:c>
      <x:c r="M31" s="109" t="n">
        <x:f>'Historical Inputs'!M47</x:f>
        <x:v>25020</x:v>
      </x:c>
      <x:c r="N31" s="109" t="n">
        <x:f>'Historical Inputs'!N47</x:f>
        <x:v>26738</x:v>
      </x:c>
      <x:c r="O31" s="109" t="n">
        <x:f>'Working Capital'!O21+'Debt and Leases'!O43+'Debt and Leases'!O64</x:f>
        <x:v>31008.794140201702</x:v>
      </x:c>
      <x:c r="P31" s="109" t="n">
        <x:f>'Working Capital'!P21+'Debt and Leases'!P43+'Debt and Leases'!P64</x:f>
        <x:v>35596.94855456568</x:v>
      </x:c>
      <x:c r="Q31" s="109" t="n">
        <x:f>'Working Capital'!Q21+'Debt and Leases'!Q43+'Debt and Leases'!Q64</x:f>
        <x:v>41550.457576760986</x:v>
      </x:c>
      <x:c r="R31" s="109" t="n">
        <x:f>'Working Capital'!R21+'Debt and Leases'!R43+'Debt and Leases'!R64</x:f>
        <x:v>47966.252185862584</x:v>
      </x:c>
      <x:c r="S31" s="109" t="n">
        <x:f>'Working Capital'!S21+'Debt and Leases'!S43+'Debt and Leases'!S64</x:f>
        <x:v>54400.0506654716</x:v>
      </x:c>
      <x:c r="T31" s="103"/>
      <x:c r="U31" s="103"/>
    </x:row>
    <x:row r="32" ht="24" customHeight="1">
      <x:c r="A32" s="103"/>
      <x:c r="B32" s="103"/>
      <x:c r="C32" s="174" t="str">
        <x:v>Total current liabilities</x:v>
      </x:c>
      <x:c r="D32" s="174"/>
      <x:c r="E32" s="175" t="n">
        <x:f>SUM(E24:E31)</x:f>
        <x:v>55745</x:v>
      </x:c>
      <x:c r="F32" s="175" t="n">
        <x:f>SUM(F24:F31)</x:f>
        <x:v>58488</x:v>
      </x:c>
      <x:c r="G32" s="175" t="n">
        <x:f>SUM(G24:G31)</x:f>
        <x:v>69420</x:v>
      </x:c>
      <x:c r="H32" s="175" t="n">
        <x:f>SUM(H24:H31)</x:f>
        <x:v>72310</x:v>
      </x:c>
      <x:c r="I32" s="175" t="n">
        <x:f>SUM(I24:I31)</x:f>
        <x:v>88657</x:v>
      </x:c>
      <x:c r="J32" s="175" t="n">
        <x:f>SUM(J24:J31)</x:f>
        <x:v>95082</x:v>
      </x:c>
      <x:c r="K32" s="175" t="n">
        <x:f>SUM(K24:K31)</x:f>
        <x:v>104149</x:v>
      </x:c>
      <x:c r="L32" s="175" t="n">
        <x:f>SUM(L24:L31)</x:f>
        <x:v>125286</x:v>
      </x:c>
      <x:c r="M32" s="175" t="n">
        <x:f>SUM(M24:M31)</x:f>
        <x:v>141218</x:v>
      </x:c>
      <x:c r="N32" s="175" t="n">
        <x:f>SUM(N24:N31)</x:f>
        <x:v>168825</x:v>
      </x:c>
      <x:c r="O32" s="175" t="n">
        <x:f>SUM(O24:O31)</x:f>
        <x:v>178945.83187152326</x:v>
      </x:c>
      <x:c r="P32" s="175" t="n">
        <x:f>SUM(P24:P31)</x:f>
        <x:v>203708.76200603897</x:v>
      </x:c>
      <x:c r="Q32" s="175" t="n">
        <x:f>SUM(Q24:Q31)</x:f>
        <x:v>227669.21562381575</x:v>
      </x:c>
      <x:c r="R32" s="175" t="n">
        <x:f>SUM(R24:R31)</x:f>
        <x:v>255199.8844891155</x:v>
      </x:c>
      <x:c r="S32" s="175" t="n">
        <x:f>SUM(S24:S31)</x:f>
        <x:v>282841.2572065008</x:v>
      </x:c>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t="str">
        <x:v>Long-term debt</x:v>
      </x:c>
      <x:c r="D34" s="103"/>
      <x:c r="E34" s="109" t="n">
        <x:f>'Historical Inputs'!E49</x:f>
        <x:v>76073</x:v>
      </x:c>
      <x:c r="F34" s="109" t="n">
        <x:f>'Historical Inputs'!F49</x:f>
        <x:v>72242</x:v>
      </x:c>
      <x:c r="G34" s="109" t="n">
        <x:f>'Historical Inputs'!G49</x:f>
        <x:v>66662</x:v>
      </x:c>
      <x:c r="H34" s="109" t="n">
        <x:f>'Historical Inputs'!H49</x:f>
        <x:v>59578</x:v>
      </x:c>
      <x:c r="I34" s="109" t="n">
        <x:f>'Historical Inputs'!I49</x:f>
        <x:v>50074</x:v>
      </x:c>
      <x:c r="J34" s="109" t="n">
        <x:f>'Historical Inputs'!J49</x:f>
        <x:v>47032</x:v>
      </x:c>
      <x:c r="K34" s="109" t="n">
        <x:f>'Historical Inputs'!K49</x:f>
        <x:v>41990</x:v>
      </x:c>
      <x:c r="L34" s="109" t="n">
        <x:f>'Historical Inputs'!L49</x:f>
        <x:v>42688</x:v>
      </x:c>
      <x:c r="M34" s="109" t="n">
        <x:f>'Historical Inputs'!M49</x:f>
        <x:v>40152</x:v>
      </x:c>
      <x:c r="N34" s="109" t="n">
        <x:f>'Historical Inputs'!N49</x:f>
        <x:v>31067</x:v>
      </x:c>
      <x:c r="O34" s="109" t="n">
        <x:f>'Debt and Leases'!O20</x:f>
        <x:v>31219.260000000002</x:v>
      </x:c>
      <x:c r="P34" s="109" t="n">
        <x:f>'Debt and Leases'!P20</x:f>
        <x:v>29393.23765945946</x:v>
      </x:c>
      <x:c r="Q34" s="109" t="n">
        <x:f>'Debt and Leases'!Q20</x:f>
        <x:v>29553.164334</x:v>
      </x:c>
      <x:c r="R34" s="109" t="n">
        <x:f>'Debt and Leases'!R20</x:f>
        <x:v>29214.362647223243</x:v>
      </x:c>
      <x:c r="S34" s="109" t="n">
        <x:f>'Debt and Leases'!S20</x:f>
        <x:v>29368.2758218606</x:v>
      </x:c>
      <x:c r="T34" s="103"/>
      <x:c r="U34" s="103"/>
    </x:row>
    <x:row r="35" ht="24" customHeight="1">
      <x:c r="A35" s="103"/>
      <x:c r="B35" s="103"/>
      <x:c r="C35" s="103" t="str">
        <x:v>Long-term income taxes</x:v>
      </x:c>
      <x:c r="D35" s="103"/>
      <x:c r="E35" s="109" t="n">
        <x:f>'Historical Inputs'!E50</x:f>
        <x:v>13485</x:v>
      </x:c>
      <x:c r="F35" s="109" t="n">
        <x:f>'Historical Inputs'!F50</x:f>
        <x:v>30265</x:v>
      </x:c>
      <x:c r="G35" s="109" t="n">
        <x:f>'Historical Inputs'!G50</x:f>
        <x:v>29612</x:v>
      </x:c>
      <x:c r="H35" s="109" t="n">
        <x:f>'Historical Inputs'!H50</x:f>
        <x:v>29432</x:v>
      </x:c>
      <x:c r="I35" s="109" t="n">
        <x:f>'Historical Inputs'!I50</x:f>
        <x:v>27190</x:v>
      </x:c>
      <x:c r="J35" s="109" t="n">
        <x:f>'Historical Inputs'!J50</x:f>
        <x:v>26069</x:v>
      </x:c>
      <x:c r="K35" s="109" t="n">
        <x:f>'Historical Inputs'!K50</x:f>
        <x:v>25560</x:v>
      </x:c>
      <x:c r="L35" s="109" t="n">
        <x:f>'Historical Inputs'!L50</x:f>
        <x:v>27931</x:v>
      </x:c>
      <x:c r="M35" s="109" t="n">
        <x:f>'Historical Inputs'!M50</x:f>
        <x:v>25986</x:v>
      </x:c>
      <x:c r="N35" s="109" t="n">
        <x:f>'Historical Inputs'!N50</x:f>
        <x:v>28647</x:v>
      </x:c>
      <x:c r="O35" s="109" t="n">
        <x:f>'Working Capital'!O25</x:f>
        <x:v>33240.49606465786</x:v>
      </x:c>
      <x:c r="P35" s="109" t="n">
        <x:f>'Working Capital'!P25</x:f>
        <x:v>38370.852408646366</x:v>
      </x:c>
      <x:c r="Q35" s="109" t="n">
        <x:f>'Working Capital'!Q25</x:f>
        <x:v>43934.250039409184</x:v>
      </x:c>
      <x:c r="R35" s="109" t="n">
        <x:f>'Working Capital'!R25</x:f>
        <x:v>49837.31164710369</x:v>
      </x:c>
      <x:c r="S35" s="109" t="n">
        <x:f>'Working Capital'!S25</x:f>
        <x:v>55949.799615239746</x:v>
      </x:c>
      <x:c r="T35" s="103"/>
      <x:c r="U35" s="103"/>
    </x:row>
    <x:row r="36" ht="24" customHeight="1">
      <x:c r="A36" s="103"/>
      <x:c r="B36" s="103"/>
      <x:c r="C36" s="103" t="str">
        <x:v>Long-term unearned revenue</x:v>
      </x:c>
      <x:c r="D36" s="103"/>
      <x:c r="E36" s="109" t="n">
        <x:f>'Historical Inputs'!E51</x:f>
        <x:v>2643</x:v>
      </x:c>
      <x:c r="F36" s="109" t="n">
        <x:f>'Historical Inputs'!F51</x:f>
        <x:v>3815</x:v>
      </x:c>
      <x:c r="G36" s="109" t="n">
        <x:f>'Historical Inputs'!G51</x:f>
        <x:v>4530</x:v>
      </x:c>
      <x:c r="H36" s="109" t="n">
        <x:f>'Historical Inputs'!H51</x:f>
        <x:v>3180</x:v>
      </x:c>
      <x:c r="I36" s="109" t="n">
        <x:f>'Historical Inputs'!I51</x:f>
        <x:v>2616</x:v>
      </x:c>
      <x:c r="J36" s="109" t="n">
        <x:f>'Historical Inputs'!J51</x:f>
        <x:v>2870</x:v>
      </x:c>
      <x:c r="K36" s="109" t="n">
        <x:f>'Historical Inputs'!K51</x:f>
        <x:v>2912</x:v>
      </x:c>
      <x:c r="L36" s="109" t="n">
        <x:f>'Historical Inputs'!L51</x:f>
        <x:v>2602</x:v>
      </x:c>
      <x:c r="M36" s="109" t="n">
        <x:f>'Historical Inputs'!M51</x:f>
        <x:v>2710</x:v>
      </x:c>
      <x:c r="N36" s="109" t="n">
        <x:f>'Historical Inputs'!N51</x:f>
        <x:v>2747</x:v>
      </x:c>
      <x:c r="O36" s="109" t="n">
        <x:f>'Working Capital'!O26</x:f>
        <x:v>3187.476618480649</x:v>
      </x:c>
      <x:c r="P36" s="109" t="n">
        <x:f>'Working Capital'!P26</x:f>
        <x:v>3679.433503213306</x:v>
      </x:c>
      <x:c r="Q36" s="109" t="n">
        <x:f>'Working Capital'!Q26</x:f>
        <x:v>4212.915309046568</x:v>
      </x:c>
      <x:c r="R36" s="109" t="n">
        <x:f>'Working Capital'!R26</x:f>
        <x:v>4778.967958061711</x:v>
      </x:c>
      <x:c r="S36" s="109" t="n">
        <x:f>'Working Capital'!S26</x:f>
        <x:v>5365.102787135253</x:v>
      </x:c>
      <x:c r="T36" s="103"/>
      <x:c r="U36" s="103"/>
    </x:row>
    <x:row r="37" ht="24" customHeight="1">
      <x:c r="A37" s="103"/>
      <x:c r="B37" s="103"/>
      <x:c r="C37" s="103" t="str">
        <x:v>Deferred income tax liabilities</x:v>
      </x:c>
      <x:c r="D37" s="103"/>
      <x:c r="E37" s="109" t="n">
        <x:f>'Historical Inputs'!E52</x:f>
        <x:v>5734</x:v>
      </x:c>
      <x:c r="F37" s="109" t="n">
        <x:f>'Historical Inputs'!F52</x:f>
        <x:v>541</x:v>
      </x:c>
      <x:c r="G37" s="109" t="n">
        <x:f>'Historical Inputs'!G52</x:f>
        <x:v>233</x:v>
      </x:c>
      <x:c r="H37" s="109" t="n">
        <x:f>'Historical Inputs'!H52</x:f>
        <x:v>204</x:v>
      </x:c>
      <x:c r="I37" s="109" t="n">
        <x:f>'Historical Inputs'!I52</x:f>
        <x:v>198</x:v>
      </x:c>
      <x:c r="J37" s="109" t="n">
        <x:f>'Historical Inputs'!J52</x:f>
        <x:v>230</x:v>
      </x:c>
      <x:c r="K37" s="109" t="n">
        <x:f>'Historical Inputs'!K52</x:f>
        <x:v>433</x:v>
      </x:c>
      <x:c r="L37" s="109" t="n">
        <x:f>'Historical Inputs'!L52</x:f>
        <x:v>2618</x:v>
      </x:c>
      <x:c r="M37" s="109" t="n">
        <x:f>'Historical Inputs'!M52</x:f>
        <x:v>2835</x:v>
      </x:c>
      <x:c r="N37" s="109" t="n">
        <x:f>'Historical Inputs'!N52</x:f>
        <x:v>3054</x:v>
      </x:c>
      <x:c r="O37" s="109" t="n">
        <x:f>'Working Capital'!O27</x:f>
        <x:v>3543.703528518348</x:v>
      </x:c>
      <x:c r="P37" s="109" t="n">
        <x:f>'Working Capital'!P27</x:f>
        <x:v>4090.6406693896743</x:v>
      </x:c>
      <x:c r="Q37" s="109" t="n">
        <x:f>'Working Capital'!Q27</x:f>
        <x:v>4683.743485194109</x:v>
      </x:c>
      <x:c r="R37" s="109" t="n">
        <x:f>'Working Capital'!R27</x:f>
        <x:v>5313.05720564997</x:v>
      </x:c>
      <x:c r="S37" s="109" t="n">
        <x:f>'Working Capital'!S27</x:f>
        <x:v>5964.697456101588</x:v>
      </x:c>
      <x:c r="T37" s="103"/>
      <x:c r="U37" s="103"/>
    </x:row>
    <x:row r="38" ht="24" customHeight="1">
      <x:c r="A38" s="103"/>
      <x:c r="B38" s="103"/>
      <x:c r="C38" s="103" t="str">
        <x:v>Noncurrent operating lease liabilities</x:v>
      </x:c>
      <x:c r="D38" s="103"/>
      <x:c r="E38" s="109" t="n">
        <x:f>'Historical Inputs'!E53</x:f>
        <x:v>5372</x:v>
      </x:c>
      <x:c r="F38" s="109" t="n">
        <x:f>'Historical Inputs'!F53</x:f>
        <x:v>5568</x:v>
      </x:c>
      <x:c r="G38" s="109" t="n">
        <x:f>'Historical Inputs'!G53</x:f>
        <x:v>6188</x:v>
      </x:c>
      <x:c r="H38" s="109" t="n">
        <x:f>'Historical Inputs'!H53</x:f>
        <x:v>7671</x:v>
      </x:c>
      <x:c r="I38" s="109" t="n">
        <x:f>'Historical Inputs'!I53</x:f>
        <x:v>9629</x:v>
      </x:c>
      <x:c r="J38" s="109" t="n">
        <x:f>'Historical Inputs'!J53</x:f>
        <x:v>11489</x:v>
      </x:c>
      <x:c r="K38" s="109" t="n">
        <x:f>'Historical Inputs'!K53</x:f>
        <x:v>12728</x:v>
      </x:c>
      <x:c r="L38" s="109" t="n">
        <x:f>'Historical Inputs'!L53</x:f>
        <x:v>15497</x:v>
      </x:c>
      <x:c r="M38" s="109" t="n">
        <x:f>'Historical Inputs'!M53</x:f>
        <x:v>17437</x:v>
      </x:c>
      <x:c r="N38" s="109" t="n">
        <x:f>'Historical Inputs'!N53</x:f>
        <x:v>16532</x:v>
      </x:c>
      <x:c r="O38" s="109" t="n">
        <x:f>'Debt and Leases'!O65</x:f>
        <x:v>17348.448825</x:v>
      </x:c>
      <x:c r="P38" s="109" t="n">
        <x:f>'Debt and Leases'!P65</x:f>
        <x:v>19038.731228191667</x:v>
      </x:c>
      <x:c r="Q38" s="109" t="n">
        <x:f>'Debt and Leases'!Q65</x:f>
        <x:v>21176.48004678948</x:v>
      </x:c>
      <x:c r="R38" s="109" t="n">
        <x:f>'Debt and Leases'!R65</x:f>
        <x:v>23582.858934670643</x:v>
      </x:c>
      <x:c r="S38" s="109" t="n">
        <x:f>'Debt and Leases'!S65</x:f>
        <x:v>26304.358808389028</x:v>
      </x:c>
      <x:c r="T38" s="103"/>
      <x:c r="U38" s="103"/>
    </x:row>
    <x:row r="39" ht="24" customHeight="1">
      <x:c r="A39" s="103"/>
      <x:c r="B39" s="103"/>
      <x:c r="C39" s="103" t="str">
        <x:v>Other long-term liabilities</x:v>
      </x:c>
      <x:c r="D39" s="103"/>
      <x:c r="E39" s="109" t="n">
        <x:f>'Historical Inputs'!E54</x:f>
        <x:v>3549</x:v>
      </x:c>
      <x:c r="F39" s="109" t="n">
        <x:f>'Historical Inputs'!F54</x:f>
        <x:v>5211</x:v>
      </x:c>
      <x:c r="G39" s="109" t="n">
        <x:f>'Historical Inputs'!G54</x:f>
        <x:v>7581</x:v>
      </x:c>
      <x:c r="H39" s="109" t="n">
        <x:f>'Historical Inputs'!H54</x:f>
        <x:v>10632</x:v>
      </x:c>
      <x:c r="I39" s="109" t="n">
        <x:f>'Historical Inputs'!I54</x:f>
        <x:v>13427</x:v>
      </x:c>
      <x:c r="J39" s="109" t="n">
        <x:f>'Historical Inputs'!J54</x:f>
        <x:v>15526</x:v>
      </x:c>
      <x:c r="K39" s="109" t="n">
        <x:f>'Historical Inputs'!K54</x:f>
        <x:v>17981</x:v>
      </x:c>
      <x:c r="L39" s="109" t="n">
        <x:f>'Historical Inputs'!L54</x:f>
        <x:v>27064</x:v>
      </x:c>
      <x:c r="M39" s="109" t="n">
        <x:f>'Historical Inputs'!M54</x:f>
        <x:v>45186</x:v>
      </x:c>
      <x:c r="N39" s="109" t="n">
        <x:f>'Historical Inputs'!N54</x:f>
        <x:v>65117</x:v>
      </x:c>
      <x:c r="O39" s="109" t="n">
        <x:f>'Working Capital'!O28+'Debt and Leases'!O44</x:f>
        <x:v>86882.87419795968</x:v>
      </x:c>
      <x:c r="P39" s="109" t="n">
        <x:f>'Working Capital'!P28+'Debt and Leases'!P44</x:f>
        <x:v>108971.8341820043</x:v>
      </x:c>
      <x:c r="Q39" s="109" t="n">
        <x:f>'Working Capital'!Q28+'Debt and Leases'!Q44</x:f>
        <x:v>130791.52264013999</x:v>
      </x:c>
      <x:c r="R39" s="109" t="n">
        <x:f>'Working Capital'!R28+'Debt and Leases'!R44</x:f>
        <x:v>151912.97299976315</x:v>
      </x:c>
      <x:c r="S39" s="109" t="n">
        <x:f>'Working Capital'!S28+'Debt and Leases'!S44</x:f>
        <x:v>171887.7405226174</x:v>
      </x:c>
      <x:c r="T39" s="103"/>
      <x:c r="U39" s="103"/>
    </x:row>
    <x:row r="40" ht="24" customHeight="1">
      <x:c r="A40" s="103"/>
      <x:c r="B40" s="103"/>
      <x:c r="C40" s="174" t="str">
        <x:v>Total liabilities</x:v>
      </x:c>
      <x:c r="D40" s="174"/>
      <x:c r="E40" s="175" t="n">
        <x:f>E32+SUM(E34:E39)</x:f>
        <x:v>162601</x:v>
      </x:c>
      <x:c r="F40" s="175" t="n">
        <x:f>F32+SUM(F34:F39)</x:f>
        <x:v>176130</x:v>
      </x:c>
      <x:c r="G40" s="175" t="n">
        <x:f>G32+SUM(G34:G39)</x:f>
        <x:v>184226</x:v>
      </x:c>
      <x:c r="H40" s="175" t="n">
        <x:f>H32+SUM(H34:H39)</x:f>
        <x:v>183007</x:v>
      </x:c>
      <x:c r="I40" s="175" t="n">
        <x:f>I32+SUM(I34:I39)</x:f>
        <x:v>191791</x:v>
      </x:c>
      <x:c r="J40" s="175" t="n">
        <x:f>J32+SUM(J34:J39)</x:f>
        <x:v>198298</x:v>
      </x:c>
      <x:c r="K40" s="175" t="n">
        <x:f>K32+SUM(K34:K39)</x:f>
        <x:v>205753</x:v>
      </x:c>
      <x:c r="L40" s="175" t="n">
        <x:f>L32+SUM(L34:L39)</x:f>
        <x:v>243686</x:v>
      </x:c>
      <x:c r="M40" s="175" t="n">
        <x:f>M32+SUM(M34:M39)</x:f>
        <x:v>275524</x:v>
      </x:c>
      <x:c r="N40" s="175" t="n">
        <x:f>N32+SUM(N34:N39)</x:f>
        <x:v>315989</x:v>
      </x:c>
      <x:c r="O40" s="175" t="n">
        <x:f>O32+SUM(O34:O39)</x:f>
        <x:v>354368.0911061398</x:v>
      </x:c>
      <x:c r="P40" s="175" t="n">
        <x:f>P32+SUM(P34:P39)</x:f>
        <x:v>407253.49165694375</x:v>
      </x:c>
      <x:c r="Q40" s="175" t="n">
        <x:f>Q32+SUM(Q34:Q39)</x:f>
        <x:v>462021.2914783951</x:v>
      </x:c>
      <x:c r="R40" s="175" t="n">
        <x:f>R32+SUM(R34:R39)</x:f>
        <x:v>519839.4158815879</x:v>
      </x:c>
      <x:c r="S40" s="175" t="n">
        <x:f>S32+SUM(S34:S39)</x:f>
        <x:v>577681.2322178443</x:v>
      </x:c>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t="str">
        <x:v>Common stock and paid-in capital</x:v>
      </x:c>
      <x:c r="D42" s="103"/>
      <x:c r="E42" s="109" t="n">
        <x:f>'Historical Inputs'!E56</x:f>
        <x:v>69315</x:v>
      </x:c>
      <x:c r="F42" s="109" t="n">
        <x:f>'Historical Inputs'!F56</x:f>
        <x:v>71223</x:v>
      </x:c>
      <x:c r="G42" s="109" t="n">
        <x:f>'Historical Inputs'!G56</x:f>
        <x:v>78520</x:v>
      </x:c>
      <x:c r="H42" s="109" t="n">
        <x:f>'Historical Inputs'!H56</x:f>
        <x:v>80552</x:v>
      </x:c>
      <x:c r="I42" s="109" t="n">
        <x:f>'Historical Inputs'!I56</x:f>
        <x:v>83111</x:v>
      </x:c>
      <x:c r="J42" s="109" t="n">
        <x:f>'Historical Inputs'!J56</x:f>
        <x:v>86939</x:v>
      </x:c>
      <x:c r="K42" s="109" t="n">
        <x:f>'Historical Inputs'!K56</x:f>
        <x:v>93718</x:v>
      </x:c>
      <x:c r="L42" s="109" t="n">
        <x:f>'Historical Inputs'!L56</x:f>
        <x:v>100923</x:v>
      </x:c>
      <x:c r="M42" s="109" t="n">
        <x:f>'Historical Inputs'!M56</x:f>
        <x:v>109095</x:v>
      </x:c>
      <x:c r="N42" s="109" t="n">
        <x:f>'Historical Inputs'!N56</x:f>
        <x:v>117406</x:v>
      </x:c>
      <x:c r="O42" s="109" t="n">
        <x:f>'Tax and Equity'!O23</x:f>
        <x:v>127898.5798</x:v>
      </x:c>
      <x:c r="P42" s="109" t="n">
        <x:f>'Tax and Equity'!P23</x:f>
        <x:v>140010.5901054</x:v>
      </x:c>
      <x:c r="Q42" s="109" t="n">
        <x:f>'Tax and Equity'!Q23</x:f>
        <x:v>153878.72322817202</x:v>
      </x:c>
      <x:c r="R42" s="109" t="n">
        <x:f>'Tax and Equity'!R23</x:f>
        <x:v>169610.19632224203</x:v>
      </x:c>
      <x:c r="S42" s="109" t="n">
        <x:f>'Tax and Equity'!S23</x:f>
        <x:v>187271.11618682512</x:v>
      </x:c>
      <x:c r="T42" s="103"/>
      <x:c r="U42" s="103"/>
    </x:row>
    <x:row r="43" ht="24" customHeight="1">
      <x:c r="A43" s="103"/>
      <x:c r="B43" s="103"/>
      <x:c r="C43" s="103" t="str">
        <x:v>Retained earnings</x:v>
      </x:c>
      <x:c r="D43" s="103"/>
      <x:c r="E43" s="109" t="n">
        <x:f>'Historical Inputs'!E57</x:f>
        <x:v>17769</x:v>
      </x:c>
      <x:c r="F43" s="109" t="n">
        <x:f>'Historical Inputs'!F57</x:f>
        <x:v>13682</x:v>
      </x:c>
      <x:c r="G43" s="109" t="n">
        <x:f>'Historical Inputs'!G57</x:f>
        <x:v>24150</x:v>
      </x:c>
      <x:c r="H43" s="109" t="n">
        <x:f>'Historical Inputs'!H57</x:f>
        <x:v>34566</x:v>
      </x:c>
      <x:c r="I43" s="109" t="n">
        <x:f>'Historical Inputs'!I57</x:f>
        <x:v>57055</x:v>
      </x:c>
      <x:c r="J43" s="109" t="n">
        <x:f>'Historical Inputs'!J57</x:f>
        <x:v>84281</x:v>
      </x:c>
      <x:c r="K43" s="109" t="n">
        <x:f>'Historical Inputs'!K57</x:f>
        <x:v>118848</x:v>
      </x:c>
      <x:c r="L43" s="109" t="n">
        <x:f>'Historical Inputs'!L57</x:f>
        <x:v>173144</x:v>
      </x:c>
      <x:c r="M43" s="109" t="n">
        <x:f>'Historical Inputs'!M57</x:f>
        <x:v>237731</x:v>
      </x:c>
      <x:c r="N43" s="109" t="n">
        <x:f>'Historical Inputs'!N57</x:f>
        <x:v>328265</x:v>
      </x:c>
      <x:c r="O43" s="109" t="n">
        <x:f>'Tax and Equity'!O27</x:f>
        <x:v>420875.1984587336</x:v>
      </x:c>
      <x:c r="P43" s="109" t="n">
        <x:f>'Tax and Equity'!P27</x:f>
        <x:v>519174.4754067464</x:v>
      </x:c>
      <x:c r="Q43" s="109" t="n">
        <x:f>'Tax and Equity'!Q27</x:f>
        <x:v>625000.8428684488</x:v>
      </x:c>
      <x:c r="R43" s="109" t="n">
        <x:f>'Tax and Equity'!R27</x:f>
        <x:v>740556.9747810347</x:v>
      </x:c>
      <x:c r="S43" s="109" t="n">
        <x:f>'Tax and Equity'!S27</x:f>
        <x:v>867528.5896951222</x:v>
      </x:c>
      <x:c r="T43" s="103"/>
      <x:c r="U43" s="103"/>
    </x:row>
    <x:row r="44" ht="24" customHeight="1">
      <x:c r="A44" s="103"/>
      <x:c r="B44" s="103"/>
      <x:c r="C44" s="103" t="str">
        <x:v>Accumulated other comprehensive income</x:v>
      </x:c>
      <x:c r="D44" s="103"/>
      <x:c r="E44" s="109" t="n">
        <x:f>'Historical Inputs'!E58</x:f>
        <x:v>627</x:v>
      </x:c>
      <x:c r="F44" s="109" t="n">
        <x:f>'Historical Inputs'!F58</x:f>
        <x:v>-2187</x:v>
      </x:c>
      <x:c r="G44" s="109" t="n">
        <x:f>'Historical Inputs'!G58</x:f>
        <x:v>-340</x:v>
      </x:c>
      <x:c r="H44" s="109" t="n">
        <x:f>'Historical Inputs'!H58</x:f>
        <x:v>3186</x:v>
      </x:c>
      <x:c r="I44" s="109" t="n">
        <x:f>'Historical Inputs'!I58</x:f>
        <x:v>1822</x:v>
      </x:c>
      <x:c r="J44" s="109" t="n">
        <x:f>'Historical Inputs'!J58</x:f>
        <x:v>-4678</x:v>
      </x:c>
      <x:c r="K44" s="109" t="n">
        <x:f>'Historical Inputs'!K58</x:f>
        <x:v>-6343</x:v>
      </x:c>
      <x:c r="L44" s="109" t="n">
        <x:f>'Historical Inputs'!L58</x:f>
        <x:v>-5590</x:v>
      </x:c>
      <x:c r="M44" s="109" t="n">
        <x:f>'Historical Inputs'!M58</x:f>
        <x:v>-3347</x:v>
      </x:c>
      <x:c r="N44" s="109" t="n">
        <x:f>'Historical Inputs'!N58</x:f>
        <x:v>-3284</x:v>
      </x:c>
      <x:c r="O44" s="109" t="n">
        <x:f>'Tax and Equity'!O29</x:f>
        <x:v>-3284</x:v>
      </x:c>
      <x:c r="P44" s="109" t="n">
        <x:f>'Tax and Equity'!P29</x:f>
        <x:v>-3284</x:v>
      </x:c>
      <x:c r="Q44" s="109" t="n">
        <x:f>'Tax and Equity'!Q29</x:f>
        <x:v>-3284</x:v>
      </x:c>
      <x:c r="R44" s="109" t="n">
        <x:f>'Tax and Equity'!R29</x:f>
        <x:v>-3284</x:v>
      </x:c>
      <x:c r="S44" s="109" t="n">
        <x:f>'Tax and Equity'!S29</x:f>
        <x:v>-3284</x:v>
      </x:c>
      <x:c r="T44" s="103"/>
      <x:c r="U44" s="103"/>
    </x:row>
    <x:row r="45" ht="24" customHeight="1">
      <x:c r="A45" s="103"/>
      <x:c r="B45" s="103"/>
      <x:c r="C45" s="174" t="str">
        <x:v>Total stockholders equity</x:v>
      </x:c>
      <x:c r="D45" s="174"/>
      <x:c r="E45" s="175" t="n">
        <x:f>SUM(E42:E44)</x:f>
        <x:v>87711</x:v>
      </x:c>
      <x:c r="F45" s="175" t="n">
        <x:f>SUM(F42:F44)</x:f>
        <x:v>82718</x:v>
      </x:c>
      <x:c r="G45" s="175" t="n">
        <x:f>SUM(G42:G44)</x:f>
        <x:v>102330</x:v>
      </x:c>
      <x:c r="H45" s="175" t="n">
        <x:f>SUM(H42:H44)</x:f>
        <x:v>118304</x:v>
      </x:c>
      <x:c r="I45" s="175" t="n">
        <x:f>SUM(I42:I44)</x:f>
        <x:v>141988</x:v>
      </x:c>
      <x:c r="J45" s="175" t="n">
        <x:f>SUM(J42:J44)</x:f>
        <x:v>166542</x:v>
      </x:c>
      <x:c r="K45" s="175" t="n">
        <x:f>SUM(K42:K44)</x:f>
        <x:v>206223</x:v>
      </x:c>
      <x:c r="L45" s="175" t="n">
        <x:f>SUM(L42:L44)</x:f>
        <x:v>268477</x:v>
      </x:c>
      <x:c r="M45" s="175" t="n">
        <x:f>SUM(M42:M44)</x:f>
        <x:v>343479</x:v>
      </x:c>
      <x:c r="N45" s="175" t="n">
        <x:f>SUM(N42:N44)</x:f>
        <x:v>442387</x:v>
      </x:c>
      <x:c r="O45" s="175" t="n">
        <x:f>SUM(O42:O44)</x:f>
        <x:v>545489.7782587337</x:v>
      </x:c>
      <x:c r="P45" s="175" t="n">
        <x:f>SUM(P42:P44)</x:f>
        <x:v>655901.0655121463</x:v>
      </x:c>
      <x:c r="Q45" s="175" t="n">
        <x:f>SUM(Q42:Q44)</x:f>
        <x:v>775595.5660966209</x:v>
      </x:c>
      <x:c r="R45" s="175" t="n">
        <x:f>SUM(R42:R44)</x:f>
        <x:v>906883.1711032768</x:v>
      </x:c>
      <x:c r="S45" s="175" t="n">
        <x:f>SUM(S42:S44)</x:f>
        <x:v>1051515.7058819474</x:v>
      </x:c>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74" t="str">
        <x:v>Total liabilities and stockholders equity</x:v>
      </x:c>
      <x:c r="D47" s="174"/>
      <x:c r="E47" s="175" t="n">
        <x:f>E40+E45</x:f>
        <x:v>250312</x:v>
      </x:c>
      <x:c r="F47" s="175" t="n">
        <x:f>F40+F45</x:f>
        <x:v>258848</x:v>
      </x:c>
      <x:c r="G47" s="175" t="n">
        <x:f>G40+G45</x:f>
        <x:v>286556</x:v>
      </x:c>
      <x:c r="H47" s="175" t="n">
        <x:f>H40+H45</x:f>
        <x:v>301311</x:v>
      </x:c>
      <x:c r="I47" s="175" t="n">
        <x:f>I40+I45</x:f>
        <x:v>333779</x:v>
      </x:c>
      <x:c r="J47" s="175" t="n">
        <x:f>J40+J45</x:f>
        <x:v>364840</x:v>
      </x:c>
      <x:c r="K47" s="175" t="n">
        <x:f>K40+K45</x:f>
        <x:v>411976</x:v>
      </x:c>
      <x:c r="L47" s="175" t="n">
        <x:f>L40+L45</x:f>
        <x:v>512163</x:v>
      </x:c>
      <x:c r="M47" s="175" t="n">
        <x:f>M40+M45</x:f>
        <x:v>619003</x:v>
      </x:c>
      <x:c r="N47" s="175" t="n">
        <x:f>N40+N45</x:f>
        <x:v>758376</x:v>
      </x:c>
      <x:c r="O47" s="175" t="n">
        <x:f>O40+O45</x:f>
        <x:v>899857.8693648735</x:v>
      </x:c>
      <x:c r="P47" s="175" t="n">
        <x:f>P40+P45</x:f>
        <x:v>1063154.55716909</x:v>
      </x:c>
      <x:c r="Q47" s="175" t="n">
        <x:f>Q40+Q45</x:f>
        <x:v>1237616.857575016</x:v>
      </x:c>
      <x:c r="R47" s="175" t="n">
        <x:f>R40+R45</x:f>
        <x:v>1426722.5869848647</x:v>
      </x:c>
      <x:c r="S47" s="175" t="n">
        <x:f>S40+S45</x:f>
        <x:v>1629196.9380997918</x:v>
      </x:c>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4" t="str">
        <x:v>Selected-case observations</x:v>
      </x:c>
      <x:c r="D66" s="104"/>
      <x:c r="E66" s="104"/>
      <x:c r="F66" s="104"/>
      <x:c r="G66" s="104"/>
      <x:c r="H66" s="104"/>
      <x:c r="I66" s="104"/>
      <x:c r="J66" s="104"/>
      <x:c r="K66" s="104"/>
      <x:c r="L66" s="104"/>
      <x:c r="M66" s="104"/>
      <x:c r="N66" s="104"/>
      <x:c r="O66" s="104"/>
      <x:c r="P66" s="104"/>
      <x:c r="Q66" s="104"/>
      <x:c r="R66" s="104"/>
      <x:c r="S66" s="104"/>
      <x:c r="T66" s="103"/>
      <x:c r="U66" s="103"/>
    </x:row>
    <x:row r="67" ht="24" customHeight="1">
      <x:c r="A67" s="103"/>
      <x:c r="B67" s="103"/>
      <x:c r="C67" s="103" t="str">
        <x:f>"FY2031 net PPE represents "&amp;(FIXED((S16/S22)*100,1,TRUE)&amp;"%")&amp;" of assets; cash and short-term investments represent "&amp;(FIXED((S10/S22)*100,1,TRUE)&amp;"%")&amp;"."</x:f>
        <x:v>FY2031 net PPE represents 36.0% of assets; cash and short-term investments represent 31.5%.</x:v>
      </x:c>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t="str">
        <x:f>"FY2031 equity funds "&amp;(FIXED((S45/S22)*100,1,TRUE)&amp;"%")&amp;" of total assets under the selected payout assumptions."</x:f>
        <x:v>FY2031 equity funds 64.5% of total assets under the selected payout assumptions.</x:v>
      </x:c>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t="str">
        <x:f>"FY2031 current assets / current liabilities: "&amp;FIXED(S14/S32,2,TRUE)&amp;"x. Cash remains linked to the cash-flow statement."</x:f>
        <x:v>FY2031 current assets / current liabilities: 2.64x. Cash remains linked to the cash-flow statement.</x:v>
      </x:c>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23" t="str">
        <x:v>Fiscal year</x:v>
      </x:c>
      <x:c r="D93" s="123" t="str">
        <x:v>Liquid assets</x:v>
      </x:c>
      <x:c r="E93" s="123" t="str">
        <x:v>Net PPE</x:v>
      </x:c>
      <x:c r="F93" s="123" t="str">
        <x:v>Total assets</x:v>
      </x:c>
      <x:c r="G93" s="103"/>
      <x:c r="H93" s="103"/>
      <x:c r="I93" s="103"/>
      <x:c r="J93" s="103"/>
      <x:c r="K93" s="103"/>
      <x:c r="L93" s="103"/>
      <x:c r="M93" s="103"/>
      <x:c r="N93" s="103"/>
      <x:c r="O93" s="103"/>
      <x:c r="P93" s="103"/>
      <x:c r="Q93" s="103"/>
      <x:c r="R93" s="103"/>
      <x:c r="S93" s="103"/>
      <x:c r="T93" s="103"/>
      <x:c r="U93" s="103"/>
    </x:row>
    <x:row r="94" ht="24" customHeight="1">
      <x:c r="A94" s="103"/>
      <x:c r="B94" s="103"/>
      <x:c r="C94" s="103" t="str">
        <x:f>"FY2017 A"</x:f>
        <x:v>FY2017 A</x:v>
      </x:c>
      <x:c r="D94" s="125" t="n">
        <x:f>IF(OR(E10="n.a.",ISBLANK(E10)),"",E10)</x:f>
        <x:v>132981</x:v>
      </x:c>
      <x:c r="E94" s="125" t="n">
        <x:f>IF(OR(E16="n.a.",ISBLANK(E16)),"",E16)</x:f>
        <x:v>23734</x:v>
      </x:c>
      <x:c r="F94" s="125" t="n">
        <x:f>IF(OR(E22="n.a.",ISBLANK(E22)),"",E22)</x:f>
        <x:v>250312</x:v>
      </x:c>
      <x:c r="G94" s="103"/>
      <x:c r="H94" s="103"/>
      <x:c r="I94" s="103"/>
      <x:c r="J94" s="103"/>
      <x:c r="K94" s="103"/>
      <x:c r="L94" s="103"/>
      <x:c r="M94" s="103"/>
      <x:c r="N94" s="103"/>
      <x:c r="O94" s="103"/>
      <x:c r="P94" s="103"/>
      <x:c r="Q94" s="103"/>
      <x:c r="R94" s="103"/>
      <x:c r="S94" s="103"/>
      <x:c r="T94" s="103"/>
      <x:c r="U94" s="103"/>
    </x:row>
    <x:row r="95" ht="24" customHeight="1">
      <x:c r="A95" s="103"/>
      <x:c r="B95" s="103"/>
      <x:c r="C95" s="103" t="str">
        <x:f>"FY2018 A"</x:f>
        <x:v>FY2018 A</x:v>
      </x:c>
      <x:c r="D95" s="125" t="n">
        <x:f>IF(OR(F10="n.a.",ISBLANK(F10)),"",F10)</x:f>
        <x:v>133768</x:v>
      </x:c>
      <x:c r="E95" s="125" t="n">
        <x:f>IF(OR(F16="n.a.",ISBLANK(F16)),"",F16)</x:f>
        <x:v>29460</x:v>
      </x:c>
      <x:c r="F95" s="125" t="n">
        <x:f>IF(OR(F22="n.a.",ISBLANK(F22)),"",F22)</x:f>
        <x:v>258848</x:v>
      </x:c>
      <x:c r="G95" s="103"/>
      <x:c r="H95" s="103"/>
      <x:c r="I95" s="103"/>
      <x:c r="J95" s="103"/>
      <x:c r="K95" s="103"/>
      <x:c r="L95" s="103"/>
      <x:c r="M95" s="103"/>
      <x:c r="N95" s="103"/>
      <x:c r="O95" s="103"/>
      <x:c r="P95" s="103"/>
      <x:c r="Q95" s="103"/>
      <x:c r="R95" s="103"/>
      <x:c r="S95" s="103"/>
      <x:c r="T95" s="103"/>
      <x:c r="U95" s="103"/>
    </x:row>
    <x:row r="96" ht="24" customHeight="1">
      <x:c r="C96" s="128" t="str">
        <x:f>"FY2019 A"</x:f>
        <x:v>FY2019 A</x:v>
      </x:c>
      <x:c r="D96" s="134" t="n">
        <x:f>IF(OR(G10="n.a.",ISBLANK(G10)),"",G10)</x:f>
        <x:v>133819</x:v>
      </x:c>
      <x:c r="E96" s="134" t="n">
        <x:f>IF(OR(G16="n.a.",ISBLANK(G16)),"",G16)</x:f>
        <x:v>36477</x:v>
      </x:c>
      <x:c r="F96" s="134" t="n">
        <x:f>IF(OR(G22="n.a.",ISBLANK(G22)),"",G22)</x:f>
        <x:v>286556</x:v>
      </x:c>
    </x:row>
    <x:row r="97" ht="24" customHeight="1">
      <x:c r="C97" s="128" t="str">
        <x:f>"FY2020 A"</x:f>
        <x:v>FY2020 A</x:v>
      </x:c>
      <x:c r="D97" s="134" t="n">
        <x:f>IF(OR(H10="n.a.",ISBLANK(H10)),"",H10)</x:f>
        <x:v>136527</x:v>
      </x:c>
      <x:c r="E97" s="134" t="n">
        <x:f>IF(OR(H16="n.a.",ISBLANK(H16)),"",H16)</x:f>
        <x:v>44151</x:v>
      </x:c>
      <x:c r="F97" s="134" t="n">
        <x:f>IF(OR(H22="n.a.",ISBLANK(H22)),"",H22)</x:f>
        <x:v>301311</x:v>
      </x:c>
    </x:row>
    <x:row r="98" ht="24" customHeight="1">
      <x:c r="C98" s="128" t="str">
        <x:f>"FY2021 A"</x:f>
        <x:v>FY2021 A</x:v>
      </x:c>
      <x:c r="D98" s="134" t="n">
        <x:f>IF(OR(I10="n.a.",ISBLANK(I10)),"",I10)</x:f>
        <x:v>130334</x:v>
      </x:c>
      <x:c r="E98" s="134" t="n">
        <x:f>IF(OR(I16="n.a.",ISBLANK(I16)),"",I16)</x:f>
        <x:v>59715</x:v>
      </x:c>
      <x:c r="F98" s="134" t="n">
        <x:f>IF(OR(I22="n.a.",ISBLANK(I22)),"",I22)</x:f>
        <x:v>333779</x:v>
      </x:c>
    </x:row>
    <x:row r="99" ht="24" customHeight="1">
      <x:c r="C99" s="128" t="str">
        <x:f>"FY2022 A"</x:f>
        <x:v>FY2022 A</x:v>
      </x:c>
      <x:c r="D99" s="134" t="n">
        <x:f>IF(OR(J10="n.a.",ISBLANK(J10)),"",J10)</x:f>
        <x:v>104757</x:v>
      </x:c>
      <x:c r="E99" s="134" t="n">
        <x:f>IF(OR(J16="n.a.",ISBLANK(J16)),"",J16)</x:f>
        <x:v>74398</x:v>
      </x:c>
      <x:c r="F99" s="134" t="n">
        <x:f>IF(OR(J22="n.a.",ISBLANK(J22)),"",J22)</x:f>
        <x:v>364840</x:v>
      </x:c>
    </x:row>
    <x:row r="100" ht="24" customHeight="1">
      <x:c r="C100" s="128" t="str">
        <x:f>"FY2023 A"</x:f>
        <x:v>FY2023 A</x:v>
      </x:c>
      <x:c r="D100" s="134" t="n">
        <x:f>IF(OR(K10="n.a.",ISBLANK(K10)),"",K10)</x:f>
        <x:v>111262</x:v>
      </x:c>
      <x:c r="E100" s="134" t="n">
        <x:f>IF(OR(K16="n.a.",ISBLANK(K16)),"",K16)</x:f>
        <x:v>95641</x:v>
      </x:c>
      <x:c r="F100" s="134" t="n">
        <x:f>IF(OR(K22="n.a.",ISBLANK(K22)),"",K22)</x:f>
        <x:v>411976</x:v>
      </x:c>
    </x:row>
    <x:row r="101" ht="24" customHeight="1">
      <x:c r="C101" s="128" t="str">
        <x:f>"FY2024 A"</x:f>
        <x:v>FY2024 A</x:v>
      </x:c>
      <x:c r="D101" s="134" t="n">
        <x:f>IF(OR(L10="n.a.",ISBLANK(L10)),"",L10)</x:f>
        <x:v>75543</x:v>
      </x:c>
      <x:c r="E101" s="134" t="n">
        <x:f>IF(OR(L16="n.a.",ISBLANK(L16)),"",L16)</x:f>
        <x:v>135591</x:v>
      </x:c>
      <x:c r="F101" s="134" t="n">
        <x:f>IF(OR(L22="n.a.",ISBLANK(L22)),"",L22)</x:f>
        <x:v>512163</x:v>
      </x:c>
    </x:row>
    <x:row r="102" ht="24" customHeight="1">
      <x:c r="C102" s="128" t="str">
        <x:f>"FY2025 A"</x:f>
        <x:v>FY2025 A</x:v>
      </x:c>
      <x:c r="D102" s="134" t="n">
        <x:f>IF(OR(M10="n.a.",ISBLANK(M10)),"",M10)</x:f>
        <x:v>94565</x:v>
      </x:c>
      <x:c r="E102" s="134" t="n">
        <x:f>IF(OR(M16="n.a.",ISBLANK(M16)),"",M16)</x:f>
        <x:v>204966</x:v>
      </x:c>
      <x:c r="F102" s="134" t="n">
        <x:f>IF(OR(M22="n.a.",ISBLANK(M22)),"",M22)</x:f>
        <x:v>619003</x:v>
      </x:c>
    </x:row>
    <x:row r="103" ht="24" customHeight="1">
      <x:c r="C103" s="128" t="str">
        <x:f>"FY2026 A"</x:f>
        <x:v>FY2026 A</x:v>
      </x:c>
      <x:c r="D103" s="134" t="n">
        <x:f>IF(OR(N10="n.a.",ISBLANK(N10)),"",N10)</x:f>
        <x:v>76843</x:v>
      </x:c>
      <x:c r="E103" s="134" t="n">
        <x:f>IF(OR(N16="n.a.",ISBLANK(N16)),"",N16)</x:f>
        <x:v>313076</x:v>
      </x:c>
      <x:c r="F103" s="134" t="n">
        <x:f>IF(OR(N22="n.a.",ISBLANK(N22)),"",N22)</x:f>
        <x:v>758376</x:v>
      </x:c>
    </x:row>
    <x:row r="104" ht="24" customHeight="1">
      <x:c r="C104" s="128" t="str">
        <x:f>"FY2027 E"</x:f>
        <x:v>FY2027 E</x:v>
      </x:c>
      <x:c r="D104" s="134" t="n">
        <x:f>IF(OR(O10="n.a.",ISBLANK(O10)),"",O10)</x:f>
        <x:v>93740.17978311873</x:v>
      </x:c>
      <x:c r="E104" s="134" t="n">
        <x:f>IF(OR(O16="n.a.",ISBLANK(O16)),"",O16)</x:f>
        <x:v>412794.0326000001</x:v>
      </x:c>
      <x:c r="F104" s="134" t="n">
        <x:f>IF(OR(O22="n.a.",ISBLANK(O22)),"",O22)</x:f>
        <x:v>899857.8693648736</x:v>
      </x:c>
    </x:row>
    <x:row r="105" ht="24" customHeight="1">
      <x:c r="C105" s="128" t="str">
        <x:f>"FY2028 E"</x:f>
        <x:v>FY2028 E</x:v>
      </x:c>
      <x:c r="D105" s="134" t="n">
        <x:f>IF(OR(P10="n.a.",ISBLANK(P10)),"",P10)</x:f>
        <x:v>150380.09354841156</x:v>
      </x:c>
      <x:c r="E105" s="134" t="n">
        <x:f>IF(OR(P16="n.a.",ISBLANK(P16)),"",P16)</x:f>
        <x:v>490520.0570755468</x:v>
      </x:c>
      <x:c r="F105" s="134" t="n">
        <x:f>IF(OR(P22="n.a.",ISBLANK(P22)),"",P22)</x:f>
        <x:v>1063154.5571690903</x:v>
      </x:c>
    </x:row>
    <x:row r="106" ht="24" customHeight="1">
      <x:c r="C106" s="128" t="str">
        <x:f>"FY2029 E"</x:f>
        <x:v>FY2029 E</x:v>
      </x:c>
      <x:c r="D106" s="134" t="n">
        <x:f>IF(OR(Q10="n.a.",ISBLANK(Q10)),"",Q10)</x:f>
        <x:v>234586.8120071388</x:v>
      </x:c>
      <x:c r="E106" s="134" t="n">
        <x:f>IF(OR(Q16="n.a.",ISBLANK(Q16)),"",Q16)</x:f>
        <x:v>547220.2457194201</x:v>
      </x:c>
      <x:c r="F106" s="134" t="n">
        <x:f>IF(OR(Q22="n.a.",ISBLANK(Q22)),"",Q22)</x:f>
        <x:v>1237616.8575750159</x:v>
      </x:c>
    </x:row>
    <x:row r="107" ht="24" customHeight="1">
      <x:c r="C107" s="128" t="str">
        <x:f>"FY2030 E"</x:f>
        <x:v>FY2030 E</x:v>
      </x:c>
      <x:c r="D107" s="134" t="n">
        <x:f>IF(OR(R10="n.a.",ISBLANK(R10)),"",R10)</x:f>
        <x:v>356625.550255754</x:v>
      </x:c>
      <x:c r="E107" s="134" t="n">
        <x:f>IF(OR(R16="n.a.",ISBLANK(R16)),"",R16)</x:f>
        <x:v>578278.6497470614</x:v>
      </x:c>
      <x:c r="F107" s="134" t="n">
        <x:f>IF(OR(R22="n.a.",ISBLANK(R22)),"",R22)</x:f>
        <x:v>1426722.5869848647</x:v>
      </x:c>
    </x:row>
    <x:row r="108" ht="24" customHeight="1">
      <x:c r="C108" s="128" t="str">
        <x:f>"FY2031 E"</x:f>
        <x:v>FY2031 E</x:v>
      </x:c>
      <x:c r="D108" s="134" t="n">
        <x:f>IF(OR(S10="n.a.",ISBLANK(S10)),"",S10)</x:f>
        <x:v>513290.5410788633</x:v>
      </x:c>
      <x:c r="E108" s="134" t="n">
        <x:f>IF(OR(S16="n.a.",ISBLANK(S16)),"",S16)</x:f>
        <x:v>586467.1006086343</x:v>
      </x:c>
      <x:c r="F108" s="134" t="n">
        <x:f>IF(OR(S22="n.a.",ISBLANK(S22)),"",S22)</x:f>
        <x:v>1629196.9380997918</x:v>
      </x:c>
    </x:row>
    <x:row r="109" ht="24" customHeight="1"/>
    <x:row r="110" ht="24" customHeight="1"/>
    <x:row r="111" ht="24" customHeight="1"/>
    <x:row r="112" ht="24" customHeight="1">
      <x:c r="C112" s="138" t="str">
        <x:v>Fiscal year</x:v>
      </x:c>
      <x:c r="D112" s="138" t="str">
        <x:v>Liabilities</x:v>
      </x:c>
      <x:c r="E112" s="138" t="str">
        <x:v>Equity</x:v>
      </x:c>
    </x:row>
    <x:row r="113" ht="24" customHeight="1">
      <x:c r="C113" s="128" t="str">
        <x:f>"FY2017 A"</x:f>
        <x:v>FY2017 A</x:v>
      </x:c>
      <x:c r="D113" s="134" t="n">
        <x:f>IF(OR(E40="n.a.",ISBLANK(E40)),"",E40)</x:f>
        <x:v>162601</x:v>
      </x:c>
      <x:c r="E113" s="134" t="n">
        <x:f>IF(OR(E45="n.a.",ISBLANK(E45)),"",E45)</x:f>
        <x:v>87711</x:v>
      </x:c>
    </x:row>
    <x:row r="114" ht="24" customHeight="1">
      <x:c r="C114" s="128" t="str">
        <x:f>"FY2018 A"</x:f>
        <x:v>FY2018 A</x:v>
      </x:c>
      <x:c r="D114" s="134" t="n">
        <x:f>IF(OR(F40="n.a.",ISBLANK(F40)),"",F40)</x:f>
        <x:v>176130</x:v>
      </x:c>
      <x:c r="E114" s="134" t="n">
        <x:f>IF(OR(F45="n.a.",ISBLANK(F45)),"",F45)</x:f>
        <x:v>82718</x:v>
      </x:c>
    </x:row>
    <x:row r="115" ht="24" customHeight="1">
      <x:c r="C115" s="128" t="str">
        <x:f>"FY2019 A"</x:f>
        <x:v>FY2019 A</x:v>
      </x:c>
      <x:c r="D115" s="134" t="n">
        <x:f>IF(OR(G40="n.a.",ISBLANK(G40)),"",G40)</x:f>
        <x:v>184226</x:v>
      </x:c>
      <x:c r="E115" s="134" t="n">
        <x:f>IF(OR(G45="n.a.",ISBLANK(G45)),"",G45)</x:f>
        <x:v>102330</x:v>
      </x:c>
    </x:row>
    <x:row r="116" ht="24" customHeight="1">
      <x:c r="C116" s="128" t="str">
        <x:f>"FY2020 A"</x:f>
        <x:v>FY2020 A</x:v>
      </x:c>
      <x:c r="D116" s="134" t="n">
        <x:f>IF(OR(H40="n.a.",ISBLANK(H40)),"",H40)</x:f>
        <x:v>183007</x:v>
      </x:c>
      <x:c r="E116" s="134" t="n">
        <x:f>IF(OR(H45="n.a.",ISBLANK(H45)),"",H45)</x:f>
        <x:v>118304</x:v>
      </x:c>
    </x:row>
    <x:row r="117" ht="24" customHeight="1">
      <x:c r="C117" s="128" t="str">
        <x:f>"FY2021 A"</x:f>
        <x:v>FY2021 A</x:v>
      </x:c>
      <x:c r="D117" s="134" t="n">
        <x:f>IF(OR(I40="n.a.",ISBLANK(I40)),"",I40)</x:f>
        <x:v>191791</x:v>
      </x:c>
      <x:c r="E117" s="134" t="n">
        <x:f>IF(OR(I45="n.a.",ISBLANK(I45)),"",I45)</x:f>
        <x:v>141988</x:v>
      </x:c>
    </x:row>
    <x:row r="118" ht="24" customHeight="1">
      <x:c r="C118" s="128" t="str">
        <x:f>"FY2022 A"</x:f>
        <x:v>FY2022 A</x:v>
      </x:c>
      <x:c r="D118" s="134" t="n">
        <x:f>IF(OR(J40="n.a.",ISBLANK(J40)),"",J40)</x:f>
        <x:v>198298</x:v>
      </x:c>
      <x:c r="E118" s="134" t="n">
        <x:f>IF(OR(J45="n.a.",ISBLANK(J45)),"",J45)</x:f>
        <x:v>166542</x:v>
      </x:c>
    </x:row>
    <x:row r="119" ht="24" customHeight="1">
      <x:c r="C119" s="128" t="str">
        <x:f>"FY2023 A"</x:f>
        <x:v>FY2023 A</x:v>
      </x:c>
      <x:c r="D119" s="134" t="n">
        <x:f>IF(OR(K40="n.a.",ISBLANK(K40)),"",K40)</x:f>
        <x:v>205753</x:v>
      </x:c>
      <x:c r="E119" s="134" t="n">
        <x:f>IF(OR(K45="n.a.",ISBLANK(K45)),"",K45)</x:f>
        <x:v>206223</x:v>
      </x:c>
    </x:row>
    <x:row r="120" ht="24" customHeight="1">
      <x:c r="C120" s="128" t="str">
        <x:f>"FY2024 A"</x:f>
        <x:v>FY2024 A</x:v>
      </x:c>
      <x:c r="D120" s="134" t="n">
        <x:f>IF(OR(L40="n.a.",ISBLANK(L40)),"",L40)</x:f>
        <x:v>243686</x:v>
      </x:c>
      <x:c r="E120" s="134" t="n">
        <x:f>IF(OR(L45="n.a.",ISBLANK(L45)),"",L45)</x:f>
        <x:v>268477</x:v>
      </x:c>
    </x:row>
    <x:row r="121" ht="24" customHeight="1">
      <x:c r="C121" s="128" t="str">
        <x:f>"FY2025 A"</x:f>
        <x:v>FY2025 A</x:v>
      </x:c>
      <x:c r="D121" s="134" t="n">
        <x:f>IF(OR(M40="n.a.",ISBLANK(M40)),"",M40)</x:f>
        <x:v>275524</x:v>
      </x:c>
      <x:c r="E121" s="134" t="n">
        <x:f>IF(OR(M45="n.a.",ISBLANK(M45)),"",M45)</x:f>
        <x:v>343479</x:v>
      </x:c>
    </x:row>
    <x:row r="122" ht="24" customHeight="1">
      <x:c r="C122" s="128" t="str">
        <x:f>"FY2026 A"</x:f>
        <x:v>FY2026 A</x:v>
      </x:c>
      <x:c r="D122" s="134" t="n">
        <x:f>IF(OR(N40="n.a.",ISBLANK(N40)),"",N40)</x:f>
        <x:v>315989</x:v>
      </x:c>
      <x:c r="E122" s="134" t="n">
        <x:f>IF(OR(N45="n.a.",ISBLANK(N45)),"",N45)</x:f>
        <x:v>442387</x:v>
      </x:c>
    </x:row>
    <x:row r="123" ht="24" customHeight="1">
      <x:c r="C123" s="128" t="str">
        <x:f>"FY2027 E"</x:f>
        <x:v>FY2027 E</x:v>
      </x:c>
      <x:c r="D123" s="134" t="n">
        <x:f>IF(OR(O40="n.a.",ISBLANK(O40)),"",O40)</x:f>
        <x:v>354368.0911061398</x:v>
      </x:c>
      <x:c r="E123" s="134" t="n">
        <x:f>IF(OR(O45="n.a.",ISBLANK(O45)),"",O45)</x:f>
        <x:v>545489.7782587337</x:v>
      </x:c>
    </x:row>
    <x:row r="124" ht="24" customHeight="1">
      <x:c r="C124" s="128" t="str">
        <x:f>"FY2028 E"</x:f>
        <x:v>FY2028 E</x:v>
      </x:c>
      <x:c r="D124" s="134" t="n">
        <x:f>IF(OR(P40="n.a.",ISBLANK(P40)),"",P40)</x:f>
        <x:v>407253.49165694375</x:v>
      </x:c>
      <x:c r="E124" s="134" t="n">
        <x:f>IF(OR(P45="n.a.",ISBLANK(P45)),"",P45)</x:f>
        <x:v>655901.0655121463</x:v>
      </x:c>
    </x:row>
    <x:row r="125" ht="24" customHeight="1">
      <x:c r="C125" s="128" t="str">
        <x:f>"FY2029 E"</x:f>
        <x:v>FY2029 E</x:v>
      </x:c>
      <x:c r="D125" s="134" t="n">
        <x:f>IF(OR(Q40="n.a.",ISBLANK(Q40)),"",Q40)</x:f>
        <x:v>462021.2914783951</x:v>
      </x:c>
      <x:c r="E125" s="134" t="n">
        <x:f>IF(OR(Q45="n.a.",ISBLANK(Q45)),"",Q45)</x:f>
        <x:v>775595.5660966209</x:v>
      </x:c>
    </x:row>
    <x:row r="126" ht="24" customHeight="1">
      <x:c r="C126" s="128" t="str">
        <x:f>"FY2030 E"</x:f>
        <x:v>FY2030 E</x:v>
      </x:c>
      <x:c r="D126" s="134" t="n">
        <x:f>IF(OR(R40="n.a.",ISBLANK(R40)),"",R40)</x:f>
        <x:v>519839.4158815879</x:v>
      </x:c>
      <x:c r="E126" s="134" t="n">
        <x:f>IF(OR(R45="n.a.",ISBLANK(R45)),"",R45)</x:f>
        <x:v>906883.1711032768</x:v>
      </x:c>
    </x:row>
    <x:row r="127" ht="24" customHeight="1">
      <x:c r="C127" s="128" t="str">
        <x:f>"FY2031 E"</x:f>
        <x:v>FY2031 E</x:v>
      </x:c>
      <x:c r="D127" s="134" t="n">
        <x:f>IF(OR(S40="n.a.",ISBLANK(S40)),"",S40)</x:f>
        <x:v>577681.2322178443</x:v>
      </x:c>
      <x:c r="E127" s="134" t="n">
        <x:f>IF(OR(S45="n.a.",ISBLANK(S45)),"",S45)</x:f>
        <x:v>1051515.7058819474</x:v>
      </x:c>
    </x:row>
  </x:sheetData>
  <x:mergeCells>
    <x:mergeCell ref="C67:S67"/>
    <x:mergeCell ref="C68:S68"/>
    <x:mergeCell ref="C69:S69"/>
  </x:mergeCells>
  <x:pageMargins left="0.7" right="0.7" top="0.75" bottom="0.75" header="0.3" footer="0.3"/>
  <x:drawing xmlns:r="http://schemas.openxmlformats.org/officeDocument/2006/relationships" r:id="R675f92a009684027"/>
  <x:legacyDrawing xmlns:r="http://schemas.openxmlformats.org/officeDocument/2006/relationships" r:id="R3841892fc4ba43cc"/>
</x:worksheet>
</file>

<file path=xl/worksheets/sheet9.xml><?xml version="1.0" encoding="utf-8"?>
<x:worksheet xmlns:x="http://schemas.openxmlformats.org/spreadsheetml/2006/main">
  <x:sheetPr>
    <x:tabColor rgb="FF002060"/>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Cash Flow</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Net income</x:v>
      </x:c>
      <x:c r="D8" s="103"/>
      <x:c r="E8" s="109" t="n">
        <x:f>'Historical Inputs'!E66</x:f>
        <x:v>25489</x:v>
      </x:c>
      <x:c r="F8" s="109" t="n">
        <x:f>'Historical Inputs'!F66</x:f>
        <x:v>16571</x:v>
      </x:c>
      <x:c r="G8" s="109" t="n">
        <x:f>'Historical Inputs'!G66</x:f>
        <x:v>39240</x:v>
      </x:c>
      <x:c r="H8" s="109" t="n">
        <x:f>'Historical Inputs'!H66</x:f>
        <x:v>44281</x:v>
      </x:c>
      <x:c r="I8" s="109" t="n">
        <x:f>'Historical Inputs'!I66</x:f>
        <x:v>61271</x:v>
      </x:c>
      <x:c r="J8" s="109" t="n">
        <x:f>'Historical Inputs'!J66</x:f>
        <x:v>72738</x:v>
      </x:c>
      <x:c r="K8" s="109" t="n">
        <x:f>'Historical Inputs'!K66</x:f>
        <x:v>72361</x:v>
      </x:c>
      <x:c r="L8" s="109" t="n">
        <x:f>'Historical Inputs'!L66</x:f>
        <x:v>88136</x:v>
      </x:c>
      <x:c r="M8" s="109" t="n">
        <x:f>'Historical Inputs'!M66</x:f>
        <x:v>101832</x:v>
      </x:c>
      <x:c r="N8" s="109" t="n">
        <x:f>'Historical Inputs'!N66</x:f>
        <x:v>133749</x:v>
      </x:c>
      <x:c r="O8" s="109" t="n">
        <x:f>'Income Statement'!O28</x:f>
        <x:v>139226.65932341706</x:v>
      </x:c>
      <x:c r="P8" s="109" t="n">
        <x:f>'Income Statement'!P28</x:f>
        <x:v>149959.44033126585</x:v>
      </x:c>
      <x:c r="Q8" s="109" t="n">
        <x:f>'Income Statement'!Q28</x:f>
        <x:v>163295.41298470303</x:v>
      </x:c>
      <x:c r="R8" s="109" t="n">
        <x:f>'Income Statement'!R28</x:f>
        <x:v>179624.49119054497</x:v>
      </x:c>
      <x:c r="S8" s="109" t="n">
        <x:f>'Income Statement'!S28</x:f>
        <x:v>198208.54815629864</x:v>
      </x:c>
      <x:c r="T8" s="103"/>
      <x:c r="U8" s="103"/>
    </x:row>
    <x:row r="9" ht="24" customHeight="1">
      <x:c r="A9" s="103"/>
      <x:c r="B9" s="103"/>
      <x:c r="C9" s="103" t="str">
        <x:v>PPE depreciation</x:v>
      </x:c>
      <x:c r="D9" s="103"/>
      <x:c r="E9" s="109" t="n">
        <x:f>'Filing Notes'!E8</x:f>
        <x:v>6100</x:v>
      </x:c>
      <x:c r="F9" s="109" t="n">
        <x:f>'Filing Notes'!F8</x:f>
        <x:v>7700</x:v>
      </x:c>
      <x:c r="G9" s="109" t="n">
        <x:f>'Filing Notes'!G8</x:f>
        <x:v>9700</x:v>
      </x:c>
      <x:c r="H9" s="109" t="n">
        <x:f>'Filing Notes'!H8</x:f>
        <x:v>10700</x:v>
      </x:c>
      <x:c r="I9" s="109" t="n">
        <x:f>'Filing Notes'!I8</x:f>
        <x:v>9300</x:v>
      </x:c>
      <x:c r="J9" s="109" t="n">
        <x:f>'Filing Notes'!J8</x:f>
        <x:v>12600</x:v>
      </x:c>
      <x:c r="K9" s="109" t="n">
        <x:f>'Filing Notes'!K8</x:f>
        <x:v>11000</x:v>
      </x:c>
      <x:c r="L9" s="109" t="n">
        <x:f>'Filing Notes'!L8</x:f>
        <x:v>15200</x:v>
      </x:c>
      <x:c r="M9" s="109" t="n">
        <x:f>'Filing Notes'!M8</x:f>
        <x:v>22000</x:v>
      </x:c>
      <x:c r="N9" s="109" t="n">
        <x:f>'Filing Notes'!N8</x:f>
        <x:v>34300</x:v>
      </x:c>
      <x:c r="O9" s="109" t="n">
        <x:f>'PPE and Intangibles'!O21</x:f>
        <x:v>50319.3666</x:v>
      </x:c>
      <x:c r="P9" s="109" t="n">
        <x:f>'PPE and Intangibles'!P21</x:f>
        <x:v>75599.62026141334</x:v>
      </x:c>
      <x:c r="Q9" s="109" t="n">
        <x:f>'PPE and Intangibles'!Q21</x:f>
        <x:v>101565.57059252668</x:v>
      </x:c>
      <x:c r="R9" s="109" t="n">
        <x:f>'PPE and Intangibles'!R21</x:f>
        <x:v>128010.09185221468</x:v>
      </x:c>
      <x:c r="S9" s="109" t="n">
        <x:f>'PPE and Intangibles'!S21</x:f>
        <x:v>154852.54990618228</x:v>
      </x:c>
      <x:c r="T9" s="103"/>
      <x:c r="U9" s="103"/>
    </x:row>
    <x:row r="10" ht="24" customHeight="1">
      <x:c r="A10" s="103"/>
      <x:c r="B10" s="103"/>
      <x:c r="C10" s="103" t="str">
        <x:v>Intangible amortization</x:v>
      </x:c>
      <x:c r="D10" s="103"/>
      <x:c r="E10" s="109" t="n">
        <x:f>'Filing Notes'!E9</x:f>
        <x:v>1700</x:v>
      </x:c>
      <x:c r="F10" s="109" t="n">
        <x:f>'Filing Notes'!F9</x:f>
        <x:v>2200</x:v>
      </x:c>
      <x:c r="G10" s="109" t="n">
        <x:f>'Filing Notes'!G9</x:f>
        <x:v>1900</x:v>
      </x:c>
      <x:c r="H10" s="109" t="n">
        <x:f>'Filing Notes'!H9</x:f>
        <x:v>1600</x:v>
      </x:c>
      <x:c r="I10" s="109" t="n">
        <x:f>'Filing Notes'!I9</x:f>
        <x:v>1600</x:v>
      </x:c>
      <x:c r="J10" s="109" t="n">
        <x:f>'Filing Notes'!J9</x:f>
        <x:v>2000</x:v>
      </x:c>
      <x:c r="K10" s="109" t="n">
        <x:f>'Filing Notes'!K9</x:f>
        <x:v>2500</x:v>
      </x:c>
      <x:c r="L10" s="109" t="n">
        <x:f>'Filing Notes'!L9</x:f>
        <x:v>4800</x:v>
      </x:c>
      <x:c r="M10" s="109" t="n">
        <x:f>'Filing Notes'!M9</x:f>
        <x:v>6000</x:v>
      </x:c>
      <x:c r="N10" s="109" t="n">
        <x:f>'Filing Notes'!N9</x:f>
        <x:v>4700</x:v>
      </x:c>
      <x:c r="O10" s="109" t="n">
        <x:f>'PPE and Intangibles'!O42</x:f>
        <x:v>3097</x:v>
      </x:c>
      <x:c r="P10" s="109" t="n">
        <x:f>'PPE and Intangibles'!P42</x:f>
        <x:v>2141</x:v>
      </x:c>
      <x:c r="Q10" s="109" t="n">
        <x:f>'PPE and Intangibles'!Q42</x:f>
        <x:v>1944</x:v>
      </x:c>
      <x:c r="R10" s="109" t="n">
        <x:f>'PPE and Intangibles'!R42</x:f>
        <x:v>1477</x:v>
      </x:c>
      <x:c r="S10" s="109" t="n">
        <x:f>'PPE and Intangibles'!S42</x:f>
        <x:v>1128</x:v>
      </x:c>
      <x:c r="T10" s="103"/>
      <x:c r="U10" s="103"/>
    </x:row>
    <x:row r="11" ht="24" customHeight="1">
      <x:c r="A11" s="103"/>
      <x:c r="B11" s="103"/>
      <x:c r="C11" s="103" t="str">
        <x:v>Other depreciation adjustments and impairments</x:v>
      </x:c>
      <x:c r="D11" s="103"/>
      <x:c r="E11" s="109" t="n">
        <x:f>'Historical Inputs'!E67-E9-E10+'Historical Inputs'!E100</x:f>
        <x:v>978</x:v>
      </x:c>
      <x:c r="F11" s="109" t="n">
        <x:f>'Historical Inputs'!F67-F9-F10+'Historical Inputs'!F100</x:f>
        <x:v>361</x:v>
      </x:c>
      <x:c r="G11" s="109" t="n">
        <x:f>'Historical Inputs'!G67-G9-G10+'Historical Inputs'!G100</x:f>
        <x:v>82</x:v>
      </x:c>
      <x:c r="H11" s="109" t="n">
        <x:f>'Historical Inputs'!H67-H9-H10+'Historical Inputs'!H100</x:f>
        <x:v>496</x:v>
      </x:c>
      <x:c r="I11" s="109" t="n">
        <x:f>'Historical Inputs'!I67-I9-I10+'Historical Inputs'!I100</x:f>
        <x:v>786</x:v>
      </x:c>
      <x:c r="J11" s="109" t="n">
        <x:f>'Historical Inputs'!J67-J9-J10+'Historical Inputs'!J100</x:f>
        <x:v>-140</x:v>
      </x:c>
      <x:c r="K11" s="109" t="n">
        <x:f>'Historical Inputs'!K67-K9-K10+'Historical Inputs'!K100</x:f>
        <x:v>361</x:v>
      </x:c>
      <x:c r="L11" s="109" t="n">
        <x:f>'Historical Inputs'!L67-L9-L10+'Historical Inputs'!L100</x:f>
        <x:v>958</x:v>
      </x:c>
      <x:c r="M11" s="109" t="n">
        <x:f>'Historical Inputs'!M67-M9-M10+'Historical Inputs'!M100</x:f>
        <x:v>1433</x:v>
      </x:c>
      <x:c r="N11" s="109" t="n">
        <x:f>'Historical Inputs'!N67-N9-N10+'Historical Inputs'!N100</x:f>
        <x:v>-466</x:v>
      </x:c>
      <x:c r="O11" s="109" t="n">
        <x:f>0</x:f>
        <x:v>0</x:v>
      </x:c>
      <x:c r="P11" s="109" t="n">
        <x:f>0</x:f>
        <x:v>0</x:v>
      </x:c>
      <x:c r="Q11" s="109" t="n">
        <x:f>0</x:f>
        <x:v>0</x:v>
      </x:c>
      <x:c r="R11" s="109" t="n">
        <x:f>0</x:f>
        <x:v>0</x:v>
      </x:c>
      <x:c r="S11" s="109" t="n">
        <x:f>0</x:f>
        <x:v>0</x:v>
      </x:c>
      <x:c r="T11" s="103"/>
      <x:c r="U11" s="103"/>
    </x:row>
    <x:row r="12" ht="24" customHeight="1">
      <x:c r="A12" s="103"/>
      <x:c r="B12" s="103"/>
      <x:c r="C12" s="103" t="str">
        <x:v>Stock-based compensation</x:v>
      </x:c>
      <x:c r="D12" s="103"/>
      <x:c r="E12" s="109" t="n">
        <x:f>'Historical Inputs'!E68</x:f>
        <x:v>3266</x:v>
      </x:c>
      <x:c r="F12" s="109" t="n">
        <x:f>'Historical Inputs'!F68</x:f>
        <x:v>3940</x:v>
      </x:c>
      <x:c r="G12" s="109" t="n">
        <x:f>'Historical Inputs'!G68</x:f>
        <x:v>4652</x:v>
      </x:c>
      <x:c r="H12" s="109" t="n">
        <x:f>'Historical Inputs'!H68</x:f>
        <x:v>5289</x:v>
      </x:c>
      <x:c r="I12" s="109" t="n">
        <x:f>'Historical Inputs'!I68</x:f>
        <x:v>6118</x:v>
      </x:c>
      <x:c r="J12" s="109" t="n">
        <x:f>'Historical Inputs'!J68</x:f>
        <x:v>7502</x:v>
      </x:c>
      <x:c r="K12" s="109" t="n">
        <x:f>'Historical Inputs'!K68</x:f>
        <x:v>9611</x:v>
      </x:c>
      <x:c r="L12" s="109" t="n">
        <x:f>'Historical Inputs'!L68</x:f>
        <x:v>10734</x:v>
      </x:c>
      <x:c r="M12" s="109" t="n">
        <x:f>'Historical Inputs'!M68</x:f>
        <x:v>11974</x:v>
      </x:c>
      <x:c r="N12" s="109" t="n">
        <x:f>'Historical Inputs'!N68</x:f>
        <x:v>12405</x:v>
      </x:c>
      <x:c r="O12" s="109" t="n">
        <x:f>'Tax and Equity'!O16</x:f>
        <x:v>14439.330000000002</x:v>
      </x:c>
      <x:c r="P12" s="109" t="n">
        <x:f>'Tax and Equity'!P16</x:f>
        <x:v>16667.90409</x:v>
      </x:c>
      <x:c r="Q12" s="109" t="n">
        <x:f>'Tax and Equity'!Q16</x:f>
        <x:v>19084.5868662</x:v>
      </x:c>
      <x:c r="R12" s="109" t="n">
        <x:f>'Tax and Equity'!R16</x:f>
        <x:v>21648.816184500003</x:v>
      </x:c>
      <x:c r="S12" s="109" t="n">
        <x:f>'Tax and Equity'!S16</x:f>
        <x:v>24304.01816227032</x:v>
      </x:c>
      <x:c r="T12" s="103"/>
      <x:c r="U12" s="103"/>
    </x:row>
    <x:row r="13" ht="24" customHeight="1">
      <x:c r="A13" s="103"/>
      <x:c r="B13" s="103"/>
      <x:c r="C13" s="103" t="str">
        <x:v>Investment and derivative loss or gain adjustment</x:v>
      </x:c>
      <x:c r="D13" s="103"/>
      <x:c r="E13" s="109" t="n">
        <x:f>'Historical Inputs'!E69</x:f>
        <x:v>-2073</x:v>
      </x:c>
      <x:c r="F13" s="109" t="n">
        <x:f>'Historical Inputs'!F69</x:f>
        <x:v>-2212</x:v>
      </x:c>
      <x:c r="G13" s="109" t="n">
        <x:f>'Historical Inputs'!G69</x:f>
        <x:v>-792</x:v>
      </x:c>
      <x:c r="H13" s="109" t="n">
        <x:f>'Historical Inputs'!H69</x:f>
        <x:v>-219</x:v>
      </x:c>
      <x:c r="I13" s="109" t="n">
        <x:f>'Historical Inputs'!I69</x:f>
        <x:v>-1249</x:v>
      </x:c>
      <x:c r="J13" s="109" t="n">
        <x:f>'Historical Inputs'!J69</x:f>
        <x:v>-409</x:v>
      </x:c>
      <x:c r="K13" s="109" t="n">
        <x:f>'Historical Inputs'!K69</x:f>
        <x:v>196</x:v>
      </x:c>
      <x:c r="L13" s="109" t="n">
        <x:f>'Historical Inputs'!L69</x:f>
        <x:v>1634</x:v>
      </x:c>
      <x:c r="M13" s="109" t="n">
        <x:f>'Historical Inputs'!M69</x:f>
        <x:v>5329</x:v>
      </x:c>
      <x:c r="N13" s="109" t="n">
        <x:f>'Historical Inputs'!N69</x:f>
        <x:v>-11047</x:v>
      </x:c>
      <x:c r="O13" s="109" t="n">
        <x:f>0</x:f>
        <x:v>0</x:v>
      </x:c>
      <x:c r="P13" s="109" t="n">
        <x:f>0</x:f>
        <x:v>0</x:v>
      </x:c>
      <x:c r="Q13" s="109" t="n">
        <x:f>0</x:f>
        <x:v>0</x:v>
      </x:c>
      <x:c r="R13" s="109" t="n">
        <x:f>0</x:f>
        <x:v>0</x:v>
      </x:c>
      <x:c r="S13" s="109" t="n">
        <x:f>0</x:f>
        <x:v>0</x:v>
      </x:c>
      <x:c r="T13" s="103"/>
      <x:c r="U13" s="103"/>
    </x:row>
    <x:row r="14" ht="24" customHeight="1">
      <x:c r="A14" s="103"/>
      <x:c r="B14" s="103"/>
      <x:c r="C14" s="103" t="str">
        <x:v>Deferred income taxes</x:v>
      </x:c>
      <x:c r="D14" s="103"/>
      <x:c r="E14" s="109" t="n">
        <x:f>'Historical Inputs'!E70</x:f>
        <x:v>-829</x:v>
      </x:c>
      <x:c r="F14" s="109" t="n">
        <x:f>'Historical Inputs'!F70</x:f>
        <x:v>-5143</x:v>
      </x:c>
      <x:c r="G14" s="109" t="n">
        <x:f>'Historical Inputs'!G70</x:f>
        <x:v>-6463</x:v>
      </x:c>
      <x:c r="H14" s="109" t="n">
        <x:f>'Historical Inputs'!H70</x:f>
        <x:v>11</x:v>
      </x:c>
      <x:c r="I14" s="109" t="n">
        <x:f>'Historical Inputs'!I70</x:f>
        <x:v>-150</x:v>
      </x:c>
      <x:c r="J14" s="109" t="n">
        <x:f>'Historical Inputs'!J70</x:f>
        <x:v>-5702</x:v>
      </x:c>
      <x:c r="K14" s="109" t="n">
        <x:f>'Historical Inputs'!K70</x:f>
        <x:v>-6059</x:v>
      </x:c>
      <x:c r="L14" s="109" t="n">
        <x:f>'Historical Inputs'!L70</x:f>
        <x:v>-4738</x:v>
      </x:c>
      <x:c r="M14" s="109" t="n">
        <x:f>'Historical Inputs'!M70</x:f>
        <x:v>-7056</x:v>
      </x:c>
      <x:c r="N14" s="109" t="n">
        <x:f>'Historical Inputs'!N70</x:f>
        <x:v>14189</x:v>
      </x:c>
      <x:c r="O14" s="109" t="n">
        <x:f>'Tax and Equity'!O11</x:f>
        <x:v>489.70352851834787</x:v>
      </x:c>
      <x:c r="P14" s="109" t="n">
        <x:f>'Tax and Equity'!P11</x:f>
        <x:v>546.9371408713264</x:v>
      </x:c>
      <x:c r="Q14" s="109" t="n">
        <x:f>'Tax and Equity'!Q11</x:f>
        <x:v>593.1028158044346</x:v>
      </x:c>
      <x:c r="R14" s="109" t="n">
        <x:f>'Tax and Equity'!R11</x:f>
        <x:v>629.3137204558607</x:v>
      </x:c>
      <x:c r="S14" s="109" t="n">
        <x:f>'Tax and Equity'!S11</x:f>
        <x:v>651.6402504516182</x:v>
      </x:c>
      <x:c r="T14" s="103"/>
      <x:c r="U14" s="103"/>
    </x:row>
    <x:row r="15" ht="24" customHeight="1">
      <x:c r="A15" s="103"/>
      <x:c r="B15" s="103"/>
      <x:c r="C15" s="103" t="str">
        <x:v>Noncash debt accounting amortization</x:v>
      </x:c>
      <x:c r="D15" s="103"/>
      <x:c r="E15" s="109" t="str">
        <x:v>n.a.</x:v>
      </x:c>
      <x:c r="F15" s="109" t="str">
        <x:v>n.a.</x:v>
      </x:c>
      <x:c r="G15" s="109" t="str">
        <x:v>n.a.</x:v>
      </x:c>
      <x:c r="H15" s="109" t="str">
        <x:v>n.a.</x:v>
      </x:c>
      <x:c r="I15" s="109" t="str">
        <x:v>n.a.</x:v>
      </x:c>
      <x:c r="J15" s="109" t="str">
        <x:v>n.a.</x:v>
      </x:c>
      <x:c r="K15" s="109" t="str">
        <x:v>n.a.</x:v>
      </x:c>
      <x:c r="L15" s="109" t="str">
        <x:v>n.a.</x:v>
      </x:c>
      <x:c r="M15" s="109" t="str">
        <x:v>n.a.</x:v>
      </x:c>
      <x:c r="N15" s="109" t="str">
        <x:v>n.a.</x:v>
      </x:c>
      <x:c r="O15" s="109" t="n">
        <x:f>'Debt and Leases'!O15</x:f>
        <x:v>175.26</x:v>
      </x:c>
      <x:c r="P15" s="109" t="n">
        <x:f>'Debt and Leases'!P15</x:f>
        <x:v>170.0022</x:v>
      </x:c>
      <x:c r="Q15" s="109" t="n">
        <x:f>'Debt and Leases'!Q15</x:f>
        <x:v>164.902134</x:v>
      </x:c>
      <x:c r="R15" s="109" t="n">
        <x:f>'Debt and Leases'!R15</x:f>
        <x:v>159.95506998</x:v>
      </x:c>
      <x:c r="S15" s="109" t="n">
        <x:f>'Debt and Leases'!S15</x:f>
        <x:v>155.15641788059997</x:v>
      </x:c>
      <x:c r="T15" s="103"/>
      <x:c r="U15" s="103"/>
    </x:row>
    <x:row r="16" ht="24" customHeight="1">
      <x:c r="A16" s="103"/>
      <x:c r="B16" s="103"/>
      <x:c r="C16" s="103"/>
      <x:c r="D16" s="103"/>
      <x:c r="E16" s="103"/>
      <x:c r="F16" s="103"/>
      <x:c r="G16" s="103"/>
      <x:c r="H16" s="103"/>
      <x:c r="I16" s="103"/>
      <x:c r="J16" s="103"/>
      <x:c r="K16" s="103"/>
      <x:c r="L16" s="103"/>
      <x:c r="M16" s="103"/>
      <x:c r="N16" s="103"/>
      <x:c r="O16" s="103"/>
      <x:c r="P16" s="103"/>
      <x:c r="Q16" s="103"/>
      <x:c r="R16" s="103"/>
      <x:c r="S16" s="103"/>
      <x:c r="T16" s="103"/>
      <x:c r="U16" s="103"/>
    </x:row>
    <x:row r="17" ht="24" customHeight="1">
      <x:c r="A17" s="103"/>
      <x:c r="B17" s="103"/>
      <x:c r="C17" s="103" t="str">
        <x:v>Change in accounts receivable</x:v>
      </x:c>
      <x:c r="D17" s="103"/>
      <x:c r="E17" s="109" t="n">
        <x:f>'Historical Inputs'!E71</x:f>
        <x:v>-1216</x:v>
      </x:c>
      <x:c r="F17" s="109" t="n">
        <x:f>'Historical Inputs'!F71</x:f>
        <x:v>-3862</x:v>
      </x:c>
      <x:c r="G17" s="109" t="n">
        <x:f>'Historical Inputs'!G71</x:f>
        <x:v>-2812</x:v>
      </x:c>
      <x:c r="H17" s="109" t="n">
        <x:f>'Historical Inputs'!H71</x:f>
        <x:v>-2577</x:v>
      </x:c>
      <x:c r="I17" s="109" t="n">
        <x:f>'Historical Inputs'!I71</x:f>
        <x:v>-6481</x:v>
      </x:c>
      <x:c r="J17" s="109" t="n">
        <x:f>'Historical Inputs'!J71</x:f>
        <x:v>-6834</x:v>
      </x:c>
      <x:c r="K17" s="109" t="n">
        <x:f>'Historical Inputs'!K71</x:f>
        <x:v>-4087</x:v>
      </x:c>
      <x:c r="L17" s="109" t="n">
        <x:f>'Historical Inputs'!L71</x:f>
        <x:v>-7191</x:v>
      </x:c>
      <x:c r="M17" s="109" t="n">
        <x:f>'Historical Inputs'!M71</x:f>
        <x:v>-10581</x:v>
      </x:c>
      <x:c r="N17" s="109" t="n">
        <x:f>'Historical Inputs'!N71</x:f>
        <x:v>-12737</x:v>
      </x:c>
      <x:c r="O17" s="109" t="n">
        <x:f>'Working Capital'!O31</x:f>
        <x:v>-12968.324352472147</x:v>
      </x:c>
      <x:c r="P17" s="109" t="n">
        <x:f>'Working Capital'!P31</x:f>
        <x:v>-14483.984350068553</x:v>
      </x:c>
      <x:c r="Q17" s="109" t="n">
        <x:f>'Working Capital'!Q31</x:f>
        <x:v>-15706.543330386223</x:v>
      </x:c>
      <x:c r="R17" s="109" t="n">
        <x:f>'Working Capital'!R31</x:f>
        <x:v>-16665.48017537268</x:v>
      </x:c>
      <x:c r="S17" s="109" t="n">
        <x:f>'Working Capital'!S31</x:f>
        <x:v>-17256.731138023926</x:v>
      </x:c>
      <x:c r="T17" s="103"/>
      <x:c r="U17" s="103"/>
    </x:row>
    <x:row r="18" ht="24" customHeight="1">
      <x:c r="A18" s="103"/>
      <x:c r="B18" s="103"/>
      <x:c r="C18" s="103" t="str">
        <x:v>Change in inventories</x:v>
      </x:c>
      <x:c r="D18" s="103"/>
      <x:c r="E18" s="109" t="n">
        <x:f>'Historical Inputs'!E72</x:f>
        <x:v>50</x:v>
      </x:c>
      <x:c r="F18" s="109" t="n">
        <x:f>'Historical Inputs'!F72</x:f>
        <x:v>-465</x:v>
      </x:c>
      <x:c r="G18" s="109" t="n">
        <x:f>'Historical Inputs'!G72</x:f>
        <x:v>597</x:v>
      </x:c>
      <x:c r="H18" s="109" t="n">
        <x:f>'Historical Inputs'!H72</x:f>
        <x:v>168</x:v>
      </x:c>
      <x:c r="I18" s="109" t="n">
        <x:f>'Historical Inputs'!I72</x:f>
        <x:v>-737</x:v>
      </x:c>
      <x:c r="J18" s="109" t="n">
        <x:f>'Historical Inputs'!J72</x:f>
        <x:v>-1123</x:v>
      </x:c>
      <x:c r="K18" s="109" t="n">
        <x:f>'Historical Inputs'!K72</x:f>
        <x:v>1242</x:v>
      </x:c>
      <x:c r="L18" s="109" t="n">
        <x:f>'Historical Inputs'!L72</x:f>
        <x:v>1284</x:v>
      </x:c>
      <x:c r="M18" s="109" t="n">
        <x:f>'Historical Inputs'!M72</x:f>
        <x:v>309</x:v>
      </x:c>
      <x:c r="N18" s="109" t="n">
        <x:f>'Historical Inputs'!N72</x:f>
        <x:v>-461</x:v>
      </x:c>
      <x:c r="O18" s="109" t="n">
        <x:f>'Working Capital'!O32</x:f>
        <x:v>-270.0221308691657</x:v>
      </x:c>
      <x:c r="P18" s="109" t="n">
        <x:f>'Working Capital'!P32</x:f>
        <x:v>-415.69696262424077</x:v>
      </x:c>
      <x:c r="Q18" s="109" t="n">
        <x:f>'Working Capital'!Q32</x:f>
        <x:v>-442.24317326726396</x:v>
      </x:c>
      <x:c r="R18" s="109" t="n">
        <x:f>'Working Capital'!R32</x:f>
        <x:v>-451.31337072975566</x:v>
      </x:c>
      <x:c r="S18" s="109" t="n">
        <x:f>'Working Capital'!S32</x:f>
        <x:v>-460.0125586770855</x:v>
      </x:c>
      <x:c r="T18" s="103"/>
      <x:c r="U18" s="103"/>
    </x:row>
    <x:row r="19" ht="24" customHeight="1">
      <x:c r="A19" s="103"/>
      <x:c r="B19" s="103"/>
      <x:c r="C19" s="103" t="str">
        <x:v>Change in other current assets</x:v>
      </x:c>
      <x:c r="D19" s="103"/>
      <x:c r="E19" s="109" t="n">
        <x:f>'Historical Inputs'!E73</x:f>
        <x:v>1028</x:v>
      </x:c>
      <x:c r="F19" s="109" t="n">
        <x:f>'Historical Inputs'!F73</x:f>
        <x:v>-952</x:v>
      </x:c>
      <x:c r="G19" s="109" t="n">
        <x:f>'Historical Inputs'!G73</x:f>
        <x:v>-1718</x:v>
      </x:c>
      <x:c r="H19" s="109" t="n">
        <x:f>'Historical Inputs'!H73</x:f>
        <x:v>-2330</x:v>
      </x:c>
      <x:c r="I19" s="109" t="n">
        <x:f>'Historical Inputs'!I73</x:f>
        <x:v>-932</x:v>
      </x:c>
      <x:c r="J19" s="109" t="n">
        <x:f>'Historical Inputs'!J73</x:f>
        <x:v>-709</x:v>
      </x:c>
      <x:c r="K19" s="109" t="n">
        <x:f>'Historical Inputs'!K73</x:f>
        <x:v>-1991</x:v>
      </x:c>
      <x:c r="L19" s="109" t="n">
        <x:f>'Historical Inputs'!L73</x:f>
        <x:v>-1648</x:v>
      </x:c>
      <x:c r="M19" s="109" t="n">
        <x:f>'Historical Inputs'!M73</x:f>
        <x:v>-3044</x:v>
      </x:c>
      <x:c r="N19" s="109" t="n">
        <x:f>'Historical Inputs'!N73</x:f>
        <x:v>-2627</x:v>
      </x:c>
      <x:c r="O19" s="109" t="n">
        <x:f>'Working Capital'!O33</x:f>
        <x:v>-3387.5880000000107</x:v>
      </x:c>
      <x:c r="P19" s="109" t="n">
        <x:f>'Working Capital'!P33</x:f>
        <x:v>-3578.0922999999966</x:v>
      </x:c>
      <x:c r="Q19" s="109" t="n">
        <x:f>'Working Capital'!Q33</x:f>
        <x:v>-5510.997671839992</x:v>
      </x:c>
      <x:c r="R19" s="109" t="n">
        <x:f>'Working Capital'!R33</x:f>
        <x:v>-5319.024993960011</x:v>
      </x:c>
      <x:c r="S19" s="109" t="n">
        <x:f>'Working Capital'!S33</x:f>
        <x:v>-4902.083643526261</x:v>
      </x:c>
      <x:c r="T19" s="103"/>
      <x:c r="U19" s="103"/>
    </x:row>
    <x:row r="20" ht="24" customHeight="1">
      <x:c r="A20" s="103"/>
      <x:c r="B20" s="103"/>
      <x:c r="C20" s="103" t="str">
        <x:v>Change in other long-term assets</x:v>
      </x:c>
      <x:c r="D20" s="103"/>
      <x:c r="E20" s="109" t="n">
        <x:f>'Historical Inputs'!E74</x:f>
        <x:v>-917</x:v>
      </x:c>
      <x:c r="F20" s="109" t="n">
        <x:f>'Historical Inputs'!F74</x:f>
        <x:v>-285</x:v>
      </x:c>
      <x:c r="G20" s="109" t="n">
        <x:f>'Historical Inputs'!G74</x:f>
        <x:v>-1834</x:v>
      </x:c>
      <x:c r="H20" s="109" t="n">
        <x:f>'Historical Inputs'!H74</x:f>
        <x:v>-1037</x:v>
      </x:c>
      <x:c r="I20" s="109" t="n">
        <x:f>'Historical Inputs'!I74</x:f>
        <x:v>-3459</x:v>
      </x:c>
      <x:c r="J20" s="109" t="n">
        <x:f>'Historical Inputs'!J74</x:f>
        <x:v>-2805</x:v>
      </x:c>
      <x:c r="K20" s="109" t="n">
        <x:f>'Historical Inputs'!K74</x:f>
        <x:v>-2833</x:v>
      </x:c>
      <x:c r="L20" s="109" t="n">
        <x:f>'Historical Inputs'!L74</x:f>
        <x:v>-6817</x:v>
      </x:c>
      <x:c r="M20" s="109" t="n">
        <x:f>'Historical Inputs'!M74</x:f>
        <x:v>-2950</x:v>
      </x:c>
      <x:c r="N20" s="109" t="n">
        <x:f>'Historical Inputs'!N74</x:f>
        <x:v>-3964</x:v>
      </x:c>
      <x:c r="O20" s="109" t="n">
        <x:f>'Working Capital'!O34</x:f>
        <x:v>-6222.313498413387</x:v>
      </x:c>
      <x:c r="P20" s="109" t="n">
        <x:f>'Working Capital'!P34</x:f>
        <x:v>-6949.54019368429</x:v>
      </x:c>
      <x:c r="Q20" s="109" t="n">
        <x:f>'Working Capital'!Q34</x:f>
        <x:v>-7536.134501405075</x:v>
      </x:c>
      <x:c r="R20" s="109" t="n">
        <x:f>'Working Capital'!R34</x:f>
        <x:v>-7996.240642530989</x:v>
      </x:c>
      <x:c r="S20" s="109" t="n">
        <x:f>'Working Capital'!S34</x:f>
        <x:v>-8279.927936730543</x:v>
      </x:c>
      <x:c r="T20" s="103"/>
      <x:c r="U20" s="103"/>
    </x:row>
    <x:row r="21" ht="24" customHeight="1">
      <x:c r="A21" s="103"/>
      <x:c r="B21" s="103"/>
      <x:c r="C21" s="103" t="str">
        <x:v>Change in operating accounts payable</x:v>
      </x:c>
      <x:c r="D21" s="103"/>
      <x:c r="E21" s="109" t="n">
        <x:f>'Historical Inputs'!E75</x:f>
        <x:v>81</x:v>
      </x:c>
      <x:c r="F21" s="109" t="n">
        <x:f>'Historical Inputs'!F75</x:f>
        <x:v>1148</x:v>
      </x:c>
      <x:c r="G21" s="109" t="n">
        <x:f>'Historical Inputs'!G75</x:f>
        <x:v>232</x:v>
      </x:c>
      <x:c r="H21" s="109" t="n">
        <x:f>'Historical Inputs'!H75</x:f>
        <x:v>3018</x:v>
      </x:c>
      <x:c r="I21" s="109" t="n">
        <x:f>'Historical Inputs'!I75</x:f>
        <x:v>2798</x:v>
      </x:c>
      <x:c r="J21" s="109" t="n">
        <x:f>'Historical Inputs'!J75</x:f>
        <x:v>2943</x:v>
      </x:c>
      <x:c r="K21" s="109" t="n">
        <x:f>'Historical Inputs'!K75</x:f>
        <x:v>-2721</x:v>
      </x:c>
      <x:c r="L21" s="109" t="n">
        <x:f>'Historical Inputs'!L75</x:f>
        <x:v>3545</x:v>
      </x:c>
      <x:c r="M21" s="109" t="n">
        <x:f>'Historical Inputs'!M75</x:f>
        <x:v>569</x:v>
      </x:c>
      <x:c r="N21" s="109" t="n">
        <x:f>'Historical Inputs'!N75</x:f>
        <x:v>5268</x:v>
      </x:c>
      <x:c r="O21" s="109" t="n">
        <x:f>'Working Capital'!O35</x:f>
        <x:v>3037.7006504937817</x:v>
      </x:c>
      <x:c r="P21" s="109" t="n">
        <x:f>'Working Capital'!P35</x:f>
        <x:v>4676.516438512932</x:v>
      </x:c>
      <x:c r="Q21" s="109" t="n">
        <x:f>'Working Capital'!Q35</x:f>
        <x:v>4975.156557672388</x:v>
      </x:c>
      <x:c r="R21" s="109" t="n">
        <x:f>'Working Capital'!R35</x:f>
        <x:v>5077.194655969099</x:v>
      </x:c>
      <x:c r="S21" s="109" t="n">
        <x:f>'Working Capital'!S35</x:f>
        <x:v>5175.0589636142395</x:v>
      </x:c>
      <x:c r="T21" s="103"/>
      <x:c r="U21" s="103"/>
    </x:row>
    <x:row r="22" ht="24" customHeight="1">
      <x:c r="A22" s="103"/>
      <x:c r="B22" s="103"/>
      <x:c r="C22" s="103" t="str">
        <x:v>Change in unearned revenue</x:v>
      </x:c>
      <x:c r="D22" s="103"/>
      <x:c r="E22" s="109" t="n">
        <x:f>'Historical Inputs'!E76</x:f>
        <x:v>3820</x:v>
      </x:c>
      <x:c r="F22" s="109" t="n">
        <x:f>'Historical Inputs'!F76</x:f>
        <x:v>5922</x:v>
      </x:c>
      <x:c r="G22" s="109" t="n">
        <x:f>'Historical Inputs'!G76</x:f>
        <x:v>4462</x:v>
      </x:c>
      <x:c r="H22" s="109" t="n">
        <x:f>'Historical Inputs'!H76</x:f>
        <x:v>2212</x:v>
      </x:c>
      <x:c r="I22" s="109" t="n">
        <x:f>'Historical Inputs'!I76</x:f>
        <x:v>4633</x:v>
      </x:c>
      <x:c r="J22" s="109" t="n">
        <x:f>'Historical Inputs'!J76</x:f>
        <x:v>5109</x:v>
      </x:c>
      <x:c r="K22" s="109" t="n">
        <x:f>'Historical Inputs'!K76</x:f>
        <x:v>5535</x:v>
      </x:c>
      <x:c r="L22" s="109" t="n">
        <x:f>'Historical Inputs'!L76</x:f>
        <x:v>5348</x:v>
      </x:c>
      <x:c r="M22" s="109" t="n">
        <x:f>'Historical Inputs'!M76</x:f>
        <x:v>5438</x:v>
      </x:c>
      <x:c r="N22" s="109" t="n">
        <x:f>'Historical Inputs'!N76</x:f>
        <x:v>9361</x:v>
      </x:c>
      <x:c r="O22" s="109" t="n">
        <x:f>'Working Capital'!O36</x:f>
        <x:v>12140.286035095342</x:v>
      </x:c>
      <x:c r="P22" s="109" t="n">
        <x:f>'Working Capital'!P36</x:f>
        <x:v>13559.169878732764</x:v>
      </x:c>
      <x:c r="Q22" s="109" t="n">
        <x:f>'Working Capital'!Q36</x:f>
        <x:v>14703.667449307588</x:v>
      </x:c>
      <x:c r="R22" s="109" t="n">
        <x:f>'Working Capital'!R36</x:f>
        <x:v>15601.375377588107</x:v>
      </x:c>
      <x:c r="S22" s="109" t="n">
        <x:f>'Working Capital'!S36</x:f>
        <x:v>16154.874473540574</x:v>
      </x:c>
      <x:c r="T22" s="103"/>
      <x:c r="U22" s="103"/>
    </x:row>
    <x:row r="23" ht="24" customHeight="1">
      <x:c r="A23" s="103"/>
      <x:c r="B23" s="103"/>
      <x:c r="C23" s="103" t="str">
        <x:v>Change in income taxes payable</x:v>
      </x:c>
      <x:c r="D23" s="103"/>
      <x:c r="E23" s="109" t="n">
        <x:f>'Historical Inputs'!E77</x:f>
        <x:v>1792</x:v>
      </x:c>
      <x:c r="F23" s="109" t="n">
        <x:f>'Historical Inputs'!F77</x:f>
        <x:v>18183</x:v>
      </x:c>
      <x:c r="G23" s="109" t="n">
        <x:f>'Historical Inputs'!G77</x:f>
        <x:v>2929</x:v>
      </x:c>
      <x:c r="H23" s="109" t="n">
        <x:f>'Historical Inputs'!H77</x:f>
        <x:v>-3631</x:v>
      </x:c>
      <x:c r="I23" s="109" t="n">
        <x:f>'Historical Inputs'!I77</x:f>
        <x:v>-2309</x:v>
      </x:c>
      <x:c r="J23" s="109" t="n">
        <x:f>'Historical Inputs'!J77</x:f>
        <x:v>696</x:v>
      </x:c>
      <x:c r="K23" s="109" t="n">
        <x:f>'Historical Inputs'!K77</x:f>
        <x:v>-358</x:v>
      </x:c>
      <x:c r="L23" s="109" t="n">
        <x:f>'Historical Inputs'!L77</x:f>
        <x:v>1687</x:v>
      </x:c>
      <x:c r="M23" s="109" t="n">
        <x:f>'Historical Inputs'!M77</x:f>
        <x:v>-38</x:v>
      </x:c>
      <x:c r="N23" s="109" t="n">
        <x:f>'Historical Inputs'!N77</x:f>
        <x:v>-1875</x:v>
      </x:c>
      <x:c r="O23" s="109" t="n">
        <x:f>'Working Capital'!O37</x:f>
        <x:v>4593.496064657862</x:v>
      </x:c>
      <x:c r="P23" s="109" t="n">
        <x:f>'Working Capital'!P37</x:f>
        <x:v>5130.356343988504</x:v>
      </x:c>
      <x:c r="Q23" s="109" t="n">
        <x:f>'Working Capital'!Q37</x:f>
        <x:v>5563.397630762818</x:v>
      </x:c>
      <x:c r="R23" s="109" t="n">
        <x:f>'Working Capital'!R37</x:f>
        <x:v>5903.061607694508</x:v>
      </x:c>
      <x:c r="S23" s="109" t="n">
        <x:f>'Working Capital'!S37</x:f>
        <x:v>6112.487968136054</x:v>
      </x:c>
      <x:c r="T23" s="103"/>
      <x:c r="U23" s="103"/>
    </x:row>
    <x:row r="24" ht="24" customHeight="1">
      <x:c r="A24" s="103"/>
      <x:c r="B24" s="103"/>
      <x:c r="C24" s="103" t="str">
        <x:v>Change in other current operating liabilities</x:v>
      </x:c>
      <x:c r="D24" s="103"/>
      <x:c r="E24" s="109" t="n">
        <x:f>'Historical Inputs'!E78</x:f>
        <x:v>356</x:v>
      </x:c>
      <x:c r="F24" s="109" t="n">
        <x:f>'Historical Inputs'!F78</x:f>
        <x:v>798</x:v>
      </x:c>
      <x:c r="G24" s="109" t="n">
        <x:f>'Historical Inputs'!G78</x:f>
        <x:v>1419</x:v>
      </x:c>
      <x:c r="H24" s="109" t="n">
        <x:f>'Historical Inputs'!H78</x:f>
        <x:v>1346</x:v>
      </x:c>
      <x:c r="I24" s="109" t="n">
        <x:f>'Historical Inputs'!I78</x:f>
        <x:v>4149</x:v>
      </x:c>
      <x:c r="J24" s="109" t="n">
        <x:f>'Historical Inputs'!J78</x:f>
        <x:v>2344</x:v>
      </x:c>
      <x:c r="K24" s="109" t="n">
        <x:f>'Historical Inputs'!K78</x:f>
        <x:v>2272</x:v>
      </x:c>
      <x:c r="L24" s="109" t="n">
        <x:f>'Historical Inputs'!L78</x:f>
        <x:v>4867</x:v>
      </x:c>
      <x:c r="M24" s="109" t="n">
        <x:f>'Historical Inputs'!M78</x:f>
        <x:v>5922</x:v>
      </x:c>
      <x:c r="N24" s="109" t="n">
        <x:f>'Historical Inputs'!N78</x:f>
        <x:v>6847</x:v>
      </x:c>
      <x:c r="O24" s="109" t="n">
        <x:f>'Working Capital'!O38</x:f>
        <x:v>5131.143717284591</x:v>
      </x:c>
      <x:c r="P24" s="109" t="n">
        <x:f>'Working Capital'!P38</x:f>
        <x:v>5730.841030740812</x:v>
      </x:c>
      <x:c r="Q24" s="109" t="n">
        <x:f>'Working Capital'!Q38</x:f>
        <x:v>6214.567814584781</x:v>
      </x:c>
      <x:c r="R24" s="109" t="n">
        <x:f>'Working Capital'!R38</x:f>
        <x:v>6593.98790261543</x:v>
      </x:c>
      <x:c r="S24" s="109" t="n">
        <x:f>'Working Capital'!S38</x:f>
        <x:v>6827.926658301181</x:v>
      </x:c>
      <x:c r="T24" s="103"/>
      <x:c r="U24" s="103"/>
    </x:row>
    <x:row r="25" ht="24" customHeight="1">
      <x:c r="A25" s="103"/>
      <x:c r="B25" s="103"/>
      <x:c r="C25" s="103" t="str">
        <x:v>Change in other long-term operating liabilities</x:v>
      </x:c>
      <x:c r="D25" s="103"/>
      <x:c r="E25" s="109" t="n">
        <x:f>'Historical Inputs'!E79</x:f>
        <x:v>-118</x:v>
      </x:c>
      <x:c r="F25" s="109" t="n">
        <x:f>'Historical Inputs'!F79</x:f>
        <x:v>-20</x:v>
      </x:c>
      <x:c r="G25" s="109" t="n">
        <x:f>'Historical Inputs'!G79</x:f>
        <x:v>591</x:v>
      </x:c>
      <x:c r="H25" s="109" t="n">
        <x:f>'Historical Inputs'!H79</x:f>
        <x:v>1348</x:v>
      </x:c>
      <x:c r="I25" s="109" t="n">
        <x:f>'Historical Inputs'!I79</x:f>
        <x:v>1402</x:v>
      </x:c>
      <x:c r="J25" s="109" t="n">
        <x:f>'Historical Inputs'!J79</x:f>
        <x:v>825</x:v>
      </x:c>
      <x:c r="K25" s="109" t="n">
        <x:f>'Historical Inputs'!K79</x:f>
        <x:v>553</x:v>
      </x:c>
      <x:c r="L25" s="109" t="n">
        <x:f>'Historical Inputs'!L79</x:f>
        <x:v>749</x:v>
      </x:c>
      <x:c r="M25" s="109" t="n">
        <x:f>'Historical Inputs'!M79</x:f>
        <x:v>-975</x:v>
      </x:c>
      <x:c r="N25" s="109" t="n">
        <x:f>'Historical Inputs'!N79</x:f>
        <x:v>-4707</x:v>
      </x:c>
      <x:c r="O25" s="109" t="n">
        <x:f>'Working Capital'!O39</x:f>
        <x:v>451.0596023975486</x:v>
      </x:c>
      <x:c r="P25" s="109" t="n">
        <x:f>'Working Capital'!P39</x:f>
        <x:v>503.7767443585594</x:v>
      </x:c>
      <x:c r="Q25" s="109" t="n">
        <x:f>'Working Capital'!Q39</x:f>
        <x:v>546.2993519508432</x:v>
      </x:c>
      <x:c r="R25" s="109" t="n">
        <x:f>'Working Capital'!R39</x:f>
        <x:v>579.6527490642884</x:v>
      </x:c>
      <x:c r="S25" s="109" t="n">
        <x:f>'Working Capital'!S39</x:f>
        <x:v>600.2174278062876</x:v>
      </x:c>
      <x:c r="T25" s="103"/>
      <x:c r="U25" s="103"/>
    </x:row>
    <x:row r="26" ht="24" customHeight="1">
      <x:c r="A26" s="103"/>
      <x:c r="B26" s="103"/>
      <x:c r="C26" s="103" t="str">
        <x:v>Operating lease cash reconciliation</x:v>
      </x:c>
      <x:c r="D26" s="103"/>
      <x:c r="E26" s="109" t="str">
        <x:v>n.a.</x:v>
      </x:c>
      <x:c r="F26" s="109" t="str">
        <x:v>n.a.</x:v>
      </x:c>
      <x:c r="G26" s="109" t="str">
        <x:v>n.a.</x:v>
      </x:c>
      <x:c r="H26" s="109" t="str">
        <x:v>n.a.</x:v>
      </x:c>
      <x:c r="I26" s="109" t="str">
        <x:v>n.a.</x:v>
      </x:c>
      <x:c r="J26" s="109" t="str">
        <x:v>n.a.</x:v>
      </x:c>
      <x:c r="K26" s="109" t="str">
        <x:v>n.a.</x:v>
      </x:c>
      <x:c r="L26" s="109" t="str">
        <x:v>n.a.</x:v>
      </x:c>
      <x:c r="M26" s="109" t="str">
        <x:v>n.a.</x:v>
      </x:c>
      <x:c r="N26" s="109" t="str">
        <x:v>n.a.</x:v>
      </x:c>
      <x:c r="O26" s="109" t="n">
        <x:f>'Debt and Leases'!O66</x:f>
        <x:v>-1241.2749999999996</x:v>
      </x:c>
      <x:c r="P26" s="109" t="n">
        <x:f>'Debt and Leases'!P66</x:f>
        <x:v>311.706325000001</x:v>
      </x:c>
      <x:c r="Q26" s="109" t="n">
        <x:f>'Debt and Leases'!Q66</x:f>
        <x:v>1362.147959025</x:v>
      </x:c>
      <x:c r="R26" s="109" t="n">
        <x:f>'Debt and Leases'!R66</x:f>
        <x:v>1797.4559335089252</x:v>
      </x:c>
      <x:c r="S26" s="109" t="n">
        <x:f>'Debt and Leases'!S66</x:f>
        <x:v>2010.870303048754</x:v>
      </x:c>
      <x:c r="T26" s="103"/>
      <x:c r="U26" s="103"/>
    </x:row>
    <x:row r="27" ht="24" customHeight="1">
      <x:c r="A27" s="103"/>
      <x:c r="B27" s="103"/>
      <x:c r="C27" s="103" t="str">
        <x:v>Other operating adjustments</x:v>
      </x:c>
      <x:c r="D27" s="103"/>
      <x:c r="E27" s="109" t="n">
        <x:f>'Historical Inputs'!E103</x:f>
        <x:v>0</x:v>
      </x:c>
      <x:c r="F27" s="109" t="n">
        <x:f>'Historical Inputs'!F103</x:f>
        <x:v>0</x:v>
      </x:c>
      <x:c r="G27" s="109" t="n">
        <x:f>'Historical Inputs'!G103</x:f>
        <x:v>0</x:v>
      </x:c>
      <x:c r="H27" s="109" t="n">
        <x:f>'Historical Inputs'!H103</x:f>
        <x:v>0</x:v>
      </x:c>
      <x:c r="I27" s="109" t="n">
        <x:f>'Historical Inputs'!I103</x:f>
        <x:v>0</x:v>
      </x:c>
      <x:c r="J27" s="109" t="n">
        <x:f>'Historical Inputs'!J103</x:f>
        <x:v>0</x:v>
      </x:c>
      <x:c r="K27" s="109" t="n">
        <x:f>'Historical Inputs'!K103</x:f>
        <x:v>0</x:v>
      </x:c>
      <x:c r="L27" s="109" t="n">
        <x:f>'Historical Inputs'!L103</x:f>
        <x:v>0</x:v>
      </x:c>
      <x:c r="M27" s="109" t="n">
        <x:f>'Historical Inputs'!M103</x:f>
        <x:v>0</x:v>
      </x:c>
      <x:c r="N27" s="109" t="n">
        <x:f>'Historical Inputs'!N103</x:f>
        <x:v>0</x:v>
      </x:c>
      <x:c r="O27" s="109" t="n">
        <x:f>0</x:f>
        <x:v>0</x:v>
      </x:c>
      <x:c r="P27" s="109" t="n">
        <x:f>0</x:f>
        <x:v>0</x:v>
      </x:c>
      <x:c r="Q27" s="109" t="n">
        <x:f>0</x:f>
        <x:v>0</x:v>
      </x:c>
      <x:c r="R27" s="109" t="n">
        <x:f>0</x:f>
        <x:v>0</x:v>
      </x:c>
      <x:c r="S27" s="109" t="n">
        <x:f>0</x:f>
        <x:v>0</x:v>
      </x:c>
      <x:c r="T27" s="103"/>
      <x:c r="U27" s="103"/>
    </x:row>
    <x:row r="28" ht="24" customHeight="1">
      <x:c r="A28" s="103"/>
      <x:c r="B28" s="103"/>
      <x:c r="C28" s="174" t="str">
        <x:v>Net cash from operations</x:v>
      </x:c>
      <x:c r="D28" s="174"/>
      <x:c r="E28" s="175" t="n">
        <x:f>SUM(E8:E15,E17:E27)</x:f>
        <x:v>39507</x:v>
      </x:c>
      <x:c r="F28" s="175" t="n">
        <x:f>SUM(F8:F15,F17:F27)</x:f>
        <x:v>43884</x:v>
      </x:c>
      <x:c r="G28" s="175" t="n">
        <x:f>SUM(G8:G15,G17:G27)</x:f>
        <x:v>52185</x:v>
      </x:c>
      <x:c r="H28" s="175" t="n">
        <x:f>SUM(H8:H15,H17:H27)</x:f>
        <x:v>60675</x:v>
      </x:c>
      <x:c r="I28" s="175" t="n">
        <x:f>SUM(I8:I15,I17:I27)</x:f>
        <x:v>76740</x:v>
      </x:c>
      <x:c r="J28" s="175" t="n">
        <x:f>SUM(J8:J15,J17:J27)</x:f>
        <x:v>89035</x:v>
      </x:c>
      <x:c r="K28" s="175" t="n">
        <x:f>SUM(K8:K15,K17:K27)</x:f>
        <x:v>87582</x:v>
      </x:c>
      <x:c r="L28" s="175" t="n">
        <x:f>SUM(L8:L15,L17:L27)</x:f>
        <x:v>118548</x:v>
      </x:c>
      <x:c r="M28" s="175" t="n">
        <x:f>SUM(M8:M15,M17:M27)</x:f>
        <x:v>136162</x:v>
      </x:c>
      <x:c r="N28" s="175" t="n">
        <x:f>SUM(N8:N15,N17:N27)</x:f>
        <x:v>182935</x:v>
      </x:c>
      <x:c r="O28" s="175" t="n">
        <x:f>SUM(O8:O15,O17:O27)</x:f>
        <x:v>209011.48254010986</x:v>
      </x:c>
      <x:c r="P28" s="175" t="n">
        <x:f>SUM(P8:P15,P17:P27)</x:f>
        <x:v>249569.956978507</x:v>
      </x:c>
      <x:c r="Q28" s="175" t="n">
        <x:f>SUM(Q8:Q15,Q17:Q27)</x:f>
        <x:v>290816.893479639</x:v>
      </x:c>
      <x:c r="R28" s="175" t="n">
        <x:f>SUM(R8:R15,R17:R27)</x:f>
        <x:v>336670.33706154244</x:v>
      </x:c>
      <x:c r="S28" s="175" t="n">
        <x:f>SUM(S8:S15,S17:S27)</x:f>
        <x:v>385282.59341057274</x:v>
      </x:c>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t="str">
        <x:v>Cash capital expenditure</x:v>
      </x:c>
      <x:c r="D30" s="103"/>
      <x:c r="E30" s="109" t="n">
        <x:f>'Historical Inputs'!E89</x:f>
        <x:v>-8129</x:v>
      </x:c>
      <x:c r="F30" s="109" t="n">
        <x:f>'Historical Inputs'!F89</x:f>
        <x:v>-11632</x:v>
      </x:c>
      <x:c r="G30" s="109" t="n">
        <x:f>'Historical Inputs'!G89</x:f>
        <x:v>-13925</x:v>
      </x:c>
      <x:c r="H30" s="109" t="n">
        <x:f>'Historical Inputs'!H89</x:f>
        <x:v>-15441</x:v>
      </x:c>
      <x:c r="I30" s="109" t="n">
        <x:f>'Historical Inputs'!I89</x:f>
        <x:v>-20622</x:v>
      </x:c>
      <x:c r="J30" s="109" t="n">
        <x:f>'Historical Inputs'!J89</x:f>
        <x:v>-23886</x:v>
      </x:c>
      <x:c r="K30" s="109" t="n">
        <x:f>'Historical Inputs'!K89</x:f>
        <x:v>-28107</x:v>
      </x:c>
      <x:c r="L30" s="109" t="n">
        <x:f>'Historical Inputs'!L89</x:f>
        <x:v>-44477</x:v>
      </x:c>
      <x:c r="M30" s="109" t="n">
        <x:f>'Historical Inputs'!M89</x:f>
        <x:v>-64551</x:v>
      </x:c>
      <x:c r="N30" s="109" t="n">
        <x:f>'Historical Inputs'!N89</x:f>
        <x:v>-115948</x:v>
      </x:c>
      <x:c r="O30" s="109" t="n">
        <x:f>-'PPE and Intangibles'!O8</x:f>
        <x:v>-123215.61600000002</x:v>
      </x:c>
      <x:c r="P30" s="109" t="n">
        <x:f>-'PPE and Intangibles'!P8</x:f>
        <x:v>-124453.68387200002</x:v>
      </x:c>
      <x:c r="Q30" s="109" t="n">
        <x:f>-'PPE and Intangibles'!Q8</x:f>
        <x:v>-127230.579108</x:v>
      </x:c>
      <x:c r="R30" s="109" t="n">
        <x:f>-'PPE and Intangibles'!R8</x:f>
        <x:v>-127006.38828240002</x:v>
      </x:c>
      <x:c r="S30" s="109" t="n">
        <x:f>-'PPE and Intangibles'!S8</x:f>
        <x:v>-129621.43019877505</x:v>
      </x:c>
      <x:c r="T30" s="103"/>
      <x:c r="U30" s="103"/>
    </x:row>
    <x:row r="31" ht="24" customHeight="1">
      <x:c r="A31" s="103"/>
      <x:c r="B31" s="103"/>
      <x:c r="C31" s="103" t="str">
        <x:v>Acquisitions and purchases of other assets</x:v>
      </x:c>
      <x:c r="D31" s="103"/>
      <x:c r="E31" s="109" t="n">
        <x:f>'Historical Inputs'!E90</x:f>
        <x:v>-25944</x:v>
      </x:c>
      <x:c r="F31" s="109" t="n">
        <x:f>'Historical Inputs'!F90</x:f>
        <x:v>-888</x:v>
      </x:c>
      <x:c r="G31" s="109" t="n">
        <x:f>'Historical Inputs'!G90</x:f>
        <x:v>-2388</x:v>
      </x:c>
      <x:c r="H31" s="109" t="n">
        <x:f>'Historical Inputs'!H90</x:f>
        <x:v>-2521</x:v>
      </x:c>
      <x:c r="I31" s="109" t="n">
        <x:f>'Historical Inputs'!I90</x:f>
        <x:v>-8909</x:v>
      </x:c>
      <x:c r="J31" s="109" t="n">
        <x:f>'Historical Inputs'!J90</x:f>
        <x:v>-22038</x:v>
      </x:c>
      <x:c r="K31" s="109" t="n">
        <x:f>'Historical Inputs'!K90</x:f>
        <x:v>-1670</x:v>
      </x:c>
      <x:c r="L31" s="109" t="n">
        <x:f>'Historical Inputs'!L90</x:f>
        <x:v>-69132</x:v>
      </x:c>
      <x:c r="M31" s="109" t="n">
        <x:f>'Historical Inputs'!M90</x:f>
        <x:v>-5978</x:v>
      </x:c>
      <x:c r="N31" s="109" t="n">
        <x:f>'Historical Inputs'!N90</x:f>
        <x:v>-1743</x:v>
      </x:c>
      <x:c r="O31" s="109" t="n">
        <x:f>0</x:f>
        <x:v>0</x:v>
      </x:c>
      <x:c r="P31" s="109" t="n">
        <x:f>0</x:f>
        <x:v>0</x:v>
      </x:c>
      <x:c r="Q31" s="109" t="n">
        <x:f>0</x:f>
        <x:v>0</x:v>
      </x:c>
      <x:c r="R31" s="109" t="n">
        <x:f>0</x:f>
        <x:v>0</x:v>
      </x:c>
      <x:c r="S31" s="109" t="n">
        <x:f>0</x:f>
        <x:v>0</x:v>
      </x:c>
      <x:c r="T31" s="103"/>
      <x:c r="U31" s="103"/>
    </x:row>
    <x:row r="32" ht="24" customHeight="1">
      <x:c r="A32" s="103"/>
      <x:c r="B32" s="103"/>
      <x:c r="C32" s="103" t="str">
        <x:v>Purchases of investments</x:v>
      </x:c>
      <x:c r="D32" s="103"/>
      <x:c r="E32" s="109" t="n">
        <x:f>'Historical Inputs'!E91</x:f>
        <x:v>-176905</x:v>
      </x:c>
      <x:c r="F32" s="109" t="n">
        <x:f>'Historical Inputs'!F91</x:f>
        <x:v>-137380</x:v>
      </x:c>
      <x:c r="G32" s="109" t="n">
        <x:f>'Historical Inputs'!G91</x:f>
        <x:v>-57697</x:v>
      </x:c>
      <x:c r="H32" s="109" t="n">
        <x:f>'Historical Inputs'!H91</x:f>
        <x:v>-77190</x:v>
      </x:c>
      <x:c r="I32" s="109" t="n">
        <x:f>'Historical Inputs'!I91</x:f>
        <x:v>-62924</x:v>
      </x:c>
      <x:c r="J32" s="109" t="n">
        <x:f>'Historical Inputs'!J91</x:f>
        <x:v>-26456</x:v>
      </x:c>
      <x:c r="K32" s="109" t="n">
        <x:f>'Historical Inputs'!K91</x:f>
        <x:v>-37651</x:v>
      </x:c>
      <x:c r="L32" s="109" t="n">
        <x:f>'Historical Inputs'!L91</x:f>
        <x:v>-17732</x:v>
      </x:c>
      <x:c r="M32" s="109" t="n">
        <x:f>'Historical Inputs'!M91</x:f>
        <x:v>-29775</x:v>
      </x:c>
      <x:c r="N32" s="109" t="n">
        <x:f>'Historical Inputs'!N91</x:f>
        <x:v>-58351</x:v>
      </x:c>
      <x:c r="O32" s="109" t="n">
        <x:f>-MAX(0,'Debt and Leases'!O73-'Debt and Leases'!O72)</x:f>
        <x:v>0</x:v>
      </x:c>
      <x:c r="P32" s="109" t="n">
        <x:f>-MAX(0,'Debt and Leases'!P73-'Debt and Leases'!P72)</x:f>
        <x:v>0</x:v>
      </x:c>
      <x:c r="Q32" s="109" t="n">
        <x:f>-MAX(0,'Debt and Leases'!Q73-'Debt and Leases'!Q72)</x:f>
        <x:v>0</x:v>
      </x:c>
      <x:c r="R32" s="109" t="n">
        <x:f>-MAX(0,'Debt and Leases'!R73-'Debt and Leases'!R72)</x:f>
        <x:v>0</x:v>
      </x:c>
      <x:c r="S32" s="109" t="n">
        <x:f>-MAX(0,'Debt and Leases'!S73-'Debt and Leases'!S72)</x:f>
        <x:v>0</x:v>
      </x:c>
      <x:c r="T32" s="103"/>
      <x:c r="U32" s="103"/>
    </x:row>
    <x:row r="33" ht="24" customHeight="1">
      <x:c r="A33" s="103"/>
      <x:c r="B33" s="103"/>
      <x:c r="C33" s="103" t="str">
        <x:v>Maturities of investments</x:v>
      </x:c>
      <x:c r="D33" s="103"/>
      <x:c r="E33" s="109" t="n">
        <x:f>'Historical Inputs'!E92</x:f>
        <x:v>28044</x:v>
      </x:c>
      <x:c r="F33" s="109" t="n">
        <x:f>'Historical Inputs'!F92</x:f>
        <x:v>26360</x:v>
      </x:c>
      <x:c r="G33" s="109" t="n">
        <x:f>'Historical Inputs'!G92</x:f>
        <x:v>20043</x:v>
      </x:c>
      <x:c r="H33" s="109" t="n">
        <x:f>'Historical Inputs'!H92</x:f>
        <x:v>66449</x:v>
      </x:c>
      <x:c r="I33" s="109" t="n">
        <x:f>'Historical Inputs'!I92</x:f>
        <x:v>51792</x:v>
      </x:c>
      <x:c r="J33" s="109" t="n">
        <x:f>'Historical Inputs'!J92</x:f>
        <x:v>16451</x:v>
      </x:c>
      <x:c r="K33" s="109" t="n">
        <x:f>'Historical Inputs'!K92</x:f>
        <x:v>33510</x:v>
      </x:c>
      <x:c r="L33" s="109" t="n">
        <x:f>'Historical Inputs'!L92</x:f>
        <x:v>24775</x:v>
      </x:c>
      <x:c r="M33" s="109" t="n">
        <x:f>'Historical Inputs'!M92</x:f>
        <x:v>16079</x:v>
      </x:c>
      <x:c r="N33" s="109" t="n">
        <x:f>'Historical Inputs'!N92</x:f>
        <x:v>34605</x:v>
      </x:c>
      <x:c r="O33" s="109" t="n">
        <x:f>MAX(0,'Debt and Leases'!O72-'Debt and Leases'!O73)</x:f>
        <x:v>0</x:v>
      </x:c>
      <x:c r="P33" s="109" t="n">
        <x:f>MAX(0,'Debt and Leases'!P72-'Debt and Leases'!P73)</x:f>
        <x:v>0</x:v>
      </x:c>
      <x:c r="Q33" s="109" t="n">
        <x:f>MAX(0,'Debt and Leases'!Q72-'Debt and Leases'!Q73)</x:f>
        <x:v>0</x:v>
      </x:c>
      <x:c r="R33" s="109" t="n">
        <x:f>MAX(0,'Debt and Leases'!R72-'Debt and Leases'!R73)</x:f>
        <x:v>0</x:v>
      </x:c>
      <x:c r="S33" s="109" t="n">
        <x:f>MAX(0,'Debt and Leases'!S72-'Debt and Leases'!S73)</x:f>
        <x:v>0</x:v>
      </x:c>
      <x:c r="T33" s="103"/>
      <x:c r="U33" s="103"/>
    </x:row>
    <x:row r="34" ht="24" customHeight="1">
      <x:c r="A34" s="103"/>
      <x:c r="B34" s="103"/>
      <x:c r="C34" s="103" t="str">
        <x:v>Sales of investments</x:v>
      </x:c>
      <x:c r="D34" s="103"/>
      <x:c r="E34" s="109" t="n">
        <x:f>'Historical Inputs'!E93</x:f>
        <x:v>136350</x:v>
      </x:c>
      <x:c r="F34" s="109" t="n">
        <x:f>'Historical Inputs'!F93</x:f>
        <x:v>117577</x:v>
      </x:c>
      <x:c r="G34" s="109" t="n">
        <x:f>'Historical Inputs'!G93</x:f>
        <x:v>38194</x:v>
      </x:c>
      <x:c r="H34" s="109" t="n">
        <x:f>'Historical Inputs'!H93</x:f>
        <x:v>17721</x:v>
      </x:c>
      <x:c r="I34" s="109" t="n">
        <x:f>'Historical Inputs'!I93</x:f>
        <x:v>14008</x:v>
      </x:c>
      <x:c r="J34" s="109" t="n">
        <x:f>'Historical Inputs'!J93</x:f>
        <x:v>28443</x:v>
      </x:c>
      <x:c r="K34" s="109" t="n">
        <x:f>'Historical Inputs'!K93</x:f>
        <x:v>14354</x:v>
      </x:c>
      <x:c r="L34" s="109" t="n">
        <x:f>'Historical Inputs'!L93</x:f>
        <x:v>10894</x:v>
      </x:c>
      <x:c r="M34" s="109" t="n">
        <x:f>'Historical Inputs'!M93</x:f>
        <x:v>9309</x:v>
      </x:c>
      <x:c r="N34" s="109" t="n">
        <x:f>'Historical Inputs'!N93</x:f>
        <x:v>21798</x:v>
      </x:c>
      <x:c r="O34" s="109" t="n">
        <x:f>'Debt and Leases'!O77</x:f>
        <x:v>0</x:v>
      </x:c>
      <x:c r="P34" s="109" t="n">
        <x:f>'Debt and Leases'!P77</x:f>
        <x:v>0</x:v>
      </x:c>
      <x:c r="Q34" s="109" t="n">
        <x:f>'Debt and Leases'!Q77</x:f>
        <x:v>0</x:v>
      </x:c>
      <x:c r="R34" s="109" t="n">
        <x:f>'Debt and Leases'!R77</x:f>
        <x:v>0</x:v>
      </x:c>
      <x:c r="S34" s="109" t="n">
        <x:f>'Debt and Leases'!S77</x:f>
        <x:v>0</x:v>
      </x:c>
      <x:c r="T34" s="103"/>
      <x:c r="U34" s="103"/>
    </x:row>
    <x:row r="35" ht="24" customHeight="1">
      <x:c r="A35" s="103"/>
      <x:c r="B35" s="103"/>
      <x:c r="C35" s="103" t="str">
        <x:v>Cash purchases of equity investments</x:v>
      </x:c>
      <x:c r="D35" s="103"/>
      <x:c r="E35" s="109" t="str">
        <x:v>n.a.</x:v>
      </x:c>
      <x:c r="F35" s="109" t="str">
        <x:v>n.a.</x:v>
      </x:c>
      <x:c r="G35" s="109" t="str">
        <x:v>n.a.</x:v>
      </x:c>
      <x:c r="H35" s="109" t="str">
        <x:v>n.a.</x:v>
      </x:c>
      <x:c r="I35" s="109" t="str">
        <x:v>n.a.</x:v>
      </x:c>
      <x:c r="J35" s="109" t="str">
        <x:v>n.a.</x:v>
      </x:c>
      <x:c r="K35" s="109" t="str">
        <x:v>n.a.</x:v>
      </x:c>
      <x:c r="L35" s="109" t="str">
        <x:v>n.a.</x:v>
      </x:c>
      <x:c r="M35" s="109" t="str">
        <x:v>n.a.</x:v>
      </x:c>
      <x:c r="N35" s="109" t="str">
        <x:v>n.a.</x:v>
      </x:c>
      <x:c r="O35" s="109" t="n">
        <x:f>-'Debt and Leases'!O83</x:f>
        <x:v>-3850.4880000000007</x:v>
      </x:c>
      <x:c r="P35" s="109" t="n">
        <x:f>-'Debt and Leases'!P83</x:f>
        <x:v>-4444.774424000001</x:v>
      </x:c>
      <x:c r="Q35" s="109" t="n">
        <x:f>-'Debt and Leases'!Q83</x:f>
        <x:v>-5089.22316432</x:v>
      </x:c>
      <x:c r="R35" s="109" t="n">
        <x:f>-'Debt and Leases'!R83</x:f>
        <x:v>-5773.017649200001</x:v>
      </x:c>
      <x:c r="S35" s="109" t="n">
        <x:f>-'Debt and Leases'!S83</x:f>
        <x:v>-6481.071509938753</x:v>
      </x:c>
      <x:c r="T35" s="103"/>
      <x:c r="U35" s="103"/>
    </x:row>
    <x:row r="36" ht="24" customHeight="1">
      <x:c r="A36" s="103"/>
      <x:c r="B36" s="103"/>
      <x:c r="C36" s="103" t="str">
        <x:v>Other investing and securities lending</x:v>
      </x:c>
      <x:c r="D36" s="103"/>
      <x:c r="E36" s="109" t="n">
        <x:f>'Historical Inputs'!E94+'Historical Inputs'!E101</x:f>
        <x:v>-197</x:v>
      </x:c>
      <x:c r="F36" s="109" t="n">
        <x:f>'Historical Inputs'!F94+'Historical Inputs'!F101</x:f>
        <x:v>-98</x:v>
      </x:c>
      <x:c r="G36" s="109" t="n">
        <x:f>'Historical Inputs'!G94+'Historical Inputs'!G101</x:f>
        <x:v>0</x:v>
      </x:c>
      <x:c r="H36" s="109" t="n">
        <x:f>'Historical Inputs'!H94+'Historical Inputs'!H101</x:f>
        <x:v>-1241</x:v>
      </x:c>
      <x:c r="I36" s="109" t="n">
        <x:f>'Historical Inputs'!I94+'Historical Inputs'!I101</x:f>
        <x:v>-922</x:v>
      </x:c>
      <x:c r="J36" s="109" t="n">
        <x:f>'Historical Inputs'!J94+'Historical Inputs'!J101</x:f>
        <x:v>-2825</x:v>
      </x:c>
      <x:c r="K36" s="109" t="n">
        <x:f>'Historical Inputs'!K94+'Historical Inputs'!K101</x:f>
        <x:v>-3116</x:v>
      </x:c>
      <x:c r="L36" s="109" t="n">
        <x:f>'Historical Inputs'!L94+'Historical Inputs'!L101</x:f>
        <x:v>-1298</x:v>
      </x:c>
      <x:c r="M36" s="109" t="n">
        <x:f>'Historical Inputs'!M94+'Historical Inputs'!M101</x:f>
        <x:v>2317</x:v>
      </x:c>
      <x:c r="N36" s="109" t="n">
        <x:f>'Historical Inputs'!N94+'Historical Inputs'!N101</x:f>
        <x:v>-19861</x:v>
      </x:c>
      <x:c r="O36" s="109" t="n">
        <x:f>0</x:f>
        <x:v>0</x:v>
      </x:c>
      <x:c r="P36" s="109" t="n">
        <x:f>0</x:f>
        <x:v>0</x:v>
      </x:c>
      <x:c r="Q36" s="109" t="n">
        <x:f>0</x:f>
        <x:v>0</x:v>
      </x:c>
      <x:c r="R36" s="109" t="n">
        <x:f>0</x:f>
        <x:v>0</x:v>
      </x:c>
      <x:c r="S36" s="109" t="n">
        <x:f>0</x:f>
        <x:v>0</x:v>
      </x:c>
      <x:c r="T36" s="103"/>
      <x:c r="U36" s="103"/>
    </x:row>
    <x:row r="37" ht="24" customHeight="1">
      <x:c r="A37" s="103"/>
      <x:c r="B37" s="103"/>
      <x:c r="C37" s="174" t="str">
        <x:v>Net cash from investing</x:v>
      </x:c>
      <x:c r="D37" s="174"/>
      <x:c r="E37" s="175" t="n">
        <x:f>SUM(E30:E36)</x:f>
        <x:v>-46781</x:v>
      </x:c>
      <x:c r="F37" s="175" t="n">
        <x:f>SUM(F30:F36)</x:f>
        <x:v>-6061</x:v>
      </x:c>
      <x:c r="G37" s="175" t="n">
        <x:f>SUM(G30:G36)</x:f>
        <x:v>-15773</x:v>
      </x:c>
      <x:c r="H37" s="175" t="n">
        <x:f>SUM(H30:H36)</x:f>
        <x:v>-12223</x:v>
      </x:c>
      <x:c r="I37" s="175" t="n">
        <x:f>SUM(I30:I36)</x:f>
        <x:v>-27577</x:v>
      </x:c>
      <x:c r="J37" s="175" t="n">
        <x:f>SUM(J30:J36)</x:f>
        <x:v>-30311</x:v>
      </x:c>
      <x:c r="K37" s="175" t="n">
        <x:f>SUM(K30:K36)</x:f>
        <x:v>-22680</x:v>
      </x:c>
      <x:c r="L37" s="175" t="n">
        <x:f>SUM(L30:L36)</x:f>
        <x:v>-96970</x:v>
      </x:c>
      <x:c r="M37" s="175" t="n">
        <x:f>SUM(M30:M36)</x:f>
        <x:v>-72599</x:v>
      </x:c>
      <x:c r="N37" s="175" t="n">
        <x:f>SUM(N30:N36)</x:f>
        <x:v>-139500</x:v>
      </x:c>
      <x:c r="O37" s="175" t="n">
        <x:f>SUM(O30:O36)</x:f>
        <x:v>-127066.10400000002</x:v>
      </x:c>
      <x:c r="P37" s="175" t="n">
        <x:f>SUM(P30:P36)</x:f>
        <x:v>-128898.45829600003</x:v>
      </x:c>
      <x:c r="Q37" s="175" t="n">
        <x:f>SUM(Q30:Q36)</x:f>
        <x:v>-132319.80227232</x:v>
      </x:c>
      <x:c r="R37" s="175" t="n">
        <x:f>SUM(R30:R36)</x:f>
        <x:v>-132779.40593160002</x:v>
      </x:c>
      <x:c r="S37" s="175" t="n">
        <x:f>SUM(S30:S36)</x:f>
        <x:v>-136102.5017087138</x:v>
      </x:c>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t="str">
        <x:v>New debt and liquidity borrowing</x:v>
      </x:c>
      <x:c r="D39" s="103"/>
      <x:c r="E39" s="109" t="n">
        <x:f>'Historical Inputs'!E82</x:f>
        <x:v>44344</x:v>
      </x:c>
      <x:c r="F39" s="109" t="n">
        <x:f>'Historical Inputs'!F82</x:f>
        <x:v>7183</x:v>
      </x:c>
      <x:c r="G39" s="109" t="n">
        <x:f>'Historical Inputs'!G82</x:f>
        <x:v>0</x:v>
      </x:c>
      <x:c r="H39" s="109" t="n">
        <x:f>'Historical Inputs'!H82</x:f>
        <x:v>0</x:v>
      </x:c>
      <x:c r="I39" s="109" t="n">
        <x:f>'Historical Inputs'!I82</x:f>
        <x:v>0</x:v>
      </x:c>
      <x:c r="J39" s="109" t="n">
        <x:f>'Historical Inputs'!J82</x:f>
        <x:v>0</x:v>
      </x:c>
      <x:c r="K39" s="109" t="n">
        <x:f>'Historical Inputs'!K82</x:f>
        <x:v>0</x:v>
      </x:c>
      <x:c r="L39" s="109" t="n">
        <x:f>'Historical Inputs'!L82</x:f>
        <x:v>24395</x:v>
      </x:c>
      <x:c r="M39" s="109" t="n">
        <x:f>'Historical Inputs'!M82</x:f>
        <x:v>0</x:v>
      </x:c>
      <x:c r="N39" s="109" t="n">
        <x:f>'Historical Inputs'!N82</x:f>
        <x:v>0</x:v>
      </x:c>
      <x:c r="O39" s="109" t="n">
        <x:f>'Debt and Leases'!O10</x:f>
        <x:v>0</x:v>
      </x:c>
      <x:c r="P39" s="109" t="n">
        <x:f>'Debt and Leases'!P10</x:f>
        <x:v>0</x:v>
      </x:c>
      <x:c r="Q39" s="109" t="n">
        <x:f>'Debt and Leases'!Q10</x:f>
        <x:v>0</x:v>
      </x:c>
      <x:c r="R39" s="109" t="n">
        <x:f>'Debt and Leases'!R10</x:f>
        <x:v>0</x:v>
      </x:c>
      <x:c r="S39" s="109" t="n">
        <x:f>'Debt and Leases'!S10</x:f>
        <x:v>0</x:v>
      </x:c>
      <x:c r="T39" s="103"/>
      <x:c r="U39" s="103"/>
    </x:row>
    <x:row r="40" ht="24" customHeight="1">
      <x:c r="A40" s="103"/>
      <x:c r="B40" s="103"/>
      <x:c r="C40" s="103" t="str">
        <x:v>Net proceeds or repayments of short-term debt</x:v>
      </x:c>
      <x:c r="D40" s="103"/>
      <x:c r="E40" s="109" t="n">
        <x:f>'Historical Inputs'!E81</x:f>
        <x:v>-4963</x:v>
      </x:c>
      <x:c r="F40" s="109" t="n">
        <x:f>'Historical Inputs'!F81</x:f>
        <x:v>-7324</x:v>
      </x:c>
      <x:c r="G40" s="109" t="n">
        <x:f>'Historical Inputs'!G81</x:f>
        <x:v>0</x:v>
      </x:c>
      <x:c r="H40" s="109" t="n">
        <x:f>'Historical Inputs'!H81</x:f>
        <x:v>0</x:v>
      </x:c>
      <x:c r="I40" s="109" t="n">
        <x:f>'Historical Inputs'!I81</x:f>
        <x:v>0</x:v>
      </x:c>
      <x:c r="J40" s="109" t="n">
        <x:f>'Historical Inputs'!J81</x:f>
        <x:v>0</x:v>
      </x:c>
      <x:c r="K40" s="109" t="n">
        <x:f>'Historical Inputs'!K81</x:f>
        <x:v>0</x:v>
      </x:c>
      <x:c r="L40" s="109" t="n">
        <x:f>'Historical Inputs'!L81</x:f>
        <x:v>5250</x:v>
      </x:c>
      <x:c r="M40" s="109" t="n">
        <x:f>'Historical Inputs'!M81</x:f>
        <x:v>-5746</x:v>
      </x:c>
      <x:c r="N40" s="109" t="n">
        <x:f>'Historical Inputs'!N81</x:f>
        <x:v>0</x:v>
      </x:c>
      <x:c r="O40" s="109" t="n">
        <x:f>0</x:f>
        <x:v>0</x:v>
      </x:c>
      <x:c r="P40" s="109" t="n">
        <x:f>0</x:f>
        <x:v>0</x:v>
      </x:c>
      <x:c r="Q40" s="109" t="n">
        <x:f>0</x:f>
        <x:v>0</x:v>
      </x:c>
      <x:c r="R40" s="109" t="n">
        <x:f>0</x:f>
        <x:v>0</x:v>
      </x:c>
      <x:c r="S40" s="109" t="n">
        <x:f>0</x:f>
        <x:v>0</x:v>
      </x:c>
      <x:c r="T40" s="103"/>
      <x:c r="U40" s="103"/>
    </x:row>
    <x:row r="41" ht="24" customHeight="1">
      <x:c r="A41" s="103"/>
      <x:c r="B41" s="103"/>
      <x:c r="C41" s="103" t="str">
        <x:v>Repayments of debt</x:v>
      </x:c>
      <x:c r="D41" s="103"/>
      <x:c r="E41" s="109" t="n">
        <x:f>'Historical Inputs'!E83</x:f>
        <x:v>-7922</x:v>
      </x:c>
      <x:c r="F41" s="109" t="n">
        <x:f>'Historical Inputs'!F83</x:f>
        <x:v>-10060</x:v>
      </x:c>
      <x:c r="G41" s="109" t="n">
        <x:f>'Historical Inputs'!G83</x:f>
        <x:v>-4000</x:v>
      </x:c>
      <x:c r="H41" s="109" t="n">
        <x:f>'Historical Inputs'!H83</x:f>
        <x:v>-5518</x:v>
      </x:c>
      <x:c r="I41" s="109" t="n">
        <x:f>'Historical Inputs'!I83</x:f>
        <x:v>-3750</x:v>
      </x:c>
      <x:c r="J41" s="109" t="n">
        <x:f>'Historical Inputs'!J83</x:f>
        <x:v>-9023</x:v>
      </x:c>
      <x:c r="K41" s="109" t="n">
        <x:f>'Historical Inputs'!K83</x:f>
        <x:v>-2750</x:v>
      </x:c>
      <x:c r="L41" s="109" t="n">
        <x:f>'Historical Inputs'!L83</x:f>
        <x:v>-29070</x:v>
      </x:c>
      <x:c r="M41" s="109" t="n">
        <x:f>'Historical Inputs'!M83</x:f>
        <x:v>-3216</x:v>
      </x:c>
      <x:c r="N41" s="109" t="n">
        <x:f>'Historical Inputs'!N83</x:f>
        <x:v>-3000</x:v>
      </x:c>
      <x:c r="O41" s="109" t="n">
        <x:f>-'Debt and Leases'!O9</x:f>
        <x:v>-9250</x:v>
      </x:c>
      <x:c r="P41" s="109" t="n">
        <x:f>-'Debt and Leases'!P9</x:f>
        <x:v>0</x:v>
      </x:c>
      <x:c r="Q41" s="109" t="n">
        <x:f>-'Debt and Leases'!Q9</x:f>
        <x:v>-2001</x:v>
      </x:c>
      <x:c r="R41" s="109" t="n">
        <x:f>-'Debt and Leases'!R9</x:f>
        <x:v>0</x:v>
      </x:c>
      <x:c r="S41" s="109" t="n">
        <x:f>-'Debt and Leases'!S9</x:f>
        <x:v>-500</x:v>
      </x:c>
      <x:c r="T41" s="103"/>
      <x:c r="U41" s="103"/>
    </x:row>
    <x:row r="42" ht="24" customHeight="1">
      <x:c r="A42" s="103"/>
      <x:c r="B42" s="103"/>
      <x:c r="C42" s="103" t="str">
        <x:v>Liquidity borrowing requirement</x:v>
      </x:c>
      <x:c r="D42" s="103"/>
      <x:c r="E42" s="109" t="str">
        <x:v>n.a.</x:v>
      </x:c>
      <x:c r="F42" s="109" t="str">
        <x:v>n.a.</x:v>
      </x:c>
      <x:c r="G42" s="109" t="str">
        <x:v>n.a.</x:v>
      </x:c>
      <x:c r="H42" s="109" t="str">
        <x:v>n.a.</x:v>
      </x:c>
      <x:c r="I42" s="109" t="str">
        <x:v>n.a.</x:v>
      </x:c>
      <x:c r="J42" s="109" t="str">
        <x:v>n.a.</x:v>
      </x:c>
      <x:c r="K42" s="109" t="str">
        <x:v>n.a.</x:v>
      </x:c>
      <x:c r="L42" s="109" t="str">
        <x:v>n.a.</x:v>
      </x:c>
      <x:c r="M42" s="109" t="str">
        <x:v>n.a.</x:v>
      </x:c>
      <x:c r="N42" s="109" t="str">
        <x:v>n.a.</x:v>
      </x:c>
      <x:c r="O42" s="109" t="n">
        <x:f>'Debt and Leases'!O11</x:f>
        <x:v>0</x:v>
      </x:c>
      <x:c r="P42" s="109" t="n">
        <x:f>'Debt and Leases'!P11</x:f>
        <x:v>0</x:v>
      </x:c>
      <x:c r="Q42" s="109" t="n">
        <x:f>'Debt and Leases'!Q11</x:f>
        <x:v>0</x:v>
      </x:c>
      <x:c r="R42" s="109" t="n">
        <x:f>'Debt and Leases'!R11</x:f>
        <x:v>0</x:v>
      </x:c>
      <x:c r="S42" s="109" t="n">
        <x:f>'Debt and Leases'!S11</x:f>
        <x:v>0</x:v>
      </x:c>
      <x:c r="T42" s="103"/>
      <x:c r="U42" s="103"/>
    </x:row>
    <x:row r="43" ht="24" customHeight="1">
      <x:c r="A43" s="103"/>
      <x:c r="B43" s="103"/>
      <x:c r="C43" s="103" t="str">
        <x:v>Cash proceeds from share issuance</x:v>
      </x:c>
      <x:c r="D43" s="103"/>
      <x:c r="E43" s="109" t="n">
        <x:f>'Historical Inputs'!E84</x:f>
        <x:v>772</x:v>
      </x:c>
      <x:c r="F43" s="109" t="n">
        <x:f>'Historical Inputs'!F84</x:f>
        <x:v>1002</x:v>
      </x:c>
      <x:c r="G43" s="109" t="n">
        <x:f>'Historical Inputs'!G84</x:f>
        <x:v>1142</x:v>
      </x:c>
      <x:c r="H43" s="109" t="n">
        <x:f>'Historical Inputs'!H84</x:f>
        <x:v>1343</x:v>
      </x:c>
      <x:c r="I43" s="109" t="n">
        <x:f>'Historical Inputs'!I84</x:f>
        <x:v>1693</x:v>
      </x:c>
      <x:c r="J43" s="109" t="n">
        <x:f>'Historical Inputs'!J84</x:f>
        <x:v>1841</x:v>
      </x:c>
      <x:c r="K43" s="109" t="n">
        <x:f>'Historical Inputs'!K84</x:f>
        <x:v>1866</x:v>
      </x:c>
      <x:c r="L43" s="109" t="n">
        <x:f>'Historical Inputs'!L84</x:f>
        <x:v>2002</x:v>
      </x:c>
      <x:c r="M43" s="109" t="n">
        <x:f>'Historical Inputs'!M84</x:f>
        <x:v>2056</x:v>
      </x:c>
      <x:c r="N43" s="109" t="n">
        <x:f>'Historical Inputs'!N84</x:f>
        <x:v>2009</x:v>
      </x:c>
      <x:c r="O43" s="109" t="n">
        <x:f>'Tax and Equity'!O17</x:f>
        <x:v>2310.2928</x:v>
      </x:c>
      <x:c r="P43" s="109" t="n">
        <x:f>'Tax and Equity'!P17</x:f>
        <x:v>2666.8646544000003</x:v>
      </x:c>
      <x:c r="Q43" s="109" t="n">
        <x:f>'Tax and Equity'!Q17</x:f>
        <x:v>3053.5338985920002</x:v>
      </x:c>
      <x:c r="R43" s="109" t="n">
        <x:f>'Tax and Equity'!R17</x:f>
        <x:v>3463.8105895200006</x:v>
      </x:c>
      <x:c r="S43" s="109" t="n">
        <x:f>'Tax and Equity'!S17</x:f>
        <x:v>3888.6429059632515</x:v>
      </x:c>
      <x:c r="T43" s="103"/>
      <x:c r="U43" s="103"/>
    </x:row>
    <x:row r="44" ht="24" customHeight="1">
      <x:c r="A44" s="103"/>
      <x:c r="B44" s="103"/>
      <x:c r="C44" s="103" t="str">
        <x:v>Cash share repurchases</x:v>
      </x:c>
      <x:c r="D44" s="103"/>
      <x:c r="E44" s="109" t="n">
        <x:f>'Historical Inputs'!E85</x:f>
        <x:v>-11788</x:v>
      </x:c>
      <x:c r="F44" s="109" t="n">
        <x:f>'Historical Inputs'!F85</x:f>
        <x:v>-10721</x:v>
      </x:c>
      <x:c r="G44" s="109" t="n">
        <x:f>'Historical Inputs'!G85</x:f>
        <x:v>-19543</x:v>
      </x:c>
      <x:c r="H44" s="109" t="n">
        <x:f>'Historical Inputs'!H85</x:f>
        <x:v>-22968</x:v>
      </x:c>
      <x:c r="I44" s="109" t="n">
        <x:f>'Historical Inputs'!I85</x:f>
        <x:v>-27385</x:v>
      </x:c>
      <x:c r="J44" s="109" t="n">
        <x:f>'Historical Inputs'!J85</x:f>
        <x:v>-32696</x:v>
      </x:c>
      <x:c r="K44" s="109" t="n">
        <x:f>'Historical Inputs'!K85</x:f>
        <x:v>-22245</x:v>
      </x:c>
      <x:c r="L44" s="109" t="n">
        <x:f>'Historical Inputs'!L85</x:f>
        <x:v>-17254</x:v>
      </x:c>
      <x:c r="M44" s="109" t="n">
        <x:f>'Historical Inputs'!M85</x:f>
        <x:v>-18420</x:v>
      </x:c>
      <x:c r="N44" s="109" t="n">
        <x:f>'Historical Inputs'!N85</x:f>
        <x:v>-22271</x:v>
      </x:c>
      <x:c r="O44" s="109" t="n">
        <x:f>-'Tax and Equity'!O18</x:f>
        <x:v>-25028.172000000002</x:v>
      </x:c>
      <x:c r="P44" s="109" t="n">
        <x:f>-'Tax and Equity'!P18</x:f>
        <x:v>-28891.033756000004</x:v>
      </x:c>
      <x:c r="Q44" s="109" t="n">
        <x:f>-'Tax and Equity'!Q18</x:f>
        <x:v>-33079.95056808</x:v>
      </x:c>
      <x:c r="R44" s="109" t="n">
        <x:f>-'Tax and Equity'!R18</x:f>
        <x:v>-37524.61471980001</x:v>
      </x:c>
      <x:c r="S44" s="109" t="n">
        <x:f>-'Tax and Equity'!S18</x:f>
        <x:v>-42126.96481460189</x:v>
      </x:c>
      <x:c r="T44" s="103"/>
      <x:c r="U44" s="103"/>
    </x:row>
    <x:row r="45" ht="24" customHeight="1">
      <x:c r="A45" s="103"/>
      <x:c r="B45" s="103"/>
      <x:c r="C45" s="103" t="str">
        <x:v>Cash dividends</x:v>
      </x:c>
      <x:c r="D45" s="103"/>
      <x:c r="E45" s="109" t="n">
        <x:f>'Historical Inputs'!E86</x:f>
        <x:v>-11845</x:v>
      </x:c>
      <x:c r="F45" s="109" t="n">
        <x:f>'Historical Inputs'!F86</x:f>
        <x:v>-12699</x:v>
      </x:c>
      <x:c r="G45" s="109" t="n">
        <x:f>'Historical Inputs'!G86</x:f>
        <x:v>-13811</x:v>
      </x:c>
      <x:c r="H45" s="109" t="n">
        <x:f>'Historical Inputs'!H86</x:f>
        <x:v>-15137</x:v>
      </x:c>
      <x:c r="I45" s="109" t="n">
        <x:f>'Historical Inputs'!I86</x:f>
        <x:v>-16521</x:v>
      </x:c>
      <x:c r="J45" s="109" t="n">
        <x:f>'Historical Inputs'!J86</x:f>
        <x:v>-18135</x:v>
      </x:c>
      <x:c r="K45" s="109" t="n">
        <x:f>'Historical Inputs'!K86</x:f>
        <x:v>-19800</x:v>
      </x:c>
      <x:c r="L45" s="109" t="n">
        <x:f>'Historical Inputs'!L86</x:f>
        <x:v>-21771</x:v>
      </x:c>
      <x:c r="M45" s="109" t="n">
        <x:f>'Historical Inputs'!M86</x:f>
        <x:v>-24082</x:v>
      </x:c>
      <x:c r="N45" s="109" t="n">
        <x:f>'Historical Inputs'!N86</x:f>
        <x:v>-26445</x:v>
      </x:c>
      <x:c r="O45" s="109" t="n">
        <x:f>-'Tax and Equity'!O19</x:f>
        <x:v>-27845.331864683412</x:v>
      </x:c>
      <x:c r="P45" s="109" t="n">
        <x:f>-'Tax and Equity'!P19</x:f>
        <x:v>-29991.888066253174</x:v>
      </x:c>
      <x:c r="Q45" s="109" t="n">
        <x:f>-'Tax and Equity'!Q19</x:f>
        <x:v>-32659.082596940607</x:v>
      </x:c>
      <x:c r="R45" s="109" t="n">
        <x:f>-'Tax and Equity'!R19</x:f>
        <x:v>-35924.898238108995</x:v>
      </x:c>
      <x:c r="S45" s="109" t="n">
        <x:f>-'Tax and Equity'!S19</x:f>
        <x:v>-39641.70963125973</x:v>
      </x:c>
      <x:c r="T45" s="103"/>
      <x:c r="U45" s="103"/>
    </x:row>
    <x:row r="46" ht="24" customHeight="1">
      <x:c r="A46" s="103"/>
      <x:c r="B46" s="103"/>
      <x:c r="C46" s="103" t="str">
        <x:v>Finance lease principal payments</x:v>
      </x:c>
      <x:c r="D46" s="103"/>
      <x:c r="E46" s="109" t="n">
        <x:f>-'Filing Notes'!E13</x:f>
        <x:v>-46</x:v>
      </x:c>
      <x:c r="F46" s="109" t="n">
        <x:f>-'Filing Notes'!F13</x:f>
        <x:v>-144</x:v>
      </x:c>
      <x:c r="G46" s="109" t="n">
        <x:f>-'Filing Notes'!G13</x:f>
        <x:v>-221</x:v>
      </x:c>
      <x:c r="H46" s="109" t="n">
        <x:f>-'Filing Notes'!H13</x:f>
        <x:v>-409</x:v>
      </x:c>
      <x:c r="I46" s="109" t="n">
        <x:f>-'Filing Notes'!I13</x:f>
        <x:v>-648</x:v>
      </x:c>
      <x:c r="J46" s="109" t="n">
        <x:f>-'Filing Notes'!J13</x:f>
        <x:v>-896</x:v>
      </x:c>
      <x:c r="K46" s="109" t="n">
        <x:f>-'Filing Notes'!K13</x:f>
        <x:v>-1056</x:v>
      </x:c>
      <x:c r="L46" s="109" t="n">
        <x:f>-'Filing Notes'!L13</x:f>
        <x:v>-1286</x:v>
      </x:c>
      <x:c r="M46" s="109" t="n">
        <x:f>-'Filing Notes'!M13</x:f>
        <x:v>-2283</x:v>
      </x:c>
      <x:c r="N46" s="109" t="n">
        <x:f>-'Filing Notes'!N13</x:f>
        <x:v>-3101</x:v>
      </x:c>
      <x:c r="O46" s="109" t="n">
        <x:f>-'Debt and Leases'!O41</x:f>
        <x:v>-5234.987692307693</x:v>
      </x:c>
      <x:c r="P46" s="109" t="n">
        <x:f>-'Debt and Leases'!P41</x:f>
        <x:v>-7815.527749360948</x:v>
      </x:c>
      <x:c r="Q46" s="109" t="n">
        <x:f>-'Debt and Leases'!Q41</x:f>
        <x:v>-9603.873482163182</x:v>
      </x:c>
      <x:c r="R46" s="109" t="n">
        <x:f>-'Debt and Leases'!R41</x:f>
        <x:v>-11866.490512938226</x:v>
      </x:c>
      <x:c r="S46" s="109" t="n">
        <x:f>-'Debt and Leases'!S41</x:f>
        <x:v>-14135.06933885123</x:v>
      </x:c>
      <x:c r="T46" s="103"/>
      <x:c r="U46" s="103"/>
    </x:row>
    <x:row r="47" ht="24" customHeight="1">
      <x:c r="A47" s="103"/>
      <x:c r="B47" s="103"/>
      <x:c r="C47" s="103" t="str">
        <x:v>Other financing excluding finance lease principal</x:v>
      </x:c>
      <x:c r="D47" s="103"/>
      <x:c r="E47" s="109" t="n">
        <x:f>'Historical Inputs'!E87-E46</x:f>
        <x:v>-144</x:v>
      </x:c>
      <x:c r="F47" s="109" t="n">
        <x:f>'Historical Inputs'!F87-F46</x:f>
        <x:v>-827</x:v>
      </x:c>
      <x:c r="G47" s="109" t="n">
        <x:f>'Historical Inputs'!G87-G46</x:f>
        <x:v>-454</x:v>
      </x:c>
      <x:c r="H47" s="109" t="n">
        <x:f>'Historical Inputs'!H87-H46</x:f>
        <x:v>-3342</x:v>
      </x:c>
      <x:c r="I47" s="109" t="n">
        <x:f>'Historical Inputs'!I87-I46</x:f>
        <x:v>-1875</x:v>
      </x:c>
      <x:c r="J47" s="109" t="n">
        <x:f>'Historical Inputs'!J87-J46</x:f>
        <x:v>33</x:v>
      </x:c>
      <x:c r="K47" s="109" t="n">
        <x:f>'Historical Inputs'!K87-K46</x:f>
        <x:v>50</x:v>
      </x:c>
      <x:c r="L47" s="109" t="n">
        <x:f>'Historical Inputs'!L87-L46</x:f>
        <x:v>-23</x:v>
      </x:c>
      <x:c r="M47" s="109" t="n">
        <x:f>'Historical Inputs'!M87-M46</x:f>
        <x:v>-8</x:v>
      </x:c>
      <x:c r="N47" s="109" t="n">
        <x:f>'Historical Inputs'!N87-N46</x:f>
        <x:v>262</x:v>
      </x:c>
      <x:c r="O47" s="109" t="n">
        <x:f>0</x:f>
        <x:v>0</x:v>
      </x:c>
      <x:c r="P47" s="109" t="n">
        <x:f>0</x:f>
        <x:v>0</x:v>
      </x:c>
      <x:c r="Q47" s="109" t="n">
        <x:f>0</x:f>
        <x:v>0</x:v>
      </x:c>
      <x:c r="R47" s="109" t="n">
        <x:f>0</x:f>
        <x:v>0</x:v>
      </x:c>
      <x:c r="S47" s="109" t="n">
        <x:f>0</x:f>
        <x:v>0</x:v>
      </x:c>
      <x:c r="T47" s="103"/>
      <x:c r="U47" s="103"/>
    </x:row>
    <x:row r="48" ht="24" customHeight="1">
      <x:c r="A48" s="103"/>
      <x:c r="B48" s="103"/>
      <x:c r="C48" s="174" t="str">
        <x:v>Net cash from financing</x:v>
      </x:c>
      <x:c r="D48" s="174"/>
      <x:c r="E48" s="175" t="n">
        <x:f>SUM(E39:E47)</x:f>
        <x:v>8408</x:v>
      </x:c>
      <x:c r="F48" s="175" t="n">
        <x:f>SUM(F39:F47)</x:f>
        <x:v>-33590</x:v>
      </x:c>
      <x:c r="G48" s="175" t="n">
        <x:f>SUM(G39:G47)</x:f>
        <x:v>-36887</x:v>
      </x:c>
      <x:c r="H48" s="175" t="n">
        <x:f>SUM(H39:H47)</x:f>
        <x:v>-46031</x:v>
      </x:c>
      <x:c r="I48" s="175" t="n">
        <x:f>SUM(I39:I47)</x:f>
        <x:v>-48486</x:v>
      </x:c>
      <x:c r="J48" s="175" t="n">
        <x:f>SUM(J39:J47)</x:f>
        <x:v>-58876</x:v>
      </x:c>
      <x:c r="K48" s="175" t="n">
        <x:f>SUM(K39:K47)</x:f>
        <x:v>-43935</x:v>
      </x:c>
      <x:c r="L48" s="175" t="n">
        <x:f>SUM(L39:L47)</x:f>
        <x:v>-37757</x:v>
      </x:c>
      <x:c r="M48" s="175" t="n">
        <x:f>SUM(M39:M47)</x:f>
        <x:v>-51699</x:v>
      </x:c>
      <x:c r="N48" s="175" t="n">
        <x:f>SUM(N39:N47)</x:f>
        <x:v>-52546</x:v>
      </x:c>
      <x:c r="O48" s="175" t="n">
        <x:f>SUM(O39:O47)</x:f>
        <x:v>-65048.198756991114</x:v>
      </x:c>
      <x:c r="P48" s="175" t="n">
        <x:f>SUM(P39:P47)</x:f>
        <x:v>-64031.584917214124</x:v>
      </x:c>
      <x:c r="Q48" s="175" t="n">
        <x:f>SUM(Q39:Q47)</x:f>
        <x:v>-74290.37274859179</x:v>
      </x:c>
      <x:c r="R48" s="175" t="n">
        <x:f>SUM(R39:R47)</x:f>
        <x:v>-81852.19288132722</x:v>
      </x:c>
      <x:c r="S48" s="175" t="n">
        <x:f>SUM(S39:S47)</x:f>
        <x:v>-92515.1008787496</x:v>
      </x:c>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t="str">
        <x:v>Effect of exchange rates on cash</x:v>
      </x:c>
      <x:c r="D50" s="103"/>
      <x:c r="E50" s="109" t="n">
        <x:f>'Historical Inputs'!E96</x:f>
        <x:v>19</x:v>
      </x:c>
      <x:c r="F50" s="109" t="n">
        <x:f>'Historical Inputs'!F96</x:f>
        <x:v>50</x:v>
      </x:c>
      <x:c r="G50" s="109" t="n">
        <x:f>'Historical Inputs'!G96</x:f>
        <x:v>-115</x:v>
      </x:c>
      <x:c r="H50" s="109" t="n">
        <x:f>'Historical Inputs'!H96</x:f>
        <x:v>-201</x:v>
      </x:c>
      <x:c r="I50" s="109" t="n">
        <x:f>'Historical Inputs'!I96</x:f>
        <x:v>-29</x:v>
      </x:c>
      <x:c r="J50" s="109" t="n">
        <x:f>'Historical Inputs'!J96</x:f>
        <x:v>-141</x:v>
      </x:c>
      <x:c r="K50" s="109" t="n">
        <x:f>'Historical Inputs'!K96</x:f>
        <x:v>-194</x:v>
      </x:c>
      <x:c r="L50" s="109" t="n">
        <x:f>'Historical Inputs'!L96</x:f>
        <x:v>-210</x:v>
      </x:c>
      <x:c r="M50" s="109" t="n">
        <x:f>'Historical Inputs'!M96</x:f>
        <x:v>63</x:v>
      </x:c>
      <x:c r="N50" s="109" t="n">
        <x:f>'Historical Inputs'!N96</x:f>
        <x:v>-196</x:v>
      </x:c>
      <x:c r="O50" s="109" t="n">
        <x:f>0</x:f>
        <x:v>0</x:v>
      </x:c>
      <x:c r="P50" s="109" t="n">
        <x:f>0</x:f>
        <x:v>0</x:v>
      </x:c>
      <x:c r="Q50" s="109" t="n">
        <x:f>0</x:f>
        <x:v>0</x:v>
      </x:c>
      <x:c r="R50" s="109" t="n">
        <x:f>0</x:f>
        <x:v>0</x:v>
      </x:c>
      <x:c r="S50" s="109" t="n">
        <x:f>0</x:f>
        <x:v>0</x:v>
      </x:c>
      <x:c r="T50" s="103"/>
      <x:c r="U50" s="103"/>
    </x:row>
    <x:row r="51" ht="24" customHeight="1">
      <x:c r="A51" s="103"/>
      <x:c r="B51" s="103"/>
      <x:c r="C51" s="174" t="str">
        <x:v>Net change in cash</x:v>
      </x:c>
      <x:c r="D51" s="174"/>
      <x:c r="E51" s="175" t="n">
        <x:f>SUM(E28,E37,E48,E50)</x:f>
        <x:v>1153</x:v>
      </x:c>
      <x:c r="F51" s="175" t="n">
        <x:f>SUM(F28,F37,F48,F50)</x:f>
        <x:v>4283</x:v>
      </x:c>
      <x:c r="G51" s="175" t="n">
        <x:f>SUM(G28,G37,G48,G50)</x:f>
        <x:v>-590</x:v>
      </x:c>
      <x:c r="H51" s="175" t="n">
        <x:f>SUM(H28,H37,H48,H50)</x:f>
        <x:v>2220</x:v>
      </x:c>
      <x:c r="I51" s="175" t="n">
        <x:f>SUM(I28,I37,I48,I50)</x:f>
        <x:v>648</x:v>
      </x:c>
      <x:c r="J51" s="175" t="n">
        <x:f>SUM(J28,J37,J48,J50)</x:f>
        <x:v>-293</x:v>
      </x:c>
      <x:c r="K51" s="175" t="n">
        <x:f>SUM(K28,K37,K48,K50)</x:f>
        <x:v>20773</x:v>
      </x:c>
      <x:c r="L51" s="175" t="n">
        <x:f>SUM(L28,L37,L48,L50)</x:f>
        <x:v>-16389</x:v>
      </x:c>
      <x:c r="M51" s="175" t="n">
        <x:f>SUM(M28,M37,M48,M50)</x:f>
        <x:v>11927</x:v>
      </x:c>
      <x:c r="N51" s="175" t="n">
        <x:f>SUM(N28,N37,N48,N50)</x:f>
        <x:v>-9307</x:v>
      </x:c>
      <x:c r="O51" s="175" t="n">
        <x:f>SUM(O28,O37,O48,O50)</x:f>
        <x:v>16897.17978311873</x:v>
      </x:c>
      <x:c r="P51" s="175" t="n">
        <x:f>SUM(P28,P37,P48,P50)</x:f>
        <x:v>56639.91376529284</x:v>
      </x:c>
      <x:c r="Q51" s="175" t="n">
        <x:f>SUM(Q28,Q37,Q48,Q50)</x:f>
        <x:v>84206.71845872723</x:v>
      </x:c>
      <x:c r="R51" s="175" t="n">
        <x:f>SUM(R28,R37,R48,R50)</x:f>
        <x:v>122038.73824861519</x:v>
      </x:c>
      <x:c r="S51" s="175" t="n">
        <x:f>SUM(S28,S37,S48,S50)</x:f>
        <x:v>156664.99082310934</x:v>
      </x:c>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t="str">
        <x:v>Opening cash and cash equivalents</x:v>
      </x:c>
      <x:c r="D53" s="103"/>
      <x:c r="E53" s="109" t="n">
        <x:f>'Historical Inputs'!E98</x:f>
        <x:v>6510</x:v>
      </x:c>
      <x:c r="F53" s="109" t="n">
        <x:f>'Historical Inputs'!F98</x:f>
        <x:v>7663</x:v>
      </x:c>
      <x:c r="G53" s="109" t="n">
        <x:f>'Historical Inputs'!G98</x:f>
        <x:v>11946</x:v>
      </x:c>
      <x:c r="H53" s="109" t="n">
        <x:f>'Historical Inputs'!H98</x:f>
        <x:v>11356</x:v>
      </x:c>
      <x:c r="I53" s="109" t="n">
        <x:f>'Historical Inputs'!I98</x:f>
        <x:v>13576</x:v>
      </x:c>
      <x:c r="J53" s="109" t="n">
        <x:f>'Historical Inputs'!J98</x:f>
        <x:v>14224</x:v>
      </x:c>
      <x:c r="K53" s="109" t="n">
        <x:f>'Historical Inputs'!K98</x:f>
        <x:v>13931</x:v>
      </x:c>
      <x:c r="L53" s="109" t="n">
        <x:f>'Historical Inputs'!L98</x:f>
        <x:v>34704</x:v>
      </x:c>
      <x:c r="M53" s="109" t="n">
        <x:f>'Historical Inputs'!M98</x:f>
        <x:v>18315</x:v>
      </x:c>
      <x:c r="N53" s="109" t="n">
        <x:f>'Historical Inputs'!N98</x:f>
        <x:v>30242</x:v>
      </x:c>
      <x:c r="O53" s="109" t="n">
        <x:f>'Balance Sheet'!N8</x:f>
        <x:v>20935</x:v>
      </x:c>
      <x:c r="P53" s="109" t="n">
        <x:f>'Balance Sheet'!O8</x:f>
        <x:v>37832.17978311873</x:v>
      </x:c>
      <x:c r="Q53" s="109" t="n">
        <x:f>'Balance Sheet'!P8</x:f>
        <x:v>94472.09354841156</x:v>
      </x:c>
      <x:c r="R53" s="109" t="n">
        <x:f>'Balance Sheet'!Q8</x:f>
        <x:v>178678.8120071388</x:v>
      </x:c>
      <x:c r="S53" s="109" t="n">
        <x:f>'Balance Sheet'!R8</x:f>
        <x:v>300717.550255754</x:v>
      </x:c>
      <x:c r="T53" s="103"/>
      <x:c r="U53" s="103"/>
    </x:row>
    <x:row r="54" ht="24" customHeight="1">
      <x:c r="A54" s="103"/>
      <x:c r="B54" s="103"/>
      <x:c r="C54" s="174" t="str">
        <x:v>Closing cash and cash equivalents</x:v>
      </x:c>
      <x:c r="D54" s="174"/>
      <x:c r="E54" s="175" t="n">
        <x:f>E53+E51</x:f>
        <x:v>7663</x:v>
      </x:c>
      <x:c r="F54" s="175" t="n">
        <x:f>F53+F51</x:f>
        <x:v>11946</x:v>
      </x:c>
      <x:c r="G54" s="175" t="n">
        <x:f>G53+G51</x:f>
        <x:v>11356</x:v>
      </x:c>
      <x:c r="H54" s="175" t="n">
        <x:f>H53+H51</x:f>
        <x:v>13576</x:v>
      </x:c>
      <x:c r="I54" s="175" t="n">
        <x:f>I53+I51</x:f>
        <x:v>14224</x:v>
      </x:c>
      <x:c r="J54" s="175" t="n">
        <x:f>J53+J51</x:f>
        <x:v>13931</x:v>
      </x:c>
      <x:c r="K54" s="175" t="n">
        <x:f>K53+K51</x:f>
        <x:v>34704</x:v>
      </x:c>
      <x:c r="L54" s="175" t="n">
        <x:f>L53+L51</x:f>
        <x:v>18315</x:v>
      </x:c>
      <x:c r="M54" s="175" t="n">
        <x:f>M53+M51</x:f>
        <x:v>30242</x:v>
      </x:c>
      <x:c r="N54" s="175" t="n">
        <x:f>N53+N51</x:f>
        <x:v>20935</x:v>
      </x:c>
      <x:c r="O54" s="175" t="n">
        <x:f>O53+O51</x:f>
        <x:v>37832.17978311873</x:v>
      </x:c>
      <x:c r="P54" s="175" t="n">
        <x:f>P53+P51</x:f>
        <x:v>94472.09354841156</x:v>
      </x:c>
      <x:c r="Q54" s="175" t="n">
        <x:f>Q53+Q51</x:f>
        <x:v>178678.8120071388</x:v>
      </x:c>
      <x:c r="R54" s="175" t="n">
        <x:f>R53+R51</x:f>
        <x:v>300717.550255754</x:v>
      </x:c>
      <x:c r="S54" s="175" t="n">
        <x:f>S53+S51</x:f>
        <x:v>457382.5410788633</x:v>
      </x:c>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74" t="str">
        <x:v>Free cash flow</x:v>
      </x:c>
      <x:c r="D56" s="174"/>
      <x:c r="E56" s="175" t="n">
        <x:f>E28+E30</x:f>
        <x:v>31378</x:v>
      </x:c>
      <x:c r="F56" s="175" t="n">
        <x:f>F28+F30</x:f>
        <x:v>32252</x:v>
      </x:c>
      <x:c r="G56" s="175" t="n">
        <x:f>G28+G30</x:f>
        <x:v>38260</x:v>
      </x:c>
      <x:c r="H56" s="175" t="n">
        <x:f>H28+H30</x:f>
        <x:v>45234</x:v>
      </x:c>
      <x:c r="I56" s="175" t="n">
        <x:f>I28+I30</x:f>
        <x:v>56118</x:v>
      </x:c>
      <x:c r="J56" s="175" t="n">
        <x:f>J28+J30</x:f>
        <x:v>65149</x:v>
      </x:c>
      <x:c r="K56" s="175" t="n">
        <x:f>K28+K30</x:f>
        <x:v>59475</x:v>
      </x:c>
      <x:c r="L56" s="175" t="n">
        <x:f>L28+L30</x:f>
        <x:v>74071</x:v>
      </x:c>
      <x:c r="M56" s="175" t="n">
        <x:f>M28+M30</x:f>
        <x:v>71611</x:v>
      </x:c>
      <x:c r="N56" s="175" t="n">
        <x:f>N28+N30</x:f>
        <x:v>66987</x:v>
      </x:c>
      <x:c r="O56" s="175" t="n">
        <x:f>O28+O30</x:f>
        <x:v>85795.86654010984</x:v>
      </x:c>
      <x:c r="P56" s="175" t="n">
        <x:f>P28+P30</x:f>
        <x:v>125116.27310650697</x:v>
      </x:c>
      <x:c r="Q56" s="175" t="n">
        <x:f>Q28+Q30</x:f>
        <x:v>163586.31437163902</x:v>
      </x:c>
      <x:c r="R56" s="175" t="n">
        <x:f>R28+R30</x:f>
        <x:v>209663.9487791424</x:v>
      </x:c>
      <x:c r="S56" s="175" t="n">
        <x:f>S28+S30</x:f>
        <x:v>255661.16321179768</x:v>
      </x:c>
      <x:c r="T56" s="103"/>
      <x:c r="U56" s="103"/>
    </x:row>
    <x:row r="57" ht="24" customHeight="1">
      <x:c r="A57" s="103"/>
      <x:c r="B57" s="103"/>
      <x:c r="C57" s="174" t="str">
        <x:v>FCF after finance lease principal</x:v>
      </x:c>
      <x:c r="D57" s="174"/>
      <x:c r="E57" s="175" t="n">
        <x:f>SUM(E56,E46)</x:f>
        <x:v>31332</x:v>
      </x:c>
      <x:c r="F57" s="175" t="n">
        <x:f>SUM(F56,F46)</x:f>
        <x:v>32108</x:v>
      </x:c>
      <x:c r="G57" s="175" t="n">
        <x:f>SUM(G56,G46)</x:f>
        <x:v>38039</x:v>
      </x:c>
      <x:c r="H57" s="175" t="n">
        <x:f>SUM(H56,H46)</x:f>
        <x:v>44825</x:v>
      </x:c>
      <x:c r="I57" s="175" t="n">
        <x:f>SUM(I56,I46)</x:f>
        <x:v>55470</x:v>
      </x:c>
      <x:c r="J57" s="175" t="n">
        <x:f>SUM(J56,J46)</x:f>
        <x:v>64253</x:v>
      </x:c>
      <x:c r="K57" s="175" t="n">
        <x:f>SUM(K56,K46)</x:f>
        <x:v>58419</x:v>
      </x:c>
      <x:c r="L57" s="175" t="n">
        <x:f>SUM(L56,L46)</x:f>
        <x:v>72785</x:v>
      </x:c>
      <x:c r="M57" s="175" t="n">
        <x:f>SUM(M56,M46)</x:f>
        <x:v>69328</x:v>
      </x:c>
      <x:c r="N57" s="175" t="n">
        <x:f>SUM(N56,N46)</x:f>
        <x:v>63886</x:v>
      </x:c>
      <x:c r="O57" s="175" t="n">
        <x:f>SUM(O56,O46)</x:f>
        <x:v>80560.87884780215</x:v>
      </x:c>
      <x:c r="P57" s="175" t="n">
        <x:f>SUM(P56,P46)</x:f>
        <x:v>117300.74535714602</x:v>
      </x:c>
      <x:c r="Q57" s="175" t="n">
        <x:f>SUM(Q56,Q46)</x:f>
        <x:v>153982.44088947584</x:v>
      </x:c>
      <x:c r="R57" s="175" t="n">
        <x:f>SUM(R56,R46)</x:f>
        <x:v>197797.45826620416</x:v>
      </x:c>
      <x:c r="S57" s="175" t="n">
        <x:f>SUM(S56,S46)</x:f>
        <x:v>241526.09387294645</x:v>
      </x:c>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t="str">
        <x:v>Cash before reserve liquidation and funding</x:v>
      </x:c>
      <x:c r="D59" s="103"/>
      <x:c r="E59" s="109" t="str">
        <x:v>n.a.</x:v>
      </x:c>
      <x:c r="F59" s="109" t="str">
        <x:v>n.a.</x:v>
      </x:c>
      <x:c r="G59" s="109" t="str">
        <x:v>n.a.</x:v>
      </x:c>
      <x:c r="H59" s="109" t="str">
        <x:v>n.a.</x:v>
      </x:c>
      <x:c r="I59" s="109" t="str">
        <x:v>n.a.</x:v>
      </x:c>
      <x:c r="J59" s="109" t="str">
        <x:v>n.a.</x:v>
      </x:c>
      <x:c r="K59" s="109" t="str">
        <x:v>n.a.</x:v>
      </x:c>
      <x:c r="L59" s="109" t="str">
        <x:v>n.a.</x:v>
      </x:c>
      <x:c r="M59" s="109" t="str">
        <x:v>n.a.</x:v>
      </x:c>
      <x:c r="N59" s="109" t="str">
        <x:v>n.a.</x:v>
      </x:c>
      <x:c r="O59" s="109" t="n">
        <x:f>O53+O28+SUM(O30:O33,O35:O36,O39:O41,O43:O47)</x:f>
        <x:v>37832.17978311874</x:v>
      </x:c>
      <x:c r="P59" s="109" t="n">
        <x:f>P53+P28+SUM(P30:P33,P35:P36,P39:P41,P43:P47)</x:f>
        <x:v>94472.09354841156</x:v>
      </x:c>
      <x:c r="Q59" s="109" t="n">
        <x:f>Q53+Q28+SUM(Q30:Q33,Q35:Q36,Q39:Q41,Q43:Q47)</x:f>
        <x:v>178678.8120071388</x:v>
      </x:c>
      <x:c r="R59" s="109" t="n">
        <x:f>R53+R28+SUM(R30:R33,R35:R36,R39:R41,R43:R47)</x:f>
        <x:v>300717.550255754</x:v>
      </x:c>
      <x:c r="S59" s="109" t="n">
        <x:f>S53+S28+SUM(S30:S33,S35:S36,S39:S41,S43:S47)</x:f>
        <x:v>457382.5410788634</x:v>
      </x:c>
      <x:c r="T59" s="103"/>
      <x:c r="U59" s="103"/>
    </x:row>
    <x:row r="60" ht="24" customHeight="1">
      <x:c r="A60" s="103"/>
      <x:c r="B60" s="103"/>
      <x:c r="C60" s="103" t="str">
        <x:v>Short-term investment liquidation</x:v>
      </x:c>
      <x:c r="D60" s="103"/>
      <x:c r="E60" s="109" t="str">
        <x:v>n.a.</x:v>
      </x:c>
      <x:c r="F60" s="109" t="str">
        <x:v>n.a.</x:v>
      </x:c>
      <x:c r="G60" s="109" t="str">
        <x:v>n.a.</x:v>
      </x:c>
      <x:c r="H60" s="109" t="str">
        <x:v>n.a.</x:v>
      </x:c>
      <x:c r="I60" s="109" t="str">
        <x:v>n.a.</x:v>
      </x:c>
      <x:c r="J60" s="109" t="str">
        <x:v>n.a.</x:v>
      </x:c>
      <x:c r="K60" s="109" t="str">
        <x:v>n.a.</x:v>
      </x:c>
      <x:c r="L60" s="109" t="str">
        <x:v>n.a.</x:v>
      </x:c>
      <x:c r="M60" s="109" t="str">
        <x:v>n.a.</x:v>
      </x:c>
      <x:c r="N60" s="109" t="str">
        <x:v>n.a.</x:v>
      </x:c>
      <x:c r="O60" s="109" t="n">
        <x:f>'Debt and Leases'!O77</x:f>
        <x:v>0</x:v>
      </x:c>
      <x:c r="P60" s="109" t="n">
        <x:f>'Debt and Leases'!P77</x:f>
        <x:v>0</x:v>
      </x:c>
      <x:c r="Q60" s="109" t="n">
        <x:f>'Debt and Leases'!Q77</x:f>
        <x:v>0</x:v>
      </x:c>
      <x:c r="R60" s="109" t="n">
        <x:f>'Debt and Leases'!R77</x:f>
        <x:v>0</x:v>
      </x:c>
      <x:c r="S60" s="109" t="n">
        <x:f>'Debt and Leases'!S77</x:f>
        <x:v>0</x:v>
      </x:c>
      <x:c r="T60" s="103"/>
      <x:c r="U60" s="103"/>
    </x:row>
    <x:row r="61" ht="24" customHeight="1">
      <x:c r="A61" s="103"/>
      <x:c r="B61" s="103"/>
      <x:c r="C61" s="103" t="str">
        <x:v>Liquidity borrowing requirement</x:v>
      </x:c>
      <x:c r="D61" s="103"/>
      <x:c r="E61" s="109" t="str">
        <x:v>n.a.</x:v>
      </x:c>
      <x:c r="F61" s="109" t="str">
        <x:v>n.a.</x:v>
      </x:c>
      <x:c r="G61" s="109" t="str">
        <x:v>n.a.</x:v>
      </x:c>
      <x:c r="H61" s="109" t="str">
        <x:v>n.a.</x:v>
      </x:c>
      <x:c r="I61" s="109" t="str">
        <x:v>n.a.</x:v>
      </x:c>
      <x:c r="J61" s="109" t="str">
        <x:v>n.a.</x:v>
      </x:c>
      <x:c r="K61" s="109" t="str">
        <x:v>n.a.</x:v>
      </x:c>
      <x:c r="L61" s="109" t="str">
        <x:v>n.a.</x:v>
      </x:c>
      <x:c r="M61" s="109" t="str">
        <x:v>n.a.</x:v>
      </x:c>
      <x:c r="N61" s="109" t="str">
        <x:v>n.a.</x:v>
      </x:c>
      <x:c r="O61" s="109" t="n">
        <x:f>'Debt and Leases'!O11</x:f>
        <x:v>0</x:v>
      </x:c>
      <x:c r="P61" s="109" t="n">
        <x:f>'Debt and Leases'!P11</x:f>
        <x:v>0</x:v>
      </x:c>
      <x:c r="Q61" s="109" t="n">
        <x:f>'Debt and Leases'!Q11</x:f>
        <x:v>0</x:v>
      </x:c>
      <x:c r="R61" s="109" t="n">
        <x:f>'Debt and Leases'!R11</x:f>
        <x:v>0</x:v>
      </x:c>
      <x:c r="S61" s="109" t="n">
        <x:f>'Debt and Leases'!S11</x:f>
        <x:v>0</x:v>
      </x:c>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4" t="str">
        <x:v>Selected-case observations</x:v>
      </x:c>
      <x:c r="D79" s="104"/>
      <x:c r="E79" s="104"/>
      <x:c r="F79" s="104"/>
      <x:c r="G79" s="104"/>
      <x:c r="H79" s="104"/>
      <x:c r="I79" s="104"/>
      <x:c r="J79" s="104"/>
      <x:c r="K79" s="104"/>
      <x:c r="L79" s="104"/>
      <x:c r="M79" s="104"/>
      <x:c r="N79" s="104"/>
      <x:c r="O79" s="104"/>
      <x:c r="P79" s="104"/>
      <x:c r="Q79" s="104"/>
      <x:c r="R79" s="104"/>
      <x:c r="S79" s="104"/>
      <x:c r="T79" s="103"/>
      <x:c r="U79" s="103"/>
    </x:row>
    <x:row r="80" ht="24" customHeight="1">
      <x:c r="A80" s="103"/>
      <x:c r="B80" s="103"/>
      <x:c r="C80" s="103" t="str">
        <x:f>"FY2031 CFO: "&amp;FIXED(S28/1000,1,TRUE)&amp;"bn. Cash capex: "&amp;FIXED(-S30/1000,1,TRUE)&amp;"bn. FCF: "&amp;FIXED(S56/1000,1,TRUE)&amp;"bn."</x:f>
        <x:v>FY2031 CFO: 385.3bn. Cash capex: 129.6bn. FCF: 255.7bn.</x:v>
      </x:c>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t="str">
        <x:f>"Finance lease principal reduces FY2031 FCF by "&amp;FIXED((S56-S57)/1000,1,TRUE)&amp;"bn."</x:f>
        <x:v>Finance lease principal reduces FY2031 FCF by 14.1bn.</x:v>
      </x:c>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t="str">
        <x:f>"FY2031 reserve liquidation: "&amp;FIXED(S60/1000,1,TRUE)&amp;"bn; liquidity borrowing requirement: "&amp;FIXED(S61/1000,1,TRUE)&amp;"bn."</x:f>
        <x:v>FY2031 reserve liquidation: 0.0bn; liquidity borrowing requirement: 0.0bn.</x:v>
      </x:c>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row r="99" ht="24" customHeight="1"/>
    <x:row r="100" ht="24" customHeight="1"/>
    <x:row r="101" ht="24" customHeight="1"/>
    <x:row r="102" ht="24" customHeight="1"/>
    <x:row r="103" ht="24" customHeight="1"/>
    <x:row r="104" ht="24" customHeight="1"/>
    <x:row r="105" ht="24" customHeight="1"/>
    <x:row r="106" ht="24" customHeight="1">
      <x:c r="C106" s="138" t="str">
        <x:v>Fiscal year</x:v>
      </x:c>
      <x:c r="D106" s="138" t="str">
        <x:v>CFO</x:v>
      </x:c>
      <x:c r="E106" s="138" t="str">
        <x:v>Cash capex</x:v>
      </x:c>
      <x:c r="F106" s="138" t="str">
        <x:v>FCF</x:v>
      </x:c>
    </x:row>
    <x:row r="107" ht="24" customHeight="1">
      <x:c r="C107" s="128" t="str">
        <x:f>"FY2017 A"</x:f>
        <x:v>FY2017 A</x:v>
      </x:c>
      <x:c r="D107" s="134" t="n">
        <x:f>IF(OR(E28="n.a.",ISBLANK(E28)),"",E28)</x:f>
        <x:v>39507</x:v>
      </x:c>
      <x:c r="E107" s="134" t="n">
        <x:f>IF(OR(E30="n.a.",ISBLANK(E30)),"",-E30)</x:f>
        <x:v>8129</x:v>
      </x:c>
      <x:c r="F107" s="134" t="n">
        <x:f>IF(OR(E56="n.a.",ISBLANK(E56)),"",E56)</x:f>
        <x:v>31378</x:v>
      </x:c>
    </x:row>
    <x:row r="108" ht="24" customHeight="1">
      <x:c r="C108" s="128" t="str">
        <x:f>"FY2018 A"</x:f>
        <x:v>FY2018 A</x:v>
      </x:c>
      <x:c r="D108" s="134" t="n">
        <x:f>IF(OR(F28="n.a.",ISBLANK(F28)),"",F28)</x:f>
        <x:v>43884</x:v>
      </x:c>
      <x:c r="E108" s="134" t="n">
        <x:f>IF(OR(F30="n.a.",ISBLANK(F30)),"",-F30)</x:f>
        <x:v>11632</x:v>
      </x:c>
      <x:c r="F108" s="134" t="n">
        <x:f>IF(OR(F56="n.a.",ISBLANK(F56)),"",F56)</x:f>
        <x:v>32252</x:v>
      </x:c>
    </x:row>
    <x:row r="109" ht="24" customHeight="1">
      <x:c r="C109" s="128" t="str">
        <x:f>"FY2019 A"</x:f>
        <x:v>FY2019 A</x:v>
      </x:c>
      <x:c r="D109" s="134" t="n">
        <x:f>IF(OR(G28="n.a.",ISBLANK(G28)),"",G28)</x:f>
        <x:v>52185</x:v>
      </x:c>
      <x:c r="E109" s="134" t="n">
        <x:f>IF(OR(G30="n.a.",ISBLANK(G30)),"",-G30)</x:f>
        <x:v>13925</x:v>
      </x:c>
      <x:c r="F109" s="134" t="n">
        <x:f>IF(OR(G56="n.a.",ISBLANK(G56)),"",G56)</x:f>
        <x:v>38260</x:v>
      </x:c>
    </x:row>
    <x:row r="110" ht="24" customHeight="1">
      <x:c r="C110" s="128" t="str">
        <x:f>"FY2020 A"</x:f>
        <x:v>FY2020 A</x:v>
      </x:c>
      <x:c r="D110" s="134" t="n">
        <x:f>IF(OR(H28="n.a.",ISBLANK(H28)),"",H28)</x:f>
        <x:v>60675</x:v>
      </x:c>
      <x:c r="E110" s="134" t="n">
        <x:f>IF(OR(H30="n.a.",ISBLANK(H30)),"",-H30)</x:f>
        <x:v>15441</x:v>
      </x:c>
      <x:c r="F110" s="134" t="n">
        <x:f>IF(OR(H56="n.a.",ISBLANK(H56)),"",H56)</x:f>
        <x:v>45234</x:v>
      </x:c>
    </x:row>
    <x:row r="111" ht="24" customHeight="1">
      <x:c r="C111" s="128" t="str">
        <x:f>"FY2021 A"</x:f>
        <x:v>FY2021 A</x:v>
      </x:c>
      <x:c r="D111" s="134" t="n">
        <x:f>IF(OR(I28="n.a.",ISBLANK(I28)),"",I28)</x:f>
        <x:v>76740</x:v>
      </x:c>
      <x:c r="E111" s="134" t="n">
        <x:f>IF(OR(I30="n.a.",ISBLANK(I30)),"",-I30)</x:f>
        <x:v>20622</x:v>
      </x:c>
      <x:c r="F111" s="134" t="n">
        <x:f>IF(OR(I56="n.a.",ISBLANK(I56)),"",I56)</x:f>
        <x:v>56118</x:v>
      </x:c>
    </x:row>
    <x:row r="112" ht="24" customHeight="1">
      <x:c r="C112" s="128" t="str">
        <x:f>"FY2022 A"</x:f>
        <x:v>FY2022 A</x:v>
      </x:c>
      <x:c r="D112" s="134" t="n">
        <x:f>IF(OR(J28="n.a.",ISBLANK(J28)),"",J28)</x:f>
        <x:v>89035</x:v>
      </x:c>
      <x:c r="E112" s="134" t="n">
        <x:f>IF(OR(J30="n.a.",ISBLANK(J30)),"",-J30)</x:f>
        <x:v>23886</x:v>
      </x:c>
      <x:c r="F112" s="134" t="n">
        <x:f>IF(OR(J56="n.a.",ISBLANK(J56)),"",J56)</x:f>
        <x:v>65149</x:v>
      </x:c>
    </x:row>
    <x:row r="113" ht="24" customHeight="1">
      <x:c r="C113" s="128" t="str">
        <x:f>"FY2023 A"</x:f>
        <x:v>FY2023 A</x:v>
      </x:c>
      <x:c r="D113" s="134" t="n">
        <x:f>IF(OR(K28="n.a.",ISBLANK(K28)),"",K28)</x:f>
        <x:v>87582</x:v>
      </x:c>
      <x:c r="E113" s="134" t="n">
        <x:f>IF(OR(K30="n.a.",ISBLANK(K30)),"",-K30)</x:f>
        <x:v>28107</x:v>
      </x:c>
      <x:c r="F113" s="134" t="n">
        <x:f>IF(OR(K56="n.a.",ISBLANK(K56)),"",K56)</x:f>
        <x:v>59475</x:v>
      </x:c>
    </x:row>
    <x:row r="114" ht="24" customHeight="1">
      <x:c r="C114" s="128" t="str">
        <x:f>"FY2024 A"</x:f>
        <x:v>FY2024 A</x:v>
      </x:c>
      <x:c r="D114" s="134" t="n">
        <x:f>IF(OR(L28="n.a.",ISBLANK(L28)),"",L28)</x:f>
        <x:v>118548</x:v>
      </x:c>
      <x:c r="E114" s="134" t="n">
        <x:f>IF(OR(L30="n.a.",ISBLANK(L30)),"",-L30)</x:f>
        <x:v>44477</x:v>
      </x:c>
      <x:c r="F114" s="134" t="n">
        <x:f>IF(OR(L56="n.a.",ISBLANK(L56)),"",L56)</x:f>
        <x:v>74071</x:v>
      </x:c>
    </x:row>
    <x:row r="115" ht="24" customHeight="1">
      <x:c r="C115" s="128" t="str">
        <x:f>"FY2025 A"</x:f>
        <x:v>FY2025 A</x:v>
      </x:c>
      <x:c r="D115" s="134" t="n">
        <x:f>IF(OR(M28="n.a.",ISBLANK(M28)),"",M28)</x:f>
        <x:v>136162</x:v>
      </x:c>
      <x:c r="E115" s="134" t="n">
        <x:f>IF(OR(M30="n.a.",ISBLANK(M30)),"",-M30)</x:f>
        <x:v>64551</x:v>
      </x:c>
      <x:c r="F115" s="134" t="n">
        <x:f>IF(OR(M56="n.a.",ISBLANK(M56)),"",M56)</x:f>
        <x:v>71611</x:v>
      </x:c>
    </x:row>
    <x:row r="116" ht="24" customHeight="1">
      <x:c r="C116" s="128" t="str">
        <x:f>"FY2026 A"</x:f>
        <x:v>FY2026 A</x:v>
      </x:c>
      <x:c r="D116" s="134" t="n">
        <x:f>IF(OR(N28="n.a.",ISBLANK(N28)),"",N28)</x:f>
        <x:v>182935</x:v>
      </x:c>
      <x:c r="E116" s="134" t="n">
        <x:f>IF(OR(N30="n.a.",ISBLANK(N30)),"",-N30)</x:f>
        <x:v>115948</x:v>
      </x:c>
      <x:c r="F116" s="134" t="n">
        <x:f>IF(OR(N56="n.a.",ISBLANK(N56)),"",N56)</x:f>
        <x:v>66987</x:v>
      </x:c>
    </x:row>
    <x:row r="117" ht="24" customHeight="1">
      <x:c r="C117" s="128" t="str">
        <x:f>"FY2027 E"</x:f>
        <x:v>FY2027 E</x:v>
      </x:c>
      <x:c r="D117" s="134" t="n">
        <x:f>IF(OR(O28="n.a.",ISBLANK(O28)),"",O28)</x:f>
        <x:v>209011.48254010986</x:v>
      </x:c>
      <x:c r="E117" s="134" t="n">
        <x:f>IF(OR(O30="n.a.",ISBLANK(O30)),"",-O30)</x:f>
        <x:v>123215.61600000002</x:v>
      </x:c>
      <x:c r="F117" s="134" t="n">
        <x:f>IF(OR(O56="n.a.",ISBLANK(O56)),"",O56)</x:f>
        <x:v>85795.86654010984</x:v>
      </x:c>
    </x:row>
    <x:row r="118" ht="24" customHeight="1">
      <x:c r="C118" s="128" t="str">
        <x:f>"FY2028 E"</x:f>
        <x:v>FY2028 E</x:v>
      </x:c>
      <x:c r="D118" s="134" t="n">
        <x:f>IF(OR(P28="n.a.",ISBLANK(P28)),"",P28)</x:f>
        <x:v>249569.956978507</x:v>
      </x:c>
      <x:c r="E118" s="134" t="n">
        <x:f>IF(OR(P30="n.a.",ISBLANK(P30)),"",-P30)</x:f>
        <x:v>124453.68387200002</x:v>
      </x:c>
      <x:c r="F118" s="134" t="n">
        <x:f>IF(OR(P56="n.a.",ISBLANK(P56)),"",P56)</x:f>
        <x:v>125116.27310650697</x:v>
      </x:c>
    </x:row>
    <x:row r="119" ht="24" customHeight="1">
      <x:c r="C119" s="128" t="str">
        <x:f>"FY2029 E"</x:f>
        <x:v>FY2029 E</x:v>
      </x:c>
      <x:c r="D119" s="134" t="n">
        <x:f>IF(OR(Q28="n.a.",ISBLANK(Q28)),"",Q28)</x:f>
        <x:v>290816.893479639</x:v>
      </x:c>
      <x:c r="E119" s="134" t="n">
        <x:f>IF(OR(Q30="n.a.",ISBLANK(Q30)),"",-Q30)</x:f>
        <x:v>127230.579108</x:v>
      </x:c>
      <x:c r="F119" s="134" t="n">
        <x:f>IF(OR(Q56="n.a.",ISBLANK(Q56)),"",Q56)</x:f>
        <x:v>163586.31437163902</x:v>
      </x:c>
    </x:row>
    <x:row r="120" ht="24" customHeight="1">
      <x:c r="C120" s="128" t="str">
        <x:f>"FY2030 E"</x:f>
        <x:v>FY2030 E</x:v>
      </x:c>
      <x:c r="D120" s="134" t="n">
        <x:f>IF(OR(R28="n.a.",ISBLANK(R28)),"",R28)</x:f>
        <x:v>336670.33706154244</x:v>
      </x:c>
      <x:c r="E120" s="134" t="n">
        <x:f>IF(OR(R30="n.a.",ISBLANK(R30)),"",-R30)</x:f>
        <x:v>127006.38828240002</x:v>
      </x:c>
      <x:c r="F120" s="134" t="n">
        <x:f>IF(OR(R56="n.a.",ISBLANK(R56)),"",R56)</x:f>
        <x:v>209663.9487791424</x:v>
      </x:c>
    </x:row>
    <x:row r="121" ht="24" customHeight="1">
      <x:c r="C121" s="128" t="str">
        <x:f>"FY2031 E"</x:f>
        <x:v>FY2031 E</x:v>
      </x:c>
      <x:c r="D121" s="134" t="n">
        <x:f>IF(OR(S28="n.a.",ISBLANK(S28)),"",S28)</x:f>
        <x:v>385282.59341057274</x:v>
      </x:c>
      <x:c r="E121" s="134" t="n">
        <x:f>IF(OR(S30="n.a.",ISBLANK(S30)),"",-S30)</x:f>
        <x:v>129621.43019877505</x:v>
      </x:c>
      <x:c r="F121" s="134" t="n">
        <x:f>IF(OR(S56="n.a.",ISBLANK(S56)),"",S56)</x:f>
        <x:v>255661.16321179768</x:v>
      </x:c>
    </x:row>
    <x:row r="122" ht="24" customHeight="1"/>
    <x:row r="123" ht="24" customHeight="1"/>
    <x:row r="124" ht="24" customHeight="1"/>
    <x:row r="125" ht="24" customHeight="1">
      <x:c r="C125" s="138" t="str">
        <x:v>Fiscal year</x:v>
      </x:c>
      <x:c r="D125" s="138" t="str">
        <x:v>FCF</x:v>
      </x:c>
      <x:c r="E125" s="138" t="str">
        <x:v>After finance lease principal</x:v>
      </x:c>
    </x:row>
    <x:row r="126" ht="24" customHeight="1">
      <x:c r="C126" s="128" t="str">
        <x:f>"FY2017 A"</x:f>
        <x:v>FY2017 A</x:v>
      </x:c>
      <x:c r="D126" s="134" t="n">
        <x:f>IF(OR(E56="n.a.",ISBLANK(E56)),"",E56)</x:f>
        <x:v>31378</x:v>
      </x:c>
      <x:c r="E126" s="134" t="n">
        <x:f>IF(OR(E57="n.a.",ISBLANK(E57)),"",E57)</x:f>
        <x:v>31332</x:v>
      </x:c>
    </x:row>
    <x:row r="127" ht="24" customHeight="1">
      <x:c r="C127" s="128" t="str">
        <x:f>"FY2018 A"</x:f>
        <x:v>FY2018 A</x:v>
      </x:c>
      <x:c r="D127" s="134" t="n">
        <x:f>IF(OR(F56="n.a.",ISBLANK(F56)),"",F56)</x:f>
        <x:v>32252</x:v>
      </x:c>
      <x:c r="E127" s="134" t="n">
        <x:f>IF(OR(F57="n.a.",ISBLANK(F57)),"",F57)</x:f>
        <x:v>32108</x:v>
      </x:c>
    </x:row>
    <x:row r="128" ht="24" customHeight="1">
      <x:c r="C128" s="128" t="str">
        <x:f>"FY2019 A"</x:f>
        <x:v>FY2019 A</x:v>
      </x:c>
      <x:c r="D128" s="134" t="n">
        <x:f>IF(OR(G56="n.a.",ISBLANK(G56)),"",G56)</x:f>
        <x:v>38260</x:v>
      </x:c>
      <x:c r="E128" s="134" t="n">
        <x:f>IF(OR(G57="n.a.",ISBLANK(G57)),"",G57)</x:f>
        <x:v>38039</x:v>
      </x:c>
    </x:row>
    <x:row r="129" ht="24" customHeight="1">
      <x:c r="C129" s="128" t="str">
        <x:f>"FY2020 A"</x:f>
        <x:v>FY2020 A</x:v>
      </x:c>
      <x:c r="D129" s="134" t="n">
        <x:f>IF(OR(H56="n.a.",ISBLANK(H56)),"",H56)</x:f>
        <x:v>45234</x:v>
      </x:c>
      <x:c r="E129" s="134" t="n">
        <x:f>IF(OR(H57="n.a.",ISBLANK(H57)),"",H57)</x:f>
        <x:v>44825</x:v>
      </x:c>
    </x:row>
    <x:row r="130" ht="24" customHeight="1">
      <x:c r="C130" s="128" t="str">
        <x:f>"FY2021 A"</x:f>
        <x:v>FY2021 A</x:v>
      </x:c>
      <x:c r="D130" s="134" t="n">
        <x:f>IF(OR(I56="n.a.",ISBLANK(I56)),"",I56)</x:f>
        <x:v>56118</x:v>
      </x:c>
      <x:c r="E130" s="134" t="n">
        <x:f>IF(OR(I57="n.a.",ISBLANK(I57)),"",I57)</x:f>
        <x:v>55470</x:v>
      </x:c>
    </x:row>
    <x:row r="131" ht="24" customHeight="1">
      <x:c r="C131" s="128" t="str">
        <x:f>"FY2022 A"</x:f>
        <x:v>FY2022 A</x:v>
      </x:c>
      <x:c r="D131" s="134" t="n">
        <x:f>IF(OR(J56="n.a.",ISBLANK(J56)),"",J56)</x:f>
        <x:v>65149</x:v>
      </x:c>
      <x:c r="E131" s="134" t="n">
        <x:f>IF(OR(J57="n.a.",ISBLANK(J57)),"",J57)</x:f>
        <x:v>64253</x:v>
      </x:c>
    </x:row>
    <x:row r="132" ht="24" customHeight="1">
      <x:c r="C132" s="128" t="str">
        <x:f>"FY2023 A"</x:f>
        <x:v>FY2023 A</x:v>
      </x:c>
      <x:c r="D132" s="134" t="n">
        <x:f>IF(OR(K56="n.a.",ISBLANK(K56)),"",K56)</x:f>
        <x:v>59475</x:v>
      </x:c>
      <x:c r="E132" s="134" t="n">
        <x:f>IF(OR(K57="n.a.",ISBLANK(K57)),"",K57)</x:f>
        <x:v>58419</x:v>
      </x:c>
    </x:row>
    <x:row r="133" ht="24" customHeight="1">
      <x:c r="C133" s="128" t="str">
        <x:f>"FY2024 A"</x:f>
        <x:v>FY2024 A</x:v>
      </x:c>
      <x:c r="D133" s="134" t="n">
        <x:f>IF(OR(L56="n.a.",ISBLANK(L56)),"",L56)</x:f>
        <x:v>74071</x:v>
      </x:c>
      <x:c r="E133" s="134" t="n">
        <x:f>IF(OR(L57="n.a.",ISBLANK(L57)),"",L57)</x:f>
        <x:v>72785</x:v>
      </x:c>
    </x:row>
    <x:row r="134" ht="24" customHeight="1">
      <x:c r="C134" s="128" t="str">
        <x:f>"FY2025 A"</x:f>
        <x:v>FY2025 A</x:v>
      </x:c>
      <x:c r="D134" s="134" t="n">
        <x:f>IF(OR(M56="n.a.",ISBLANK(M56)),"",M56)</x:f>
        <x:v>71611</x:v>
      </x:c>
      <x:c r="E134" s="134" t="n">
        <x:f>IF(OR(M57="n.a.",ISBLANK(M57)),"",M57)</x:f>
        <x:v>69328</x:v>
      </x:c>
    </x:row>
    <x:row r="135" ht="24" customHeight="1">
      <x:c r="C135" s="128" t="str">
        <x:f>"FY2026 A"</x:f>
        <x:v>FY2026 A</x:v>
      </x:c>
      <x:c r="D135" s="134" t="n">
        <x:f>IF(OR(N56="n.a.",ISBLANK(N56)),"",N56)</x:f>
        <x:v>66987</x:v>
      </x:c>
      <x:c r="E135" s="134" t="n">
        <x:f>IF(OR(N57="n.a.",ISBLANK(N57)),"",N57)</x:f>
        <x:v>63886</x:v>
      </x:c>
    </x:row>
    <x:row r="136" ht="24" customHeight="1">
      <x:c r="C136" s="128" t="str">
        <x:f>"FY2027 E"</x:f>
        <x:v>FY2027 E</x:v>
      </x:c>
      <x:c r="D136" s="134" t="n">
        <x:f>IF(OR(O56="n.a.",ISBLANK(O56)),"",O56)</x:f>
        <x:v>85795.86654010984</x:v>
      </x:c>
      <x:c r="E136" s="134" t="n">
        <x:f>IF(OR(O57="n.a.",ISBLANK(O57)),"",O57)</x:f>
        <x:v>80560.87884780215</x:v>
      </x:c>
    </x:row>
    <x:row r="137" ht="24" customHeight="1">
      <x:c r="C137" s="128" t="str">
        <x:f>"FY2028 E"</x:f>
        <x:v>FY2028 E</x:v>
      </x:c>
      <x:c r="D137" s="134" t="n">
        <x:f>IF(OR(P56="n.a.",ISBLANK(P56)),"",P56)</x:f>
        <x:v>125116.27310650697</x:v>
      </x:c>
      <x:c r="E137" s="134" t="n">
        <x:f>IF(OR(P57="n.a.",ISBLANK(P57)),"",P57)</x:f>
        <x:v>117300.74535714602</x:v>
      </x:c>
    </x:row>
    <x:row r="138" ht="24" customHeight="1">
      <x:c r="C138" s="128" t="str">
        <x:f>"FY2029 E"</x:f>
        <x:v>FY2029 E</x:v>
      </x:c>
      <x:c r="D138" s="134" t="n">
        <x:f>IF(OR(Q56="n.a.",ISBLANK(Q56)),"",Q56)</x:f>
        <x:v>163586.31437163902</x:v>
      </x:c>
      <x:c r="E138" s="134" t="n">
        <x:f>IF(OR(Q57="n.a.",ISBLANK(Q57)),"",Q57)</x:f>
        <x:v>153982.44088947584</x:v>
      </x:c>
    </x:row>
    <x:row r="139" ht="24" customHeight="1">
      <x:c r="C139" s="128" t="str">
        <x:f>"FY2030 E"</x:f>
        <x:v>FY2030 E</x:v>
      </x:c>
      <x:c r="D139" s="134" t="n">
        <x:f>IF(OR(R56="n.a.",ISBLANK(R56)),"",R56)</x:f>
        <x:v>209663.9487791424</x:v>
      </x:c>
      <x:c r="E139" s="134" t="n">
        <x:f>IF(OR(R57="n.a.",ISBLANK(R57)),"",R57)</x:f>
        <x:v>197797.45826620416</x:v>
      </x:c>
    </x:row>
    <x:row r="140" ht="24" customHeight="1">
      <x:c r="C140" s="128" t="str">
        <x:f>"FY2031 E"</x:f>
        <x:v>FY2031 E</x:v>
      </x:c>
      <x:c r="D140" s="134" t="n">
        <x:f>IF(OR(S56="n.a.",ISBLANK(S56)),"",S56)</x:f>
        <x:v>255661.16321179768</x:v>
      </x:c>
      <x:c r="E140" s="134" t="n">
        <x:f>IF(OR(S57="n.a.",ISBLANK(S57)),"",S57)</x:f>
        <x:v>241526.09387294645</x:v>
      </x:c>
    </x:row>
  </x:sheetData>
  <x:mergeCells>
    <x:mergeCell ref="C80:S80"/>
    <x:mergeCell ref="C81:S81"/>
    <x:mergeCell ref="C82:S82"/>
  </x:mergeCells>
  <x:pageMargins left="0.7" right="0.7" top="0.75" bottom="0.75" header="0.3" footer="0.3"/>
  <x:drawing xmlns:r="http://schemas.openxmlformats.org/officeDocument/2006/relationships" r:id="R673f4840dbd24097"/>
  <x:legacyDrawing xmlns:r="http://schemas.openxmlformats.org/officeDocument/2006/relationships" r:id="R94b7b56d78e04d79"/>
</x:worksheet>
</file>

<file path=xl/worksheets/sheet10.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Segments</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36" t="str">
        <x:v>Productivity and Business Processes</x:v>
      </x:c>
      <x:c r="D7" s="136"/>
      <x:c r="E7" s="179" t="str">
        <x:v>FY:17 A</x:v>
      </x:c>
      <x:c r="F7" s="179" t="str">
        <x:v>FY:18 A</x:v>
      </x:c>
      <x:c r="G7" s="179" t="str">
        <x:v>FY:19 A</x:v>
      </x:c>
      <x:c r="H7" s="179" t="str">
        <x:v>FY:20 A</x:v>
      </x:c>
      <x:c r="I7" s="179" t="str">
        <x:v>FY:21 A</x:v>
      </x:c>
      <x:c r="J7" s="179" t="str">
        <x:v>FY:22 A</x:v>
      </x:c>
      <x:c r="K7" s="179" t="str">
        <x:v>FY:23 A</x:v>
      </x:c>
      <x:c r="L7" s="179" t="str">
        <x:v>FY:24 A</x:v>
      </x:c>
      <x:c r="M7" s="179" t="str">
        <x:v>FY:25 A</x:v>
      </x:c>
      <x:c r="N7" s="179" t="str">
        <x:v>FY:26 A</x:v>
      </x:c>
      <x:c r="O7" s="179" t="str">
        <x:v>FY:27 E</x:v>
      </x:c>
      <x:c r="P7" s="179" t="str">
        <x:v>FY:28 E</x:v>
      </x:c>
      <x:c r="Q7" s="179" t="str">
        <x:v>FY:29 E</x:v>
      </x:c>
      <x:c r="R7" s="179" t="str">
        <x:v>FY:30 E</x:v>
      </x:c>
      <x:c r="S7" s="179" t="str">
        <x:v>FY:31 E</x:v>
      </x:c>
      <x:c r="T7" s="103"/>
      <x:c r="U7" s="103"/>
    </x:row>
    <x:row r="8" ht="24" customHeight="1">
      <x:c r="A8" s="103"/>
      <x:c r="B8" s="103"/>
      <x:c r="C8" s="103" t="str">
        <x:v>Revenue</x:v>
      </x:c>
      <x:c r="D8" s="103"/>
      <x:c r="E8" s="166" t="n">
        <x:v>29870</x:v>
      </x:c>
      <x:c r="F8" s="166" t="n">
        <x:v>35865</x:v>
      </x:c>
      <x:c r="G8" s="166" t="n">
        <x:v>41160</x:v>
      </x:c>
      <x:c r="H8" s="166" t="n">
        <x:v>46398</x:v>
      </x:c>
      <x:c r="I8" s="166" t="n">
        <x:v>53915</x:v>
      </x:c>
      <x:c r="J8" s="166" t="n">
        <x:v>63364</x:v>
      </x:c>
      <x:c r="K8" s="166" t="n">
        <x:v>94151</x:v>
      </x:c>
      <x:c r="L8" s="166" t="n">
        <x:v>106820</x:v>
      </x:c>
      <x:c r="M8" s="166" t="n">
        <x:v>120810</x:v>
      </x:c>
      <x:c r="N8" s="166" t="n">
        <x:v>139996</x:v>
      </x:c>
      <x:c r="O8" s="109" t="n">
        <x:f>N8*(1+'Assumptions'!O9)</x:f>
        <x:v>159595.44000000003</x:v>
      </x:c>
      <x:c r="P8" s="109" t="n">
        <x:f>O8*(1+'Assumptions'!P9)</x:f>
        <x:v>180342.84720000002</x:v>
      </x:c>
      <x:c r="Q8" s="109" t="n">
        <x:f>P8*(1+'Assumptions'!Q9)</x:f>
        <x:v>201983.98886400004</x:v>
      </x:c>
      <x:c r="R8" s="109" t="n">
        <x:f>Q8*(1+'Assumptions'!R9)</x:f>
        <x:v>224202.22763904007</x:v>
      </x:c>
      <x:c r="S8" s="109" t="n">
        <x:f>R8*(1+'Assumptions'!S9)</x:f>
        <x:v>246622.4504029441</x:v>
      </x:c>
      <x:c r="T8" s="103"/>
      <x:c r="U8" s="103"/>
    </x:row>
    <x:row r="9" ht="24" customHeight="1">
      <x:c r="A9" s="103"/>
      <x:c r="B9" s="103"/>
      <x:c r="C9" s="105" t="str">
        <x:v>Revenue growth</x:v>
      </x:c>
      <x:c r="D9" s="105"/>
      <x:c r="E9" s="119" t="str">
        <x:f>"n.a."</x:f>
        <x:v>n.a.</x:v>
      </x:c>
      <x:c r="F9" s="119" t="n">
        <x:f>F8/E8-1</x:f>
        <x:v>0.20070304653498483</x:v>
      </x:c>
      <x:c r="G9" s="119" t="n">
        <x:f>G8/F8-1</x:f>
        <x:v>0.14763697197825176</x:v>
      </x:c>
      <x:c r="H9" s="119" t="n">
        <x:f>H8/G8-1</x:f>
        <x:v>0.12725947521865888</x:v>
      </x:c>
      <x:c r="I9" s="119" t="n">
        <x:f>I8/H8-1</x:f>
        <x:v>0.1620112935902409</x:v>
      </x:c>
      <x:c r="J9" s="119" t="n">
        <x:f>J8/I8-1</x:f>
        <x:v>0.17525734953167027</x:v>
      </x:c>
      <x:c r="K9" s="119" t="str">
        <x:f>"n.a."</x:f>
        <x:v>n.a.</x:v>
      </x:c>
      <x:c r="L9" s="119" t="n">
        <x:f>L8/K8-1</x:f>
        <x:v>0.1345604401440239</x:v>
      </x:c>
      <x:c r="M9" s="119" t="n">
        <x:f>M8/L8-1</x:f>
        <x:v>0.13096798352368477</x:v>
      </x:c>
      <x:c r="N9" s="119" t="n">
        <x:f>N8/M8-1</x:f>
        <x:v>0.15881135667577184</x:v>
      </x:c>
      <x:c r="O9" s="119" t="n">
        <x:f>O8/N8-1</x:f>
        <x:v>0.14000000000000012</x:v>
      </x:c>
      <x:c r="P9" s="119" t="n">
        <x:f>P8/O8-1</x:f>
        <x:v>0.1299999999999999</x:v>
      </x:c>
      <x:c r="Q9" s="119" t="n">
        <x:f>Q8/P8-1</x:f>
        <x:v>0.1200000000000001</x:v>
      </x:c>
      <x:c r="R9" s="119" t="n">
        <x:f>R8/Q8-1</x:f>
        <x:v>0.1100000000000001</x:v>
      </x:c>
      <x:c r="S9" s="119" t="n">
        <x:f>S8/R8-1</x:f>
        <x:v>0.10000000000000009</x:v>
      </x:c>
      <x:c r="T9" s="103"/>
      <x:c r="U9" s="103"/>
    </x:row>
    <x:row r="10" ht="24" customHeight="1">
      <x:c r="A10" s="103"/>
      <x:c r="B10" s="103"/>
      <x:c r="C10" s="103" t="str">
        <x:v>Cost before allocated D&amp;A and operating leases</x:v>
      </x:c>
      <x:c r="D10" s="103"/>
      <x:c r="E10" s="109" t="str">
        <x:v>n.a.</x:v>
      </x:c>
      <x:c r="F10" s="109" t="str">
        <x:v>n.a.</x:v>
      </x:c>
      <x:c r="G10" s="109" t="str">
        <x:v>n.a.</x:v>
      </x:c>
      <x:c r="H10" s="109" t="str">
        <x:v>n.a.</x:v>
      </x:c>
      <x:c r="I10" s="109" t="str">
        <x:v>n.a.</x:v>
      </x:c>
      <x:c r="J10" s="109" t="str">
        <x:v>n.a.</x:v>
      </x:c>
      <x:c r="K10" s="109" t="str">
        <x:v>n.a.</x:v>
      </x:c>
      <x:c r="L10" s="109" t="str">
        <x:v>n.a.</x:v>
      </x:c>
      <x:c r="M10" s="109" t="str">
        <x:v>n.a.</x:v>
      </x:c>
      <x:c r="N10" s="109" t="str">
        <x:v>n.a.</x:v>
      </x:c>
      <x:c r="O10" s="109" t="n">
        <x:f>O8*'Assumptions'!O21</x:f>
        <x:v>23903.976000000006</x:v>
      </x:c>
      <x:c r="P10" s="109" t="n">
        <x:f>P8*'Assumptions'!P21</x:f>
        <x:v>26650.807185600002</x:v>
      </x:c>
      <x:c r="Q10" s="109" t="n">
        <x:f>Q8*'Assumptions'!Q21</x:f>
        <x:v>29444.936070144005</x:v>
      </x:c>
      <x:c r="R10" s="109" t="n">
        <x:f>R8*'Assumptions'!R21</x:f>
        <x:v>32235.474582581766</x:v>
      </x:c>
      <x:c r="S10" s="109" t="n">
        <x:f>S8*'Assumptions'!S21</x:f>
        <x:v>34965.77714003406</x:v>
      </x:c>
      <x:c r="T10" s="103"/>
      <x:c r="U10" s="103"/>
    </x:row>
    <x:row r="11" ht="24" customHeight="1">
      <x:c r="A11" s="103"/>
      <x:c r="B11" s="103"/>
      <x:c r="C11" s="103" t="str">
        <x:v>Allocated PPE depreciation</x:v>
      </x:c>
      <x:c r="D11" s="103"/>
      <x:c r="E11" s="109" t="str">
        <x:v>n.a.</x:v>
      </x:c>
      <x:c r="F11" s="109" t="str">
        <x:v>n.a.</x:v>
      </x:c>
      <x:c r="G11" s="109" t="str">
        <x:v>n.a.</x:v>
      </x:c>
      <x:c r="H11" s="109" t="str">
        <x:v>n.a.</x:v>
      </x:c>
      <x:c r="I11" s="109" t="str">
        <x:v>n.a.</x:v>
      </x:c>
      <x:c r="J11" s="109" t="str">
        <x:v>n.a.</x:v>
      </x:c>
      <x:c r="K11" s="109" t="str">
        <x:v>n.a.</x:v>
      </x:c>
      <x:c r="L11" s="109" t="str">
        <x:v>n.a.</x:v>
      </x:c>
      <x:c r="M11" s="109" t="str">
        <x:v>n.a.</x:v>
      </x:c>
      <x:c r="N11" s="109" t="str">
        <x:v>n.a.</x:v>
      </x:c>
      <x:c r="O11" s="109" t="n">
        <x:f>'PPE and Intangibles'!O21*'Assumptions'!E205</x:f>
        <x:v>2515.96833</x:v>
      </x:c>
      <x:c r="P11" s="109" t="n">
        <x:f>'PPE and Intangibles'!P21*'Assumptions'!E205</x:f>
        <x:v>3779.981013070667</x:v>
      </x:c>
      <x:c r="Q11" s="109" t="n">
        <x:f>'PPE and Intangibles'!Q21*'Assumptions'!E205</x:f>
        <x:v>5078.278529626335</x:v>
      </x:c>
      <x:c r="R11" s="109" t="n">
        <x:f>'PPE and Intangibles'!R21*'Assumptions'!E205</x:f>
        <x:v>6400.504592610734</x:v>
      </x:c>
      <x:c r="S11" s="109" t="n">
        <x:f>'PPE and Intangibles'!S21*'Assumptions'!E205</x:f>
        <x:v>7742.627495309114</x:v>
      </x:c>
      <x:c r="T11" s="103"/>
      <x:c r="U11" s="103"/>
    </x:row>
    <x:row r="12" ht="24" customHeight="1">
      <x:c r="A12" s="103"/>
      <x:c r="B12" s="103"/>
      <x:c r="C12" s="103" t="str">
        <x:v>Allocated intangible amortization</x:v>
      </x:c>
      <x:c r="D12" s="103"/>
      <x:c r="E12" s="109" t="str">
        <x:v>n.a.</x:v>
      </x:c>
      <x:c r="F12" s="109" t="str">
        <x:v>n.a.</x:v>
      </x:c>
      <x:c r="G12" s="109" t="str">
        <x:v>n.a.</x:v>
      </x:c>
      <x:c r="H12" s="109" t="str">
        <x:v>n.a.</x:v>
      </x:c>
      <x:c r="I12" s="109" t="str">
        <x:v>n.a.</x:v>
      </x:c>
      <x:c r="J12" s="109" t="str">
        <x:v>n.a.</x:v>
      </x:c>
      <x:c r="K12" s="109" t="str">
        <x:v>n.a.</x:v>
      </x:c>
      <x:c r="L12" s="109" t="str">
        <x:v>n.a.</x:v>
      </x:c>
      <x:c r="M12" s="109" t="str">
        <x:v>n.a.</x:v>
      </x:c>
      <x:c r="N12" s="109" t="str">
        <x:v>n.a.</x:v>
      </x:c>
      <x:c r="O12" s="109" t="n">
        <x:f>'PPE and Intangibles'!O42*'Assumptions'!E206</x:f>
        <x:v>619.4000000000001</x:v>
      </x:c>
      <x:c r="P12" s="109" t="n">
        <x:f>'PPE and Intangibles'!P42*'Assumptions'!E206</x:f>
        <x:v>428.20000000000005</x:v>
      </x:c>
      <x:c r="Q12" s="109" t="n">
        <x:f>'PPE and Intangibles'!Q42*'Assumptions'!E206</x:f>
        <x:v>388.8</x:v>
      </x:c>
      <x:c r="R12" s="109" t="n">
        <x:f>'PPE and Intangibles'!R42*'Assumptions'!E206</x:f>
        <x:v>295.40000000000003</x:v>
      </x:c>
      <x:c r="S12" s="109" t="n">
        <x:f>'PPE and Intangibles'!S42*'Assumptions'!E206</x:f>
        <x:v>225.60000000000002</x:v>
      </x:c>
      <x:c r="T12" s="103"/>
      <x:c r="U12" s="103"/>
    </x:row>
    <x:row r="13" ht="24" customHeight="1">
      <x:c r="A13" s="103"/>
      <x:c r="B13" s="103"/>
      <x:c r="C13" s="103" t="str">
        <x:v>Allocated operating lease expense</x:v>
      </x:c>
      <x:c r="D13" s="103"/>
      <x:c r="E13" s="109" t="str">
        <x:v>n.a.</x:v>
      </x:c>
      <x:c r="F13" s="109" t="str">
        <x:v>n.a.</x:v>
      </x:c>
      <x:c r="G13" s="109" t="str">
        <x:v>n.a.</x:v>
      </x:c>
      <x:c r="H13" s="109" t="str">
        <x:v>n.a.</x:v>
      </x:c>
      <x:c r="I13" s="109" t="str">
        <x:v>n.a.</x:v>
      </x:c>
      <x:c r="J13" s="109" t="str">
        <x:v>n.a.</x:v>
      </x:c>
      <x:c r="K13" s="109" t="str">
        <x:v>n.a.</x:v>
      </x:c>
      <x:c r="L13" s="109" t="str">
        <x:v>n.a.</x:v>
      </x:c>
      <x:c r="M13" s="109" t="str">
        <x:v>n.a.</x:v>
      </x:c>
      <x:c r="N13" s="109" t="str">
        <x:v>n.a.</x:v>
      </x:c>
      <x:c r="O13" s="109" t="n">
        <x:f>'Debt and Leases'!O61*'Assumptions'!E207</x:f>
        <x:v>1085.7774084</x:v>
      </x:c>
      <x:c r="P13" s="109" t="n">
        <x:f>'Debt and Leases'!P61*'Assumptions'!E207</x:f>
        <x:v>1280.5885390532</x:v>
      </x:c>
      <x:c r="Q13" s="109" t="n">
        <x:f>'Debt and Leases'!Q61*'Assumptions'!E207</x:f>
        <x:v>1485.7659465058427</x:v>
      </x:c>
      <x:c r="R13" s="109" t="n">
        <x:f>'Debt and Leases'!R61*'Assumptions'!E207</x:f>
        <x:v>1700.5129391388568</x:v>
      </x:c>
      <x:c r="S13" s="109" t="n">
        <x:f>'Debt and Leases'!S61*'Assumptions'!E207</x:f>
        <x:v>1921.9212781189997</x:v>
      </x:c>
      <x:c r="T13" s="103"/>
      <x:c r="U13" s="103"/>
    </x:row>
    <x:row r="14" ht="24" customHeight="1">
      <x:c r="A14" s="103"/>
      <x:c r="B14" s="103"/>
      <x:c r="C14" s="103" t="str">
        <x:v>Total cost of revenue</x:v>
      </x:c>
      <x:c r="D14" s="103"/>
      <x:c r="E14" s="109" t="str">
        <x:v>n.a.</x:v>
      </x:c>
      <x:c r="F14" s="109" t="str">
        <x:v>n.a.</x:v>
      </x:c>
      <x:c r="G14" s="109" t="str">
        <x:v>n.a.</x:v>
      </x:c>
      <x:c r="H14" s="109" t="str">
        <x:v>n.a.</x:v>
      </x:c>
      <x:c r="I14" s="109" t="str">
        <x:v>n.a.</x:v>
      </x:c>
      <x:c r="J14" s="109" t="str">
        <x:v>n.a.</x:v>
      </x:c>
      <x:c r="K14" s="166" t="n">
        <x:v>17202</x:v>
      </x:c>
      <x:c r="L14" s="166" t="n">
        <x:v>19611</x:v>
      </x:c>
      <x:c r="M14" s="166" t="n">
        <x:v>22422</x:v>
      </x:c>
      <x:c r="N14" s="166" t="n">
        <x:v>25017</x:v>
      </x:c>
      <x:c r="O14" s="109" t="n">
        <x:f>SUM(O10:O13)</x:f>
        <x:v>28125.12173840001</x:v>
      </x:c>
      <x:c r="P14" s="109" t="n">
        <x:f>SUM(P10:P13)</x:f>
        <x:v>32139.57673772387</x:v>
      </x:c>
      <x:c r="Q14" s="109" t="n">
        <x:f>SUM(Q10:Q13)</x:f>
        <x:v>36397.78054627619</x:v>
      </x:c>
      <x:c r="R14" s="109" t="n">
        <x:f>SUM(R10:R13)</x:f>
        <x:v>40631.89211433136</x:v>
      </x:c>
      <x:c r="S14" s="109" t="n">
        <x:f>SUM(S10:S13)</x:f>
        <x:v>44855.92591346217</x:v>
      </x:c>
      <x:c r="T14" s="103"/>
      <x:c r="U14" s="103"/>
    </x:row>
    <x:row r="15" ht="24" customHeight="1">
      <x:c r="A15" s="103"/>
      <x:c r="B15" s="103"/>
      <x:c r="C15" s="103" t="str">
        <x:v>Gross profit</x:v>
      </x:c>
      <x:c r="D15" s="103"/>
      <x:c r="E15" s="109" t="str">
        <x:v>n.a.</x:v>
      </x:c>
      <x:c r="F15" s="109" t="str">
        <x:v>n.a.</x:v>
      </x:c>
      <x:c r="G15" s="109" t="str">
        <x:v>n.a.</x:v>
      </x:c>
      <x:c r="H15" s="109" t="str">
        <x:v>n.a.</x:v>
      </x:c>
      <x:c r="I15" s="109" t="str">
        <x:v>n.a.</x:v>
      </x:c>
      <x:c r="J15" s="109" t="str">
        <x:v>n.a.</x:v>
      </x:c>
      <x:c r="K15" s="109" t="n">
        <x:f>K8-K14</x:f>
        <x:v>76949</x:v>
      </x:c>
      <x:c r="L15" s="109" t="n">
        <x:f>L8-L14</x:f>
        <x:v>87209</x:v>
      </x:c>
      <x:c r="M15" s="109" t="n">
        <x:f>M8-M14</x:f>
        <x:v>98388</x:v>
      </x:c>
      <x:c r="N15" s="109" t="n">
        <x:f>N8-N14</x:f>
        <x:v>114979</x:v>
      </x:c>
      <x:c r="O15" s="109" t="n">
        <x:f>O8-O14</x:f>
        <x:v>131470.3182616</x:v>
      </x:c>
      <x:c r="P15" s="109" t="n">
        <x:f>P8-P14</x:f>
        <x:v>148203.27046227615</x:v>
      </x:c>
      <x:c r="Q15" s="109" t="n">
        <x:f>Q8-Q14</x:f>
        <x:v>165586.20831772385</x:v>
      </x:c>
      <x:c r="R15" s="109" t="n">
        <x:f>R8-R14</x:f>
        <x:v>183570.3355247087</x:v>
      </x:c>
      <x:c r="S15" s="109" t="n">
        <x:f>S8-S14</x:f>
        <x:v>201766.52448948193</x:v>
      </x:c>
      <x:c r="T15" s="103"/>
      <x:c r="U15" s="103"/>
    </x:row>
    <x:row r="16" ht="24" customHeight="1">
      <x:c r="A16" s="103"/>
      <x:c r="B16" s="103"/>
      <x:c r="C16" s="105" t="str">
        <x:v>Gross margin</x:v>
      </x:c>
      <x:c r="D16" s="105"/>
      <x:c r="E16" s="119" t="str">
        <x:v>n.a.</x:v>
      </x:c>
      <x:c r="F16" s="119" t="str">
        <x:v>n.a.</x:v>
      </x:c>
      <x:c r="G16" s="119" t="str">
        <x:v>n.a.</x:v>
      </x:c>
      <x:c r="H16" s="119" t="str">
        <x:v>n.a.</x:v>
      </x:c>
      <x:c r="I16" s="119" t="str">
        <x:v>n.a.</x:v>
      </x:c>
      <x:c r="J16" s="119" t="str">
        <x:v>n.a.</x:v>
      </x:c>
      <x:c r="K16" s="119" t="n">
        <x:f>K15/K8</x:f>
        <x:v>0.8172934966171364</x:v>
      </x:c>
      <x:c r="L16" s="119" t="n">
        <x:f>L15/L8</x:f>
        <x:v>0.8164107844972851</x:v>
      </x:c>
      <x:c r="M16" s="119" t="n">
        <x:f>M15/M8</x:f>
        <x:v>0.8144027812267196</x:v>
      </x:c>
      <x:c r="N16" s="119" t="n">
        <x:f>N15/N8</x:f>
        <x:v>0.8213020372010629</x:v>
      </x:c>
      <x:c r="O16" s="119" t="n">
        <x:f>O15/O8</x:f>
        <x:v>0.8237723976424388</x:v>
      </x:c>
      <x:c r="P16" s="119" t="n">
        <x:f>P15/P8</x:f>
        <x:v>0.8217862408367042</x:v>
      </x:c>
      <x:c r="Q16" s="119" t="n">
        <x:f>Q15/Q8</x:f>
        <x:v>0.819798684286884</x:v>
      </x:c>
      <x:c r="R16" s="119" t="n">
        <x:f>R15/R8</x:f>
        <x:v>0.8187712381709797</x:v>
      </x:c>
      <x:c r="S16" s="119" t="n">
        <x:f>S15/S8</x:f>
        <x:v>0.8181190486098313</x:v>
      </x:c>
      <x:c r="T16" s="103"/>
      <x:c r="U16" s="103"/>
    </x:row>
    <x:row r="17" ht="24" customHeight="1">
      <x:c r="A17" s="103"/>
      <x:c r="B17" s="103"/>
      <x:c r="C17" s="103" t="str">
        <x:v>Allocated operating expenses</x:v>
      </x:c>
      <x:c r="D17" s="103"/>
      <x:c r="E17" s="109" t="str">
        <x:v>n.a.</x:v>
      </x:c>
      <x:c r="F17" s="109" t="str">
        <x:v>n.a.</x:v>
      </x:c>
      <x:c r="G17" s="109" t="str">
        <x:v>n.a.</x:v>
      </x:c>
      <x:c r="H17" s="109" t="str">
        <x:v>n.a.</x:v>
      </x:c>
      <x:c r="I17" s="109" t="str">
        <x:v>n.a.</x:v>
      </x:c>
      <x:c r="J17" s="109" t="str">
        <x:v>n.a.</x:v>
      </x:c>
      <x:c r="K17" s="109" t="str">
        <x:v>n.a.</x:v>
      </x:c>
      <x:c r="L17" s="109" t="str">
        <x:v>n.a.</x:v>
      </x:c>
      <x:c r="M17" s="109" t="str">
        <x:v>n.a.</x:v>
      </x:c>
      <x:c r="N17" s="109" t="str">
        <x:v>n.a.</x:v>
      </x:c>
      <x:c r="O17" s="109" t="n">
        <x:f>'Expense Plan'!O24*'Assumptions'!E208</x:f>
        <x:v>36484.083218340005</x:v>
      </x:c>
      <x:c r="P17" s="109" t="n">
        <x:f>'Expense Plan'!P24*'Assumptions'!E208</x:f>
        <x:v>42827.30447429389</x:v>
      </x:c>
      <x:c r="Q17" s="109" t="n">
        <x:f>'Expense Plan'!Q24*'Assumptions'!E208</x:f>
        <x:v>49564.658831277986</x:v>
      </x:c>
      <x:c r="R17" s="109" t="n">
        <x:f>'Expense Plan'!R24*'Assumptions'!E208</x:f>
        <x:v>56534.149560459125</x:v>
      </x:c>
      <x:c r="S17" s="109" t="n">
        <x:f>'Expense Plan'!S24*'Assumptions'!E208</x:f>
        <x:v>63613.47850006439</x:v>
      </x:c>
      <x:c r="T17" s="103"/>
      <x:c r="U17" s="103"/>
    </x:row>
    <x:row r="18" ht="24" customHeight="1">
      <x:c r="A18" s="103"/>
      <x:c r="B18" s="103"/>
      <x:c r="C18" s="103" t="str">
        <x:v>Operating income</x:v>
      </x:c>
      <x:c r="D18" s="103"/>
      <x:c r="E18" s="166" t="n">
        <x:v>11389</x:v>
      </x:c>
      <x:c r="F18" s="166" t="n">
        <x:v>12924</x:v>
      </x:c>
      <x:c r="G18" s="166" t="n">
        <x:v>16219</x:v>
      </x:c>
      <x:c r="H18" s="166" t="n">
        <x:v>18724</x:v>
      </x:c>
      <x:c r="I18" s="166" t="n">
        <x:v>24351</x:v>
      </x:c>
      <x:c r="J18" s="166" t="n">
        <x:v>29690</x:v>
      </x:c>
      <x:c r="K18" s="166" t="n">
        <x:v>50074</x:v>
      </x:c>
      <x:c r="L18" s="166" t="n">
        <x:v>59661</x:v>
      </x:c>
      <x:c r="M18" s="166" t="n">
        <x:v>69773</x:v>
      </x:c>
      <x:c r="N18" s="166" t="n">
        <x:v>83879</x:v>
      </x:c>
      <x:c r="O18" s="109" t="n">
        <x:f>O15-O17</x:f>
        <x:v>94986.23504326</x:v>
      </x:c>
      <x:c r="P18" s="109" t="n">
        <x:f>P15-P17</x:f>
        <x:v>105375.96598798226</x:v>
      </x:c>
      <x:c r="Q18" s="109" t="n">
        <x:f>Q15-Q17</x:f>
        <x:v>116021.54948644587</x:v>
      </x:c>
      <x:c r="R18" s="109" t="n">
        <x:f>R15-R17</x:f>
        <x:v>127036.18596424957</x:v>
      </x:c>
      <x:c r="S18" s="109" t="n">
        <x:f>S15-S17</x:f>
        <x:v>138153.04598941753</x:v>
      </x:c>
      <x:c r="T18" s="103"/>
      <x:c r="U18" s="103"/>
    </x:row>
    <x:row r="19" ht="24" customHeight="1">
      <x:c r="A19" s="103"/>
      <x:c r="B19" s="103"/>
      <x:c r="C19" s="105" t="str">
        <x:v>Operating margin</x:v>
      </x:c>
      <x:c r="D19" s="105"/>
      <x:c r="E19" s="119" t="n">
        <x:f>E18/E8</x:f>
        <x:v>0.3812855708068296</x:v>
      </x:c>
      <x:c r="F19" s="119" t="n">
        <x:f>F18/F8</x:f>
        <x:v>0.3603513174404015</x:v>
      </x:c>
      <x:c r="G19" s="119" t="n">
        <x:f>G18/G8</x:f>
        <x:v>0.39404761904761904</x:v>
      </x:c>
      <x:c r="H19" s="119" t="n">
        <x:f>H18/H8</x:f>
        <x:v>0.40355187723608776</x:v>
      </x:c>
      <x:c r="I19" s="119" t="n">
        <x:f>I18/I8</x:f>
        <x:v>0.4516553834739868</x:v>
      </x:c>
      <x:c r="J19" s="119" t="n">
        <x:f>J18/J8</x:f>
        <x:v>0.46856259074553375</x:v>
      </x:c>
      <x:c r="K19" s="119" t="n">
        <x:f>K18/K8</x:f>
        <x:v>0.5318477764442225</x:v>
      </x:c>
      <x:c r="L19" s="119" t="n">
        <x:f>L18/L8</x:f>
        <x:v>0.558519003931848</x:v>
      </x:c>
      <x:c r="M19" s="119" t="n">
        <x:f>M18/M8</x:f>
        <x:v>0.5775432497309826</x:v>
      </x:c>
      <x:c r="N19" s="119" t="n">
        <x:f>N18/N8</x:f>
        <x:v>0.599152832938084</x:v>
      </x:c>
      <x:c r="O19" s="119" t="n">
        <x:f>O18/O8</x:f>
        <x:v>0.5951688534663646</x:v>
      </x:c>
      <x:c r="P19" s="119" t="n">
        <x:f>P18/P8</x:f>
        <x:v>0.5843090958363346</x:v>
      </x:c>
      <x:c r="Q19" s="119" t="n">
        <x:f>Q18/Q8</x:f>
        <x:v>0.5744096358279446</x:v>
      </x:c>
      <x:c r="R19" s="119" t="n">
        <x:f>R18/R8</x:f>
        <x:v>0.5666142897062317</x:v>
      </x:c>
      <x:c r="S19" s="119" t="n">
        <x:f>S18/S8</x:f>
        <x:v>0.5601803313676277</x:v>
      </x:c>
      <x:c r="T19" s="103"/>
      <x:c r="U19" s="103"/>
    </x:row>
    <x:row r="20" ht="24" customHeight="1">
      <x:c r="A20" s="103"/>
      <x:c r="B20" s="103"/>
      <x:c r="C20" s="103"/>
      <x:c r="D20" s="103"/>
      <x:c r="E20" s="103"/>
      <x:c r="F20" s="103"/>
      <x:c r="G20" s="103"/>
      <x:c r="H20" s="103"/>
      <x:c r="I20" s="103"/>
      <x:c r="J20" s="103"/>
      <x:c r="K20" s="103"/>
      <x:c r="L20" s="103"/>
      <x:c r="M20" s="103"/>
      <x:c r="N20" s="103"/>
      <x:c r="O20" s="103"/>
      <x:c r="P20" s="103"/>
      <x:c r="Q20" s="103"/>
      <x:c r="R20" s="103"/>
      <x:c r="S20" s="103"/>
      <x:c r="T20" s="103"/>
      <x:c r="U20" s="103"/>
    </x:row>
    <x:row r="21" ht="24" customHeight="1">
      <x:c r="A21" s="103"/>
      <x:c r="B21" s="103"/>
      <x:c r="C21" s="136" t="str">
        <x:v>Intelligent Cloud</x:v>
      </x:c>
      <x:c r="D21" s="136"/>
      <x:c r="E21" s="136"/>
      <x:c r="F21" s="136"/>
      <x:c r="G21" s="136"/>
      <x:c r="H21" s="136"/>
      <x:c r="I21" s="136"/>
      <x:c r="J21" s="136"/>
      <x:c r="K21" s="136"/>
      <x:c r="L21" s="136"/>
      <x:c r="M21" s="136"/>
      <x:c r="N21" s="136"/>
      <x:c r="O21" s="136"/>
      <x:c r="P21" s="136"/>
      <x:c r="Q21" s="136"/>
      <x:c r="R21" s="136"/>
      <x:c r="S21" s="136"/>
      <x:c r="T21" s="103"/>
      <x:c r="U21" s="103"/>
    </x:row>
    <x:row r="22" ht="24" customHeight="1">
      <x:c r="A22" s="103"/>
      <x:c r="B22" s="103"/>
      <x:c r="C22" s="103" t="str">
        <x:v>Revenue</x:v>
      </x:c>
      <x:c r="D22" s="103"/>
      <x:c r="E22" s="166" t="n">
        <x:v>27407</x:v>
      </x:c>
      <x:c r="F22" s="166" t="n">
        <x:v>32219</x:v>
      </x:c>
      <x:c r="G22" s="166" t="n">
        <x:v>38985</x:v>
      </x:c>
      <x:c r="H22" s="166" t="n">
        <x:v>48366</x:v>
      </x:c>
      <x:c r="I22" s="166" t="n">
        <x:v>59728</x:v>
      </x:c>
      <x:c r="J22" s="166" t="n">
        <x:v>74965</x:v>
      </x:c>
      <x:c r="K22" s="166" t="n">
        <x:v>72944</x:v>
      </x:c>
      <x:c r="L22" s="166" t="n">
        <x:v>87464</x:v>
      </x:c>
      <x:c r="M22" s="166" t="n">
        <x:v>106265</x:v>
      </x:c>
      <x:c r="N22" s="166" t="n">
        <x:v>137791</x:v>
      </x:c>
      <x:c r="O22" s="109" t="n">
        <x:f>N22*(1+'Assumptions'!O13)</x:f>
        <x:v>170860.84</x:v>
      </x:c>
      <x:c r="P22" s="109" t="n">
        <x:f>O22*(1+'Assumptions'!P13)</x:f>
        <x:v>208450.2248</x:v>
      </x:c>
      <x:c r="Q22" s="109" t="n">
        <x:f>P22*(1+'Assumptions'!Q13)</x:f>
        <x:v>250140.26976</x:v>
      </x:c>
      <x:c r="R22" s="109" t="n">
        <x:f>Q22*(1+'Assumptions'!R13)</x:f>
        <x:v>295165.5183168</x:v>
      </x:c>
      <x:c r="S22" s="109" t="n">
        <x:f>R22*(1+'Assumptions'!S13)</x:f>
        <x:v>342392.00124748796</x:v>
      </x:c>
      <x:c r="T22" s="103"/>
      <x:c r="U22" s="103"/>
    </x:row>
    <x:row r="23" ht="24" customHeight="1">
      <x:c r="A23" s="103"/>
      <x:c r="B23" s="103"/>
      <x:c r="C23" s="105" t="str">
        <x:v>Revenue growth</x:v>
      </x:c>
      <x:c r="D23" s="105"/>
      <x:c r="E23" s="119" t="str">
        <x:f>"n.a."</x:f>
        <x:v>n.a.</x:v>
      </x:c>
      <x:c r="F23" s="119" t="n">
        <x:f>F22/E22-1</x:f>
        <x:v>0.17557558288028607</x:v>
      </x:c>
      <x:c r="G23" s="119" t="n">
        <x:f>G22/F22-1</x:f>
        <x:v>0.2100003103758652</x:v>
      </x:c>
      <x:c r="H23" s="119" t="n">
        <x:f>H22/G22-1</x:f>
        <x:v>0.24063101192766445</x:v>
      </x:c>
      <x:c r="I23" s="119" t="n">
        <x:f>I22/H22-1</x:f>
        <x:v>0.2349170905181326</x:v>
      </x:c>
      <x:c r="J23" s="119" t="n">
        <x:f>J22/I22-1</x:f>
        <x:v>0.2551064827216716</x:v>
      </x:c>
      <x:c r="K23" s="119" t="str">
        <x:f>"n.a."</x:f>
        <x:v>n.a.</x:v>
      </x:c>
      <x:c r="L23" s="119" t="n">
        <x:f>L22/K22-1</x:f>
        <x:v>0.19905681070410175</x:v>
      </x:c>
      <x:c r="M23" s="119" t="n">
        <x:f>M22/L22-1</x:f>
        <x:v>0.21495701088447827</x:v>
      </x:c>
      <x:c r="N23" s="119" t="n">
        <x:f>N22/M22-1</x:f>
        <x:v>0.29667341081259124</x:v>
      </x:c>
      <x:c r="O23" s="119" t="n">
        <x:f>O22/N22-1</x:f>
        <x:v>0.24</x:v>
      </x:c>
      <x:c r="P23" s="119" t="n">
        <x:f>P22/O22-1</x:f>
        <x:v>0.21999999999999997</x:v>
      </x:c>
      <x:c r="Q23" s="119" t="n">
        <x:f>Q22/P22-1</x:f>
        <x:v>0.19999999999999996</x:v>
      </x:c>
      <x:c r="R23" s="119" t="n">
        <x:f>R22/Q22-1</x:f>
        <x:v>0.18000000000000016</x:v>
      </x:c>
      <x:c r="S23" s="119" t="n">
        <x:f>S22/R22-1</x:f>
        <x:v>0.15999999999999992</x:v>
      </x:c>
      <x:c r="T23" s="103"/>
      <x:c r="U23" s="103"/>
    </x:row>
    <x:row r="24" ht="24" customHeight="1">
      <x:c r="A24" s="103"/>
      <x:c r="B24" s="103"/>
      <x:c r="C24" s="103" t="str">
        <x:v>Cost before allocated D&amp;A and operating leases</x:v>
      </x:c>
      <x:c r="D24" s="103"/>
      <x:c r="E24" s="109" t="str">
        <x:v>n.a.</x:v>
      </x:c>
      <x:c r="F24" s="109" t="str">
        <x:v>n.a.</x:v>
      </x:c>
      <x:c r="G24" s="109" t="str">
        <x:v>n.a.</x:v>
      </x:c>
      <x:c r="H24" s="109" t="str">
        <x:v>n.a.</x:v>
      </x:c>
      <x:c r="I24" s="109" t="str">
        <x:v>n.a.</x:v>
      </x:c>
      <x:c r="J24" s="109" t="str">
        <x:v>n.a.</x:v>
      </x:c>
      <x:c r="K24" s="109" t="str">
        <x:v>n.a.</x:v>
      </x:c>
      <x:c r="L24" s="109" t="str">
        <x:v>n.a.</x:v>
      </x:c>
      <x:c r="M24" s="109" t="str">
        <x:v>n.a.</x:v>
      </x:c>
      <x:c r="N24" s="109" t="str">
        <x:v>n.a.</x:v>
      </x:c>
      <x:c r="O24" s="109" t="n">
        <x:f>O22*'Assumptions'!O25</x:f>
        <x:v>34391.648</x:v>
      </x:c>
      <x:c r="P24" s="109" t="n">
        <x:f>P22*'Assumptions'!P25</x:f>
        <x:v>41540.9101104</x:v>
      </x:c>
      <x:c r="Q24" s="109" t="n">
        <x:f>Q22*'Assumptions'!Q25</x:f>
        <x:v>49348.811592959995</x:v>
      </x:c>
      <x:c r="R24" s="109" t="n">
        <x:f>R22*'Assumptions'!R25</x:f>
        <x:v>57641.2666430592</x:v>
      </x:c>
      <x:c r="S24" s="109" t="n">
        <x:f>S22*'Assumptions'!S25</x:f>
        <x:v>66179.08530345368</x:v>
      </x:c>
      <x:c r="T24" s="103"/>
      <x:c r="U24" s="103"/>
    </x:row>
    <x:row r="25" ht="24" customHeight="1">
      <x:c r="A25" s="103"/>
      <x:c r="B25" s="103"/>
      <x:c r="C25" s="103" t="str">
        <x:v>Allocated PPE depreciation</x:v>
      </x:c>
      <x:c r="D25" s="103"/>
      <x:c r="E25" s="109" t="str">
        <x:v>n.a.</x:v>
      </x:c>
      <x:c r="F25" s="109" t="str">
        <x:v>n.a.</x:v>
      </x:c>
      <x:c r="G25" s="109" t="str">
        <x:v>n.a.</x:v>
      </x:c>
      <x:c r="H25" s="109" t="str">
        <x:v>n.a.</x:v>
      </x:c>
      <x:c r="I25" s="109" t="str">
        <x:v>n.a.</x:v>
      </x:c>
      <x:c r="J25" s="109" t="str">
        <x:v>n.a.</x:v>
      </x:c>
      <x:c r="K25" s="109" t="str">
        <x:v>n.a.</x:v>
      </x:c>
      <x:c r="L25" s="109" t="str">
        <x:v>n.a.</x:v>
      </x:c>
      <x:c r="M25" s="109" t="str">
        <x:v>n.a.</x:v>
      </x:c>
      <x:c r="N25" s="109" t="str">
        <x:v>n.a.</x:v>
      </x:c>
      <x:c r="O25" s="109" t="n">
        <x:f>'PPE and Intangibles'!O21*'Assumptions'!F205</x:f>
        <x:v>37739.52495</x:v>
      </x:c>
      <x:c r="P25" s="109" t="n">
        <x:f>'PPE and Intangibles'!P21*'Assumptions'!F205</x:f>
        <x:v>56699.71519606</x:v>
      </x:c>
      <x:c r="Q25" s="109" t="n">
        <x:f>'PPE and Intangibles'!Q21*'Assumptions'!F205</x:f>
        <x:v>76174.177944395</x:v>
      </x:c>
      <x:c r="R25" s="109" t="n">
        <x:f>'PPE and Intangibles'!R21*'Assumptions'!F205</x:f>
        <x:v>96007.56888916102</x:v>
      </x:c>
      <x:c r="S25" s="109" t="n">
        <x:f>'PPE and Intangibles'!S21*'Assumptions'!F205</x:f>
        <x:v>116139.41242963671</x:v>
      </x:c>
      <x:c r="T25" s="103"/>
      <x:c r="U25" s="103"/>
    </x:row>
    <x:row r="26" ht="24" customHeight="1">
      <x:c r="A26" s="103"/>
      <x:c r="B26" s="103"/>
      <x:c r="C26" s="103" t="str">
        <x:v>Allocated intangible amortization</x:v>
      </x:c>
      <x:c r="D26" s="103"/>
      <x:c r="E26" s="109" t="str">
        <x:v>n.a.</x:v>
      </x:c>
      <x:c r="F26" s="109" t="str">
        <x:v>n.a.</x:v>
      </x:c>
      <x:c r="G26" s="109" t="str">
        <x:v>n.a.</x:v>
      </x:c>
      <x:c r="H26" s="109" t="str">
        <x:v>n.a.</x:v>
      </x:c>
      <x:c r="I26" s="109" t="str">
        <x:v>n.a.</x:v>
      </x:c>
      <x:c r="J26" s="109" t="str">
        <x:v>n.a.</x:v>
      </x:c>
      <x:c r="K26" s="109" t="str">
        <x:v>n.a.</x:v>
      </x:c>
      <x:c r="L26" s="109" t="str">
        <x:v>n.a.</x:v>
      </x:c>
      <x:c r="M26" s="109" t="str">
        <x:v>n.a.</x:v>
      </x:c>
      <x:c r="N26" s="109" t="str">
        <x:v>n.a.</x:v>
      </x:c>
      <x:c r="O26" s="109" t="n">
        <x:f>'PPE and Intangibles'!O42*'Assumptions'!F206</x:f>
        <x:v>154.85000000000002</x:v>
      </x:c>
      <x:c r="P26" s="109" t="n">
        <x:f>'PPE and Intangibles'!P42*'Assumptions'!F206</x:f>
        <x:v>107.05000000000001</x:v>
      </x:c>
      <x:c r="Q26" s="109" t="n">
        <x:f>'PPE and Intangibles'!Q42*'Assumptions'!F206</x:f>
        <x:v>97.2</x:v>
      </x:c>
      <x:c r="R26" s="109" t="n">
        <x:f>'PPE and Intangibles'!R42*'Assumptions'!F206</x:f>
        <x:v>73.85000000000001</x:v>
      </x:c>
      <x:c r="S26" s="109" t="n">
        <x:f>'PPE and Intangibles'!S42*'Assumptions'!F206</x:f>
        <x:v>56.400000000000006</x:v>
      </x:c>
      <x:c r="T26" s="103"/>
      <x:c r="U26" s="103"/>
    </x:row>
    <x:row r="27" ht="24" customHeight="1">
      <x:c r="A27" s="103"/>
      <x:c r="B27" s="103"/>
      <x:c r="C27" s="103" t="str">
        <x:v>Allocated operating lease expense</x:v>
      </x:c>
      <x:c r="D27" s="103"/>
      <x:c r="E27" s="109" t="str">
        <x:v>n.a.</x:v>
      </x:c>
      <x:c r="F27" s="109" t="str">
        <x:v>n.a.</x:v>
      </x:c>
      <x:c r="G27" s="109" t="str">
        <x:v>n.a.</x:v>
      </x:c>
      <x:c r="H27" s="109" t="str">
        <x:v>n.a.</x:v>
      </x:c>
      <x:c r="I27" s="109" t="str">
        <x:v>n.a.</x:v>
      </x:c>
      <x:c r="J27" s="109" t="str">
        <x:v>n.a.</x:v>
      </x:c>
      <x:c r="K27" s="109" t="str">
        <x:v>n.a.</x:v>
      </x:c>
      <x:c r="L27" s="109" t="str">
        <x:v>n.a.</x:v>
      </x:c>
      <x:c r="M27" s="109" t="str">
        <x:v>n.a.</x:v>
      </x:c>
      <x:c r="N27" s="109" t="str">
        <x:v>n.a.</x:v>
      </x:c>
      <x:c r="O27" s="109" t="n">
        <x:f>'Debt and Leases'!O61*'Assumptions'!F207</x:f>
        <x:v>3257.3322252000003</x:v>
      </x:c>
      <x:c r="P27" s="109" t="n">
        <x:f>'Debt and Leases'!P61*'Assumptions'!F207</x:f>
        <x:v>3841.7656171595995</x:v>
      </x:c>
      <x:c r="Q27" s="109" t="n">
        <x:f>'Debt and Leases'!Q61*'Assumptions'!F207</x:f>
        <x:v>4457.297839517528</x:v>
      </x:c>
      <x:c r="R27" s="109" t="n">
        <x:f>'Debt and Leases'!R61*'Assumptions'!F207</x:f>
        <x:v>5101.53881741657</x:v>
      </x:c>
      <x:c r="S27" s="109" t="n">
        <x:f>'Debt and Leases'!S61*'Assumptions'!F207</x:f>
        <x:v>5765.763834356999</x:v>
      </x:c>
      <x:c r="T27" s="103"/>
      <x:c r="U27" s="103"/>
    </x:row>
    <x:row r="28" ht="24" customHeight="1">
      <x:c r="A28" s="103"/>
      <x:c r="B28" s="103"/>
      <x:c r="C28" s="103" t="str">
        <x:v>Total cost of revenue</x:v>
      </x:c>
      <x:c r="D28" s="103"/>
      <x:c r="E28" s="109" t="str">
        <x:v>n.a.</x:v>
      </x:c>
      <x:c r="F28" s="109" t="str">
        <x:v>n.a.</x:v>
      </x:c>
      <x:c r="G28" s="109" t="str">
        <x:v>n.a.</x:v>
      </x:c>
      <x:c r="H28" s="109" t="str">
        <x:v>n.a.</x:v>
      </x:c>
      <x:c r="I28" s="109" t="str">
        <x:v>n.a.</x:v>
      </x:c>
      <x:c r="J28" s="109" t="str">
        <x:v>n.a.</x:v>
      </x:c>
      <x:c r="K28" s="166" t="n">
        <x:v>24109</x:v>
      </x:c>
      <x:c r="L28" s="166" t="n">
        <x:v>29611</x:v>
      </x:c>
      <x:c r="M28" s="166" t="n">
        <x:v>40171</x:v>
      </x:c>
      <x:c r="N28" s="166" t="n">
        <x:v>57876</x:v>
      </x:c>
      <x:c r="O28" s="109" t="n">
        <x:f>SUM(O24:O27)</x:f>
        <x:v>75543.35517520002</x:v>
      </x:c>
      <x:c r="P28" s="109" t="n">
        <x:f>SUM(P24:P27)</x:f>
        <x:v>102189.44092361961</x:v>
      </x:c>
      <x:c r="Q28" s="109" t="n">
        <x:f>SUM(Q24:Q27)</x:f>
        <x:v>130077.48737687252</x:v>
      </x:c>
      <x:c r="R28" s="109" t="n">
        <x:f>SUM(R24:R27)</x:f>
        <x:v>158824.2243496368</x:v>
      </x:c>
      <x:c r="S28" s="109" t="n">
        <x:f>SUM(S24:S27)</x:f>
        <x:v>188140.6615674474</x:v>
      </x:c>
      <x:c r="T28" s="103"/>
      <x:c r="U28" s="103"/>
    </x:row>
    <x:row r="29" ht="24" customHeight="1">
      <x:c r="A29" s="103"/>
      <x:c r="B29" s="103"/>
      <x:c r="C29" s="103" t="str">
        <x:v>Gross profit</x:v>
      </x:c>
      <x:c r="D29" s="103"/>
      <x:c r="E29" s="109" t="str">
        <x:v>n.a.</x:v>
      </x:c>
      <x:c r="F29" s="109" t="str">
        <x:v>n.a.</x:v>
      </x:c>
      <x:c r="G29" s="109" t="str">
        <x:v>n.a.</x:v>
      </x:c>
      <x:c r="H29" s="109" t="str">
        <x:v>n.a.</x:v>
      </x:c>
      <x:c r="I29" s="109" t="str">
        <x:v>n.a.</x:v>
      </x:c>
      <x:c r="J29" s="109" t="str">
        <x:v>n.a.</x:v>
      </x:c>
      <x:c r="K29" s="109" t="n">
        <x:f>K22-K28</x:f>
        <x:v>48835</x:v>
      </x:c>
      <x:c r="L29" s="109" t="n">
        <x:f>L22-L28</x:f>
        <x:v>57853</x:v>
      </x:c>
      <x:c r="M29" s="109" t="n">
        <x:f>M22-M28</x:f>
        <x:v>66094</x:v>
      </x:c>
      <x:c r="N29" s="109" t="n">
        <x:f>N22-N28</x:f>
        <x:v>79915</x:v>
      </x:c>
      <x:c r="O29" s="109" t="n">
        <x:f>O22-O28</x:f>
        <x:v>95317.48482479998</x:v>
      </x:c>
      <x:c r="P29" s="109" t="n">
        <x:f>P22-P28</x:f>
        <x:v>106260.78387638039</x:v>
      </x:c>
      <x:c r="Q29" s="109" t="n">
        <x:f>Q22-Q28</x:f>
        <x:v>120062.78238312747</x:v>
      </x:c>
      <x:c r="R29" s="109" t="n">
        <x:f>R22-R28</x:f>
        <x:v>136341.29396716322</x:v>
      </x:c>
      <x:c r="S29" s="109" t="n">
        <x:f>S22-S28</x:f>
        <x:v>154251.33968004058</x:v>
      </x:c>
      <x:c r="T29" s="103"/>
      <x:c r="U29" s="103"/>
    </x:row>
    <x:row r="30" ht="24" customHeight="1">
      <x:c r="A30" s="103"/>
      <x:c r="B30" s="103"/>
      <x:c r="C30" s="105" t="str">
        <x:v>Gross margin</x:v>
      </x:c>
      <x:c r="D30" s="105"/>
      <x:c r="E30" s="119" t="str">
        <x:v>n.a.</x:v>
      </x:c>
      <x:c r="F30" s="119" t="str">
        <x:v>n.a.</x:v>
      </x:c>
      <x:c r="G30" s="119" t="str">
        <x:v>n.a.</x:v>
      </x:c>
      <x:c r="H30" s="119" t="str">
        <x:v>n.a.</x:v>
      </x:c>
      <x:c r="I30" s="119" t="str">
        <x:v>n.a.</x:v>
      </x:c>
      <x:c r="J30" s="119" t="str">
        <x:v>n.a.</x:v>
      </x:c>
      <x:c r="K30" s="119" t="n">
        <x:f>K29/K22</x:f>
        <x:v>0.6694861811800834</x:v>
      </x:c>
      <x:c r="L30" s="119" t="n">
        <x:f>L29/L22</x:f>
        <x:v>0.6614492819903046</x:v>
      </x:c>
      <x:c r="M30" s="119" t="n">
        <x:f>M29/M22</x:f>
        <x:v>0.6219733684656283</x:v>
      </x:c>
      <x:c r="N30" s="119" t="n">
        <x:f>N29/N22</x:f>
        <x:v>0.5799725671487979</x:v>
      </x:c>
      <x:c r="O30" s="119" t="n">
        <x:f>O29/O22</x:f>
        <x:v>0.5578661841109992</x:v>
      </x:c>
      <x:c r="P30" s="119" t="n">
        <x:f>P29/P22</x:f>
        <x:v>0.5097657437325076</x:v>
      </x:c>
      <x:c r="Q30" s="119" t="n">
        <x:f>Q29/Q22</x:f>
        <x:v>0.479981821792721</x:v>
      </x:c>
      <x:c r="R30" s="119" t="n">
        <x:f>R29/R22</x:f>
        <x:v>0.4619147071943161</x:v>
      </x:c>
      <x:c r="S30" s="119" t="n">
        <x:f>S29/S22</x:f>
        <x:v>0.45051093225902944</x:v>
      </x:c>
      <x:c r="T30" s="103"/>
      <x:c r="U30" s="103"/>
    </x:row>
    <x:row r="31" ht="24" customHeight="1">
      <x:c r="A31" s="103"/>
      <x:c r="B31" s="103"/>
      <x:c r="C31" s="103" t="str">
        <x:v>Allocated operating expenses</x:v>
      </x:c>
      <x:c r="D31" s="103"/>
      <x:c r="E31" s="109" t="str">
        <x:v>n.a.</x:v>
      </x:c>
      <x:c r="F31" s="109" t="str">
        <x:v>n.a.</x:v>
      </x:c>
      <x:c r="G31" s="109" t="str">
        <x:v>n.a.</x:v>
      </x:c>
      <x:c r="H31" s="109" t="str">
        <x:v>n.a.</x:v>
      </x:c>
      <x:c r="I31" s="109" t="str">
        <x:v>n.a.</x:v>
      </x:c>
      <x:c r="J31" s="109" t="str">
        <x:v>n.a.</x:v>
      </x:c>
      <x:c r="K31" s="109" t="str">
        <x:v>n.a.</x:v>
      </x:c>
      <x:c r="L31" s="109" t="str">
        <x:v>n.a.</x:v>
      </x:c>
      <x:c r="M31" s="109" t="str">
        <x:v>n.a.</x:v>
      </x:c>
      <x:c r="N31" s="109" t="str">
        <x:v>n.a.</x:v>
      </x:c>
      <x:c r="O31" s="109" t="n">
        <x:f>'Expense Plan'!O24*'Assumptions'!F208</x:f>
        <x:v>26914.929944642277</x:v>
      </x:c>
      <x:c r="P31" s="109" t="n">
        <x:f>'Expense Plan'!P24*'Assumptions'!F208</x:f>
        <x:v>31594.43236507153</x:v>
      </x:c>
      <x:c r="Q31" s="109" t="n">
        <x:f>'Expense Plan'!Q24*'Assumptions'!F208</x:f>
        <x:v>36564.693490868514</x:v>
      </x:c>
      <x:c r="R31" s="109" t="n">
        <x:f>'Expense Plan'!R24*'Assumptions'!F208</x:f>
        <x:v>41706.20557445703</x:v>
      </x:c>
      <x:c r="S31" s="109" t="n">
        <x:f>'Expense Plan'!S24*'Assumptions'!F208</x:f>
        <x:v>46928.747177716315</x:v>
      </x:c>
      <x:c r="T31" s="103"/>
      <x:c r="U31" s="103"/>
    </x:row>
    <x:row r="32" ht="24" customHeight="1">
      <x:c r="A32" s="103"/>
      <x:c r="B32" s="103"/>
      <x:c r="C32" s="103" t="str">
        <x:v>Operating income</x:v>
      </x:c>
      <x:c r="D32" s="103"/>
      <x:c r="E32" s="166" t="n">
        <x:v>9127</x:v>
      </x:c>
      <x:c r="F32" s="166" t="n">
        <x:v>11524</x:v>
      </x:c>
      <x:c r="G32" s="166" t="n">
        <x:v>13920</x:v>
      </x:c>
      <x:c r="H32" s="166" t="n">
        <x:v>18324</x:v>
      </x:c>
      <x:c r="I32" s="166" t="n">
        <x:v>26471</x:v>
      </x:c>
      <x:c r="J32" s="166" t="n">
        <x:v>33203</x:v>
      </x:c>
      <x:c r="K32" s="166" t="n">
        <x:v>28411</x:v>
      </x:c>
      <x:c r="L32" s="166" t="n">
        <x:v>37813</x:v>
      </x:c>
      <x:c r="M32" s="166" t="n">
        <x:v>44589</x:v>
      </x:c>
      <x:c r="N32" s="166" t="n">
        <x:v>56972</x:v>
      </x:c>
      <x:c r="O32" s="109" t="n">
        <x:f>O29-O31</x:f>
        <x:v>68402.5548801577</x:v>
      </x:c>
      <x:c r="P32" s="109" t="n">
        <x:f>P29-P31</x:f>
        <x:v>74666.35151130887</x:v>
      </x:c>
      <x:c r="Q32" s="109" t="n">
        <x:f>Q29-Q31</x:f>
        <x:v>83498.08889225897</x:v>
      </x:c>
      <x:c r="R32" s="109" t="n">
        <x:f>R29-R31</x:f>
        <x:v>94635.08839270618</x:v>
      </x:c>
      <x:c r="S32" s="109" t="n">
        <x:f>S29-S31</x:f>
        <x:v>107322.59250232426</x:v>
      </x:c>
      <x:c r="T32" s="103"/>
      <x:c r="U32" s="103"/>
    </x:row>
    <x:row r="33" ht="24" customHeight="1">
      <x:c r="A33" s="103"/>
      <x:c r="B33" s="103"/>
      <x:c r="C33" s="105" t="str">
        <x:v>Operating margin</x:v>
      </x:c>
      <x:c r="D33" s="105"/>
      <x:c r="E33" s="119" t="n">
        <x:f>E32/E22</x:f>
        <x:v>0.3330171124165359</x:v>
      </x:c>
      <x:c r="F33" s="119" t="n">
        <x:f>F32/F22</x:f>
        <x:v>0.3576771470250473</x:v>
      </x:c>
      <x:c r="G33" s="119" t="n">
        <x:f>G32/G22</x:f>
        <x:v>0.35706040784917276</x:v>
      </x:c>
      <x:c r="H33" s="119" t="n">
        <x:f>H32/H22</x:f>
        <x:v>0.3788611834759955</x:v>
      </x:c>
      <x:c r="I33" s="119" t="n">
        <x:f>I32/I22</x:f>
        <x:v>0.44319247254219124</x:v>
      </x:c>
      <x:c r="J33" s="119" t="n">
        <x:f>J32/J22</x:f>
        <x:v>0.4429133595677983</x:v>
      </x:c>
      <x:c r="K33" s="119" t="n">
        <x:f>K32/K22</x:f>
        <x:v>0.389490568107041</x:v>
      </x:c>
      <x:c r="L33" s="119" t="n">
        <x:f>L32/L22</x:f>
        <x:v>0.43232644287935607</x:v>
      </x:c>
      <x:c r="M33" s="119" t="n">
        <x:f>M32/M22</x:f>
        <x:v>0.4196019385498518</x:v>
      </x:c>
      <x:c r="N33" s="119" t="n">
        <x:f>N32/N22</x:f>
        <x:v>0.41346677214041555</x:v>
      </x:c>
      <x:c r="O33" s="119" t="n">
        <x:f>O32/O22</x:f>
        <x:v>0.4003407385809276</x:v>
      </x:c>
      <x:c r="P33" s="119" t="n">
        <x:f>P32/P22</x:f>
        <x:v>0.3581975101391633</x:v>
      </x:c>
      <x:c r="Q33" s="119" t="n">
        <x:f>Q32/Q22</x:f>
        <x:v>0.33380506454387443</x:v>
      </x:c>
      <x:c r="R33" s="119" t="n">
        <x:f>R32/R22</x:f>
        <x:v>0.32061701831693873</x:v>
      </x:c>
      <x:c r="S33" s="119" t="n">
        <x:f>S32/S22</x:f>
        <x:v>0.31344947344359625</x:v>
      </x:c>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36" t="str">
        <x:v>More Personal Computing</x:v>
      </x:c>
      <x:c r="D35" s="136"/>
      <x:c r="E35" s="136"/>
      <x:c r="F35" s="136"/>
      <x:c r="G35" s="136"/>
      <x:c r="H35" s="136"/>
      <x:c r="I35" s="136"/>
      <x:c r="J35" s="136"/>
      <x:c r="K35" s="136"/>
      <x:c r="L35" s="136"/>
      <x:c r="M35" s="136"/>
      <x:c r="N35" s="136"/>
      <x:c r="O35" s="136"/>
      <x:c r="P35" s="136"/>
      <x:c r="Q35" s="136"/>
      <x:c r="R35" s="136"/>
      <x:c r="S35" s="136"/>
      <x:c r="T35" s="103"/>
      <x:c r="U35" s="103"/>
    </x:row>
    <x:row r="36" ht="24" customHeight="1">
      <x:c r="A36" s="103"/>
      <x:c r="B36" s="103"/>
      <x:c r="C36" s="103" t="str">
        <x:v>Revenue</x:v>
      </x:c>
      <x:c r="D36" s="103"/>
      <x:c r="E36" s="166" t="n">
        <x:v>39294</x:v>
      </x:c>
      <x:c r="F36" s="166" t="n">
        <x:v>42276</x:v>
      </x:c>
      <x:c r="G36" s="166" t="n">
        <x:v>45698</x:v>
      </x:c>
      <x:c r="H36" s="166" t="n">
        <x:v>48251</x:v>
      </x:c>
      <x:c r="I36" s="166" t="n">
        <x:v>54445</x:v>
      </x:c>
      <x:c r="J36" s="166" t="n">
        <x:v>59941</x:v>
      </x:c>
      <x:c r="K36" s="166" t="n">
        <x:v>44820</x:v>
      </x:c>
      <x:c r="L36" s="166" t="n">
        <x:v>50838</x:v>
      </x:c>
      <x:c r="M36" s="166" t="n">
        <x:v>54649</x:v>
      </x:c>
      <x:c r="N36" s="166" t="n">
        <x:v>54052</x:v>
      </x:c>
      <x:c r="O36" s="109" t="n">
        <x:f>N36*(1+'Assumptions'!O17)</x:f>
        <x:v>54592.520000000004</x:v>
      </x:c>
      <x:c r="P36" s="109" t="n">
        <x:f>O36*(1+'Assumptions'!P17)</x:f>
        <x:v>55684.37040000001</x:v>
      </x:c>
      <x:c r="Q36" s="109" t="n">
        <x:f>P36*(1+'Assumptions'!Q17)</x:f>
        <x:v>56798.057808000005</x:v>
      </x:c>
      <x:c r="R36" s="109" t="n">
        <x:f>Q36*(1+'Assumptions'!R17)</x:f>
        <x:v>57934.01896416001</x:v>
      </x:c>
      <x:c r="S36" s="109" t="n">
        <x:f>R36*(1+'Assumptions'!S17)</x:f>
        <x:v>59092.69934344321</x:v>
      </x:c>
      <x:c r="T36" s="103"/>
      <x:c r="U36" s="103"/>
    </x:row>
    <x:row r="37" ht="24" customHeight="1">
      <x:c r="A37" s="103"/>
      <x:c r="B37" s="103"/>
      <x:c r="C37" s="105" t="str">
        <x:v>Revenue growth</x:v>
      </x:c>
      <x:c r="D37" s="105"/>
      <x:c r="E37" s="119" t="str">
        <x:f>"n.a."</x:f>
        <x:v>n.a.</x:v>
      </x:c>
      <x:c r="F37" s="119" t="n">
        <x:f>F36/E36-1</x:f>
        <x:v>0.07588944877080461</x:v>
      </x:c>
      <x:c r="G37" s="119" t="n">
        <x:f>G36/F36-1</x:f>
        <x:v>0.0809442709811714</x:v>
      </x:c>
      <x:c r="H37" s="119" t="n">
        <x:f>H36/G36-1</x:f>
        <x:v>0.055866777539498536</x:v>
      </x:c>
      <x:c r="I37" s="119" t="n">
        <x:f>I36/H36-1</x:f>
        <x:v>0.12837039646846704</x:v>
      </x:c>
      <x:c r="J37" s="119" t="n">
        <x:f>J36/I36-1</x:f>
        <x:v>0.10094590871521714</x:v>
      </x:c>
      <x:c r="K37" s="119" t="str">
        <x:f>"n.a."</x:f>
        <x:v>n.a.</x:v>
      </x:c>
      <x:c r="L37" s="119" t="n">
        <x:f>L36/K36-1</x:f>
        <x:v>0.1342704149933065</x:v>
      </x:c>
      <x:c r="M37" s="119" t="n">
        <x:f>M36/L36-1</x:f>
        <x:v>0.07496360989810769</x:v>
      </x:c>
      <x:c r="N37" s="119" t="n">
        <x:f>N36/M36-1</x:f>
        <x:v>-0.01092426210909625</x:v>
      </x:c>
      <x:c r="O37" s="119" t="n">
        <x:f>O36/N36-1</x:f>
        <x:v>0.010000000000000009</x:v>
      </x:c>
      <x:c r="P37" s="119" t="n">
        <x:f>P36/O36-1</x:f>
        <x:v>0.020000000000000018</x:v>
      </x:c>
      <x:c r="Q37" s="119" t="n">
        <x:f>Q36/P36-1</x:f>
        <x:v>0.020000000000000018</x:v>
      </x:c>
      <x:c r="R37" s="119" t="n">
        <x:f>R36/Q36-1</x:f>
        <x:v>0.020000000000000018</x:v>
      </x:c>
      <x:c r="S37" s="119" t="n">
        <x:f>S36/R36-1</x:f>
        <x:v>0.020000000000000018</x:v>
      </x:c>
      <x:c r="T37" s="103"/>
      <x:c r="U37" s="103"/>
    </x:row>
    <x:row r="38" ht="24" customHeight="1">
      <x:c r="A38" s="103"/>
      <x:c r="B38" s="103"/>
      <x:c r="C38" s="103" t="str">
        <x:v>Cost before allocated D&amp;A and operating leases</x:v>
      </x:c>
      <x:c r="D38" s="103"/>
      <x:c r="E38" s="109" t="str">
        <x:v>n.a.</x:v>
      </x:c>
      <x:c r="F38" s="109" t="str">
        <x:v>n.a.</x:v>
      </x:c>
      <x:c r="G38" s="109" t="str">
        <x:v>n.a.</x:v>
      </x:c>
      <x:c r="H38" s="109" t="str">
        <x:v>n.a.</x:v>
      </x:c>
      <x:c r="I38" s="109" t="str">
        <x:v>n.a.</x:v>
      </x:c>
      <x:c r="J38" s="109" t="str">
        <x:v>n.a.</x:v>
      </x:c>
      <x:c r="K38" s="109" t="str">
        <x:v>n.a.</x:v>
      </x:c>
      <x:c r="L38" s="109" t="str">
        <x:v>n.a.</x:v>
      </x:c>
      <x:c r="M38" s="109" t="str">
        <x:v>n.a.</x:v>
      </x:c>
      <x:c r="N38" s="109" t="str">
        <x:v>n.a.</x:v>
      </x:c>
      <x:c r="O38" s="109" t="n">
        <x:f>O36*'Assumptions'!O29</x:f>
        <x:v>18194.342</x:v>
      </x:c>
      <x:c r="P38" s="109" t="n">
        <x:f>P36*'Assumptions'!P29</x:f>
        <x:v>18446.860099200003</x:v>
      </x:c>
      <x:c r="Q38" s="109" t="n">
        <x:f>Q36*'Assumptions'!Q29</x:f>
        <x:v>18702.201185568003</x:v>
      </x:c>
      <x:c r="R38" s="109" t="n">
        <x:f>R36*'Assumptions'!R29</x:f>
        <x:v>18960.377171351043</x:v>
      </x:c>
      <x:c r="S38" s="109" t="n">
        <x:f>S36*'Assumptions'!S29</x:f>
        <x:v>19221.399316091178</x:v>
      </x:c>
      <x:c r="T38" s="103"/>
      <x:c r="U38" s="103"/>
    </x:row>
    <x:row r="39" ht="24" customHeight="1">
      <x:c r="A39" s="103"/>
      <x:c r="B39" s="103"/>
      <x:c r="C39" s="103" t="str">
        <x:v>Allocated PPE depreciation</x:v>
      </x:c>
      <x:c r="D39" s="103"/>
      <x:c r="E39" s="109" t="str">
        <x:v>n.a.</x:v>
      </x:c>
      <x:c r="F39" s="109" t="str">
        <x:v>n.a.</x:v>
      </x:c>
      <x:c r="G39" s="109" t="str">
        <x:v>n.a.</x:v>
      </x:c>
      <x:c r="H39" s="109" t="str">
        <x:v>n.a.</x:v>
      </x:c>
      <x:c r="I39" s="109" t="str">
        <x:v>n.a.</x:v>
      </x:c>
      <x:c r="J39" s="109" t="str">
        <x:v>n.a.</x:v>
      </x:c>
      <x:c r="K39" s="109" t="str">
        <x:v>n.a.</x:v>
      </x:c>
      <x:c r="L39" s="109" t="str">
        <x:v>n.a.</x:v>
      </x:c>
      <x:c r="M39" s="109" t="str">
        <x:v>n.a.</x:v>
      </x:c>
      <x:c r="N39" s="109" t="str">
        <x:v>n.a.</x:v>
      </x:c>
      <x:c r="O39" s="109" t="n">
        <x:f>'PPE and Intangibles'!O21*'Assumptions'!G205</x:f>
        <x:v>2515.96833</x:v>
      </x:c>
      <x:c r="P39" s="109" t="n">
        <x:f>'PPE and Intangibles'!P21*'Assumptions'!G205</x:f>
        <x:v>3779.981013070667</x:v>
      </x:c>
      <x:c r="Q39" s="109" t="n">
        <x:f>'PPE and Intangibles'!Q21*'Assumptions'!G205</x:f>
        <x:v>5078.278529626335</x:v>
      </x:c>
      <x:c r="R39" s="109" t="n">
        <x:f>'PPE and Intangibles'!R21*'Assumptions'!G205</x:f>
        <x:v>6400.504592610734</x:v>
      </x:c>
      <x:c r="S39" s="109" t="n">
        <x:f>'PPE and Intangibles'!S21*'Assumptions'!G205</x:f>
        <x:v>7742.627495309114</x:v>
      </x:c>
      <x:c r="T39" s="103"/>
      <x:c r="U39" s="103"/>
    </x:row>
    <x:row r="40" ht="24" customHeight="1">
      <x:c r="A40" s="103"/>
      <x:c r="B40" s="103"/>
      <x:c r="C40" s="103" t="str">
        <x:v>Allocated intangible amortization</x:v>
      </x:c>
      <x:c r="D40" s="103"/>
      <x:c r="E40" s="109" t="str">
        <x:v>n.a.</x:v>
      </x:c>
      <x:c r="F40" s="109" t="str">
        <x:v>n.a.</x:v>
      </x:c>
      <x:c r="G40" s="109" t="str">
        <x:v>n.a.</x:v>
      </x:c>
      <x:c r="H40" s="109" t="str">
        <x:v>n.a.</x:v>
      </x:c>
      <x:c r="I40" s="109" t="str">
        <x:v>n.a.</x:v>
      </x:c>
      <x:c r="J40" s="109" t="str">
        <x:v>n.a.</x:v>
      </x:c>
      <x:c r="K40" s="109" t="str">
        <x:v>n.a.</x:v>
      </x:c>
      <x:c r="L40" s="109" t="str">
        <x:v>n.a.</x:v>
      </x:c>
      <x:c r="M40" s="109" t="str">
        <x:v>n.a.</x:v>
      </x:c>
      <x:c r="N40" s="109" t="str">
        <x:v>n.a.</x:v>
      </x:c>
      <x:c r="O40" s="109" t="n">
        <x:f>'PPE and Intangibles'!O42*'Assumptions'!G206</x:f>
        <x:v>2013.0500000000002</x:v>
      </x:c>
      <x:c r="P40" s="109" t="n">
        <x:f>'PPE and Intangibles'!P42*'Assumptions'!G206</x:f>
        <x:v>1391.65</x:v>
      </x:c>
      <x:c r="Q40" s="109" t="n">
        <x:f>'PPE and Intangibles'!Q42*'Assumptions'!G206</x:f>
        <x:v>1263.6000000000001</x:v>
      </x:c>
      <x:c r="R40" s="109" t="n">
        <x:f>'PPE and Intangibles'!R42*'Assumptions'!G206</x:f>
        <x:v>960.0500000000001</x:v>
      </x:c>
      <x:c r="S40" s="109" t="n">
        <x:f>'PPE and Intangibles'!S42*'Assumptions'!G206</x:f>
        <x:v>733.2</x:v>
      </x:c>
      <x:c r="T40" s="103"/>
      <x:c r="U40" s="103"/>
    </x:row>
    <x:row r="41" ht="24" customHeight="1">
      <x:c r="A41" s="103"/>
      <x:c r="B41" s="103"/>
      <x:c r="C41" s="103" t="str">
        <x:v>Allocated operating lease expense</x:v>
      </x:c>
      <x:c r="D41" s="103"/>
      <x:c r="E41" s="109" t="str">
        <x:v>n.a.</x:v>
      </x:c>
      <x:c r="F41" s="109" t="str">
        <x:v>n.a.</x:v>
      </x:c>
      <x:c r="G41" s="109" t="str">
        <x:v>n.a.</x:v>
      </x:c>
      <x:c r="H41" s="109" t="str">
        <x:v>n.a.</x:v>
      </x:c>
      <x:c r="I41" s="109" t="str">
        <x:v>n.a.</x:v>
      </x:c>
      <x:c r="J41" s="109" t="str">
        <x:v>n.a.</x:v>
      </x:c>
      <x:c r="K41" s="109" t="str">
        <x:v>n.a.</x:v>
      </x:c>
      <x:c r="L41" s="109" t="str">
        <x:v>n.a.</x:v>
      </x:c>
      <x:c r="M41" s="109" t="str">
        <x:v>n.a.</x:v>
      </x:c>
      <x:c r="N41" s="109" t="str">
        <x:v>n.a.</x:v>
      </x:c>
      <x:c r="O41" s="109" t="n">
        <x:f>'Debt and Leases'!O61*'Assumptions'!G207</x:f>
        <x:v>542.8887042</x:v>
      </x:c>
      <x:c r="P41" s="109" t="n">
        <x:f>'Debt and Leases'!P61*'Assumptions'!G207</x:f>
        <x:v>640.2942695266</x:v>
      </x:c>
      <x:c r="Q41" s="109" t="n">
        <x:f>'Debt and Leases'!Q61*'Assumptions'!G207</x:f>
        <x:v>742.8829732529214</x:v>
      </x:c>
      <x:c r="R41" s="109" t="n">
        <x:f>'Debt and Leases'!R61*'Assumptions'!G207</x:f>
        <x:v>850.2564695694284</x:v>
      </x:c>
      <x:c r="S41" s="109" t="n">
        <x:f>'Debt and Leases'!S61*'Assumptions'!G207</x:f>
        <x:v>960.9606390594998</x:v>
      </x:c>
      <x:c r="T41" s="103"/>
      <x:c r="U41" s="103"/>
    </x:row>
    <x:row r="42" ht="24" customHeight="1">
      <x:c r="A42" s="103"/>
      <x:c r="B42" s="103"/>
      <x:c r="C42" s="103" t="str">
        <x:v>Total cost of revenue</x:v>
      </x:c>
      <x:c r="D42" s="103"/>
      <x:c r="E42" s="109" t="str">
        <x:v>n.a.</x:v>
      </x:c>
      <x:c r="F42" s="109" t="str">
        <x:v>n.a.</x:v>
      </x:c>
      <x:c r="G42" s="109" t="str">
        <x:v>n.a.</x:v>
      </x:c>
      <x:c r="H42" s="109" t="str">
        <x:v>n.a.</x:v>
      </x:c>
      <x:c r="I42" s="109" t="str">
        <x:v>n.a.</x:v>
      </x:c>
      <x:c r="J42" s="109" t="str">
        <x:v>n.a.</x:v>
      </x:c>
      <x:c r="K42" s="166" t="n">
        <x:v>24552</x:v>
      </x:c>
      <x:c r="L42" s="166" t="n">
        <x:v>24892</x:v>
      </x:c>
      <x:c r="M42" s="166" t="n">
        <x:v>25238</x:v>
      </x:c>
      <x:c r="N42" s="166" t="n">
        <x:v>23481</x:v>
      </x:c>
      <x:c r="O42" s="109" t="n">
        <x:f>SUM(O38:O41)</x:f>
        <x:v>23266.2490342</x:v>
      </x:c>
      <x:c r="P42" s="109" t="n">
        <x:f>SUM(P38:P41)</x:f>
        <x:v>24258.785381797272</x:v>
      </x:c>
      <x:c r="Q42" s="109" t="n">
        <x:f>SUM(Q38:Q41)</x:f>
        <x:v>25786.96268844726</x:v>
      </x:c>
      <x:c r="R42" s="109" t="n">
        <x:f>SUM(R38:R41)</x:f>
        <x:v>27171.188233531204</x:v>
      </x:c>
      <x:c r="S42" s="109" t="n">
        <x:f>SUM(S38:S41)</x:f>
        <x:v>28658.18745045979</x:v>
      </x:c>
      <x:c r="T42" s="103"/>
      <x:c r="U42" s="103"/>
    </x:row>
    <x:row r="43" ht="24" customHeight="1">
      <x:c r="A43" s="103"/>
      <x:c r="B43" s="103"/>
      <x:c r="C43" s="103" t="str">
        <x:v>Gross profit</x:v>
      </x:c>
      <x:c r="D43" s="103"/>
      <x:c r="E43" s="109" t="str">
        <x:v>n.a.</x:v>
      </x:c>
      <x:c r="F43" s="109" t="str">
        <x:v>n.a.</x:v>
      </x:c>
      <x:c r="G43" s="109" t="str">
        <x:v>n.a.</x:v>
      </x:c>
      <x:c r="H43" s="109" t="str">
        <x:v>n.a.</x:v>
      </x:c>
      <x:c r="I43" s="109" t="str">
        <x:v>n.a.</x:v>
      </x:c>
      <x:c r="J43" s="109" t="str">
        <x:v>n.a.</x:v>
      </x:c>
      <x:c r="K43" s="109" t="n">
        <x:f>K36-K42</x:f>
        <x:v>20268</x:v>
      </x:c>
      <x:c r="L43" s="109" t="n">
        <x:f>L36-L42</x:f>
        <x:v>25946</x:v>
      </x:c>
      <x:c r="M43" s="109" t="n">
        <x:f>M36-M42</x:f>
        <x:v>29411</x:v>
      </x:c>
      <x:c r="N43" s="109" t="n">
        <x:f>N36-N42</x:f>
        <x:v>30571</x:v>
      </x:c>
      <x:c r="O43" s="109" t="n">
        <x:f>O36-O42</x:f>
        <x:v>31326.270965800006</x:v>
      </x:c>
      <x:c r="P43" s="109" t="n">
        <x:f>P36-P42</x:f>
        <x:v>31425.585018202735</x:v>
      </x:c>
      <x:c r="Q43" s="109" t="n">
        <x:f>Q36-Q42</x:f>
        <x:v>31011.095119552745</x:v>
      </x:c>
      <x:c r="R43" s="109" t="n">
        <x:f>R36-R42</x:f>
        <x:v>30762.830730628804</x:v>
      </x:c>
      <x:c r="S43" s="109" t="n">
        <x:f>S36-S42</x:f>
        <x:v>30434.511892983417</x:v>
      </x:c>
      <x:c r="T43" s="103"/>
      <x:c r="U43" s="103"/>
    </x:row>
    <x:row r="44" ht="24" customHeight="1">
      <x:c r="A44" s="103"/>
      <x:c r="B44" s="103"/>
      <x:c r="C44" s="105" t="str">
        <x:v>Gross margin</x:v>
      </x:c>
      <x:c r="D44" s="105"/>
      <x:c r="E44" s="119" t="str">
        <x:v>n.a.</x:v>
      </x:c>
      <x:c r="F44" s="119" t="str">
        <x:v>n.a.</x:v>
      </x:c>
      <x:c r="G44" s="119" t="str">
        <x:v>n.a.</x:v>
      </x:c>
      <x:c r="H44" s="119" t="str">
        <x:v>n.a.</x:v>
      </x:c>
      <x:c r="I44" s="119" t="str">
        <x:v>n.a.</x:v>
      </x:c>
      <x:c r="J44" s="119" t="str">
        <x:v>n.a.</x:v>
      </x:c>
      <x:c r="K44" s="119" t="n">
        <x:f>K43/K36</x:f>
        <x:v>0.45220883534136547</x:v>
      </x:c>
      <x:c r="L44" s="119" t="n">
        <x:f>L43/L36</x:f>
        <x:v>0.5103662614579645</x:v>
      </x:c>
      <x:c r="M44" s="119" t="n">
        <x:f>M43/M36</x:f>
        <x:v>0.5381800215923439</x:v>
      </x:c>
      <x:c r="N44" s="119" t="n">
        <x:f>N43/N36</x:f>
        <x:v>0.5655849922297047</x:v>
      </x:c>
      <x:c r="O44" s="119" t="n">
        <x:f>O43/O36</x:f>
        <x:v>0.5738198376957137</x:v>
      </x:c>
      <x:c r="P44" s="119" t="n">
        <x:f>P43/P36</x:f>
        <x:v>0.5643519858887142</x:v>
      </x:c>
      <x:c r="Q44" s="119" t="n">
        <x:f>Q43/Q36</x:f>
        <x:v>0.5459886537737357</x:v>
      </x:c>
      <x:c r="R44" s="119" t="n">
        <x:f>R43/R36</x:f>
        <x:v>0.5309976984275812</x:v>
      </x:c>
      <x:c r="S44" s="119" t="n">
        <x:f>S43/S36</x:f>
        <x:v>0.5150299822335052</x:v>
      </x:c>
      <x:c r="T44" s="103"/>
      <x:c r="U44" s="103"/>
    </x:row>
    <x:row r="45" ht="24" customHeight="1">
      <x:c r="A45" s="103"/>
      <x:c r="B45" s="103"/>
      <x:c r="C45" s="103" t="str">
        <x:v>Allocated operating expenses</x:v>
      </x:c>
      <x:c r="D45" s="103"/>
      <x:c r="E45" s="109" t="str">
        <x:v>n.a.</x:v>
      </x:c>
      <x:c r="F45" s="109" t="str">
        <x:v>n.a.</x:v>
      </x:c>
      <x:c r="G45" s="109" t="str">
        <x:v>n.a.</x:v>
      </x:c>
      <x:c r="H45" s="109" t="str">
        <x:v>n.a.</x:v>
      </x:c>
      <x:c r="I45" s="109" t="str">
        <x:v>n.a.</x:v>
      </x:c>
      <x:c r="J45" s="109" t="str">
        <x:v>n.a.</x:v>
      </x:c>
      <x:c r="K45" s="109" t="str">
        <x:v>n.a.</x:v>
      </x:c>
      <x:c r="L45" s="109" t="str">
        <x:v>n.a.</x:v>
      </x:c>
      <x:c r="M45" s="109" t="str">
        <x:v>n.a.</x:v>
      </x:c>
      <x:c r="N45" s="109" t="str">
        <x:v>n.a.</x:v>
      </x:c>
      <x:c r="O45" s="109" t="n">
        <x:f>'Expense Plan'!O24*'Assumptions'!G208</x:f>
        <x:v>18986.9738549464</x:v>
      </x:c>
      <x:c r="P45" s="109" t="n">
        <x:f>'Expense Plan'!P24*'Assumptions'!G208</x:f>
        <x:v>22288.100415319823</x:v>
      </x:c>
      <x:c r="Q45" s="109" t="n">
        <x:f>'Expense Plan'!Q24*'Assumptions'!G208</x:f>
        <x:v>25794.34093839981</x:v>
      </x:c>
      <x:c r="R45" s="109" t="n">
        <x:f>'Expense Plan'!R24*'Assumptions'!G208</x:f>
        <x:v>29421.389409518677</x:v>
      </x:c>
      <x:c r="S45" s="109" t="n">
        <x:f>'Expense Plan'!S24*'Assumptions'!G208</x:f>
        <x:v>33105.5996631364</x:v>
      </x:c>
      <x:c r="T45" s="103"/>
      <x:c r="U45" s="103"/>
    </x:row>
    <x:row r="46" ht="24" customHeight="1">
      <x:c r="A46" s="103"/>
      <x:c r="B46" s="103"/>
      <x:c r="C46" s="103" t="str">
        <x:v>Operating income</x:v>
      </x:c>
      <x:c r="D46" s="103"/>
      <x:c r="E46" s="166" t="n">
        <x:v>8815</x:v>
      </x:c>
      <x:c r="F46" s="166" t="n">
        <x:v>10610</x:v>
      </x:c>
      <x:c r="G46" s="166" t="n">
        <x:v>12820</x:v>
      </x:c>
      <x:c r="H46" s="166" t="n">
        <x:v>15911</x:v>
      </x:c>
      <x:c r="I46" s="166" t="n">
        <x:v>19094</x:v>
      </x:c>
      <x:c r="J46" s="166" t="n">
        <x:v>20490</x:v>
      </x:c>
      <x:c r="K46" s="166" t="n">
        <x:v>10038</x:v>
      </x:c>
      <x:c r="L46" s="166" t="n">
        <x:v>11959</x:v>
      </x:c>
      <x:c r="M46" s="166" t="n">
        <x:v>14166</x:v>
      </x:c>
      <x:c r="N46" s="166" t="n">
        <x:v>14386</x:v>
      </x:c>
      <x:c r="O46" s="109" t="n">
        <x:f>O43-O45</x:f>
        <x:v>12339.297110853608</x:v>
      </x:c>
      <x:c r="P46" s="109" t="n">
        <x:f>P43-P45</x:f>
        <x:v>9137.484602882912</x:v>
      </x:c>
      <x:c r="Q46" s="109" t="n">
        <x:f>Q43-Q45</x:f>
        <x:v>5216.754181152934</x:v>
      </x:c>
      <x:c r="R46" s="109" t="n">
        <x:f>R43-R45</x:f>
        <x:v>1341.4413211101273</x:v>
      </x:c>
      <x:c r="S46" s="109" t="n">
        <x:f>S43-S45</x:f>
        <x:v>-2671.087770152986</x:v>
      </x:c>
      <x:c r="T46" s="103"/>
      <x:c r="U46" s="103"/>
    </x:row>
    <x:row r="47" ht="24" customHeight="1">
      <x:c r="A47" s="103"/>
      <x:c r="B47" s="103"/>
      <x:c r="C47" s="105" t="str">
        <x:v>Operating margin</x:v>
      </x:c>
      <x:c r="D47" s="105"/>
      <x:c r="E47" s="119" t="n">
        <x:f>E46/E36</x:f>
        <x:v>0.22433450399552093</x:v>
      </x:c>
      <x:c r="F47" s="119" t="n">
        <x:f>F46/F36</x:f>
        <x:v>0.2509698173904816</x:v>
      </x:c>
      <x:c r="G47" s="119" t="n">
        <x:f>G46/G36</x:f>
        <x:v>0.2805374414635214</x:v>
      </x:c>
      <x:c r="H47" s="119" t="n">
        <x:f>H46/H36</x:f>
        <x:v>0.3297548237342231</x:v>
      </x:c>
      <x:c r="I47" s="119" t="n">
        <x:f>I46/I36</x:f>
        <x:v>0.35070254385159333</x:v>
      </x:c>
      <x:c r="J47" s="119" t="n">
        <x:f>J46/J36</x:f>
        <x:v>0.34183613886988873</x:v>
      </x:c>
      <x:c r="K47" s="119" t="n">
        <x:f>K46/K36</x:f>
        <x:v>0.22396251673360107</x:v>
      </x:c>
      <x:c r="L47" s="119" t="n">
        <x:f>L46/L36</x:f>
        <x:v>0.2352374208269405</x:v>
      </x:c>
      <x:c r="M47" s="119" t="n">
        <x:f>M46/M36</x:f>
        <x:v>0.2592179179856905</x:v>
      </x:c>
      <x:c r="N47" s="119" t="n">
        <x:f>N46/N36</x:f>
        <x:v>0.2661511137423222</x:v>
      </x:c>
      <x:c r="O47" s="119" t="n">
        <x:f>O46/O36</x:f>
        <x:v>0.22602541723396552</x:v>
      </x:c>
      <x:c r="P47" s="119" t="n">
        <x:f>P46/P36</x:f>
        <x:v>0.16409424291314087</x:v>
      </x:c>
      <x:c r="Q47" s="119" t="n">
        <x:f>Q46/Q36</x:f>
        <x:v>0.09184740433885319</x:v>
      </x:c>
      <x:c r="R47" s="119" t="n">
        <x:f>R46/R36</x:f>
        <x:v>0.023154639451821724</x:v>
      </x:c>
      <x:c r="S47" s="119" t="n">
        <x:f>S46/S36</x:f>
        <x:v>-0.045201654346991076</x:v>
      </x:c>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74" t="str">
        <x:v>Total segment revenue</x:v>
      </x:c>
      <x:c r="D51" s="174"/>
      <x:c r="E51" s="175" t="n">
        <x:f>SUM(E8,E22,E36)</x:f>
        <x:v>96571</x:v>
      </x:c>
      <x:c r="F51" s="175" t="n">
        <x:f>SUM(F8,F22,F36)</x:f>
        <x:v>110360</x:v>
      </x:c>
      <x:c r="G51" s="175" t="n">
        <x:f>SUM(G8,G22,G36)</x:f>
        <x:v>125843</x:v>
      </x:c>
      <x:c r="H51" s="175" t="n">
        <x:f>SUM(H8,H22,H36)</x:f>
        <x:v>143015</x:v>
      </x:c>
      <x:c r="I51" s="175" t="n">
        <x:f>SUM(I8,I22,I36)</x:f>
        <x:v>168088</x:v>
      </x:c>
      <x:c r="J51" s="175" t="n">
        <x:f>SUM(J8,J22,J36)</x:f>
        <x:v>198270</x:v>
      </x:c>
      <x:c r="K51" s="175" t="n">
        <x:f>SUM(K8,K22,K36)</x:f>
        <x:v>211915</x:v>
      </x:c>
      <x:c r="L51" s="175" t="n">
        <x:f>SUM(L8,L22,L36)</x:f>
        <x:v>245122</x:v>
      </x:c>
      <x:c r="M51" s="175" t="n">
        <x:f>SUM(M8,M22,M36)</x:f>
        <x:v>281724</x:v>
      </x:c>
      <x:c r="N51" s="175" t="n">
        <x:f>SUM(N8,N22,N36)</x:f>
        <x:v>331839</x:v>
      </x:c>
      <x:c r="O51" s="175" t="n">
        <x:f>SUM(O8,O22,O36)</x:f>
        <x:v>385048.80000000005</x:v>
      </x:c>
      <x:c r="P51" s="175" t="n">
        <x:f>SUM(P8,P22,P36)</x:f>
        <x:v>444477.44240000006</x:v>
      </x:c>
      <x:c r="Q51" s="175" t="n">
        <x:f>SUM(Q8,Q22,Q36)</x:f>
        <x:v>508922.316432</x:v>
      </x:c>
      <x:c r="R51" s="175" t="n">
        <x:f>SUM(R8,R22,R36)</x:f>
        <x:v>577301.7649200001</x:v>
      </x:c>
      <x:c r="S51" s="175" t="n">
        <x:f>SUM(S8,S22,S36)</x:f>
        <x:v>648107.1509938752</x:v>
      </x:c>
      <x:c r="T51" s="103"/>
      <x:c r="U51" s="103"/>
    </x:row>
    <x:row r="52" ht="24" customHeight="1">
      <x:c r="A52" s="103"/>
      <x:c r="B52" s="103"/>
      <x:c r="C52" s="174" t="str">
        <x:v>Total segment cost of revenue</x:v>
      </x:c>
      <x:c r="D52" s="174"/>
      <x:c r="E52" s="175" t="str">
        <x:f>"n.a."</x:f>
        <x:v>n.a.</x:v>
      </x:c>
      <x:c r="F52" s="175" t="str">
        <x:f>"n.a."</x:f>
        <x:v>n.a.</x:v>
      </x:c>
      <x:c r="G52" s="175" t="str">
        <x:f>"n.a."</x:f>
        <x:v>n.a.</x:v>
      </x:c>
      <x:c r="H52" s="175" t="str">
        <x:f>"n.a."</x:f>
        <x:v>n.a.</x:v>
      </x:c>
      <x:c r="I52" s="175" t="str">
        <x:f>"n.a."</x:f>
        <x:v>n.a.</x:v>
      </x:c>
      <x:c r="J52" s="175" t="str">
        <x:f>"n.a."</x:f>
        <x:v>n.a.</x:v>
      </x:c>
      <x:c r="K52" s="175" t="n">
        <x:f>SUM(K14,K28,K42)</x:f>
        <x:v>65863</x:v>
      </x:c>
      <x:c r="L52" s="175" t="n">
        <x:f>SUM(L14,L28,L42)</x:f>
        <x:v>74114</x:v>
      </x:c>
      <x:c r="M52" s="175" t="n">
        <x:f>SUM(M14,M28,M42)</x:f>
        <x:v>87831</x:v>
      </x:c>
      <x:c r="N52" s="175" t="n">
        <x:f>SUM(N14,N28,N42)</x:f>
        <x:v>106374</x:v>
      </x:c>
      <x:c r="O52" s="175" t="n">
        <x:f>SUM(O14,O28,O42)</x:f>
        <x:v>126934.72594780002</x:v>
      </x:c>
      <x:c r="P52" s="175" t="n">
        <x:f>SUM(P14,P28,P42)</x:f>
        <x:v>158587.80304314074</x:v>
      </x:c>
      <x:c r="Q52" s="175" t="n">
        <x:f>SUM(Q14,Q28,Q42)</x:f>
        <x:v>192262.23061159597</x:v>
      </x:c>
      <x:c r="R52" s="175" t="n">
        <x:f>SUM(R14,R28,R42)</x:f>
        <x:v>226627.30469749935</x:v>
      </x:c>
      <x:c r="S52" s="175" t="n">
        <x:f>SUM(S14,S28,S42)</x:f>
        <x:v>261654.77493136932</x:v>
      </x:c>
      <x:c r="T52" s="103"/>
      <x:c r="U52" s="103"/>
    </x:row>
    <x:row r="53" ht="24" customHeight="1">
      <x:c r="A53" s="103"/>
      <x:c r="B53" s="103"/>
      <x:c r="C53" s="174" t="str">
        <x:v>Total segment operating income</x:v>
      </x:c>
      <x:c r="D53" s="174"/>
      <x:c r="E53" s="175" t="n">
        <x:f>SUM(E18,E32,E46)</x:f>
        <x:v>29331</x:v>
      </x:c>
      <x:c r="F53" s="175" t="n">
        <x:f>SUM(F18,F32,F46)</x:f>
        <x:v>35058</x:v>
      </x:c>
      <x:c r="G53" s="175" t="n">
        <x:f>SUM(G18,G32,G46)</x:f>
        <x:v>42959</x:v>
      </x:c>
      <x:c r="H53" s="175" t="n">
        <x:f>SUM(H18,H32,H46)</x:f>
        <x:v>52959</x:v>
      </x:c>
      <x:c r="I53" s="175" t="n">
        <x:f>SUM(I18,I32,I46)</x:f>
        <x:v>69916</x:v>
      </x:c>
      <x:c r="J53" s="175" t="n">
        <x:f>SUM(J18,J32,J46)</x:f>
        <x:v>83383</x:v>
      </x:c>
      <x:c r="K53" s="175" t="n">
        <x:f>SUM(K18,K32,K46)</x:f>
        <x:v>88523</x:v>
      </x:c>
      <x:c r="L53" s="175" t="n">
        <x:f>SUM(L18,L32,L46)</x:f>
        <x:v>109433</x:v>
      </x:c>
      <x:c r="M53" s="175" t="n">
        <x:f>SUM(M18,M32,M46)</x:f>
        <x:v>128528</x:v>
      </x:c>
      <x:c r="N53" s="175" t="n">
        <x:f>SUM(N18,N32,N46)</x:f>
        <x:v>155237</x:v>
      </x:c>
      <x:c r="O53" s="175" t="n">
        <x:f>SUM(O18,O32,O46)</x:f>
        <x:v>175728.0870342713</x:v>
      </x:c>
      <x:c r="P53" s="175" t="n">
        <x:f>SUM(P18,P32,P46)</x:f>
        <x:v>189179.80210217403</x:v>
      </x:c>
      <x:c r="Q53" s="175" t="n">
        <x:f>SUM(Q18,Q32,Q46)</x:f>
        <x:v>204736.39255985778</x:v>
      </x:c>
      <x:c r="R53" s="175" t="n">
        <x:f>SUM(R18,R32,R46)</x:f>
        <x:v>223012.71567806587</x:v>
      </x:c>
      <x:c r="S53" s="175" t="n">
        <x:f>SUM(S18,S32,S46)</x:f>
        <x:v>242804.5507215888</x:v>
      </x:c>
      <x:c r="T53" s="103"/>
      <x:c r="U53" s="103"/>
    </x:row>
    <x:row r="54" ht="24" customHeight="1">
      <x:c r="A54" s="103"/>
      <x:c r="B54" s="103"/>
      <x:c r="C54" s="103" t="str">
        <x:v>Unallocated corporate operating expenses</x:v>
      </x:c>
      <x:c r="D54" s="103"/>
      <x:c r="E54" s="109" t="n">
        <x:f>'Income Statement'!E17</x:f>
        <x:v>306</x:v>
      </x:c>
      <x:c r="F54" s="109" t="n">
        <x:f>'Income Statement'!F17</x:f>
        <x:v>0</x:v>
      </x:c>
      <x:c r="G54" s="109" t="n">
        <x:f>'Income Statement'!G17</x:f>
        <x:v>0</x:v>
      </x:c>
      <x:c r="H54" s="109" t="n">
        <x:f>'Income Statement'!H17</x:f>
        <x:v>0</x:v>
      </x:c>
      <x:c r="I54" s="109" t="n">
        <x:f>'Income Statement'!I17</x:f>
        <x:v>0</x:v>
      </x:c>
      <x:c r="J54" s="109" t="n">
        <x:f>'Income Statement'!J17</x:f>
        <x:v>0</x:v>
      </x:c>
      <x:c r="K54" s="109" t="n">
        <x:f>'Income Statement'!K17</x:f>
        <x:v>0</x:v>
      </x:c>
      <x:c r="L54" s="109" t="n">
        <x:f>'Income Statement'!L17</x:f>
        <x:v>0</x:v>
      </x:c>
      <x:c r="M54" s="109" t="n">
        <x:f>'Income Statement'!M17</x:f>
        <x:v>0</x:v>
      </x:c>
      <x:c r="N54" s="109" t="n">
        <x:f>'Income Statement'!N17</x:f>
        <x:v>0</x:v>
      </x:c>
      <x:c r="O54" s="109" t="n">
        <x:f>'Income Statement'!O17</x:f>
        <x:v>0</x:v>
      </x:c>
      <x:c r="P54" s="109" t="n">
        <x:f>'Income Statement'!P17</x:f>
        <x:v>0</x:v>
      </x:c>
      <x:c r="Q54" s="109" t="n">
        <x:f>'Income Statement'!Q17</x:f>
        <x:v>0</x:v>
      </x:c>
      <x:c r="R54" s="109" t="n">
        <x:f>'Income Statement'!R17</x:f>
        <x:v>0</x:v>
      </x:c>
      <x:c r="S54" s="109" t="n">
        <x:f>'Income Statement'!S17</x:f>
        <x:v>0</x:v>
      </x:c>
      <x:c r="T54" s="103"/>
      <x:c r="U54" s="103"/>
    </x:row>
    <x:row r="55" ht="24" customHeight="1">
      <x:c r="A55" s="103"/>
      <x:c r="B55" s="103"/>
      <x:c r="C55" s="174" t="str">
        <x:v>Consolidated operating income</x:v>
      </x:c>
      <x:c r="D55" s="174"/>
      <x:c r="E55" s="175" t="n">
        <x:f>E53-E54</x:f>
        <x:v>29025</x:v>
      </x:c>
      <x:c r="F55" s="175" t="n">
        <x:f>F53-F54</x:f>
        <x:v>35058</x:v>
      </x:c>
      <x:c r="G55" s="175" t="n">
        <x:f>G53-G54</x:f>
        <x:v>42959</x:v>
      </x:c>
      <x:c r="H55" s="175" t="n">
        <x:f>H53-H54</x:f>
        <x:v>52959</x:v>
      </x:c>
      <x:c r="I55" s="175" t="n">
        <x:f>I53-I54</x:f>
        <x:v>69916</x:v>
      </x:c>
      <x:c r="J55" s="175" t="n">
        <x:f>J53-J54</x:f>
        <x:v>83383</x:v>
      </x:c>
      <x:c r="K55" s="175" t="n">
        <x:f>K53-K54</x:f>
        <x:v>88523</x:v>
      </x:c>
      <x:c r="L55" s="175" t="n">
        <x:f>L53-L54</x:f>
        <x:v>109433</x:v>
      </x:c>
      <x:c r="M55" s="175" t="n">
        <x:f>M53-M54</x:f>
        <x:v>128528</x:v>
      </x:c>
      <x:c r="N55" s="175" t="n">
        <x:f>N53-N54</x:f>
        <x:v>155237</x:v>
      </x:c>
      <x:c r="O55" s="175" t="n">
        <x:f>O53-O54</x:f>
        <x:v>175728.0870342713</x:v>
      </x:c>
      <x:c r="P55" s="175" t="n">
        <x:f>P53-P54</x:f>
        <x:v>189179.80210217403</x:v>
      </x:c>
      <x:c r="Q55" s="175" t="n">
        <x:f>Q53-Q54</x:f>
        <x:v>204736.39255985778</x:v>
      </x:c>
      <x:c r="R55" s="175" t="n">
        <x:f>R53-R54</x:f>
        <x:v>223012.71567806587</x:v>
      </x:c>
      <x:c r="S55" s="175" t="n">
        <x:f>S53-S54</x:f>
        <x:v>242804.5507215888</x:v>
      </x:c>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4" t="str">
        <x:v>Selected-case observations</x:v>
      </x:c>
      <x:c r="D71" s="104"/>
      <x:c r="E71" s="104"/>
      <x:c r="F71" s="104"/>
      <x:c r="G71" s="104"/>
      <x:c r="H71" s="104"/>
      <x:c r="I71" s="104"/>
      <x:c r="J71" s="104"/>
      <x:c r="K71" s="104"/>
      <x:c r="L71" s="104"/>
      <x:c r="M71" s="104"/>
      <x:c r="N71" s="104"/>
      <x:c r="O71" s="104"/>
      <x:c r="P71" s="104"/>
      <x:c r="Q71" s="104"/>
      <x:c r="R71" s="104"/>
      <x:c r="S71" s="104"/>
      <x:c r="T71" s="103"/>
      <x:c r="U71" s="103"/>
    </x:row>
    <x:row r="72" ht="24" customHeight="1">
      <x:c r="A72" s="103"/>
      <x:c r="B72" s="103"/>
      <x:c r="C72" s="103" t="str">
        <x:f>"FY2031 revenue shares: PBP "&amp;(FIXED((S8/S51)*100,1,TRUE)&amp;"%")&amp;", IC "&amp;(FIXED((S22/S51)*100,1,TRUE)&amp;"%")&amp;", MPC "&amp;(FIXED((S36/S51)*100,1,TRUE)&amp;"%")&amp;"."</x:f>
        <x:v>FY2031 revenue shares: PBP 38.1%, IC 52.8%, MPC 9.1%.</x:v>
      </x:c>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t="str">
        <x:f>"FY2031 modeled operating margins: PBP "&amp;(FIXED((S19)*100,1,TRUE)&amp;"%")&amp;", IC "&amp;(FIXED((S33)*100,1,TRUE)&amp;"%")&amp;", MPC "&amp;(FIXED((S47)*100,1,TRUE)&amp;"%")&amp;"."</x:f>
        <x:v>FY2031 modeled operating margins: PBP 56.0%, IC 31.3%, MPC -4.5%.</x:v>
      </x:c>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t="str">
        <x:f>"FY2031 unallocated corporate operating expense: "&amp;FIXED(S54/1000,1,TRUE)&amp;"bn. It is deducted after the segment total."</x:f>
        <x:v>FY2031 unallocated corporate operating expense: 0.0bn. It is deducted after the segment total.</x:v>
      </x:c>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c r="C98" s="138" t="str">
        <x:v>Fiscal year</x:v>
      </x:c>
      <x:c r="D98" s="138" t="str">
        <x:v>PBP</x:v>
      </x:c>
      <x:c r="E98" s="138" t="str">
        <x:v>Intelligent Cloud</x:v>
      </x:c>
      <x:c r="F98" s="138" t="str">
        <x:v>MPC</x:v>
      </x:c>
    </x:row>
    <x:row r="99" ht="24" customHeight="1">
      <x:c r="C99" s="128" t="str">
        <x:f>"FY2023 A"</x:f>
        <x:v>FY2023 A</x:v>
      </x:c>
      <x:c r="D99" s="134" t="n">
        <x:f>IF(OR(K8="n.a.",ISBLANK(K8)),"",K8)</x:f>
        <x:v>94151</x:v>
      </x:c>
      <x:c r="E99" s="134" t="n">
        <x:f>IF(OR(K22="n.a.",ISBLANK(K22)),"",K22)</x:f>
        <x:v>72944</x:v>
      </x:c>
      <x:c r="F99" s="134" t="n">
        <x:f>IF(OR(K36="n.a.",ISBLANK(K36)),"",K36)</x:f>
        <x:v>44820</x:v>
      </x:c>
    </x:row>
    <x:row r="100" ht="24" customHeight="1">
      <x:c r="C100" s="128" t="str">
        <x:f>"FY2024 A"</x:f>
        <x:v>FY2024 A</x:v>
      </x:c>
      <x:c r="D100" s="134" t="n">
        <x:f>IF(OR(L8="n.a.",ISBLANK(L8)),"",L8)</x:f>
        <x:v>106820</x:v>
      </x:c>
      <x:c r="E100" s="134" t="n">
        <x:f>IF(OR(L22="n.a.",ISBLANK(L22)),"",L22)</x:f>
        <x:v>87464</x:v>
      </x:c>
      <x:c r="F100" s="134" t="n">
        <x:f>IF(OR(L36="n.a.",ISBLANK(L36)),"",L36)</x:f>
        <x:v>50838</x:v>
      </x:c>
    </x:row>
    <x:row r="101" ht="24" customHeight="1">
      <x:c r="C101" s="128" t="str">
        <x:f>"FY2025 A"</x:f>
        <x:v>FY2025 A</x:v>
      </x:c>
      <x:c r="D101" s="134" t="n">
        <x:f>IF(OR(M8="n.a.",ISBLANK(M8)),"",M8)</x:f>
        <x:v>120810</x:v>
      </x:c>
      <x:c r="E101" s="134" t="n">
        <x:f>IF(OR(M22="n.a.",ISBLANK(M22)),"",M22)</x:f>
        <x:v>106265</x:v>
      </x:c>
      <x:c r="F101" s="134" t="n">
        <x:f>IF(OR(M36="n.a.",ISBLANK(M36)),"",M36)</x:f>
        <x:v>54649</x:v>
      </x:c>
    </x:row>
    <x:row r="102" ht="24" customHeight="1">
      <x:c r="C102" s="128" t="str">
        <x:f>"FY2026 A"</x:f>
        <x:v>FY2026 A</x:v>
      </x:c>
      <x:c r="D102" s="134" t="n">
        <x:f>IF(OR(N8="n.a.",ISBLANK(N8)),"",N8)</x:f>
        <x:v>139996</x:v>
      </x:c>
      <x:c r="E102" s="134" t="n">
        <x:f>IF(OR(N22="n.a.",ISBLANK(N22)),"",N22)</x:f>
        <x:v>137791</x:v>
      </x:c>
      <x:c r="F102" s="134" t="n">
        <x:f>IF(OR(N36="n.a.",ISBLANK(N36)),"",N36)</x:f>
        <x:v>54052</x:v>
      </x:c>
    </x:row>
    <x:row r="103" ht="24" customHeight="1">
      <x:c r="C103" s="128" t="str">
        <x:f>"FY2027 E"</x:f>
        <x:v>FY2027 E</x:v>
      </x:c>
      <x:c r="D103" s="134" t="n">
        <x:f>IF(OR(O8="n.a.",ISBLANK(O8)),"",O8)</x:f>
        <x:v>159595.44000000003</x:v>
      </x:c>
      <x:c r="E103" s="134" t="n">
        <x:f>IF(OR(O22="n.a.",ISBLANK(O22)),"",O22)</x:f>
        <x:v>170860.84</x:v>
      </x:c>
      <x:c r="F103" s="134" t="n">
        <x:f>IF(OR(O36="n.a.",ISBLANK(O36)),"",O36)</x:f>
        <x:v>54592.520000000004</x:v>
      </x:c>
    </x:row>
    <x:row r="104" ht="24" customHeight="1">
      <x:c r="C104" s="128" t="str">
        <x:f>"FY2028 E"</x:f>
        <x:v>FY2028 E</x:v>
      </x:c>
      <x:c r="D104" s="134" t="n">
        <x:f>IF(OR(P8="n.a.",ISBLANK(P8)),"",P8)</x:f>
        <x:v>180342.84720000002</x:v>
      </x:c>
      <x:c r="E104" s="134" t="n">
        <x:f>IF(OR(P22="n.a.",ISBLANK(P22)),"",P22)</x:f>
        <x:v>208450.2248</x:v>
      </x:c>
      <x:c r="F104" s="134" t="n">
        <x:f>IF(OR(P36="n.a.",ISBLANK(P36)),"",P36)</x:f>
        <x:v>55684.37040000001</x:v>
      </x:c>
    </x:row>
    <x:row r="105" ht="24" customHeight="1">
      <x:c r="C105" s="128" t="str">
        <x:f>"FY2029 E"</x:f>
        <x:v>FY2029 E</x:v>
      </x:c>
      <x:c r="D105" s="134" t="n">
        <x:f>IF(OR(Q8="n.a.",ISBLANK(Q8)),"",Q8)</x:f>
        <x:v>201983.98886400004</x:v>
      </x:c>
      <x:c r="E105" s="134" t="n">
        <x:f>IF(OR(Q22="n.a.",ISBLANK(Q22)),"",Q22)</x:f>
        <x:v>250140.26976</x:v>
      </x:c>
      <x:c r="F105" s="134" t="n">
        <x:f>IF(OR(Q36="n.a.",ISBLANK(Q36)),"",Q36)</x:f>
        <x:v>56798.057808000005</x:v>
      </x:c>
    </x:row>
    <x:row r="106" ht="24" customHeight="1">
      <x:c r="C106" s="128" t="str">
        <x:f>"FY2030 E"</x:f>
        <x:v>FY2030 E</x:v>
      </x:c>
      <x:c r="D106" s="134" t="n">
        <x:f>IF(OR(R8="n.a.",ISBLANK(R8)),"",R8)</x:f>
        <x:v>224202.22763904007</x:v>
      </x:c>
      <x:c r="E106" s="134" t="n">
        <x:f>IF(OR(R22="n.a.",ISBLANK(R22)),"",R22)</x:f>
        <x:v>295165.5183168</x:v>
      </x:c>
      <x:c r="F106" s="134" t="n">
        <x:f>IF(OR(R36="n.a.",ISBLANK(R36)),"",R36)</x:f>
        <x:v>57934.01896416001</x:v>
      </x:c>
    </x:row>
    <x:row r="107" ht="24" customHeight="1">
      <x:c r="C107" s="128" t="str">
        <x:f>"FY2031 E"</x:f>
        <x:v>FY2031 E</x:v>
      </x:c>
      <x:c r="D107" s="134" t="n">
        <x:f>IF(OR(S8="n.a.",ISBLANK(S8)),"",S8)</x:f>
        <x:v>246622.4504029441</x:v>
      </x:c>
      <x:c r="E107" s="134" t="n">
        <x:f>IF(OR(S22="n.a.",ISBLANK(S22)),"",S22)</x:f>
        <x:v>342392.00124748796</x:v>
      </x:c>
      <x:c r="F107" s="134" t="n">
        <x:f>IF(OR(S36="n.a.",ISBLANK(S36)),"",S36)</x:f>
        <x:v>59092.69934344321</x:v>
      </x:c>
    </x:row>
    <x:row r="108" ht="24" customHeight="1"/>
    <x:row r="109" ht="24" customHeight="1"/>
    <x:row r="110" ht="24" customHeight="1"/>
    <x:row r="111" ht="24" customHeight="1"/>
    <x:row r="112" ht="24" customHeight="1"/>
    <x:row r="113" ht="24" customHeight="1"/>
    <x:row r="114" ht="24" customHeight="1"/>
    <x:row r="115" ht="24" customHeight="1"/>
    <x:row r="116" ht="24" customHeight="1"/>
    <x:row r="117" ht="24" customHeight="1">
      <x:c r="C117" s="138" t="str">
        <x:v>Fiscal year</x:v>
      </x:c>
      <x:c r="D117" s="138" t="str">
        <x:v>PBP</x:v>
      </x:c>
      <x:c r="E117" s="138" t="str">
        <x:v>Intelligent Cloud</x:v>
      </x:c>
      <x:c r="F117" s="138" t="str">
        <x:v>MPC</x:v>
      </x:c>
    </x:row>
    <x:row r="118" ht="24" customHeight="1">
      <x:c r="C118" s="128" t="str">
        <x:f>"FY2023 A"</x:f>
        <x:v>FY2023 A</x:v>
      </x:c>
      <x:c r="D118" s="130" t="n">
        <x:f>IF(OR(K19="n.a.",ISBLANK(K19)),"",K19)</x:f>
        <x:v>0.5318477764442225</x:v>
      </x:c>
      <x:c r="E118" s="130" t="n">
        <x:f>IF(OR(K33="n.a.",ISBLANK(K33)),"",K33)</x:f>
        <x:v>0.389490568107041</x:v>
      </x:c>
      <x:c r="F118" s="130" t="n">
        <x:f>IF(OR(K47="n.a.",ISBLANK(K47)),"",K47)</x:f>
        <x:v>0.22396251673360107</x:v>
      </x:c>
    </x:row>
    <x:row r="119" ht="24" customHeight="1">
      <x:c r="C119" s="128" t="str">
        <x:f>"FY2024 A"</x:f>
        <x:v>FY2024 A</x:v>
      </x:c>
      <x:c r="D119" s="130" t="n">
        <x:f>IF(OR(L19="n.a.",ISBLANK(L19)),"",L19)</x:f>
        <x:v>0.558519003931848</x:v>
      </x:c>
      <x:c r="E119" s="130" t="n">
        <x:f>IF(OR(L33="n.a.",ISBLANK(L33)),"",L33)</x:f>
        <x:v>0.43232644287935607</x:v>
      </x:c>
      <x:c r="F119" s="130" t="n">
        <x:f>IF(OR(L47="n.a.",ISBLANK(L47)),"",L47)</x:f>
        <x:v>0.2352374208269405</x:v>
      </x:c>
    </x:row>
    <x:row r="120" ht="24" customHeight="1">
      <x:c r="C120" s="128" t="str">
        <x:f>"FY2025 A"</x:f>
        <x:v>FY2025 A</x:v>
      </x:c>
      <x:c r="D120" s="130" t="n">
        <x:f>IF(OR(M19="n.a.",ISBLANK(M19)),"",M19)</x:f>
        <x:v>0.5775432497309826</x:v>
      </x:c>
      <x:c r="E120" s="130" t="n">
        <x:f>IF(OR(M33="n.a.",ISBLANK(M33)),"",M33)</x:f>
        <x:v>0.4196019385498518</x:v>
      </x:c>
      <x:c r="F120" s="130" t="n">
        <x:f>IF(OR(M47="n.a.",ISBLANK(M47)),"",M47)</x:f>
        <x:v>0.2592179179856905</x:v>
      </x:c>
    </x:row>
    <x:row r="121" ht="24" customHeight="1">
      <x:c r="C121" s="128" t="str">
        <x:f>"FY2026 A"</x:f>
        <x:v>FY2026 A</x:v>
      </x:c>
      <x:c r="D121" s="130" t="n">
        <x:f>IF(OR(N19="n.a.",ISBLANK(N19)),"",N19)</x:f>
        <x:v>0.599152832938084</x:v>
      </x:c>
      <x:c r="E121" s="130" t="n">
        <x:f>IF(OR(N33="n.a.",ISBLANK(N33)),"",N33)</x:f>
        <x:v>0.41346677214041555</x:v>
      </x:c>
      <x:c r="F121" s="130" t="n">
        <x:f>IF(OR(N47="n.a.",ISBLANK(N47)),"",N47)</x:f>
        <x:v>0.2661511137423222</x:v>
      </x:c>
    </x:row>
    <x:row r="122" ht="24" customHeight="1">
      <x:c r="C122" s="128" t="str">
        <x:f>"FY2027 E"</x:f>
        <x:v>FY2027 E</x:v>
      </x:c>
      <x:c r="D122" s="130" t="n">
        <x:f>IF(OR(O19="n.a.",ISBLANK(O19)),"",O19)</x:f>
        <x:v>0.5951688534663646</x:v>
      </x:c>
      <x:c r="E122" s="130" t="n">
        <x:f>IF(OR(O33="n.a.",ISBLANK(O33)),"",O33)</x:f>
        <x:v>0.4003407385809276</x:v>
      </x:c>
      <x:c r="F122" s="130" t="n">
        <x:f>IF(OR(O47="n.a.",ISBLANK(O47)),"",O47)</x:f>
        <x:v>0.22602541723396552</x:v>
      </x:c>
    </x:row>
    <x:row r="123" ht="24" customHeight="1">
      <x:c r="C123" s="128" t="str">
        <x:f>"FY2028 E"</x:f>
        <x:v>FY2028 E</x:v>
      </x:c>
      <x:c r="D123" s="130" t="n">
        <x:f>IF(OR(P19="n.a.",ISBLANK(P19)),"",P19)</x:f>
        <x:v>0.5843090958363346</x:v>
      </x:c>
      <x:c r="E123" s="130" t="n">
        <x:f>IF(OR(P33="n.a.",ISBLANK(P33)),"",P33)</x:f>
        <x:v>0.3581975101391633</x:v>
      </x:c>
      <x:c r="F123" s="130" t="n">
        <x:f>IF(OR(P47="n.a.",ISBLANK(P47)),"",P47)</x:f>
        <x:v>0.16409424291314087</x:v>
      </x:c>
    </x:row>
    <x:row r="124" ht="24" customHeight="1">
      <x:c r="C124" s="128" t="str">
        <x:f>"FY2029 E"</x:f>
        <x:v>FY2029 E</x:v>
      </x:c>
      <x:c r="D124" s="130" t="n">
        <x:f>IF(OR(Q19="n.a.",ISBLANK(Q19)),"",Q19)</x:f>
        <x:v>0.5744096358279446</x:v>
      </x:c>
      <x:c r="E124" s="130" t="n">
        <x:f>IF(OR(Q33="n.a.",ISBLANK(Q33)),"",Q33)</x:f>
        <x:v>0.33380506454387443</x:v>
      </x:c>
      <x:c r="F124" s="130" t="n">
        <x:f>IF(OR(Q47="n.a.",ISBLANK(Q47)),"",Q47)</x:f>
        <x:v>0.09184740433885319</x:v>
      </x:c>
    </x:row>
    <x:row r="125" ht="24" customHeight="1">
      <x:c r="C125" s="128" t="str">
        <x:f>"FY2030 E"</x:f>
        <x:v>FY2030 E</x:v>
      </x:c>
      <x:c r="D125" s="130" t="n">
        <x:f>IF(OR(R19="n.a.",ISBLANK(R19)),"",R19)</x:f>
        <x:v>0.5666142897062317</x:v>
      </x:c>
      <x:c r="E125" s="130" t="n">
        <x:f>IF(OR(R33="n.a.",ISBLANK(R33)),"",R33)</x:f>
        <x:v>0.32061701831693873</x:v>
      </x:c>
      <x:c r="F125" s="130" t="n">
        <x:f>IF(OR(R47="n.a.",ISBLANK(R47)),"",R47)</x:f>
        <x:v>0.023154639451821724</x:v>
      </x:c>
    </x:row>
    <x:row r="126" ht="24" customHeight="1">
      <x:c r="C126" s="128" t="str">
        <x:f>"FY2031 E"</x:f>
        <x:v>FY2031 E</x:v>
      </x:c>
      <x:c r="D126" s="130" t="n">
        <x:f>IF(OR(S19="n.a.",ISBLANK(S19)),"",S19)</x:f>
        <x:v>0.5601803313676277</x:v>
      </x:c>
      <x:c r="E126" s="130" t="n">
        <x:f>IF(OR(S33="n.a.",ISBLANK(S33)),"",S33)</x:f>
        <x:v>0.31344947344359625</x:v>
      </x:c>
      <x:c r="F126" s="130" t="n">
        <x:f>IF(OR(S47="n.a.",ISBLANK(S47)),"",S47)</x:f>
        <x:v>-0.045201654346991076</x:v>
      </x:c>
    </x:row>
  </x:sheetData>
  <x:mergeCells>
    <x:mergeCell ref="C72:S72"/>
    <x:mergeCell ref="C73:S73"/>
    <x:mergeCell ref="C74:S74"/>
  </x:mergeCells>
  <x:pageMargins left="0.7" right="0.7" top="0.75" bottom="0.75" header="0.3" footer="0.3"/>
  <x:drawing xmlns:r="http://schemas.openxmlformats.org/officeDocument/2006/relationships" r:id="Racea83bf698341c8"/>
  <x:legacyDrawing xmlns:r="http://schemas.openxmlformats.org/officeDocument/2006/relationships" r:id="R6b0dafebeb664410"/>
</x:worksheet>
</file>

<file path=xl/worksheets/sheet11.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Expense Plan</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Revenue</x:v>
      </x:c>
      <x:c r="D8" s="103"/>
      <x:c r="E8" s="109" t="n">
        <x:f>'Income Statement'!E8</x:f>
        <x:v>96571</x:v>
      </x:c>
      <x:c r="F8" s="109" t="n">
        <x:f>'Income Statement'!F8</x:f>
        <x:v>110360</x:v>
      </x:c>
      <x:c r="G8" s="109" t="n">
        <x:f>'Income Statement'!G8</x:f>
        <x:v>125843</x:v>
      </x:c>
      <x:c r="H8" s="109" t="n">
        <x:f>'Income Statement'!H8</x:f>
        <x:v>143015</x:v>
      </x:c>
      <x:c r="I8" s="109" t="n">
        <x:f>'Income Statement'!I8</x:f>
        <x:v>168088</x:v>
      </x:c>
      <x:c r="J8" s="109" t="n">
        <x:f>'Income Statement'!J8</x:f>
        <x:v>198270</x:v>
      </x:c>
      <x:c r="K8" s="109" t="n">
        <x:f>'Income Statement'!K8</x:f>
        <x:v>211915</x:v>
      </x:c>
      <x:c r="L8" s="109" t="n">
        <x:f>'Income Statement'!L8</x:f>
        <x:v>245122</x:v>
      </x:c>
      <x:c r="M8" s="109" t="n">
        <x:f>'Income Statement'!M8</x:f>
        <x:v>281724</x:v>
      </x:c>
      <x:c r="N8" s="109" t="n">
        <x:f>'Income Statement'!N8</x:f>
        <x:v>331839</x:v>
      </x:c>
      <x:c r="O8" s="109" t="n">
        <x:f>'Income Statement'!O8</x:f>
        <x:v>385048.80000000005</x:v>
      </x:c>
      <x:c r="P8" s="109" t="n">
        <x:f>'Income Statement'!P8</x:f>
        <x:v>444477.44240000006</x:v>
      </x:c>
      <x:c r="Q8" s="109" t="n">
        <x:f>'Income Statement'!Q8</x:f>
        <x:v>508922.316432</x:v>
      </x:c>
      <x:c r="R8" s="109" t="n">
        <x:f>'Income Statement'!R8</x:f>
        <x:v>577301.7649200001</x:v>
      </x:c>
      <x:c r="S8" s="109" t="n">
        <x:f>'Income Statement'!S8</x:f>
        <x:v>648107.1509938752</x:v>
      </x:c>
      <x:c r="T8" s="103"/>
      <x:c r="U8" s="103"/>
    </x:row>
    <x:row r="9" ht="24" customHeight="1">
      <x:c r="A9" s="103"/>
      <x:c r="B9" s="103"/>
      <x:c r="C9" s="103"/>
      <x:c r="D9" s="103"/>
      <x:c r="E9" s="103"/>
      <x:c r="F9" s="103"/>
      <x:c r="G9" s="103"/>
      <x:c r="H9" s="103"/>
      <x:c r="I9" s="103"/>
      <x:c r="J9" s="103"/>
      <x:c r="K9" s="103"/>
      <x:c r="L9" s="103"/>
      <x:c r="M9" s="103"/>
      <x:c r="N9" s="103"/>
      <x:c r="O9" s="103"/>
      <x:c r="P9" s="103"/>
      <x:c r="Q9" s="103"/>
      <x:c r="R9" s="103"/>
      <x:c r="S9" s="103"/>
      <x:c r="T9" s="103"/>
      <x:c r="U9" s="103"/>
    </x:row>
    <x:row r="10" ht="24" customHeight="1">
      <x:c r="A10" s="103"/>
      <x:c r="B10" s="103"/>
      <x:c r="C10" s="103" t="str">
        <x:v>PPE depreciation</x:v>
      </x:c>
      <x:c r="D10" s="103"/>
      <x:c r="E10" s="109" t="n">
        <x:f>'Filing Notes'!E8</x:f>
        <x:v>6100</x:v>
      </x:c>
      <x:c r="F10" s="109" t="n">
        <x:f>'Filing Notes'!F8</x:f>
        <x:v>7700</x:v>
      </x:c>
      <x:c r="G10" s="109" t="n">
        <x:f>'Filing Notes'!G8</x:f>
        <x:v>9700</x:v>
      </x:c>
      <x:c r="H10" s="109" t="n">
        <x:f>'Filing Notes'!H8</x:f>
        <x:v>10700</x:v>
      </x:c>
      <x:c r="I10" s="109" t="n">
        <x:f>'Filing Notes'!I8</x:f>
        <x:v>9300</x:v>
      </x:c>
      <x:c r="J10" s="109" t="n">
        <x:f>'Filing Notes'!J8</x:f>
        <x:v>12600</x:v>
      </x:c>
      <x:c r="K10" s="109" t="n">
        <x:f>'Filing Notes'!K8</x:f>
        <x:v>11000</x:v>
      </x:c>
      <x:c r="L10" s="109" t="n">
        <x:f>'Filing Notes'!L8</x:f>
        <x:v>15200</x:v>
      </x:c>
      <x:c r="M10" s="109" t="n">
        <x:f>'Filing Notes'!M8</x:f>
        <x:v>22000</x:v>
      </x:c>
      <x:c r="N10" s="109" t="n">
        <x:f>'Filing Notes'!N8</x:f>
        <x:v>34300</x:v>
      </x:c>
      <x:c r="O10" s="109" t="n">
        <x:f>'PPE and Intangibles'!O21</x:f>
        <x:v>50319.3666</x:v>
      </x:c>
      <x:c r="P10" s="109" t="n">
        <x:f>'PPE and Intangibles'!P21</x:f>
        <x:v>75599.62026141334</x:v>
      </x:c>
      <x:c r="Q10" s="109" t="n">
        <x:f>'PPE and Intangibles'!Q21</x:f>
        <x:v>101565.57059252668</x:v>
      </x:c>
      <x:c r="R10" s="109" t="n">
        <x:f>'PPE and Intangibles'!R21</x:f>
        <x:v>128010.09185221468</x:v>
      </x:c>
      <x:c r="S10" s="109" t="n">
        <x:f>'PPE and Intangibles'!S21</x:f>
        <x:v>154852.54990618228</x:v>
      </x:c>
      <x:c r="T10" s="103"/>
      <x:c r="U10" s="103"/>
    </x:row>
    <x:row r="11" ht="24" customHeight="1">
      <x:c r="A11" s="103"/>
      <x:c r="B11" s="103"/>
      <x:c r="C11" s="103" t="str">
        <x:v>Intangible amortization</x:v>
      </x:c>
      <x:c r="D11" s="103"/>
      <x:c r="E11" s="109" t="n">
        <x:f>'Filing Notes'!E9</x:f>
        <x:v>1700</x:v>
      </x:c>
      <x:c r="F11" s="109" t="n">
        <x:f>'Filing Notes'!F9</x:f>
        <x:v>2200</x:v>
      </x:c>
      <x:c r="G11" s="109" t="n">
        <x:f>'Filing Notes'!G9</x:f>
        <x:v>1900</x:v>
      </x:c>
      <x:c r="H11" s="109" t="n">
        <x:f>'Filing Notes'!H9</x:f>
        <x:v>1600</x:v>
      </x:c>
      <x:c r="I11" s="109" t="n">
        <x:f>'Filing Notes'!I9</x:f>
        <x:v>1600</x:v>
      </x:c>
      <x:c r="J11" s="109" t="n">
        <x:f>'Filing Notes'!J9</x:f>
        <x:v>2000</x:v>
      </x:c>
      <x:c r="K11" s="109" t="n">
        <x:f>'Filing Notes'!K9</x:f>
        <x:v>2500</x:v>
      </x:c>
      <x:c r="L11" s="109" t="n">
        <x:f>'Filing Notes'!L9</x:f>
        <x:v>4800</x:v>
      </x:c>
      <x:c r="M11" s="109" t="n">
        <x:f>'Filing Notes'!M9</x:f>
        <x:v>6000</x:v>
      </x:c>
      <x:c r="N11" s="109" t="n">
        <x:f>'Filing Notes'!N9</x:f>
        <x:v>4700</x:v>
      </x:c>
      <x:c r="O11" s="109" t="n">
        <x:f>'PPE and Intangibles'!O42</x:f>
        <x:v>3097</x:v>
      </x:c>
      <x:c r="P11" s="109" t="n">
        <x:f>'PPE and Intangibles'!P42</x:f>
        <x:v>2141</x:v>
      </x:c>
      <x:c r="Q11" s="109" t="n">
        <x:f>'PPE and Intangibles'!Q42</x:f>
        <x:v>1944</x:v>
      </x:c>
      <x:c r="R11" s="109" t="n">
        <x:f>'PPE and Intangibles'!R42</x:f>
        <x:v>1477</x:v>
      </x:c>
      <x:c r="S11" s="109" t="n">
        <x:f>'PPE and Intangibles'!S42</x:f>
        <x:v>1128</x:v>
      </x:c>
      <x:c r="T11" s="103"/>
      <x:c r="U11" s="103"/>
    </x:row>
    <x:row r="12" ht="24" customHeight="1">
      <x:c r="A12" s="103"/>
      <x:c r="B12" s="103"/>
      <x:c r="C12" s="103" t="str">
        <x:v>Operating lease expense</x:v>
      </x:c>
      <x:c r="D12" s="103"/>
      <x:c r="E12" s="109" t="n">
        <x:f>'Filing Notes'!E17</x:f>
        <x:v>1412</x:v>
      </x:c>
      <x:c r="F12" s="109" t="n">
        <x:f>'Filing Notes'!F17</x:f>
        <x:v>1585</x:v>
      </x:c>
      <x:c r="G12" s="109" t="n">
        <x:f>'Filing Notes'!G17</x:f>
        <x:v>1707</x:v>
      </x:c>
      <x:c r="H12" s="109" t="n">
        <x:f>'Filing Notes'!H17</x:f>
        <x:v>2043</x:v>
      </x:c>
      <x:c r="I12" s="109" t="n">
        <x:f>'Filing Notes'!I17</x:f>
        <x:v>2127</x:v>
      </x:c>
      <x:c r="J12" s="109" t="n">
        <x:f>'Filing Notes'!J17</x:f>
        <x:v>2461</x:v>
      </x:c>
      <x:c r="K12" s="109" t="n">
        <x:f>'Filing Notes'!K17</x:f>
        <x:v>2875</x:v>
      </x:c>
      <x:c r="L12" s="109" t="n">
        <x:f>'Filing Notes'!L17</x:f>
        <x:v>3555</x:v>
      </x:c>
      <x:c r="M12" s="109" t="n">
        <x:f>'Filing Notes'!M17</x:f>
        <x:v>5524</x:v>
      </x:c>
      <x:c r="N12" s="109" t="n">
        <x:f>'Filing Notes'!N17</x:f>
        <x:v>6968</x:v>
      </x:c>
      <x:c r="O12" s="109" t="n">
        <x:f>'Debt and Leases'!O61</x:f>
        <x:v>5428.887042</x:v>
      </x:c>
      <x:c r="P12" s="109" t="n">
        <x:f>'Debt and Leases'!P61</x:f>
        <x:v>6402.942695266</x:v>
      </x:c>
      <x:c r="Q12" s="109" t="n">
        <x:f>'Debt and Leases'!Q61</x:f>
        <x:v>7428.829732529213</x:v>
      </x:c>
      <x:c r="R12" s="109" t="n">
        <x:f>'Debt and Leases'!R61</x:f>
        <x:v>8502.564695694284</x:v>
      </x:c>
      <x:c r="S12" s="109" t="n">
        <x:f>'Debt and Leases'!S61</x:f>
        <x:v>9609.606390594998</x:v>
      </x:c>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t="str">
        <x:v>R&amp;D before allocated D&amp;A and leases</x:v>
      </x:c>
      <x:c r="D14" s="103"/>
      <x:c r="E14" s="109" t="str">
        <x:v>n.a.</x:v>
      </x:c>
      <x:c r="F14" s="109" t="str">
        <x:v>n.a.</x:v>
      </x:c>
      <x:c r="G14" s="109" t="str">
        <x:v>n.a.</x:v>
      </x:c>
      <x:c r="H14" s="109" t="str">
        <x:v>n.a.</x:v>
      </x:c>
      <x:c r="I14" s="109" t="str">
        <x:v>n.a.</x:v>
      </x:c>
      <x:c r="J14" s="109" t="str">
        <x:v>n.a.</x:v>
      </x:c>
      <x:c r="K14" s="109" t="str">
        <x:v>n.a.</x:v>
      </x:c>
      <x:c r="L14" s="109" t="str">
        <x:v>n.a.</x:v>
      </x:c>
      <x:c r="M14" s="109" t="str">
        <x:v>n.a.</x:v>
      </x:c>
      <x:c r="N14" s="109" t="str">
        <x:v>n.a.</x:v>
      </x:c>
      <x:c r="O14" s="109" t="n">
        <x:f>O8*'Assumptions'!O33</x:f>
        <x:v>33940.418123728676</x:v>
      </x:c>
      <x:c r="P14" s="109" t="n">
        <x:f>P8*'Assumptions'!P33</x:f>
        <x:v>38956.56209994664</x:v>
      </x:c>
      <x:c r="Q14" s="109" t="n">
        <x:f>Q8*'Assumptions'!Q33</x:f>
        <x:v>44350.420738782384</x:v>
      </x:c>
      <x:c r="R14" s="109" t="n">
        <x:f>R8*'Assumptions'!R33</x:f>
        <x:v>50020.74868749319</x:v>
      </x:c>
      <x:c r="S14" s="109" t="n">
        <x:f>S8*'Assumptions'!S33</x:f>
        <x:v>55831.681418530476</x:v>
      </x:c>
      <x:c r="T14" s="103"/>
      <x:c r="U14" s="103"/>
    </x:row>
    <x:row r="15" ht="24" customHeight="1">
      <x:c r="A15" s="103"/>
      <x:c r="B15" s="103"/>
      <x:c r="C15" s="103" t="str">
        <x:v>PPE depreciation allocated to R&amp;D</x:v>
      </x:c>
      <x:c r="D15" s="103"/>
      <x:c r="E15" s="109" t="str">
        <x:v>n.a.</x:v>
      </x:c>
      <x:c r="F15" s="109" t="str">
        <x:v>n.a.</x:v>
      </x:c>
      <x:c r="G15" s="109" t="str">
        <x:v>n.a.</x:v>
      </x:c>
      <x:c r="H15" s="109" t="str">
        <x:v>n.a.</x:v>
      </x:c>
      <x:c r="I15" s="109" t="str">
        <x:v>n.a.</x:v>
      </x:c>
      <x:c r="J15" s="109" t="str">
        <x:v>n.a.</x:v>
      </x:c>
      <x:c r="K15" s="109" t="str">
        <x:v>n.a.</x:v>
      </x:c>
      <x:c r="L15" s="109" t="str">
        <x:v>n.a.</x:v>
      </x:c>
      <x:c r="M15" s="109" t="str">
        <x:v>n.a.</x:v>
      </x:c>
      <x:c r="N15" s="109" t="str">
        <x:v>n.a.</x:v>
      </x:c>
      <x:c r="O15" s="109" t="n">
        <x:f>O10*'Assumptions'!H205</x:f>
        <x:v>7547.90499</x:v>
      </x:c>
      <x:c r="P15" s="109" t="n">
        <x:f>P10*'Assumptions'!H205</x:f>
        <x:v>11339.943039212</x:v>
      </x:c>
      <x:c r="Q15" s="109" t="n">
        <x:f>Q10*'Assumptions'!H205</x:f>
        <x:v>15234.835588879001</x:v>
      </x:c>
      <x:c r="R15" s="109" t="n">
        <x:f>R10*'Assumptions'!H205</x:f>
        <x:v>19201.513777832202</x:v>
      </x:c>
      <x:c r="S15" s="109" t="n">
        <x:f>S10*'Assumptions'!H205</x:f>
        <x:v>23227.88248592734</x:v>
      </x:c>
      <x:c r="T15" s="103"/>
      <x:c r="U15" s="103"/>
    </x:row>
    <x:row r="16" ht="24" customHeight="1">
      <x:c r="A16" s="103"/>
      <x:c r="B16" s="103"/>
      <x:c r="C16" s="103" t="str">
        <x:v>Intangible amortization allocated to R&amp;D</x:v>
      </x:c>
      <x:c r="D16" s="103"/>
      <x:c r="E16" s="109" t="str">
        <x:v>n.a.</x:v>
      </x:c>
      <x:c r="F16" s="109" t="str">
        <x:v>n.a.</x:v>
      </x:c>
      <x:c r="G16" s="109" t="str">
        <x:v>n.a.</x:v>
      </x:c>
      <x:c r="H16" s="109" t="str">
        <x:v>n.a.</x:v>
      </x:c>
      <x:c r="I16" s="109" t="str">
        <x:v>n.a.</x:v>
      </x:c>
      <x:c r="J16" s="109" t="str">
        <x:v>n.a.</x:v>
      </x:c>
      <x:c r="K16" s="109" t="str">
        <x:v>n.a.</x:v>
      </x:c>
      <x:c r="L16" s="109" t="str">
        <x:v>n.a.</x:v>
      </x:c>
      <x:c r="M16" s="109" t="str">
        <x:v>n.a.</x:v>
      </x:c>
      <x:c r="N16" s="109" t="str">
        <x:v>n.a.</x:v>
      </x:c>
      <x:c r="O16" s="109" t="n">
        <x:f>O11*'Assumptions'!H206</x:f>
        <x:v>309.70000000000005</x:v>
      </x:c>
      <x:c r="P16" s="109" t="n">
        <x:f>P11*'Assumptions'!H206</x:f>
        <x:v>214.10000000000002</x:v>
      </x:c>
      <x:c r="Q16" s="109" t="n">
        <x:f>Q11*'Assumptions'!H206</x:f>
        <x:v>194.4</x:v>
      </x:c>
      <x:c r="R16" s="109" t="n">
        <x:f>R11*'Assumptions'!H206</x:f>
        <x:v>147.70000000000002</x:v>
      </x:c>
      <x:c r="S16" s="109" t="n">
        <x:f>S11*'Assumptions'!H206</x:f>
        <x:v>112.80000000000001</x:v>
      </x:c>
      <x:c r="T16" s="103"/>
      <x:c r="U16" s="103"/>
    </x:row>
    <x:row r="17" ht="24" customHeight="1">
      <x:c r="A17" s="103"/>
      <x:c r="B17" s="103"/>
      <x:c r="C17" s="103" t="str">
        <x:v>Operating leases allocated to R&amp;D</x:v>
      </x:c>
      <x:c r="D17" s="103"/>
      <x:c r="E17" s="109" t="str">
        <x:v>n.a.</x:v>
      </x:c>
      <x:c r="F17" s="109" t="str">
        <x:v>n.a.</x:v>
      </x:c>
      <x:c r="G17" s="109" t="str">
        <x:v>n.a.</x:v>
      </x:c>
      <x:c r="H17" s="109" t="str">
        <x:v>n.a.</x:v>
      </x:c>
      <x:c r="I17" s="109" t="str">
        <x:v>n.a.</x:v>
      </x:c>
      <x:c r="J17" s="109" t="str">
        <x:v>n.a.</x:v>
      </x:c>
      <x:c r="K17" s="109" t="str">
        <x:v>n.a.</x:v>
      </x:c>
      <x:c r="L17" s="109" t="str">
        <x:v>n.a.</x:v>
      </x:c>
      <x:c r="M17" s="109" t="str">
        <x:v>n.a.</x:v>
      </x:c>
      <x:c r="N17" s="109" t="str">
        <x:v>n.a.</x:v>
      </x:c>
      <x:c r="O17" s="109" t="n">
        <x:f>O12*'Assumptions'!H207</x:f>
        <x:v>542.8887042</x:v>
      </x:c>
      <x:c r="P17" s="109" t="n">
        <x:f>P12*'Assumptions'!H207</x:f>
        <x:v>640.2942695266</x:v>
      </x:c>
      <x:c r="Q17" s="109" t="n">
        <x:f>Q12*'Assumptions'!H207</x:f>
        <x:v>742.8829732529214</x:v>
      </x:c>
      <x:c r="R17" s="109" t="n">
        <x:f>R12*'Assumptions'!H207</x:f>
        <x:v>850.2564695694284</x:v>
      </x:c>
      <x:c r="S17" s="109" t="n">
        <x:f>S12*'Assumptions'!H207</x:f>
        <x:v>960.9606390594998</x:v>
      </x:c>
      <x:c r="T17" s="103"/>
      <x:c r="U17" s="103"/>
    </x:row>
    <x:row r="18" ht="24" customHeight="1">
      <x:c r="A18" s="103"/>
      <x:c r="B18" s="103"/>
      <x:c r="C18" s="103" t="str">
        <x:v>Total research and development</x:v>
      </x:c>
      <x:c r="D18" s="103"/>
      <x:c r="E18" s="109" t="n">
        <x:f>'Historical Inputs'!E12</x:f>
        <x:v>13037</x:v>
      </x:c>
      <x:c r="F18" s="109" t="n">
        <x:f>'Historical Inputs'!F12</x:f>
        <x:v>14726</x:v>
      </x:c>
      <x:c r="G18" s="109" t="n">
        <x:f>'Historical Inputs'!G12</x:f>
        <x:v>16876</x:v>
      </x:c>
      <x:c r="H18" s="109" t="n">
        <x:f>'Historical Inputs'!H12</x:f>
        <x:v>19269</x:v>
      </x:c>
      <x:c r="I18" s="109" t="n">
        <x:f>'Historical Inputs'!I12</x:f>
        <x:v>20716</x:v>
      </x:c>
      <x:c r="J18" s="109" t="n">
        <x:f>'Historical Inputs'!J12</x:f>
        <x:v>24512</x:v>
      </x:c>
      <x:c r="K18" s="109" t="n">
        <x:f>'Historical Inputs'!K12</x:f>
        <x:v>27195</x:v>
      </x:c>
      <x:c r="L18" s="109" t="n">
        <x:f>'Historical Inputs'!L12</x:f>
        <x:v>29510</x:v>
      </x:c>
      <x:c r="M18" s="109" t="n">
        <x:f>'Historical Inputs'!M12</x:f>
        <x:v>32488</x:v>
      </x:c>
      <x:c r="N18" s="109" t="n">
        <x:f>'Historical Inputs'!N12</x:f>
        <x:v>35562</x:v>
      </x:c>
      <x:c r="O18" s="109" t="n">
        <x:f>SUM(O14:O17)</x:f>
        <x:v>42340.911817928674</x:v>
      </x:c>
      <x:c r="P18" s="109" t="n">
        <x:f>SUM(P14:P17)</x:f>
        <x:v>51150.89940868524</x:v>
      </x:c>
      <x:c r="Q18" s="109" t="n">
        <x:f>SUM(Q14:Q17)</x:f>
        <x:v>60522.53930091431</x:v>
      </x:c>
      <x:c r="R18" s="109" t="n">
        <x:f>SUM(R14:R17)</x:f>
        <x:v>70220.21893489482</x:v>
      </x:c>
      <x:c r="S18" s="109" t="n">
        <x:f>SUM(S14:S17)</x:f>
        <x:v>80133.32454351732</x:v>
      </x:c>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3" t="str">
        <x:v>Sales and marketing</x:v>
      </x:c>
      <x:c r="D20" s="103"/>
      <x:c r="E20" s="109" t="n">
        <x:f>'Historical Inputs'!E13</x:f>
        <x:v>15461</x:v>
      </x:c>
      <x:c r="F20" s="109" t="n">
        <x:f>'Historical Inputs'!F13</x:f>
        <x:v>17469</x:v>
      </x:c>
      <x:c r="G20" s="109" t="n">
        <x:f>'Historical Inputs'!G13</x:f>
        <x:v>18213</x:v>
      </x:c>
      <x:c r="H20" s="109" t="n">
        <x:f>'Historical Inputs'!H13</x:f>
        <x:v>19598</x:v>
      </x:c>
      <x:c r="I20" s="109" t="n">
        <x:f>'Historical Inputs'!I13</x:f>
        <x:v>20117</x:v>
      </x:c>
      <x:c r="J20" s="109" t="n">
        <x:f>'Historical Inputs'!J13</x:f>
        <x:v>21825</x:v>
      </x:c>
      <x:c r="K20" s="109" t="n">
        <x:f>'Historical Inputs'!K13</x:f>
        <x:v>22759</x:v>
      </x:c>
      <x:c r="L20" s="109" t="n">
        <x:f>'Historical Inputs'!L13</x:f>
        <x:v>24456</x:v>
      </x:c>
      <x:c r="M20" s="109" t="n">
        <x:f>'Historical Inputs'!M13</x:f>
        <x:v>25654</x:v>
      </x:c>
      <x:c r="N20" s="109" t="n">
        <x:f>'Historical Inputs'!N13</x:f>
        <x:v>26710</x:v>
      </x:c>
      <x:c r="O20" s="109" t="n">
        <x:f>O8*'Assumptions'!O37</x:f>
        <x:v>30803.904000000006</x:v>
      </x:c>
      <x:c r="P20" s="109" t="n">
        <x:f>P8*'Assumptions'!P37</x:f>
        <x:v>35113.7179496</x:v>
      </x:c>
      <x:c r="Q20" s="109" t="n">
        <x:f>Q8*'Assumptions'!Q37</x:f>
        <x:v>39695.940681696</x:v>
      </x:c>
      <x:c r="R20" s="109" t="n">
        <x:f>R8*'Assumptions'!R37</x:f>
        <x:v>44452.23589884001</x:v>
      </x:c>
      <x:c r="S20" s="109" t="n">
        <x:f>S8*'Assumptions'!S37</x:f>
        <x:v>49256.14347553452</x:v>
      </x:c>
      <x:c r="T20" s="103"/>
      <x:c r="U20" s="103"/>
    </x:row>
    <x:row r="21" ht="24" customHeight="1">
      <x:c r="A21" s="103"/>
      <x:c r="B21" s="103"/>
      <x:c r="C21" s="103" t="str">
        <x:v>General and administrative</x:v>
      </x:c>
      <x:c r="D21" s="103"/>
      <x:c r="E21" s="109" t="n">
        <x:f>'Historical Inputs'!E14</x:f>
        <x:v>4481</x:v>
      </x:c>
      <x:c r="F21" s="109" t="n">
        <x:f>'Historical Inputs'!F14</x:f>
        <x:v>4754</x:v>
      </x:c>
      <x:c r="G21" s="109" t="n">
        <x:f>'Historical Inputs'!G14</x:f>
        <x:v>4885</x:v>
      </x:c>
      <x:c r="H21" s="109" t="n">
        <x:f>'Historical Inputs'!H14</x:f>
        <x:v>5111</x:v>
      </x:c>
      <x:c r="I21" s="109" t="n">
        <x:f>'Historical Inputs'!I14</x:f>
        <x:v>5107</x:v>
      </x:c>
      <x:c r="J21" s="109" t="n">
        <x:f>'Historical Inputs'!J14</x:f>
        <x:v>5900</x:v>
      </x:c>
      <x:c r="K21" s="109" t="n">
        <x:f>'Historical Inputs'!K14</x:f>
        <x:v>7575</x:v>
      </x:c>
      <x:c r="L21" s="109" t="n">
        <x:f>'Historical Inputs'!L14</x:f>
        <x:v>7609</x:v>
      </x:c>
      <x:c r="M21" s="109" t="n">
        <x:f>'Historical Inputs'!M14</x:f>
        <x:v>7223</x:v>
      </x:c>
      <x:c r="N21" s="109" t="n">
        <x:f>'Historical Inputs'!N14</x:f>
        <x:v>7956</x:v>
      </x:c>
      <x:c r="O21" s="109" t="n">
        <x:f>O8*'Assumptions'!O41</x:f>
        <x:v>9241.1712</x:v>
      </x:c>
      <x:c r="P21" s="109" t="n">
        <x:f>P8*'Assumptions'!P41</x:f>
        <x:v>10445.219896400002</x:v>
      </x:c>
      <x:c r="Q21" s="109" t="n">
        <x:f>Q8*'Assumptions'!Q41</x:f>
        <x:v>11705.213277936</x:v>
      </x:c>
      <x:c r="R21" s="109" t="n">
        <x:f>R8*'Assumptions'!R41</x:f>
        <x:v>12989.289710700003</x:v>
      </x:c>
      <x:c r="S21" s="109" t="n">
        <x:f>S8*'Assumptions'!S41</x:f>
        <x:v>14258.357321865255</x:v>
      </x:c>
      <x:c r="T21" s="103"/>
      <x:c r="U21" s="103"/>
    </x:row>
    <x:row r="22" ht="24" customHeight="1">
      <x:c r="A22" s="103"/>
      <x:c r="B22" s="103"/>
      <x:c r="C22" s="103" t="str">
        <x:v>Other operating expenses</x:v>
      </x:c>
      <x:c r="D22" s="103"/>
      <x:c r="E22" s="109" t="n">
        <x:f>'Historical Inputs'!E24</x:f>
        <x:v>306</x:v>
      </x:c>
      <x:c r="F22" s="109" t="n">
        <x:f>'Historical Inputs'!F24</x:f>
        <x:v>0</x:v>
      </x:c>
      <x:c r="G22" s="109" t="n">
        <x:f>'Historical Inputs'!G24</x:f>
        <x:v>0</x:v>
      </x:c>
      <x:c r="H22" s="109" t="n">
        <x:f>'Historical Inputs'!H24</x:f>
        <x:v>0</x:v>
      </x:c>
      <x:c r="I22" s="109" t="n">
        <x:f>'Historical Inputs'!I24</x:f>
        <x:v>0</x:v>
      </x:c>
      <x:c r="J22" s="109" t="n">
        <x:f>'Historical Inputs'!J24</x:f>
        <x:v>0</x:v>
      </x:c>
      <x:c r="K22" s="109" t="n">
        <x:f>'Historical Inputs'!K24</x:f>
        <x:v>0</x:v>
      </x:c>
      <x:c r="L22" s="109" t="n">
        <x:f>'Historical Inputs'!L24</x:f>
        <x:v>0</x:v>
      </x:c>
      <x:c r="M22" s="109" t="n">
        <x:f>'Historical Inputs'!M24</x:f>
        <x:v>0</x:v>
      </x:c>
      <x:c r="N22" s="109" t="n">
        <x:f>'Historical Inputs'!N24</x:f>
        <x:v>0</x:v>
      </x:c>
      <x:c r="O22" s="109" t="n">
        <x:f>0</x:f>
        <x:v>0</x:v>
      </x:c>
      <x:c r="P22" s="109" t="n">
        <x:f>0</x:f>
        <x:v>0</x:v>
      </x:c>
      <x:c r="Q22" s="109" t="n">
        <x:f>0</x:f>
        <x:v>0</x:v>
      </x:c>
      <x:c r="R22" s="109" t="n">
        <x:f>0</x:f>
        <x:v>0</x:v>
      </x:c>
      <x:c r="S22" s="109" t="n">
        <x:f>0</x:f>
        <x:v>0</x:v>
      </x:c>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t="str">
        <x:v>Total operating expenses</x:v>
      </x:c>
      <x:c r="D24" s="103"/>
      <x:c r="E24" s="109" t="n">
        <x:f>SUM(E18,E20:E22)</x:f>
        <x:v>33285</x:v>
      </x:c>
      <x:c r="F24" s="109" t="n">
        <x:f>SUM(F18,F20:F22)</x:f>
        <x:v>36949</x:v>
      </x:c>
      <x:c r="G24" s="109" t="n">
        <x:f>SUM(G18,G20:G22)</x:f>
        <x:v>39974</x:v>
      </x:c>
      <x:c r="H24" s="109" t="n">
        <x:f>SUM(H18,H20:H22)</x:f>
        <x:v>43978</x:v>
      </x:c>
      <x:c r="I24" s="109" t="n">
        <x:f>SUM(I18,I20:I22)</x:f>
        <x:v>45940</x:v>
      </x:c>
      <x:c r="J24" s="109" t="n">
        <x:f>SUM(J18,J20:J22)</x:f>
        <x:v>52237</x:v>
      </x:c>
      <x:c r="K24" s="109" t="n">
        <x:f>SUM(K18,K20:K22)</x:f>
        <x:v>57529</x:v>
      </x:c>
      <x:c r="L24" s="109" t="n">
        <x:f>SUM(L18,L20:L22)</x:f>
        <x:v>61575</x:v>
      </x:c>
      <x:c r="M24" s="109" t="n">
        <x:f>SUM(M18,M20:M22)</x:f>
        <x:v>65365</x:v>
      </x:c>
      <x:c r="N24" s="109" t="n">
        <x:f>SUM(N18,N20:N22)</x:f>
        <x:v>70228</x:v>
      </x:c>
      <x:c r="O24" s="109" t="n">
        <x:f>SUM(O18,O20:O22)</x:f>
        <x:v>82385.98701792868</x:v>
      </x:c>
      <x:c r="P24" s="109" t="n">
        <x:f>SUM(P18,P20:P22)</x:f>
        <x:v>96709.83725468523</x:v>
      </x:c>
      <x:c r="Q24" s="109" t="n">
        <x:f>SUM(Q18,Q20:Q22)</x:f>
        <x:v>111923.69326054631</x:v>
      </x:c>
      <x:c r="R24" s="109" t="n">
        <x:f>SUM(R18,R20:R22)</x:f>
        <x:v>127661.74454443483</x:v>
      </x:c>
      <x:c r="S24" s="109" t="n">
        <x:f>SUM(S18,S20:S22)</x:f>
        <x:v>143647.8253409171</x:v>
      </x:c>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4" t="str">
        <x:v>Selected-case observations</x:v>
      </x:c>
      <x:c r="D42" s="104"/>
      <x:c r="E42" s="104"/>
      <x:c r="F42" s="104"/>
      <x:c r="G42" s="104"/>
      <x:c r="H42" s="104"/>
      <x:c r="I42" s="104"/>
      <x:c r="J42" s="104"/>
      <x:c r="K42" s="104"/>
      <x:c r="L42" s="104"/>
      <x:c r="M42" s="104"/>
      <x:c r="N42" s="104"/>
      <x:c r="O42" s="104"/>
      <x:c r="P42" s="104"/>
      <x:c r="Q42" s="104"/>
      <x:c r="R42" s="104"/>
      <x:c r="S42" s="104"/>
      <x:c r="T42" s="103"/>
      <x:c r="U42" s="103"/>
    </x:row>
    <x:row r="43" ht="24" customHeight="1">
      <x:c r="A43" s="103"/>
      <x:c r="B43" s="103"/>
      <x:c r="C43" s="103" t="str">
        <x:f>"FY2031 operating expenses: "&amp;FIXED(S24/1000,1,TRUE)&amp;"bn, or "&amp;(FIXED((S24/S8)*100,1,TRUE)&amp;"%")&amp;" of revenue."</x:f>
        <x:v>FY2031 operating expenses: 143.6bn, or 22.2% of revenue.</x:v>
      </x:c>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t="str">
        <x:f>"FY2031 PPE depreciation: "&amp;FIXED(S10/1000,1,TRUE)&amp;"bn; operating lease expense: "&amp;FIXED(S12/1000,1,TRUE)&amp;"bn."</x:f>
        <x:v>FY2031 PPE depreciation: 154.9bn; operating lease expense: 9.6bn.</x:v>
      </x:c>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t="str">
        <x:f>"FY2031 total R&amp;D includes "&amp;FIXED(SUM(S15:S17)/1000,1,TRUE)&amp;"bn of allocated D&amp;A and operating lease expense."</x:f>
        <x:v>FY2031 total R&amp;D includes 24.3bn of allocated D&amp;A and operating lease expense.</x:v>
      </x:c>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23" t="str">
        <x:v>Fiscal year</x:v>
      </x:c>
      <x:c r="D69" s="123" t="str">
        <x:v>R&amp;D</x:v>
      </x:c>
      <x:c r="E69" s="123" t="str">
        <x:v>Sales and marketing</x:v>
      </x:c>
      <x:c r="F69" s="123" t="str">
        <x:v>G&amp;A</x:v>
      </x:c>
      <x:c r="G69" s="103"/>
      <x:c r="H69" s="103"/>
      <x:c r="I69" s="103"/>
      <x:c r="J69" s="103"/>
      <x:c r="K69" s="103"/>
      <x:c r="L69" s="103"/>
      <x:c r="M69" s="103"/>
      <x:c r="N69" s="103"/>
      <x:c r="O69" s="103"/>
      <x:c r="P69" s="103"/>
      <x:c r="Q69" s="103"/>
      <x:c r="R69" s="103"/>
      <x:c r="S69" s="103"/>
      <x:c r="T69" s="103"/>
      <x:c r="U69" s="103"/>
    </x:row>
    <x:row r="70" ht="24" customHeight="1">
      <x:c r="A70" s="103"/>
      <x:c r="B70" s="103"/>
      <x:c r="C70" s="103" t="str">
        <x:f>"FY2017 A"</x:f>
        <x:v>FY2017 A</x:v>
      </x:c>
      <x:c r="D70" s="125" t="n">
        <x:f>IF(OR(E18="n.a.",ISBLANK(E18)),"",E18)</x:f>
        <x:v>13037</x:v>
      </x:c>
      <x:c r="E70" s="125" t="n">
        <x:f>IF(OR(E20="n.a.",ISBLANK(E20)),"",E20)</x:f>
        <x:v>15461</x:v>
      </x:c>
      <x:c r="F70" s="125" t="n">
        <x:f>IF(OR(E21="n.a.",ISBLANK(E21)),"",E21)</x:f>
        <x:v>4481</x:v>
      </x:c>
      <x:c r="G70" s="103"/>
      <x:c r="H70" s="103"/>
      <x:c r="I70" s="103"/>
      <x:c r="J70" s="103"/>
      <x:c r="K70" s="103"/>
      <x:c r="L70" s="103"/>
      <x:c r="M70" s="103"/>
      <x:c r="N70" s="103"/>
      <x:c r="O70" s="103"/>
      <x:c r="P70" s="103"/>
      <x:c r="Q70" s="103"/>
      <x:c r="R70" s="103"/>
      <x:c r="S70" s="103"/>
      <x:c r="T70" s="103"/>
      <x:c r="U70" s="103"/>
    </x:row>
    <x:row r="71" ht="24" customHeight="1">
      <x:c r="A71" s="103"/>
      <x:c r="B71" s="103"/>
      <x:c r="C71" s="103" t="str">
        <x:f>"FY2018 A"</x:f>
        <x:v>FY2018 A</x:v>
      </x:c>
      <x:c r="D71" s="125" t="n">
        <x:f>IF(OR(F18="n.a.",ISBLANK(F18)),"",F18)</x:f>
        <x:v>14726</x:v>
      </x:c>
      <x:c r="E71" s="125" t="n">
        <x:f>IF(OR(F20="n.a.",ISBLANK(F20)),"",F20)</x:f>
        <x:v>17469</x:v>
      </x:c>
      <x:c r="F71" s="125" t="n">
        <x:f>IF(OR(F21="n.a.",ISBLANK(F21)),"",F21)</x:f>
        <x:v>4754</x:v>
      </x:c>
      <x:c r="G71" s="103"/>
      <x:c r="H71" s="103"/>
      <x:c r="I71" s="103"/>
      <x:c r="J71" s="103"/>
      <x:c r="K71" s="103"/>
      <x:c r="L71" s="103"/>
      <x:c r="M71" s="103"/>
      <x:c r="N71" s="103"/>
      <x:c r="O71" s="103"/>
      <x:c r="P71" s="103"/>
      <x:c r="Q71" s="103"/>
      <x:c r="R71" s="103"/>
      <x:c r="S71" s="103"/>
      <x:c r="T71" s="103"/>
      <x:c r="U71" s="103"/>
    </x:row>
    <x:row r="72" ht="24" customHeight="1">
      <x:c r="A72" s="103"/>
      <x:c r="B72" s="103"/>
      <x:c r="C72" s="103" t="str">
        <x:f>"FY2019 A"</x:f>
        <x:v>FY2019 A</x:v>
      </x:c>
      <x:c r="D72" s="125" t="n">
        <x:f>IF(OR(G18="n.a.",ISBLANK(G18)),"",G18)</x:f>
        <x:v>16876</x:v>
      </x:c>
      <x:c r="E72" s="125" t="n">
        <x:f>IF(OR(G20="n.a.",ISBLANK(G20)),"",G20)</x:f>
        <x:v>18213</x:v>
      </x:c>
      <x:c r="F72" s="125" t="n">
        <x:f>IF(OR(G21="n.a.",ISBLANK(G21)),"",G21)</x:f>
        <x:v>4885</x:v>
      </x:c>
      <x:c r="G72" s="103"/>
      <x:c r="H72" s="103"/>
      <x:c r="I72" s="103"/>
      <x:c r="J72" s="103"/>
      <x:c r="K72" s="103"/>
      <x:c r="L72" s="103"/>
      <x:c r="M72" s="103"/>
      <x:c r="N72" s="103"/>
      <x:c r="O72" s="103"/>
      <x:c r="P72" s="103"/>
      <x:c r="Q72" s="103"/>
      <x:c r="R72" s="103"/>
      <x:c r="S72" s="103"/>
      <x:c r="T72" s="103"/>
      <x:c r="U72" s="103"/>
    </x:row>
    <x:row r="73" ht="24" customHeight="1">
      <x:c r="A73" s="103"/>
      <x:c r="B73" s="103"/>
      <x:c r="C73" s="103" t="str">
        <x:f>"FY2020 A"</x:f>
        <x:v>FY2020 A</x:v>
      </x:c>
      <x:c r="D73" s="125" t="n">
        <x:f>IF(OR(H18="n.a.",ISBLANK(H18)),"",H18)</x:f>
        <x:v>19269</x:v>
      </x:c>
      <x:c r="E73" s="125" t="n">
        <x:f>IF(OR(H20="n.a.",ISBLANK(H20)),"",H20)</x:f>
        <x:v>19598</x:v>
      </x:c>
      <x:c r="F73" s="125" t="n">
        <x:f>IF(OR(H21="n.a.",ISBLANK(H21)),"",H21)</x:f>
        <x:v>5111</x:v>
      </x:c>
      <x:c r="G73" s="103"/>
      <x:c r="H73" s="103"/>
      <x:c r="I73" s="103"/>
      <x:c r="J73" s="103"/>
      <x:c r="K73" s="103"/>
      <x:c r="L73" s="103"/>
      <x:c r="M73" s="103"/>
      <x:c r="N73" s="103"/>
      <x:c r="O73" s="103"/>
      <x:c r="P73" s="103"/>
      <x:c r="Q73" s="103"/>
      <x:c r="R73" s="103"/>
      <x:c r="S73" s="103"/>
      <x:c r="T73" s="103"/>
      <x:c r="U73" s="103"/>
    </x:row>
    <x:row r="74" ht="24" customHeight="1">
      <x:c r="A74" s="103"/>
      <x:c r="B74" s="103"/>
      <x:c r="C74" s="103" t="str">
        <x:f>"FY2021 A"</x:f>
        <x:v>FY2021 A</x:v>
      </x:c>
      <x:c r="D74" s="125" t="n">
        <x:f>IF(OR(I18="n.a.",ISBLANK(I18)),"",I18)</x:f>
        <x:v>20716</x:v>
      </x:c>
      <x:c r="E74" s="125" t="n">
        <x:f>IF(OR(I20="n.a.",ISBLANK(I20)),"",I20)</x:f>
        <x:v>20117</x:v>
      </x:c>
      <x:c r="F74" s="125" t="n">
        <x:f>IF(OR(I21="n.a.",ISBLANK(I21)),"",I21)</x:f>
        <x:v>5107</x:v>
      </x:c>
      <x:c r="G74" s="103"/>
      <x:c r="H74" s="103"/>
      <x:c r="I74" s="103"/>
      <x:c r="J74" s="103"/>
      <x:c r="K74" s="103"/>
      <x:c r="L74" s="103"/>
      <x:c r="M74" s="103"/>
      <x:c r="N74" s="103"/>
      <x:c r="O74" s="103"/>
      <x:c r="P74" s="103"/>
      <x:c r="Q74" s="103"/>
      <x:c r="R74" s="103"/>
      <x:c r="S74" s="103"/>
      <x:c r="T74" s="103"/>
      <x:c r="U74" s="103"/>
    </x:row>
    <x:row r="75" ht="24" customHeight="1">
      <x:c r="A75" s="103"/>
      <x:c r="B75" s="103"/>
      <x:c r="C75" s="103" t="str">
        <x:f>"FY2022 A"</x:f>
        <x:v>FY2022 A</x:v>
      </x:c>
      <x:c r="D75" s="125" t="n">
        <x:f>IF(OR(J18="n.a.",ISBLANK(J18)),"",J18)</x:f>
        <x:v>24512</x:v>
      </x:c>
      <x:c r="E75" s="125" t="n">
        <x:f>IF(OR(J20="n.a.",ISBLANK(J20)),"",J20)</x:f>
        <x:v>21825</x:v>
      </x:c>
      <x:c r="F75" s="125" t="n">
        <x:f>IF(OR(J21="n.a.",ISBLANK(J21)),"",J21)</x:f>
        <x:v>5900</x:v>
      </x:c>
      <x:c r="G75" s="103"/>
      <x:c r="H75" s="103"/>
      <x:c r="I75" s="103"/>
      <x:c r="J75" s="103"/>
      <x:c r="K75" s="103"/>
      <x:c r="L75" s="103"/>
      <x:c r="M75" s="103"/>
      <x:c r="N75" s="103"/>
      <x:c r="O75" s="103"/>
      <x:c r="P75" s="103"/>
      <x:c r="Q75" s="103"/>
      <x:c r="R75" s="103"/>
      <x:c r="S75" s="103"/>
      <x:c r="T75" s="103"/>
      <x:c r="U75" s="103"/>
    </x:row>
    <x:row r="76" ht="24" customHeight="1">
      <x:c r="A76" s="103"/>
      <x:c r="B76" s="103"/>
      <x:c r="C76" s="103" t="str">
        <x:f>"FY2023 A"</x:f>
        <x:v>FY2023 A</x:v>
      </x:c>
      <x:c r="D76" s="125" t="n">
        <x:f>IF(OR(K18="n.a.",ISBLANK(K18)),"",K18)</x:f>
        <x:v>27195</x:v>
      </x:c>
      <x:c r="E76" s="125" t="n">
        <x:f>IF(OR(K20="n.a.",ISBLANK(K20)),"",K20)</x:f>
        <x:v>22759</x:v>
      </x:c>
      <x:c r="F76" s="125" t="n">
        <x:f>IF(OR(K21="n.a.",ISBLANK(K21)),"",K21)</x:f>
        <x:v>7575</x:v>
      </x:c>
      <x:c r="G76" s="103"/>
      <x:c r="H76" s="103"/>
      <x:c r="I76" s="103"/>
      <x:c r="J76" s="103"/>
      <x:c r="K76" s="103"/>
      <x:c r="L76" s="103"/>
      <x:c r="M76" s="103"/>
      <x:c r="N76" s="103"/>
      <x:c r="O76" s="103"/>
      <x:c r="P76" s="103"/>
      <x:c r="Q76" s="103"/>
      <x:c r="R76" s="103"/>
      <x:c r="S76" s="103"/>
      <x:c r="T76" s="103"/>
      <x:c r="U76" s="103"/>
    </x:row>
    <x:row r="77" ht="24" customHeight="1">
      <x:c r="A77" s="103"/>
      <x:c r="B77" s="103"/>
      <x:c r="C77" s="103" t="str">
        <x:f>"FY2024 A"</x:f>
        <x:v>FY2024 A</x:v>
      </x:c>
      <x:c r="D77" s="125" t="n">
        <x:f>IF(OR(L18="n.a.",ISBLANK(L18)),"",L18)</x:f>
        <x:v>29510</x:v>
      </x:c>
      <x:c r="E77" s="125" t="n">
        <x:f>IF(OR(L20="n.a.",ISBLANK(L20)),"",L20)</x:f>
        <x:v>24456</x:v>
      </x:c>
      <x:c r="F77" s="125" t="n">
        <x:f>IF(OR(L21="n.a.",ISBLANK(L21)),"",L21)</x:f>
        <x:v>7609</x:v>
      </x:c>
      <x:c r="G77" s="103"/>
      <x:c r="H77" s="103"/>
      <x:c r="I77" s="103"/>
      <x:c r="J77" s="103"/>
      <x:c r="K77" s="103"/>
      <x:c r="L77" s="103"/>
      <x:c r="M77" s="103"/>
      <x:c r="N77" s="103"/>
      <x:c r="O77" s="103"/>
      <x:c r="P77" s="103"/>
      <x:c r="Q77" s="103"/>
      <x:c r="R77" s="103"/>
      <x:c r="S77" s="103"/>
      <x:c r="T77" s="103"/>
      <x:c r="U77" s="103"/>
    </x:row>
    <x:row r="78" ht="24" customHeight="1">
      <x:c r="A78" s="103"/>
      <x:c r="B78" s="103"/>
      <x:c r="C78" s="103" t="str">
        <x:f>"FY2025 A"</x:f>
        <x:v>FY2025 A</x:v>
      </x:c>
      <x:c r="D78" s="125" t="n">
        <x:f>IF(OR(M18="n.a.",ISBLANK(M18)),"",M18)</x:f>
        <x:v>32488</x:v>
      </x:c>
      <x:c r="E78" s="125" t="n">
        <x:f>IF(OR(M20="n.a.",ISBLANK(M20)),"",M20)</x:f>
        <x:v>25654</x:v>
      </x:c>
      <x:c r="F78" s="125" t="n">
        <x:f>IF(OR(M21="n.a.",ISBLANK(M21)),"",M21)</x:f>
        <x:v>7223</x:v>
      </x:c>
      <x:c r="G78" s="103"/>
      <x:c r="H78" s="103"/>
      <x:c r="I78" s="103"/>
      <x:c r="J78" s="103"/>
      <x:c r="K78" s="103"/>
      <x:c r="L78" s="103"/>
      <x:c r="M78" s="103"/>
      <x:c r="N78" s="103"/>
      <x:c r="O78" s="103"/>
      <x:c r="P78" s="103"/>
      <x:c r="Q78" s="103"/>
      <x:c r="R78" s="103"/>
      <x:c r="S78" s="103"/>
      <x:c r="T78" s="103"/>
      <x:c r="U78" s="103"/>
    </x:row>
    <x:row r="79" ht="24" customHeight="1">
      <x:c r="A79" s="103"/>
      <x:c r="B79" s="103"/>
      <x:c r="C79" s="103" t="str">
        <x:f>"FY2026 A"</x:f>
        <x:v>FY2026 A</x:v>
      </x:c>
      <x:c r="D79" s="125" t="n">
        <x:f>IF(OR(N18="n.a.",ISBLANK(N18)),"",N18)</x:f>
        <x:v>35562</x:v>
      </x:c>
      <x:c r="E79" s="125" t="n">
        <x:f>IF(OR(N20="n.a.",ISBLANK(N20)),"",N20)</x:f>
        <x:v>26710</x:v>
      </x:c>
      <x:c r="F79" s="125" t="n">
        <x:f>IF(OR(N21="n.a.",ISBLANK(N21)),"",N21)</x:f>
        <x:v>7956</x:v>
      </x:c>
      <x:c r="G79" s="103"/>
      <x:c r="H79" s="103"/>
      <x:c r="I79" s="103"/>
      <x:c r="J79" s="103"/>
      <x:c r="K79" s="103"/>
      <x:c r="L79" s="103"/>
      <x:c r="M79" s="103"/>
      <x:c r="N79" s="103"/>
      <x:c r="O79" s="103"/>
      <x:c r="P79" s="103"/>
      <x:c r="Q79" s="103"/>
      <x:c r="R79" s="103"/>
      <x:c r="S79" s="103"/>
      <x:c r="T79" s="103"/>
      <x:c r="U79" s="103"/>
    </x:row>
    <x:row r="80" ht="24" customHeight="1">
      <x:c r="A80" s="103"/>
      <x:c r="B80" s="103"/>
      <x:c r="C80" s="103" t="str">
        <x:f>"FY2027 E"</x:f>
        <x:v>FY2027 E</x:v>
      </x:c>
      <x:c r="D80" s="125" t="n">
        <x:f>IF(OR(O18="n.a.",ISBLANK(O18)),"",O18)</x:f>
        <x:v>42340.911817928674</x:v>
      </x:c>
      <x:c r="E80" s="125" t="n">
        <x:f>IF(OR(O20="n.a.",ISBLANK(O20)),"",O20)</x:f>
        <x:v>30803.904000000006</x:v>
      </x:c>
      <x:c r="F80" s="125" t="n">
        <x:f>IF(OR(O21="n.a.",ISBLANK(O21)),"",O21)</x:f>
        <x:v>9241.1712</x:v>
      </x:c>
      <x:c r="G80" s="103"/>
      <x:c r="H80" s="103"/>
      <x:c r="I80" s="103"/>
      <x:c r="J80" s="103"/>
      <x:c r="K80" s="103"/>
      <x:c r="L80" s="103"/>
      <x:c r="M80" s="103"/>
      <x:c r="N80" s="103"/>
      <x:c r="O80" s="103"/>
      <x:c r="P80" s="103"/>
      <x:c r="Q80" s="103"/>
      <x:c r="R80" s="103"/>
      <x:c r="S80" s="103"/>
      <x:c r="T80" s="103"/>
      <x:c r="U80" s="103"/>
    </x:row>
    <x:row r="81" ht="24" customHeight="1">
      <x:c r="A81" s="103"/>
      <x:c r="B81" s="103"/>
      <x:c r="C81" s="103" t="str">
        <x:f>"FY2028 E"</x:f>
        <x:v>FY2028 E</x:v>
      </x:c>
      <x:c r="D81" s="125" t="n">
        <x:f>IF(OR(P18="n.a.",ISBLANK(P18)),"",P18)</x:f>
        <x:v>51150.89940868524</x:v>
      </x:c>
      <x:c r="E81" s="125" t="n">
        <x:f>IF(OR(P20="n.a.",ISBLANK(P20)),"",P20)</x:f>
        <x:v>35113.7179496</x:v>
      </x:c>
      <x:c r="F81" s="125" t="n">
        <x:f>IF(OR(P21="n.a.",ISBLANK(P21)),"",P21)</x:f>
        <x:v>10445.219896400002</x:v>
      </x:c>
      <x:c r="G81" s="103"/>
      <x:c r="H81" s="103"/>
      <x:c r="I81" s="103"/>
      <x:c r="J81" s="103"/>
      <x:c r="K81" s="103"/>
      <x:c r="L81" s="103"/>
      <x:c r="M81" s="103"/>
      <x:c r="N81" s="103"/>
      <x:c r="O81" s="103"/>
      <x:c r="P81" s="103"/>
      <x:c r="Q81" s="103"/>
      <x:c r="R81" s="103"/>
      <x:c r="S81" s="103"/>
      <x:c r="T81" s="103"/>
      <x:c r="U81" s="103"/>
    </x:row>
    <x:row r="82" ht="24" customHeight="1">
      <x:c r="A82" s="103"/>
      <x:c r="B82" s="103"/>
      <x:c r="C82" s="103" t="str">
        <x:f>"FY2029 E"</x:f>
        <x:v>FY2029 E</x:v>
      </x:c>
      <x:c r="D82" s="125" t="n">
        <x:f>IF(OR(Q18="n.a.",ISBLANK(Q18)),"",Q18)</x:f>
        <x:v>60522.53930091431</x:v>
      </x:c>
      <x:c r="E82" s="125" t="n">
        <x:f>IF(OR(Q20="n.a.",ISBLANK(Q20)),"",Q20)</x:f>
        <x:v>39695.940681696</x:v>
      </x:c>
      <x:c r="F82" s="125" t="n">
        <x:f>IF(OR(Q21="n.a.",ISBLANK(Q21)),"",Q21)</x:f>
        <x:v>11705.213277936</x:v>
      </x:c>
      <x:c r="G82" s="103"/>
      <x:c r="H82" s="103"/>
      <x:c r="I82" s="103"/>
      <x:c r="J82" s="103"/>
      <x:c r="K82" s="103"/>
      <x:c r="L82" s="103"/>
      <x:c r="M82" s="103"/>
      <x:c r="N82" s="103"/>
      <x:c r="O82" s="103"/>
      <x:c r="P82" s="103"/>
      <x:c r="Q82" s="103"/>
      <x:c r="R82" s="103"/>
      <x:c r="S82" s="103"/>
      <x:c r="T82" s="103"/>
      <x:c r="U82" s="103"/>
    </x:row>
    <x:row r="83" ht="24" customHeight="1">
      <x:c r="A83" s="103"/>
      <x:c r="B83" s="103"/>
      <x:c r="C83" s="103" t="str">
        <x:f>"FY2030 E"</x:f>
        <x:v>FY2030 E</x:v>
      </x:c>
      <x:c r="D83" s="125" t="n">
        <x:f>IF(OR(R18="n.a.",ISBLANK(R18)),"",R18)</x:f>
        <x:v>70220.21893489482</x:v>
      </x:c>
      <x:c r="E83" s="125" t="n">
        <x:f>IF(OR(R20="n.a.",ISBLANK(R20)),"",R20)</x:f>
        <x:v>44452.23589884001</x:v>
      </x:c>
      <x:c r="F83" s="125" t="n">
        <x:f>IF(OR(R21="n.a.",ISBLANK(R21)),"",R21)</x:f>
        <x:v>12989.289710700003</x:v>
      </x:c>
      <x:c r="G83" s="103"/>
      <x:c r="H83" s="103"/>
      <x:c r="I83" s="103"/>
      <x:c r="J83" s="103"/>
      <x:c r="K83" s="103"/>
      <x:c r="L83" s="103"/>
      <x:c r="M83" s="103"/>
      <x:c r="N83" s="103"/>
      <x:c r="O83" s="103"/>
      <x:c r="P83" s="103"/>
      <x:c r="Q83" s="103"/>
      <x:c r="R83" s="103"/>
      <x:c r="S83" s="103"/>
      <x:c r="T83" s="103"/>
      <x:c r="U83" s="103"/>
    </x:row>
    <x:row r="84" ht="24" customHeight="1">
      <x:c r="A84" s="103"/>
      <x:c r="B84" s="103"/>
      <x:c r="C84" s="103" t="str">
        <x:f>"FY2031 E"</x:f>
        <x:v>FY2031 E</x:v>
      </x:c>
      <x:c r="D84" s="125" t="n">
        <x:f>IF(OR(S18="n.a.",ISBLANK(S18)),"",S18)</x:f>
        <x:v>80133.32454351732</x:v>
      </x:c>
      <x:c r="E84" s="125" t="n">
        <x:f>IF(OR(S20="n.a.",ISBLANK(S20)),"",S20)</x:f>
        <x:v>49256.14347553452</x:v>
      </x:c>
      <x:c r="F84" s="125" t="n">
        <x:f>IF(OR(S21="n.a.",ISBLANK(S21)),"",S21)</x:f>
        <x:v>14258.357321865255</x:v>
      </x:c>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23" t="str">
        <x:v>Fiscal year</x:v>
      </x:c>
      <x:c r="D88" s="123" t="str">
        <x:v>PPE depreciation</x:v>
      </x:c>
      <x:c r="E88" s="123" t="str">
        <x:v>Intangible amortization</x:v>
      </x:c>
      <x:c r="F88" s="123" t="str">
        <x:v>Operating leases</x:v>
      </x:c>
      <x:c r="G88" s="103"/>
      <x:c r="H88" s="103"/>
      <x:c r="I88" s="103"/>
      <x:c r="J88" s="103"/>
      <x:c r="K88" s="103"/>
      <x:c r="L88" s="103"/>
      <x:c r="M88" s="103"/>
      <x:c r="N88" s="103"/>
      <x:c r="O88" s="103"/>
      <x:c r="P88" s="103"/>
      <x:c r="Q88" s="103"/>
      <x:c r="R88" s="103"/>
      <x:c r="S88" s="103"/>
      <x:c r="T88" s="103"/>
      <x:c r="U88" s="103"/>
    </x:row>
    <x:row r="89" ht="24" customHeight="1">
      <x:c r="A89" s="103"/>
      <x:c r="B89" s="103"/>
      <x:c r="C89" s="103" t="str">
        <x:f>"FY2017 A"</x:f>
        <x:v>FY2017 A</x:v>
      </x:c>
      <x:c r="D89" s="125" t="n">
        <x:f>IF(OR(E10="n.a.",ISBLANK(E10)),"",E10)</x:f>
        <x:v>6100</x:v>
      </x:c>
      <x:c r="E89" s="125" t="n">
        <x:f>IF(OR(E11="n.a.",ISBLANK(E11)),"",E11)</x:f>
        <x:v>1700</x:v>
      </x:c>
      <x:c r="F89" s="125" t="n">
        <x:f>IF(OR(E12="n.a.",ISBLANK(E12)),"",E12)</x:f>
        <x:v>1412</x:v>
      </x:c>
      <x:c r="G89" s="103"/>
      <x:c r="H89" s="103"/>
      <x:c r="I89" s="103"/>
      <x:c r="J89" s="103"/>
      <x:c r="K89" s="103"/>
      <x:c r="L89" s="103"/>
      <x:c r="M89" s="103"/>
      <x:c r="N89" s="103"/>
      <x:c r="O89" s="103"/>
      <x:c r="P89" s="103"/>
      <x:c r="Q89" s="103"/>
      <x:c r="R89" s="103"/>
      <x:c r="S89" s="103"/>
      <x:c r="T89" s="103"/>
      <x:c r="U89" s="103"/>
    </x:row>
    <x:row r="90" ht="24" customHeight="1">
      <x:c r="A90" s="103"/>
      <x:c r="B90" s="103"/>
      <x:c r="C90" s="103" t="str">
        <x:f>"FY2018 A"</x:f>
        <x:v>FY2018 A</x:v>
      </x:c>
      <x:c r="D90" s="125" t="n">
        <x:f>IF(OR(F10="n.a.",ISBLANK(F10)),"",F10)</x:f>
        <x:v>7700</x:v>
      </x:c>
      <x:c r="E90" s="125" t="n">
        <x:f>IF(OR(F11="n.a.",ISBLANK(F11)),"",F11)</x:f>
        <x:v>2200</x:v>
      </x:c>
      <x:c r="F90" s="125" t="n">
        <x:f>IF(OR(F12="n.a.",ISBLANK(F12)),"",F12)</x:f>
        <x:v>1585</x:v>
      </x:c>
      <x:c r="G90" s="103"/>
      <x:c r="H90" s="103"/>
      <x:c r="I90" s="103"/>
      <x:c r="J90" s="103"/>
      <x:c r="K90" s="103"/>
      <x:c r="L90" s="103"/>
      <x:c r="M90" s="103"/>
      <x:c r="N90" s="103"/>
      <x:c r="O90" s="103"/>
      <x:c r="P90" s="103"/>
      <x:c r="Q90" s="103"/>
      <x:c r="R90" s="103"/>
      <x:c r="S90" s="103"/>
      <x:c r="T90" s="103"/>
      <x:c r="U90" s="103"/>
    </x:row>
    <x:row r="91" ht="24" customHeight="1">
      <x:c r="A91" s="103"/>
      <x:c r="B91" s="103"/>
      <x:c r="C91" s="103" t="str">
        <x:f>"FY2019 A"</x:f>
        <x:v>FY2019 A</x:v>
      </x:c>
      <x:c r="D91" s="125" t="n">
        <x:f>IF(OR(G10="n.a.",ISBLANK(G10)),"",G10)</x:f>
        <x:v>9700</x:v>
      </x:c>
      <x:c r="E91" s="125" t="n">
        <x:f>IF(OR(G11="n.a.",ISBLANK(G11)),"",G11)</x:f>
        <x:v>1900</x:v>
      </x:c>
      <x:c r="F91" s="125" t="n">
        <x:f>IF(OR(G12="n.a.",ISBLANK(G12)),"",G12)</x:f>
        <x:v>1707</x:v>
      </x:c>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"FY2020 A"</x:f>
        <x:v>FY2020 A</x:v>
      </x:c>
      <x:c r="D92" s="125" t="n">
        <x:f>IF(OR(H10="n.a.",ISBLANK(H10)),"",H10)</x:f>
        <x:v>10700</x:v>
      </x:c>
      <x:c r="E92" s="125" t="n">
        <x:f>IF(OR(H11="n.a.",ISBLANK(H11)),"",H11)</x:f>
        <x:v>1600</x:v>
      </x:c>
      <x:c r="F92" s="125" t="n">
        <x:f>IF(OR(H12="n.a.",ISBLANK(H12)),"",H12)</x:f>
        <x:v>2043</x:v>
      </x:c>
      <x:c r="G92" s="103"/>
      <x:c r="H92" s="103"/>
      <x:c r="I92" s="103"/>
      <x:c r="J92" s="103"/>
      <x:c r="K92" s="103"/>
      <x:c r="L92" s="103"/>
      <x:c r="M92" s="103"/>
      <x:c r="N92" s="103"/>
      <x:c r="O92" s="103"/>
      <x:c r="P92" s="103"/>
      <x:c r="Q92" s="103"/>
      <x:c r="R92" s="103"/>
      <x:c r="S92" s="103"/>
      <x:c r="T92" s="103"/>
      <x:c r="U92" s="103"/>
    </x:row>
    <x:row r="93" ht="24" customHeight="1">
      <x:c r="A93" s="103"/>
      <x:c r="B93" s="103"/>
      <x:c r="C93" s="103" t="str">
        <x:f>"FY2021 A"</x:f>
        <x:v>FY2021 A</x:v>
      </x:c>
      <x:c r="D93" s="125" t="n">
        <x:f>IF(OR(I10="n.a.",ISBLANK(I10)),"",I10)</x:f>
        <x:v>9300</x:v>
      </x:c>
      <x:c r="E93" s="125" t="n">
        <x:f>IF(OR(I11="n.a.",ISBLANK(I11)),"",I11)</x:f>
        <x:v>1600</x:v>
      </x:c>
      <x:c r="F93" s="125" t="n">
        <x:f>IF(OR(I12="n.a.",ISBLANK(I12)),"",I12)</x:f>
        <x:v>2127</x:v>
      </x:c>
      <x:c r="G93" s="103"/>
      <x:c r="H93" s="103"/>
      <x:c r="I93" s="103"/>
      <x:c r="J93" s="103"/>
      <x:c r="K93" s="103"/>
      <x:c r="L93" s="103"/>
      <x:c r="M93" s="103"/>
      <x:c r="N93" s="103"/>
      <x:c r="O93" s="103"/>
      <x:c r="P93" s="103"/>
      <x:c r="Q93" s="103"/>
      <x:c r="R93" s="103"/>
      <x:c r="S93" s="103"/>
      <x:c r="T93" s="103"/>
      <x:c r="U93" s="103"/>
    </x:row>
    <x:row r="94" ht="24" customHeight="1">
      <x:c r="A94" s="103"/>
      <x:c r="B94" s="103"/>
      <x:c r="C94" s="103" t="str">
        <x:f>"FY2022 A"</x:f>
        <x:v>FY2022 A</x:v>
      </x:c>
      <x:c r="D94" s="125" t="n">
        <x:f>IF(OR(J10="n.a.",ISBLANK(J10)),"",J10)</x:f>
        <x:v>12600</x:v>
      </x:c>
      <x:c r="E94" s="125" t="n">
        <x:f>IF(OR(J11="n.a.",ISBLANK(J11)),"",J11)</x:f>
        <x:v>2000</x:v>
      </x:c>
      <x:c r="F94" s="125" t="n">
        <x:f>IF(OR(J12="n.a.",ISBLANK(J12)),"",J12)</x:f>
        <x:v>2461</x:v>
      </x:c>
      <x:c r="G94" s="103"/>
      <x:c r="H94" s="103"/>
      <x:c r="I94" s="103"/>
      <x:c r="J94" s="103"/>
      <x:c r="K94" s="103"/>
      <x:c r="L94" s="103"/>
      <x:c r="M94" s="103"/>
      <x:c r="N94" s="103"/>
      <x:c r="O94" s="103"/>
      <x:c r="P94" s="103"/>
      <x:c r="Q94" s="103"/>
      <x:c r="R94" s="103"/>
      <x:c r="S94" s="103"/>
      <x:c r="T94" s="103"/>
      <x:c r="U94" s="103"/>
    </x:row>
    <x:row r="95" ht="24" customHeight="1">
      <x:c r="A95" s="103"/>
      <x:c r="B95" s="103"/>
      <x:c r="C95" s="103" t="str">
        <x:f>"FY2023 A"</x:f>
        <x:v>FY2023 A</x:v>
      </x:c>
      <x:c r="D95" s="125" t="n">
        <x:f>IF(OR(K10="n.a.",ISBLANK(K10)),"",K10)</x:f>
        <x:v>11000</x:v>
      </x:c>
      <x:c r="E95" s="125" t="n">
        <x:f>IF(OR(K11="n.a.",ISBLANK(K11)),"",K11)</x:f>
        <x:v>2500</x:v>
      </x:c>
      <x:c r="F95" s="125" t="n">
        <x:f>IF(OR(K12="n.a.",ISBLANK(K12)),"",K12)</x:f>
        <x:v>2875</x:v>
      </x:c>
      <x:c r="G95" s="103"/>
      <x:c r="H95" s="103"/>
      <x:c r="I95" s="103"/>
      <x:c r="J95" s="103"/>
      <x:c r="K95" s="103"/>
      <x:c r="L95" s="103"/>
      <x:c r="M95" s="103"/>
      <x:c r="N95" s="103"/>
      <x:c r="O95" s="103"/>
      <x:c r="P95" s="103"/>
      <x:c r="Q95" s="103"/>
      <x:c r="R95" s="103"/>
      <x:c r="S95" s="103"/>
      <x:c r="T95" s="103"/>
      <x:c r="U95" s="103"/>
    </x:row>
    <x:row r="96" ht="24" customHeight="1">
      <x:c r="C96" s="128" t="str">
        <x:f>"FY2024 A"</x:f>
        <x:v>FY2024 A</x:v>
      </x:c>
      <x:c r="D96" s="134" t="n">
        <x:f>IF(OR(L10="n.a.",ISBLANK(L10)),"",L10)</x:f>
        <x:v>15200</x:v>
      </x:c>
      <x:c r="E96" s="134" t="n">
        <x:f>IF(OR(L11="n.a.",ISBLANK(L11)),"",L11)</x:f>
        <x:v>4800</x:v>
      </x:c>
      <x:c r="F96" s="134" t="n">
        <x:f>IF(OR(L12="n.a.",ISBLANK(L12)),"",L12)</x:f>
        <x:v>3555</x:v>
      </x:c>
    </x:row>
    <x:row r="97" ht="24" customHeight="1">
      <x:c r="C97" s="128" t="str">
        <x:f>"FY2025 A"</x:f>
        <x:v>FY2025 A</x:v>
      </x:c>
      <x:c r="D97" s="134" t="n">
        <x:f>IF(OR(M10="n.a.",ISBLANK(M10)),"",M10)</x:f>
        <x:v>22000</x:v>
      </x:c>
      <x:c r="E97" s="134" t="n">
        <x:f>IF(OR(M11="n.a.",ISBLANK(M11)),"",M11)</x:f>
        <x:v>6000</x:v>
      </x:c>
      <x:c r="F97" s="134" t="n">
        <x:f>IF(OR(M12="n.a.",ISBLANK(M12)),"",M12)</x:f>
        <x:v>5524</x:v>
      </x:c>
    </x:row>
    <x:row r="98" ht="24" customHeight="1">
      <x:c r="C98" s="128" t="str">
        <x:f>"FY2026 A"</x:f>
        <x:v>FY2026 A</x:v>
      </x:c>
      <x:c r="D98" s="134" t="n">
        <x:f>IF(OR(N10="n.a.",ISBLANK(N10)),"",N10)</x:f>
        <x:v>34300</x:v>
      </x:c>
      <x:c r="E98" s="134" t="n">
        <x:f>IF(OR(N11="n.a.",ISBLANK(N11)),"",N11)</x:f>
        <x:v>4700</x:v>
      </x:c>
      <x:c r="F98" s="134" t="n">
        <x:f>IF(OR(N12="n.a.",ISBLANK(N12)),"",N12)</x:f>
        <x:v>6968</x:v>
      </x:c>
    </x:row>
    <x:row r="99" ht="24" customHeight="1">
      <x:c r="C99" s="128" t="str">
        <x:f>"FY2027 E"</x:f>
        <x:v>FY2027 E</x:v>
      </x:c>
      <x:c r="D99" s="134" t="n">
        <x:f>IF(OR(O10="n.a.",ISBLANK(O10)),"",O10)</x:f>
        <x:v>50319.3666</x:v>
      </x:c>
      <x:c r="E99" s="134" t="n">
        <x:f>IF(OR(O11="n.a.",ISBLANK(O11)),"",O11)</x:f>
        <x:v>3097</x:v>
      </x:c>
      <x:c r="F99" s="134" t="n">
        <x:f>IF(OR(O12="n.a.",ISBLANK(O12)),"",O12)</x:f>
        <x:v>5428.887042</x:v>
      </x:c>
    </x:row>
    <x:row r="100" ht="24" customHeight="1">
      <x:c r="C100" s="128" t="str">
        <x:f>"FY2028 E"</x:f>
        <x:v>FY2028 E</x:v>
      </x:c>
      <x:c r="D100" s="134" t="n">
        <x:f>IF(OR(P10="n.a.",ISBLANK(P10)),"",P10)</x:f>
        <x:v>75599.62026141334</x:v>
      </x:c>
      <x:c r="E100" s="134" t="n">
        <x:f>IF(OR(P11="n.a.",ISBLANK(P11)),"",P11)</x:f>
        <x:v>2141</x:v>
      </x:c>
      <x:c r="F100" s="134" t="n">
        <x:f>IF(OR(P12="n.a.",ISBLANK(P12)),"",P12)</x:f>
        <x:v>6402.942695266</x:v>
      </x:c>
    </x:row>
    <x:row r="101" ht="24" customHeight="1">
      <x:c r="C101" s="128" t="str">
        <x:f>"FY2029 E"</x:f>
        <x:v>FY2029 E</x:v>
      </x:c>
      <x:c r="D101" s="134" t="n">
        <x:f>IF(OR(Q10="n.a.",ISBLANK(Q10)),"",Q10)</x:f>
        <x:v>101565.57059252668</x:v>
      </x:c>
      <x:c r="E101" s="134" t="n">
        <x:f>IF(OR(Q11="n.a.",ISBLANK(Q11)),"",Q11)</x:f>
        <x:v>1944</x:v>
      </x:c>
      <x:c r="F101" s="134" t="n">
        <x:f>IF(OR(Q12="n.a.",ISBLANK(Q12)),"",Q12)</x:f>
        <x:v>7428.829732529213</x:v>
      </x:c>
    </x:row>
    <x:row r="102" ht="24" customHeight="1">
      <x:c r="C102" s="128" t="str">
        <x:f>"FY2030 E"</x:f>
        <x:v>FY2030 E</x:v>
      </x:c>
      <x:c r="D102" s="134" t="n">
        <x:f>IF(OR(R10="n.a.",ISBLANK(R10)),"",R10)</x:f>
        <x:v>128010.09185221468</x:v>
      </x:c>
      <x:c r="E102" s="134" t="n">
        <x:f>IF(OR(R11="n.a.",ISBLANK(R11)),"",R11)</x:f>
        <x:v>1477</x:v>
      </x:c>
      <x:c r="F102" s="134" t="n">
        <x:f>IF(OR(R12="n.a.",ISBLANK(R12)),"",R12)</x:f>
        <x:v>8502.564695694284</x:v>
      </x:c>
    </x:row>
    <x:row r="103" ht="24" customHeight="1">
      <x:c r="C103" s="128" t="str">
        <x:f>"FY2031 E"</x:f>
        <x:v>FY2031 E</x:v>
      </x:c>
      <x:c r="D103" s="134" t="n">
        <x:f>IF(OR(S10="n.a.",ISBLANK(S10)),"",S10)</x:f>
        <x:v>154852.54990618228</x:v>
      </x:c>
      <x:c r="E103" s="134" t="n">
        <x:f>IF(OR(S11="n.a.",ISBLANK(S11)),"",S11)</x:f>
        <x:v>1128</x:v>
      </x:c>
      <x:c r="F103" s="134" t="n">
        <x:f>IF(OR(S12="n.a.",ISBLANK(S12)),"",S12)</x:f>
        <x:v>9609.606390594998</x:v>
      </x:c>
    </x:row>
  </x:sheetData>
  <x:mergeCells>
    <x:mergeCell ref="C43:S43"/>
    <x:mergeCell ref="C44:S44"/>
    <x:mergeCell ref="C45:S45"/>
  </x:mergeCells>
  <x:pageMargins left="0.7" right="0.7" top="0.75" bottom="0.75" header="0.3" footer="0.3"/>
  <x:drawing xmlns:r="http://schemas.openxmlformats.org/officeDocument/2006/relationships" r:id="R47f72aff70794dce"/>
  <x:legacyDrawing xmlns:r="http://schemas.openxmlformats.org/officeDocument/2006/relationships" r:id="R9718d7cca813428d"/>
</x:worksheet>
</file>

<file path=xl/worksheets/sheet12.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Working Capital</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Receivables</x:v>
      </x:c>
      <x:c r="D8" s="103"/>
      <x:c r="E8" s="109" t="n">
        <x:f>'Historical Inputs'!E31</x:f>
        <x:v>22431</x:v>
      </x:c>
      <x:c r="F8" s="109" t="n">
        <x:f>'Historical Inputs'!F31</x:f>
        <x:v>26481</x:v>
      </x:c>
      <x:c r="G8" s="109" t="n">
        <x:f>'Historical Inputs'!G31</x:f>
        <x:v>29524</x:v>
      </x:c>
      <x:c r="H8" s="109" t="n">
        <x:f>'Historical Inputs'!H31</x:f>
        <x:v>32011</x:v>
      </x:c>
      <x:c r="I8" s="109" t="n">
        <x:f>'Historical Inputs'!I31</x:f>
        <x:v>38043</x:v>
      </x:c>
      <x:c r="J8" s="109" t="n">
        <x:f>'Historical Inputs'!J31</x:f>
        <x:v>44261</x:v>
      </x:c>
      <x:c r="K8" s="109" t="n">
        <x:f>'Historical Inputs'!K31</x:f>
        <x:v>48688</x:v>
      </x:c>
      <x:c r="L8" s="109" t="n">
        <x:f>'Historical Inputs'!L31</x:f>
        <x:v>56924</x:v>
      </x:c>
      <x:c r="M8" s="109" t="n">
        <x:f>'Historical Inputs'!M31</x:f>
        <x:v>69905</x:v>
      </x:c>
      <x:c r="N8" s="109" t="n">
        <x:f>'Historical Inputs'!N31</x:f>
        <x:v>80876</x:v>
      </x:c>
      <x:c r="O8" s="109" t="n">
        <x:f>'Income Statement'!O8*'Assumptions'!O69/365</x:f>
        <x:v>93844.32435247215</x:v>
      </x:c>
      <x:c r="P8" s="109" t="n">
        <x:f>'Income Statement'!P8*'Assumptions'!P69/365</x:f>
        <x:v>108328.3087025407</x:v>
      </x:c>
      <x:c r="Q8" s="109" t="n">
        <x:f>'Income Statement'!Q8*'Assumptions'!Q69/365</x:f>
        <x:v>124034.85203292692</x:v>
      </x:c>
      <x:c r="R8" s="109" t="n">
        <x:f>'Income Statement'!R8*'Assumptions'!R69/365</x:f>
        <x:v>140700.3322082996</x:v>
      </x:c>
      <x:c r="S8" s="109" t="n">
        <x:f>'Income Statement'!S8*'Assumptions'!S69/365</x:f>
        <x:v>157957.06334632353</x:v>
      </x:c>
      <x:c r="T8" s="103"/>
      <x:c r="U8" s="103"/>
    </x:row>
    <x:row r="9" ht="24" customHeight="1">
      <x:c r="A9" s="103"/>
      <x:c r="B9" s="103"/>
      <x:c r="C9" s="103" t="str">
        <x:v>Receivable days</x:v>
      </x:c>
      <x:c r="D9" s="103"/>
      <x:c r="E9" s="132" t="n">
        <x:f>E8/'Income Statement'!E8*365</x:f>
        <x:v>84.78026529703534</x:v>
      </x:c>
      <x:c r="F9" s="132" t="n">
        <x:f>F8/'Income Statement'!F8*365</x:f>
        <x:v>87.58214026821312</x:v>
      </x:c>
      <x:c r="G9" s="132" t="n">
        <x:f>G8/'Income Statement'!G8*365</x:f>
        <x:v>85.63257392147358</x:v>
      </x:c>
      <x:c r="H9" s="132" t="n">
        <x:f>H8/'Income Statement'!H8*365</x:f>
        <x:v>81.69782889906654</x:v>
      </x:c>
      <x:c r="I9" s="132" t="n">
        <x:f>I8/'Income Statement'!I8*365</x:f>
        <x:v>82.6096746942078</x:v>
      </x:c>
      <x:c r="J9" s="132" t="n">
        <x:f>J8/'Income Statement'!J8*365</x:f>
        <x:v>81.48113683361073</x:v>
      </x:c>
      <x:c r="K9" s="132" t="n">
        <x:f>K8/'Income Statement'!K8*365</x:f>
        <x:v>83.85966071302173</x:v>
      </x:c>
      <x:c r="L9" s="132" t="n">
        <x:f>L8/'Income Statement'!L8*365</x:f>
        <x:v>84.76293437553545</x:v>
      </x:c>
      <x:c r="M9" s="132" t="n">
        <x:f>M8/'Income Statement'!M8*365</x:f>
        <x:v>90.56851741420681</x:v>
      </x:c>
      <x:c r="N9" s="132" t="n">
        <x:f>N8/'Income Statement'!N8*365</x:f>
        <x:v>88.95801879827266</x:v>
      </x:c>
      <x:c r="O9" s="132" t="n">
        <x:f>O8/'Income Statement'!O8*365</x:f>
        <x:v>88.95801879827266</x:v>
      </x:c>
      <x:c r="P9" s="132" t="n">
        <x:f>P8/'Income Statement'!P8*365</x:f>
        <x:v>88.95801879827265</x:v>
      </x:c>
      <x:c r="Q9" s="132" t="n">
        <x:f>Q8/'Income Statement'!Q8*365</x:f>
        <x:v>88.95801879827266</x:v>
      </x:c>
      <x:c r="R9" s="132" t="n">
        <x:f>R8/'Income Statement'!R8*365</x:f>
        <x:v>88.95801879827266</x:v>
      </x:c>
      <x:c r="S9" s="132" t="n">
        <x:f>S8/'Income Statement'!S8*365</x:f>
        <x:v>88.95801879827266</x:v>
      </x:c>
      <x:c r="T9" s="103"/>
      <x:c r="U9" s="103"/>
    </x:row>
    <x:row r="10" ht="24" customHeight="1">
      <x:c r="A10" s="103"/>
      <x:c r="B10" s="103"/>
      <x:c r="C10" s="103" t="str">
        <x:v>Inventories</x:v>
      </x:c>
      <x:c r="D10" s="103"/>
      <x:c r="E10" s="109" t="n">
        <x:f>'Historical Inputs'!E32</x:f>
        <x:v>2181</x:v>
      </x:c>
      <x:c r="F10" s="109" t="n">
        <x:f>'Historical Inputs'!F32</x:f>
        <x:v>2662</x:v>
      </x:c>
      <x:c r="G10" s="109" t="n">
        <x:f>'Historical Inputs'!G32</x:f>
        <x:v>2063</x:v>
      </x:c>
      <x:c r="H10" s="109" t="n">
        <x:f>'Historical Inputs'!H32</x:f>
        <x:v>1895</x:v>
      </x:c>
      <x:c r="I10" s="109" t="n">
        <x:f>'Historical Inputs'!I32</x:f>
        <x:v>2636</x:v>
      </x:c>
      <x:c r="J10" s="109" t="n">
        <x:f>'Historical Inputs'!J32</x:f>
        <x:v>3742</x:v>
      </x:c>
      <x:c r="K10" s="109" t="n">
        <x:f>'Historical Inputs'!K32</x:f>
        <x:v>2500</x:v>
      </x:c>
      <x:c r="L10" s="109" t="n">
        <x:f>'Historical Inputs'!L32</x:f>
        <x:v>1246</x:v>
      </x:c>
      <x:c r="M10" s="109" t="n">
        <x:f>'Historical Inputs'!M32</x:f>
        <x:v>938</x:v>
      </x:c>
      <x:c r="N10" s="109" t="n">
        <x:f>'Historical Inputs'!N32</x:f>
        <x:v>1397</x:v>
      </x:c>
      <x:c r="O10" s="109" t="n">
        <x:f>'Income Statement'!O10*'Assumptions'!O73/365</x:f>
        <x:v>1667.0221308691657</x:v>
      </x:c>
      <x:c r="P10" s="109" t="n">
        <x:f>'Income Statement'!P10*'Assumptions'!P73/365</x:f>
        <x:v>2082.7190934934065</x:v>
      </x:c>
      <x:c r="Q10" s="109" t="n">
        <x:f>'Income Statement'!Q10*'Assumptions'!Q73/365</x:f>
        <x:v>2524.9622667606704</x:v>
      </x:c>
      <x:c r="R10" s="109" t="n">
        <x:f>'Income Statement'!R10*'Assumptions'!R73/365</x:f>
        <x:v>2976.275637490426</x:v>
      </x:c>
      <x:c r="S10" s="109" t="n">
        <x:f>'Income Statement'!S10*'Assumptions'!S73/365</x:f>
        <x:v>3436.2881961675116</x:v>
      </x:c>
      <x:c r="T10" s="103"/>
      <x:c r="U10" s="103"/>
    </x:row>
    <x:row r="11" ht="24" customHeight="1">
      <x:c r="A11" s="103"/>
      <x:c r="B11" s="103"/>
      <x:c r="C11" s="103" t="str">
        <x:v>Inventory days</x:v>
      </x:c>
      <x:c r="D11" s="103"/>
      <x:c r="E11" s="132" t="n">
        <x:f>E10/E12*365</x:f>
        <x:v>23.23531128688596</x:v>
      </x:c>
      <x:c r="F11" s="132" t="n">
        <x:f>F10/F12*365</x:f>
        <x:v>25.333872187312593</x:v>
      </x:c>
      <x:c r="G11" s="132" t="n">
        <x:f>G10/G12*365</x:f>
        <x:v>17.548240503379166</x:v>
      </x:c>
      <x:c r="H11" s="132" t="n">
        <x:f>H10/H12*365</x:f>
        <x:v>15.010959677069318</x:v>
      </x:c>
      <x:c r="I11" s="132" t="n">
        <x:f>I10/I12*365</x:f>
        <x:v>18.42050850053607</x:v>
      </x:c>
      <x:c r="J11" s="132" t="n">
        <x:f>J10/J12*365</x:f>
        <x:v>21.80095770151636</x:v>
      </x:c>
      <x:c r="K11" s="132" t="n">
        <x:f>K10/K12*365</x:f>
        <x:v>13.854516192703034</x:v>
      </x:c>
      <x:c r="L11" s="132" t="n">
        <x:f>L10/L12*365</x:f>
        <x:v>6.136357503305718</x:v>
      </x:c>
      <x:c r="M11" s="132" t="n">
        <x:f>M10/M12*365</x:f>
        <x:v>3.8980542177591055</x:v>
      </x:c>
      <x:c r="N11" s="132" t="n">
        <x:f>N10/N12*365</x:f>
        <x:v>4.793511572376708</x:v>
      </x:c>
      <x:c r="O11" s="132" t="n">
        <x:f>O10/O12*365</x:f>
        <x:v>4.793511572376709</x:v>
      </x:c>
      <x:c r="P11" s="132" t="n">
        <x:f>P10/P12*365</x:f>
        <x:v>4.793511572376709</x:v>
      </x:c>
      <x:c r="Q11" s="132" t="n">
        <x:f>Q10/Q12*365</x:f>
        <x:v>4.793511572376708</x:v>
      </x:c>
      <x:c r="R11" s="132" t="n">
        <x:f>R10/R12*365</x:f>
        <x:v>4.793511572376708</x:v>
      </x:c>
      <x:c r="S11" s="132" t="n">
        <x:f>S10/S12*365</x:f>
        <x:v>4.793511572376707</x:v>
      </x:c>
      <x:c r="T11" s="103"/>
      <x:c r="U11" s="103"/>
    </x:row>
    <x:row r="12" ht="24" customHeight="1">
      <x:c r="A12" s="103"/>
      <x:c r="B12" s="103"/>
      <x:c r="C12" s="103" t="str">
        <x:v>Cost of revenue</x:v>
      </x:c>
      <x:c r="D12" s="103"/>
      <x:c r="E12" s="109" t="n">
        <x:f>'Income Statement'!E10</x:f>
        <x:v>34261</x:v>
      </x:c>
      <x:c r="F12" s="109" t="n">
        <x:f>'Income Statement'!F10</x:f>
        <x:v>38353</x:v>
      </x:c>
      <x:c r="G12" s="109" t="n">
        <x:f>'Income Statement'!G10</x:f>
        <x:v>42910</x:v>
      </x:c>
      <x:c r="H12" s="109" t="n">
        <x:f>'Income Statement'!H10</x:f>
        <x:v>46078</x:v>
      </x:c>
      <x:c r="I12" s="109" t="n">
        <x:f>'Income Statement'!I10</x:f>
        <x:v>52232</x:v>
      </x:c>
      <x:c r="J12" s="109" t="n">
        <x:f>'Income Statement'!J10</x:f>
        <x:v>62650</x:v>
      </x:c>
      <x:c r="K12" s="109" t="n">
        <x:f>'Income Statement'!K10</x:f>
        <x:v>65863</x:v>
      </x:c>
      <x:c r="L12" s="109" t="n">
        <x:f>'Income Statement'!L10</x:f>
        <x:v>74114</x:v>
      </x:c>
      <x:c r="M12" s="109" t="n">
        <x:f>'Income Statement'!M10</x:f>
        <x:v>87831</x:v>
      </x:c>
      <x:c r="N12" s="109" t="n">
        <x:f>'Income Statement'!N10</x:f>
        <x:v>106374</x:v>
      </x:c>
      <x:c r="O12" s="109" t="n">
        <x:f>'Income Statement'!O10</x:f>
        <x:v>126934.72594780002</x:v>
      </x:c>
      <x:c r="P12" s="109" t="n">
        <x:f>'Income Statement'!P10</x:f>
        <x:v>158587.80304314074</x:v>
      </x:c>
      <x:c r="Q12" s="109" t="n">
        <x:f>'Income Statement'!Q10</x:f>
        <x:v>192262.23061159597</x:v>
      </x:c>
      <x:c r="R12" s="109" t="n">
        <x:f>'Income Statement'!R10</x:f>
        <x:v>226627.30469749935</x:v>
      </x:c>
      <x:c r="S12" s="109" t="n">
        <x:f>'Income Statement'!S10</x:f>
        <x:v>261654.77493136932</x:v>
      </x:c>
      <x:c r="T12" s="103"/>
      <x:c r="U12" s="103"/>
    </x:row>
    <x:row r="13" ht="24" customHeight="1">
      <x:c r="A13" s="103"/>
      <x:c r="B13" s="103"/>
      <x:c r="C13" s="103" t="str">
        <x:v>Operating accounts payable</x:v>
      </x:c>
      <x:c r="D13" s="103"/>
      <x:c r="E13" s="109" t="str">
        <x:v>n.a.</x:v>
      </x:c>
      <x:c r="F13" s="109" t="str">
        <x:v>n.a.</x:v>
      </x:c>
      <x:c r="G13" s="109" t="str">
        <x:v>n.a.</x:v>
      </x:c>
      <x:c r="H13" s="109" t="str">
        <x:v>n.a.</x:v>
      </x:c>
      <x:c r="I13" s="109" t="str">
        <x:v>n.a.</x:v>
      </x:c>
      <x:c r="J13" s="109" t="str">
        <x:v>n.a.</x:v>
      </x:c>
      <x:c r="K13" s="109" t="str">
        <x:v>n.a.</x:v>
      </x:c>
      <x:c r="L13" s="109" t="str">
        <x:v>n.a.</x:v>
      </x:c>
      <x:c r="M13" s="109" t="str">
        <x:v>n.a.</x:v>
      </x:c>
      <x:c r="N13" s="109" t="n">
        <x:f>N15-N14</x:f>
        <x:v>15716</x:v>
      </x:c>
      <x:c r="O13" s="109" t="n">
        <x:f>O12*'Assumptions'!O77/365</x:f>
        <x:v>18753.70065049378</x:v>
      </x:c>
      <x:c r="P13" s="109" t="n">
        <x:f>P12*'Assumptions'!P77/365</x:f>
        <x:v>23430.217089006714</x:v>
      </x:c>
      <x:c r="Q13" s="109" t="n">
        <x:f>Q12*'Assumptions'!Q77/365</x:f>
        <x:v>28405.3736466791</x:v>
      </x:c>
      <x:c r="R13" s="109" t="n">
        <x:f>R12*'Assumptions'!R77/365</x:f>
        <x:v>33482.5683026482</x:v>
      </x:c>
      <x:c r="S13" s="109" t="n">
        <x:f>S12*'Assumptions'!S77/365</x:f>
        <x:v>38657.62726626244</x:v>
      </x:c>
      <x:c r="T13" s="103"/>
      <x:c r="U13" s="103"/>
    </x:row>
    <x:row r="14" ht="24" customHeight="1">
      <x:c r="A14" s="103"/>
      <x:c r="B14" s="103"/>
      <x:c r="C14" s="103" t="str">
        <x:v>Capital expenditure payables</x:v>
      </x:c>
      <x:c r="D14" s="103"/>
      <x:c r="E14" s="109" t="str">
        <x:v>n.a.</x:v>
      </x:c>
      <x:c r="F14" s="109" t="str">
        <x:v>n.a.</x:v>
      </x:c>
      <x:c r="G14" s="109" t="str">
        <x:v>n.a.</x:v>
      </x:c>
      <x:c r="H14" s="109" t="str">
        <x:v>n.a.</x:v>
      </x:c>
      <x:c r="I14" s="109" t="str">
        <x:v>n.a.</x:v>
      </x:c>
      <x:c r="J14" s="109" t="str">
        <x:v>n.a.</x:v>
      </x:c>
      <x:c r="K14" s="109" t="str">
        <x:v>n.a.</x:v>
      </x:c>
      <x:c r="L14" s="109" t="str">
        <x:v>n.a.</x:v>
      </x:c>
      <x:c r="M14" s="109" t="str">
        <x:v>n.a.</x:v>
      </x:c>
      <x:c r="N14" s="109" t="n">
        <x:f>'Filing Notes'!N23</x:f>
        <x:v>26700</x:v>
      </x:c>
      <x:c r="O14" s="109" t="n">
        <x:f>'PPE and Intangibles'!O8*'Assumptions'!O49</x:f>
        <x:v>24643.123200000005</x:v>
      </x:c>
      <x:c r="P14" s="109" t="n">
        <x:f>'PPE and Intangibles'!P8*'Assumptions'!P49</x:f>
        <x:v>22401.663096960005</x:v>
      </x:c>
      <x:c r="Q14" s="109" t="n">
        <x:f>'PPE and Intangibles'!Q8*'Assumptions'!Q49</x:f>
        <x:v>20356.89265728</x:v>
      </x:c>
      <x:c r="R14" s="109" t="n">
        <x:f>'PPE and Intangibles'!R8*'Assumptions'!R49</x:f>
        <x:v>17780.894359536003</x:v>
      </x:c>
      <x:c r="S14" s="109" t="n">
        <x:f>'PPE and Intangibles'!S8*'Assumptions'!S49</x:f>
        <x:v>15554.571623853006</x:v>
      </x:c>
      <x:c r="T14" s="103"/>
      <x:c r="U14" s="103"/>
    </x:row>
    <x:row r="15" ht="24" customHeight="1">
      <x:c r="A15" s="103"/>
      <x:c r="B15" s="103"/>
      <x:c r="C15" s="103" t="str">
        <x:v>Total accounts payable</x:v>
      </x:c>
      <x:c r="D15" s="103"/>
      <x:c r="E15" s="109" t="n">
        <x:f>'Historical Inputs'!E42</x:f>
        <x:v>7390</x:v>
      </x:c>
      <x:c r="F15" s="109" t="n">
        <x:f>'Historical Inputs'!F42</x:f>
        <x:v>8617</x:v>
      </x:c>
      <x:c r="G15" s="109" t="n">
        <x:f>'Historical Inputs'!G42</x:f>
        <x:v>9382</x:v>
      </x:c>
      <x:c r="H15" s="109" t="n">
        <x:f>'Historical Inputs'!H42</x:f>
        <x:v>12530</x:v>
      </x:c>
      <x:c r="I15" s="109" t="n">
        <x:f>'Historical Inputs'!I42</x:f>
        <x:v>15163</x:v>
      </x:c>
      <x:c r="J15" s="109" t="n">
        <x:f>'Historical Inputs'!J42</x:f>
        <x:v>19000</x:v>
      </x:c>
      <x:c r="K15" s="109" t="n">
        <x:f>'Historical Inputs'!K42</x:f>
        <x:v>18095</x:v>
      </x:c>
      <x:c r="L15" s="109" t="n">
        <x:f>'Historical Inputs'!L42</x:f>
        <x:v>21996</x:v>
      </x:c>
      <x:c r="M15" s="109" t="n">
        <x:f>'Historical Inputs'!M42</x:f>
        <x:v>27724</x:v>
      </x:c>
      <x:c r="N15" s="109" t="n">
        <x:f>'Historical Inputs'!N42</x:f>
        <x:v>42416</x:v>
      </x:c>
      <x:c r="O15" s="109" t="n">
        <x:f>SUM(O13:O14)</x:f>
        <x:v>43396.82385049379</x:v>
      </x:c>
      <x:c r="P15" s="109" t="n">
        <x:f>SUM(P13:P14)</x:f>
        <x:v>45831.880185966715</x:v>
      </x:c>
      <x:c r="Q15" s="109" t="n">
        <x:f>SUM(Q13:Q14)</x:f>
        <x:v>48762.2663039591</x:v>
      </x:c>
      <x:c r="R15" s="109" t="n">
        <x:f>SUM(R13:R14)</x:f>
        <x:v>51263.4626621842</x:v>
      </x:c>
      <x:c r="S15" s="109" t="n">
        <x:f>SUM(S13:S14)</x:f>
        <x:v>54212.19889011545</x:v>
      </x:c>
      <x:c r="T15" s="103"/>
      <x:c r="U15" s="103"/>
    </x:row>
    <x:row r="16" ht="24" customHeight="1">
      <x:c r="A16" s="103"/>
      <x:c r="B16" s="103"/>
      <x:c r="C16" s="103" t="str">
        <x:v>Operating payable days</x:v>
      </x:c>
      <x:c r="D16" s="103"/>
      <x:c r="E16" s="132" t="str">
        <x:f>"n.a."</x:f>
        <x:v>n.a.</x:v>
      </x:c>
      <x:c r="F16" s="132" t="str">
        <x:f>"n.a."</x:f>
        <x:v>n.a.</x:v>
      </x:c>
      <x:c r="G16" s="132" t="str">
        <x:f>"n.a."</x:f>
        <x:v>n.a.</x:v>
      </x:c>
      <x:c r="H16" s="132" t="str">
        <x:f>"n.a."</x:f>
        <x:v>n.a.</x:v>
      </x:c>
      <x:c r="I16" s="132" t="str">
        <x:f>"n.a."</x:f>
        <x:v>n.a.</x:v>
      </x:c>
      <x:c r="J16" s="132" t="str">
        <x:f>"n.a."</x:f>
        <x:v>n.a.</x:v>
      </x:c>
      <x:c r="K16" s="132" t="str">
        <x:f>"n.a."</x:f>
        <x:v>n.a.</x:v>
      </x:c>
      <x:c r="L16" s="132" t="str">
        <x:f>"n.a."</x:f>
        <x:v>n.a.</x:v>
      </x:c>
      <x:c r="M16" s="132" t="str">
        <x:f>"n.a."</x:f>
        <x:v>n.a.</x:v>
      </x:c>
      <x:c r="N16" s="132" t="n">
        <x:f>N13/N12*365</x:f>
        <x:v>53.92614736683777</x:v>
      </x:c>
      <x:c r="O16" s="132" t="n">
        <x:f>O13/O12*365</x:f>
        <x:v>53.926147366837775</x:v>
      </x:c>
      <x:c r="P16" s="132" t="n">
        <x:f>P13/P12*365</x:f>
        <x:v>53.92614736683777</x:v>
      </x:c>
      <x:c r="Q16" s="132" t="n">
        <x:f>Q13/Q12*365</x:f>
        <x:v>53.926147366837775</x:v>
      </x:c>
      <x:c r="R16" s="132" t="n">
        <x:f>R13/R12*365</x:f>
        <x:v>53.92614736683775</x:v>
      </x:c>
      <x:c r="S16" s="132" t="n">
        <x:f>S13/S12*365</x:f>
        <x:v>53.92614736683777</x:v>
      </x:c>
      <x:c r="T16" s="103"/>
      <x:c r="U16" s="103"/>
    </x:row>
    <x:row r="17" ht="24" customHeight="1">
      <x:c r="A17" s="103"/>
      <x:c r="B17" s="103"/>
      <x:c r="C17" s="103"/>
      <x:c r="D17" s="103"/>
      <x:c r="E17" s="103"/>
      <x:c r="F17" s="103"/>
      <x:c r="G17" s="103"/>
      <x:c r="H17" s="103"/>
      <x:c r="I17" s="103"/>
      <x:c r="J17" s="103"/>
      <x:c r="K17" s="103"/>
      <x:c r="L17" s="103"/>
      <x:c r="M17" s="103"/>
      <x:c r="N17" s="103"/>
      <x:c r="O17" s="103"/>
      <x:c r="P17" s="103"/>
      <x:c r="Q17" s="103"/>
      <x:c r="R17" s="103"/>
      <x:c r="S17" s="103"/>
      <x:c r="T17" s="103"/>
      <x:c r="U17" s="103"/>
    </x:row>
    <x:row r="18" ht="24" customHeight="1">
      <x:c r="A18" s="103"/>
      <x:c r="B18" s="103"/>
      <x:c r="C18" s="103" t="str">
        <x:v>Other current assets</x:v>
      </x:c>
      <x:c r="D18" s="103"/>
      <x:c r="E18" s="109" t="n">
        <x:f>'Historical Inputs'!E33</x:f>
        <x:v>5103</x:v>
      </x:c>
      <x:c r="F18" s="109" t="n">
        <x:f>'Historical Inputs'!F33</x:f>
        <x:v>6751</x:v>
      </x:c>
      <x:c r="G18" s="109" t="n">
        <x:f>'Historical Inputs'!G33</x:f>
        <x:v>10146</x:v>
      </x:c>
      <x:c r="H18" s="109" t="n">
        <x:f>'Historical Inputs'!H33</x:f>
        <x:v>11482</x:v>
      </x:c>
      <x:c r="I18" s="109" t="n">
        <x:f>'Historical Inputs'!I33</x:f>
        <x:v>13393</x:v>
      </x:c>
      <x:c r="J18" s="109" t="n">
        <x:f>'Historical Inputs'!J33</x:f>
        <x:v>16924</x:v>
      </x:c>
      <x:c r="K18" s="109" t="n">
        <x:f>'Historical Inputs'!K33</x:f>
        <x:v>21807</x:v>
      </x:c>
      <x:c r="L18" s="109" t="n">
        <x:f>'Historical Inputs'!L33</x:f>
        <x:v>26021</x:v>
      </x:c>
      <x:c r="M18" s="109" t="n">
        <x:f>'Historical Inputs'!M33</x:f>
        <x:v>25723</x:v>
      </x:c>
      <x:c r="N18" s="109" t="n">
        <x:f>'Historical Inputs'!N33</x:f>
        <x:v>48594</x:v>
      </x:c>
      <x:c r="O18" s="109" t="n">
        <x:f>'Income Statement'!O8*'Assumptions'!O81</x:f>
        <x:v>51981.58800000001</x:v>
      </x:c>
      <x:c r="P18" s="109" t="n">
        <x:f>'Income Statement'!P8*'Assumptions'!P81</x:f>
        <x:v>55559.68030000001</x:v>
      </x:c>
      <x:c r="Q18" s="109" t="n">
        <x:f>'Income Statement'!Q8*'Assumptions'!Q81</x:f>
        <x:v>61070.67797184</x:v>
      </x:c>
      <x:c r="R18" s="109" t="n">
        <x:f>'Income Statement'!R8*'Assumptions'!R81</x:f>
        <x:v>66389.70296580001</x:v>
      </x:c>
      <x:c r="S18" s="109" t="n">
        <x:f>'Income Statement'!S8*'Assumptions'!S81</x:f>
        <x:v>71291.78660932627</x:v>
      </x:c>
      <x:c r="T18" s="103"/>
      <x:c r="U18" s="103"/>
    </x:row>
    <x:row r="19" ht="24" customHeight="1">
      <x:c r="A19" s="103"/>
      <x:c r="B19" s="103"/>
      <x:c r="C19" s="103" t="str">
        <x:v>Accrued compensation</x:v>
      </x:c>
      <x:c r="D19" s="103"/>
      <x:c r="E19" s="109" t="n">
        <x:f>'Historical Inputs'!E44</x:f>
        <x:v>5819</x:v>
      </x:c>
      <x:c r="F19" s="109" t="n">
        <x:f>'Historical Inputs'!F44</x:f>
        <x:v>6103</x:v>
      </x:c>
      <x:c r="G19" s="109" t="n">
        <x:f>'Historical Inputs'!G44</x:f>
        <x:v>6830</x:v>
      </x:c>
      <x:c r="H19" s="109" t="n">
        <x:f>'Historical Inputs'!H44</x:f>
        <x:v>7874</x:v>
      </x:c>
      <x:c r="I19" s="109" t="n">
        <x:f>'Historical Inputs'!I44</x:f>
        <x:v>10057</x:v>
      </x:c>
      <x:c r="J19" s="109" t="n">
        <x:f>'Historical Inputs'!J44</x:f>
        <x:v>10661</x:v>
      </x:c>
      <x:c r="K19" s="109" t="n">
        <x:f>'Historical Inputs'!K44</x:f>
        <x:v>11009</x:v>
      </x:c>
      <x:c r="L19" s="109" t="n">
        <x:f>'Historical Inputs'!L44</x:f>
        <x:v>12564</x:v>
      </x:c>
      <x:c r="M19" s="109" t="n">
        <x:f>'Historical Inputs'!M44</x:f>
        <x:v>13709</x:v>
      </x:c>
      <x:c r="N19" s="109" t="n">
        <x:f>'Historical Inputs'!N44</x:f>
        <x:v>14945</x:v>
      </x:c>
      <x:c r="O19" s="109" t="n">
        <x:f>'Income Statement'!O8*'Assumptions'!O85</x:f>
        <x:v>17341.40446421307</x:v>
      </x:c>
      <x:c r="P19" s="109" t="n">
        <x:f>'Income Statement'!P8*'Assumptions'!P85</x:f>
        <x:v>20017.88631435124</x:v>
      </x:c>
      <x:c r="Q19" s="109" t="n">
        <x:f>'Income Statement'!Q8*'Assumptions'!Q85</x:f>
        <x:v>22920.283689006537</x:v>
      </x:c>
      <x:c r="R19" s="109" t="n">
        <x:f>'Income Statement'!R8*'Assumptions'!R85</x:f>
        <x:v>25999.8821016499</x:v>
      </x:c>
      <x:c r="S19" s="109" t="n">
        <x:f>'Income Statement'!S8*'Assumptions'!S85</x:f>
        <x:v>29188.73722378462</x:v>
      </x:c>
      <x:c r="T19" s="103"/>
      <x:c r="U19" s="103"/>
    </x:row>
    <x:row r="20" ht="24" customHeight="1">
      <x:c r="A20" s="103"/>
      <x:c r="B20" s="103"/>
      <x:c r="C20" s="103" t="str">
        <x:v>Current unearned revenue</x:v>
      </x:c>
      <x:c r="D20" s="103"/>
      <x:c r="E20" s="109" t="n">
        <x:f>'Historical Inputs'!E46</x:f>
        <x:v>24013</x:v>
      </x:c>
      <x:c r="F20" s="109" t="n">
        <x:f>'Historical Inputs'!F46</x:f>
        <x:v>28905</x:v>
      </x:c>
      <x:c r="G20" s="109" t="n">
        <x:f>'Historical Inputs'!G46</x:f>
        <x:v>32676</x:v>
      </x:c>
      <x:c r="H20" s="109" t="n">
        <x:f>'Historical Inputs'!H46</x:f>
        <x:v>36000</x:v>
      </x:c>
      <x:c r="I20" s="109" t="n">
        <x:f>'Historical Inputs'!I46</x:f>
        <x:v>41525</x:v>
      </x:c>
      <x:c r="J20" s="109" t="n">
        <x:f>'Historical Inputs'!J46</x:f>
        <x:v>45538</x:v>
      </x:c>
      <x:c r="K20" s="109" t="n">
        <x:f>'Historical Inputs'!K46</x:f>
        <x:v>50901</x:v>
      </x:c>
      <x:c r="L20" s="109" t="n">
        <x:f>'Historical Inputs'!L46</x:f>
        <x:v>57582</x:v>
      </x:c>
      <x:c r="M20" s="109" t="n">
        <x:f>'Historical Inputs'!M46</x:f>
        <x:v>64555</x:v>
      </x:c>
      <x:c r="N20" s="109" t="n">
        <x:f>'Historical Inputs'!N46</x:f>
        <x:v>72965</x:v>
      </x:c>
      <x:c r="O20" s="109" t="n">
        <x:f>'Income Statement'!O8*'Assumptions'!O89</x:f>
        <x:v>84664.80941661469</x:v>
      </x:c>
      <x:c r="P20" s="109" t="n">
        <x:f>'Income Statement'!P8*'Assumptions'!P89</x:f>
        <x:v>97732.0224106148</x:v>
      </x:c>
      <x:c r="Q20" s="109" t="n">
        <x:f>'Income Statement'!Q8*'Assumptions'!Q89</x:f>
        <x:v>111902.20805408912</x:v>
      </x:c>
      <x:c r="R20" s="109" t="n">
        <x:f>'Income Statement'!R8*'Assumptions'!R89</x:f>
        <x:v>126937.53078266208</x:v>
      </x:c>
      <x:c r="S20" s="109" t="n">
        <x:f>'Income Statement'!S8*'Assumptions'!S89</x:f>
        <x:v>142506.27042712911</x:v>
      </x:c>
      <x:c r="T20" s="103"/>
      <x:c r="U20" s="103"/>
    </x:row>
    <x:row r="21" ht="24" customHeight="1">
      <x:c r="A21" s="103"/>
      <x:c r="B21" s="103"/>
      <x:c r="C21" s="103" t="str">
        <x:v>Other current liabilities excluding leases</x:v>
      </x:c>
      <x:c r="D21" s="103"/>
      <x:c r="E21" s="109" t="str">
        <x:v>n.a.</x:v>
      </x:c>
      <x:c r="F21" s="109" t="str">
        <x:v>n.a.</x:v>
      </x:c>
      <x:c r="G21" s="109" t="str">
        <x:v>n.a.</x:v>
      </x:c>
      <x:c r="H21" s="109" t="str">
        <x:v>n.a.</x:v>
      </x:c>
      <x:c r="I21" s="109" t="str">
        <x:v>n.a.</x:v>
      </x:c>
      <x:c r="J21" s="109" t="str">
        <x:v>n.a.</x:v>
      </x:c>
      <x:c r="K21" s="109" t="str">
        <x:v>n.a.</x:v>
      </x:c>
      <x:c r="L21" s="109" t="str">
        <x:v>n.a.</x:v>
      </x:c>
      <x:c r="M21" s="109" t="str">
        <x:v>n.a.</x:v>
      </x:c>
      <x:c r="N21" s="109" t="n">
        <x:f>'Historical Inputs'!N47-'Filing Notes'!N28-'Filing Notes'!N29</x:f>
        <x:v>17055</x:v>
      </x:c>
      <x:c r="O21" s="109" t="n">
        <x:f>'Income Statement'!O8*'Assumptions'!O93</x:f>
        <x:v>19789.739253071522</x:v>
      </x:c>
      <x:c r="P21" s="109" t="n">
        <x:f>'Income Statement'!P8*'Assumptions'!P93</x:f>
        <x:v>22844.098433674164</x:v>
      </x:c>
      <x:c r="Q21" s="109" t="n">
        <x:f>'Income Statement'!Q8*'Assumptions'!Q93</x:f>
        <x:v>26156.268873603647</x:v>
      </x:c>
      <x:c r="R21" s="109" t="n">
        <x:f>'Income Statement'!R8*'Assumptions'!R93</x:f>
        <x:v>29670.658363575716</x:v>
      </x:c>
      <x:c r="S21" s="109" t="n">
        <x:f>'Income Statement'!S8*'Assumptions'!S93</x:f>
        <x:v>33309.729899742175</x:v>
      </x:c>
      <x:c r="T21" s="103"/>
      <x:c r="U21" s="103"/>
    </x:row>
    <x:row r="22" ht="24" customHeight="1">
      <x:c r="A22" s="103"/>
      <x:c r="B22" s="103"/>
      <x:c r="C22" s="103" t="str">
        <x:v>Current income tax liabilities</x:v>
      </x:c>
      <x:c r="D22" s="103"/>
      <x:c r="E22" s="109" t="n">
        <x:f>'Historical Inputs'!E45</x:f>
        <x:v>718</x:v>
      </x:c>
      <x:c r="F22" s="109" t="n">
        <x:f>'Historical Inputs'!F45</x:f>
        <x:v>2121</x:v>
      </x:c>
      <x:c r="G22" s="109" t="n">
        <x:f>'Historical Inputs'!G45</x:f>
        <x:v>5665</x:v>
      </x:c>
      <x:c r="H22" s="109" t="n">
        <x:f>'Historical Inputs'!H45</x:f>
        <x:v>2130</x:v>
      </x:c>
      <x:c r="I22" s="109" t="n">
        <x:f>'Historical Inputs'!I45</x:f>
        <x:v>2174</x:v>
      </x:c>
      <x:c r="J22" s="109" t="n">
        <x:f>'Historical Inputs'!J45</x:f>
        <x:v>4067</x:v>
      </x:c>
      <x:c r="K22" s="109" t="n">
        <x:f>'Historical Inputs'!K45</x:f>
        <x:v>4152</x:v>
      </x:c>
      <x:c r="L22" s="109" t="n">
        <x:f>'Historical Inputs'!L45</x:f>
        <x:v>5017</x:v>
      </x:c>
      <x:c r="M22" s="109" t="n">
        <x:f>'Historical Inputs'!M45</x:f>
        <x:v>7211</x:v>
      </x:c>
      <x:c r="N22" s="109" t="n">
        <x:f>'Historical Inputs'!N45</x:f>
        <x:v>2534</x:v>
      </x:c>
      <x:c r="O22" s="109" t="n">
        <x:f>'Balance Sheet'!N28</x:f>
        <x:v>2534</x:v>
      </x:c>
      <x:c r="P22" s="109" t="n">
        <x:f>'Balance Sheet'!O28</x:f>
        <x:v>2534</x:v>
      </x:c>
      <x:c r="Q22" s="109" t="n">
        <x:f>'Balance Sheet'!P28</x:f>
        <x:v>2534</x:v>
      </x:c>
      <x:c r="R22" s="109" t="n">
        <x:f>'Balance Sheet'!Q28</x:f>
        <x:v>2534</x:v>
      </x:c>
      <x:c r="S22" s="109" t="n">
        <x:f>'Balance Sheet'!R28</x:f>
        <x:v>2534</x:v>
      </x:c>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t="str">
        <x:v>Other long-term assets</x:v>
      </x:c>
      <x:c r="D24" s="103"/>
      <x:c r="E24" s="109" t="n">
        <x:f>'Historical Inputs'!E40</x:f>
        <x:v>6076</x:v>
      </x:c>
      <x:c r="F24" s="109" t="n">
        <x:f>'Historical Inputs'!F40</x:f>
        <x:v>7442</x:v>
      </x:c>
      <x:c r="G24" s="109" t="n">
        <x:f>'Historical Inputs'!G40</x:f>
        <x:v>14723</x:v>
      </x:c>
      <x:c r="H24" s="109" t="n">
        <x:f>'Historical Inputs'!H40</x:f>
        <x:v>13138</x:v>
      </x:c>
      <x:c r="I24" s="109" t="n">
        <x:f>'Historical Inputs'!I40</x:f>
        <x:v>15075</x:v>
      </x:c>
      <x:c r="J24" s="109" t="n">
        <x:f>'Historical Inputs'!J40</x:f>
        <x:v>21897</x:v>
      </x:c>
      <x:c r="K24" s="109" t="n">
        <x:f>'Historical Inputs'!K40</x:f>
        <x:v>30601</x:v>
      </x:c>
      <x:c r="L24" s="109" t="n">
        <x:f>'Historical Inputs'!L40</x:f>
        <x:v>36460</x:v>
      </x:c>
      <x:c r="M24" s="109" t="n">
        <x:f>'Historical Inputs'!M40</x:f>
        <x:v>40565</x:v>
      </x:c>
      <x:c r="N24" s="109" t="n">
        <x:f>'Historical Inputs'!N40</x:f>
        <x:v>38805</x:v>
      </x:c>
      <x:c r="O24" s="109" t="n">
        <x:f>'Income Statement'!O8*'Assumptions'!O97</x:f>
        <x:v>45027.31349841339</x:v>
      </x:c>
      <x:c r="P24" s="109" t="n">
        <x:f>'Income Statement'!P8*'Assumptions'!P97</x:f>
        <x:v>51976.85369209768</x:v>
      </x:c>
      <x:c r="Q24" s="109" t="n">
        <x:f>'Income Statement'!Q8*'Assumptions'!Q97</x:f>
        <x:v>59512.98819350275</x:v>
      </x:c>
      <x:c r="R24" s="109" t="n">
        <x:f>'Income Statement'!R8*'Assumptions'!R97</x:f>
        <x:v>67509.22883603374</x:v>
      </x:c>
      <x:c r="S24" s="109" t="n">
        <x:f>'Income Statement'!S8*'Assumptions'!S97</x:f>
        <x:v>75789.15677276428</x:v>
      </x:c>
      <x:c r="T24" s="103"/>
      <x:c r="U24" s="103"/>
    </x:row>
    <x:row r="25" ht="24" customHeight="1">
      <x:c r="A25" s="103"/>
      <x:c r="B25" s="103"/>
      <x:c r="C25" s="103" t="str">
        <x:v>Long-term income taxes</x:v>
      </x:c>
      <x:c r="D25" s="103"/>
      <x:c r="E25" s="109" t="n">
        <x:f>'Historical Inputs'!E50</x:f>
        <x:v>13485</x:v>
      </x:c>
      <x:c r="F25" s="109" t="n">
        <x:f>'Historical Inputs'!F50</x:f>
        <x:v>30265</x:v>
      </x:c>
      <x:c r="G25" s="109" t="n">
        <x:f>'Historical Inputs'!G50</x:f>
        <x:v>29612</x:v>
      </x:c>
      <x:c r="H25" s="109" t="n">
        <x:f>'Historical Inputs'!H50</x:f>
        <x:v>29432</x:v>
      </x:c>
      <x:c r="I25" s="109" t="n">
        <x:f>'Historical Inputs'!I50</x:f>
        <x:v>27190</x:v>
      </x:c>
      <x:c r="J25" s="109" t="n">
        <x:f>'Historical Inputs'!J50</x:f>
        <x:v>26069</x:v>
      </x:c>
      <x:c r="K25" s="109" t="n">
        <x:f>'Historical Inputs'!K50</x:f>
        <x:v>25560</x:v>
      </x:c>
      <x:c r="L25" s="109" t="n">
        <x:f>'Historical Inputs'!L50</x:f>
        <x:v>27931</x:v>
      </x:c>
      <x:c r="M25" s="109" t="n">
        <x:f>'Historical Inputs'!M50</x:f>
        <x:v>25986</x:v>
      </x:c>
      <x:c r="N25" s="109" t="n">
        <x:f>'Historical Inputs'!N50</x:f>
        <x:v>28647</x:v>
      </x:c>
      <x:c r="O25" s="109" t="n">
        <x:f>'Income Statement'!O8*'Assumptions'!O101</x:f>
        <x:v>33240.49606465786</x:v>
      </x:c>
      <x:c r="P25" s="109" t="n">
        <x:f>'Income Statement'!P8*'Assumptions'!P101</x:f>
        <x:v>38370.852408646366</x:v>
      </x:c>
      <x:c r="Q25" s="109" t="n">
        <x:f>'Income Statement'!Q8*'Assumptions'!Q101</x:f>
        <x:v>43934.250039409184</x:v>
      </x:c>
      <x:c r="R25" s="109" t="n">
        <x:f>'Income Statement'!R8*'Assumptions'!R101</x:f>
        <x:v>49837.31164710369</x:v>
      </x:c>
      <x:c r="S25" s="109" t="n">
        <x:f>'Income Statement'!S8*'Assumptions'!S101</x:f>
        <x:v>55949.799615239746</x:v>
      </x:c>
      <x:c r="T25" s="103"/>
      <x:c r="U25" s="103"/>
    </x:row>
    <x:row r="26" ht="24" customHeight="1">
      <x:c r="A26" s="103"/>
      <x:c r="B26" s="103"/>
      <x:c r="C26" s="103" t="str">
        <x:v>Long-term unearned revenue</x:v>
      </x:c>
      <x:c r="D26" s="103"/>
      <x:c r="E26" s="109" t="n">
        <x:f>'Historical Inputs'!E51</x:f>
        <x:v>2643</x:v>
      </x:c>
      <x:c r="F26" s="109" t="n">
        <x:f>'Historical Inputs'!F51</x:f>
        <x:v>3815</x:v>
      </x:c>
      <x:c r="G26" s="109" t="n">
        <x:f>'Historical Inputs'!G51</x:f>
        <x:v>4530</x:v>
      </x:c>
      <x:c r="H26" s="109" t="n">
        <x:f>'Historical Inputs'!H51</x:f>
        <x:v>3180</x:v>
      </x:c>
      <x:c r="I26" s="109" t="n">
        <x:f>'Historical Inputs'!I51</x:f>
        <x:v>2616</x:v>
      </x:c>
      <x:c r="J26" s="109" t="n">
        <x:f>'Historical Inputs'!J51</x:f>
        <x:v>2870</x:v>
      </x:c>
      <x:c r="K26" s="109" t="n">
        <x:f>'Historical Inputs'!K51</x:f>
        <x:v>2912</x:v>
      </x:c>
      <x:c r="L26" s="109" t="n">
        <x:f>'Historical Inputs'!L51</x:f>
        <x:v>2602</x:v>
      </x:c>
      <x:c r="M26" s="109" t="n">
        <x:f>'Historical Inputs'!M51</x:f>
        <x:v>2710</x:v>
      </x:c>
      <x:c r="N26" s="109" t="n">
        <x:f>'Historical Inputs'!N51</x:f>
        <x:v>2747</x:v>
      </x:c>
      <x:c r="O26" s="109" t="n">
        <x:f>'Income Statement'!O8*'Assumptions'!O105</x:f>
        <x:v>3187.476618480649</x:v>
      </x:c>
      <x:c r="P26" s="109" t="n">
        <x:f>'Income Statement'!P8*'Assumptions'!P105</x:f>
        <x:v>3679.433503213306</x:v>
      </x:c>
      <x:c r="Q26" s="109" t="n">
        <x:f>'Income Statement'!Q8*'Assumptions'!Q105</x:f>
        <x:v>4212.915309046568</x:v>
      </x:c>
      <x:c r="R26" s="109" t="n">
        <x:f>'Income Statement'!R8*'Assumptions'!R105</x:f>
        <x:v>4778.967958061711</x:v>
      </x:c>
      <x:c r="S26" s="109" t="n">
        <x:f>'Income Statement'!S8*'Assumptions'!S105</x:f>
        <x:v>5365.102787135253</x:v>
      </x:c>
      <x:c r="T26" s="103"/>
      <x:c r="U26" s="103"/>
    </x:row>
    <x:row r="27" ht="24" customHeight="1">
      <x:c r="A27" s="103"/>
      <x:c r="B27" s="103"/>
      <x:c r="C27" s="103" t="str">
        <x:v>Deferred tax liabilities</x:v>
      </x:c>
      <x:c r="D27" s="103"/>
      <x:c r="E27" s="109" t="n">
        <x:f>'Historical Inputs'!E52</x:f>
        <x:v>5734</x:v>
      </x:c>
      <x:c r="F27" s="109" t="n">
        <x:f>'Historical Inputs'!F52</x:f>
        <x:v>541</x:v>
      </x:c>
      <x:c r="G27" s="109" t="n">
        <x:f>'Historical Inputs'!G52</x:f>
        <x:v>233</x:v>
      </x:c>
      <x:c r="H27" s="109" t="n">
        <x:f>'Historical Inputs'!H52</x:f>
        <x:v>204</x:v>
      </x:c>
      <x:c r="I27" s="109" t="n">
        <x:f>'Historical Inputs'!I52</x:f>
        <x:v>198</x:v>
      </x:c>
      <x:c r="J27" s="109" t="n">
        <x:f>'Historical Inputs'!J52</x:f>
        <x:v>230</x:v>
      </x:c>
      <x:c r="K27" s="109" t="n">
        <x:f>'Historical Inputs'!K52</x:f>
        <x:v>433</x:v>
      </x:c>
      <x:c r="L27" s="109" t="n">
        <x:f>'Historical Inputs'!L52</x:f>
        <x:v>2618</x:v>
      </x:c>
      <x:c r="M27" s="109" t="n">
        <x:f>'Historical Inputs'!M52</x:f>
        <x:v>2835</x:v>
      </x:c>
      <x:c r="N27" s="109" t="n">
        <x:f>'Historical Inputs'!N52</x:f>
        <x:v>3054</x:v>
      </x:c>
      <x:c r="O27" s="109" t="n">
        <x:f>'Income Statement'!O8*'Assumptions'!O113</x:f>
        <x:v>3543.703528518348</x:v>
      </x:c>
      <x:c r="P27" s="109" t="n">
        <x:f>'Income Statement'!P8*'Assumptions'!P113</x:f>
        <x:v>4090.6406693896743</x:v>
      </x:c>
      <x:c r="Q27" s="109" t="n">
        <x:f>'Income Statement'!Q8*'Assumptions'!Q113</x:f>
        <x:v>4683.743485194109</x:v>
      </x:c>
      <x:c r="R27" s="109" t="n">
        <x:f>'Income Statement'!R8*'Assumptions'!R113</x:f>
        <x:v>5313.05720564997</x:v>
      </x:c>
      <x:c r="S27" s="109" t="n">
        <x:f>'Income Statement'!S8*'Assumptions'!S113</x:f>
        <x:v>5964.697456101588</x:v>
      </x:c>
      <x:c r="T27" s="103"/>
      <x:c r="U27" s="103"/>
    </x:row>
    <x:row r="28" ht="24" customHeight="1">
      <x:c r="A28" s="103"/>
      <x:c r="B28" s="103"/>
      <x:c r="C28" s="180" t="str">
        <x:v>Other long-term liabilities excluding finance leases</x:v>
      </x:c>
      <x:c r="D28" s="103"/>
      <x:c r="E28" s="109" t="str">
        <x:v>n.a.</x:v>
      </x:c>
      <x:c r="F28" s="109" t="str">
        <x:v>n.a.</x:v>
      </x:c>
      <x:c r="G28" s="109" t="str">
        <x:v>n.a.</x:v>
      </x:c>
      <x:c r="H28" s="109" t="str">
        <x:v>n.a.</x:v>
      </x:c>
      <x:c r="I28" s="109" t="str">
        <x:v>n.a.</x:v>
      </x:c>
      <x:c r="J28" s="109" t="str">
        <x:v>n.a.</x:v>
      </x:c>
      <x:c r="K28" s="109" t="str">
        <x:v>n.a.</x:v>
      </x:c>
      <x:c r="L28" s="109" t="str">
        <x:v>n.a.</x:v>
      </x:c>
      <x:c r="M28" s="109" t="str">
        <x:v>n.a.</x:v>
      </x:c>
      <x:c r="N28" s="109" t="n">
        <x:f>'Historical Inputs'!N54-'Filing Notes'!N30</x:f>
        <x:v>2813</x:v>
      </x:c>
      <x:c r="O28" s="109" t="n">
        <x:f>'Income Statement'!O8*'Assumptions'!O109</x:f>
        <x:v>3264.0596023975486</x:v>
      </x:c>
      <x:c r="P28" s="109" t="n">
        <x:f>'Income Statement'!P8*'Assumptions'!P109</x:f>
        <x:v>3767.836346756108</x:v>
      </x:c>
      <x:c r="Q28" s="109" t="n">
        <x:f>'Income Statement'!Q8*'Assumptions'!Q109</x:f>
        <x:v>4314.135698706951</x:v>
      </x:c>
      <x:c r="R28" s="109" t="n">
        <x:f>'Income Statement'!R8*'Assumptions'!R109</x:f>
        <x:v>4893.78844777124</x:v>
      </x:c>
      <x:c r="S28" s="109" t="n">
        <x:f>'Income Statement'!S8*'Assumptions'!S109</x:f>
        <x:v>5494.005875577527</x:v>
      </x:c>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t="str">
        <x:v>Receivables cash effect</x:v>
      </x:c>
      <x:c r="D31" s="103"/>
      <x:c r="E31" s="109" t="n">
        <x:f>'Historical Inputs'!E71</x:f>
        <x:v>-1216</x:v>
      </x:c>
      <x:c r="F31" s="109" t="n">
        <x:f>'Historical Inputs'!F71</x:f>
        <x:v>-3862</x:v>
      </x:c>
      <x:c r="G31" s="109" t="n">
        <x:f>'Historical Inputs'!G71</x:f>
        <x:v>-2812</x:v>
      </x:c>
      <x:c r="H31" s="109" t="n">
        <x:f>'Historical Inputs'!H71</x:f>
        <x:v>-2577</x:v>
      </x:c>
      <x:c r="I31" s="109" t="n">
        <x:f>'Historical Inputs'!I71</x:f>
        <x:v>-6481</x:v>
      </x:c>
      <x:c r="J31" s="109" t="n">
        <x:f>'Historical Inputs'!J71</x:f>
        <x:v>-6834</x:v>
      </x:c>
      <x:c r="K31" s="109" t="n">
        <x:f>'Historical Inputs'!K71</x:f>
        <x:v>-4087</x:v>
      </x:c>
      <x:c r="L31" s="109" t="n">
        <x:f>'Historical Inputs'!L71</x:f>
        <x:v>-7191</x:v>
      </x:c>
      <x:c r="M31" s="109" t="n">
        <x:f>'Historical Inputs'!M71</x:f>
        <x:v>-10581</x:v>
      </x:c>
      <x:c r="N31" s="109" t="n">
        <x:f>'Historical Inputs'!N71</x:f>
        <x:v>-12737</x:v>
      </x:c>
      <x:c r="O31" s="109" t="n">
        <x:f>'Balance Sheet'!N11-O8</x:f>
        <x:v>-12968.324352472147</x:v>
      </x:c>
      <x:c r="P31" s="109" t="n">
        <x:f>'Balance Sheet'!O11-P8</x:f>
        <x:v>-14483.984350068553</x:v>
      </x:c>
      <x:c r="Q31" s="109" t="n">
        <x:f>'Balance Sheet'!P11-Q8</x:f>
        <x:v>-15706.543330386223</x:v>
      </x:c>
      <x:c r="R31" s="109" t="n">
        <x:f>'Balance Sheet'!Q11-R8</x:f>
        <x:v>-16665.48017537268</x:v>
      </x:c>
      <x:c r="S31" s="109" t="n">
        <x:f>'Balance Sheet'!R11-S8</x:f>
        <x:v>-17256.731138023926</x:v>
      </x:c>
      <x:c r="T31" s="103"/>
      <x:c r="U31" s="103"/>
    </x:row>
    <x:row r="32" ht="24" customHeight="1">
      <x:c r="A32" s="103"/>
      <x:c r="B32" s="103"/>
      <x:c r="C32" s="103" t="str">
        <x:v>Inventories cash effect</x:v>
      </x:c>
      <x:c r="D32" s="103"/>
      <x:c r="E32" s="109" t="n">
        <x:f>'Historical Inputs'!E72</x:f>
        <x:v>50</x:v>
      </x:c>
      <x:c r="F32" s="109" t="n">
        <x:f>'Historical Inputs'!F72</x:f>
        <x:v>-465</x:v>
      </x:c>
      <x:c r="G32" s="109" t="n">
        <x:f>'Historical Inputs'!G72</x:f>
        <x:v>597</x:v>
      </x:c>
      <x:c r="H32" s="109" t="n">
        <x:f>'Historical Inputs'!H72</x:f>
        <x:v>168</x:v>
      </x:c>
      <x:c r="I32" s="109" t="n">
        <x:f>'Historical Inputs'!I72</x:f>
        <x:v>-737</x:v>
      </x:c>
      <x:c r="J32" s="109" t="n">
        <x:f>'Historical Inputs'!J72</x:f>
        <x:v>-1123</x:v>
      </x:c>
      <x:c r="K32" s="109" t="n">
        <x:f>'Historical Inputs'!K72</x:f>
        <x:v>1242</x:v>
      </x:c>
      <x:c r="L32" s="109" t="n">
        <x:f>'Historical Inputs'!L72</x:f>
        <x:v>1284</x:v>
      </x:c>
      <x:c r="M32" s="109" t="n">
        <x:f>'Historical Inputs'!M72</x:f>
        <x:v>309</x:v>
      </x:c>
      <x:c r="N32" s="109" t="n">
        <x:f>'Historical Inputs'!N72</x:f>
        <x:v>-461</x:v>
      </x:c>
      <x:c r="O32" s="109" t="n">
        <x:f>'Balance Sheet'!N12-O10</x:f>
        <x:v>-270.0221308691657</x:v>
      </x:c>
      <x:c r="P32" s="109" t="n">
        <x:f>'Balance Sheet'!O12-P10</x:f>
        <x:v>-415.69696262424077</x:v>
      </x:c>
      <x:c r="Q32" s="109" t="n">
        <x:f>'Balance Sheet'!P12-Q10</x:f>
        <x:v>-442.24317326726396</x:v>
      </x:c>
      <x:c r="R32" s="109" t="n">
        <x:f>'Balance Sheet'!Q12-R10</x:f>
        <x:v>-451.31337072975566</x:v>
      </x:c>
      <x:c r="S32" s="109" t="n">
        <x:f>'Balance Sheet'!R12-S10</x:f>
        <x:v>-460.0125586770855</x:v>
      </x:c>
      <x:c r="T32" s="103"/>
      <x:c r="U32" s="103"/>
    </x:row>
    <x:row r="33" ht="24" customHeight="1">
      <x:c r="A33" s="103"/>
      <x:c r="B33" s="103"/>
      <x:c r="C33" s="103" t="str">
        <x:v>Other current assets cash effect</x:v>
      </x:c>
      <x:c r="D33" s="103"/>
      <x:c r="E33" s="109" t="n">
        <x:f>'Historical Inputs'!E73</x:f>
        <x:v>1028</x:v>
      </x:c>
      <x:c r="F33" s="109" t="n">
        <x:f>'Historical Inputs'!F73</x:f>
        <x:v>-952</x:v>
      </x:c>
      <x:c r="G33" s="109" t="n">
        <x:f>'Historical Inputs'!G73</x:f>
        <x:v>-1718</x:v>
      </x:c>
      <x:c r="H33" s="109" t="n">
        <x:f>'Historical Inputs'!H73</x:f>
        <x:v>-2330</x:v>
      </x:c>
      <x:c r="I33" s="109" t="n">
        <x:f>'Historical Inputs'!I73</x:f>
        <x:v>-932</x:v>
      </x:c>
      <x:c r="J33" s="109" t="n">
        <x:f>'Historical Inputs'!J73</x:f>
        <x:v>-709</x:v>
      </x:c>
      <x:c r="K33" s="109" t="n">
        <x:f>'Historical Inputs'!K73</x:f>
        <x:v>-1991</x:v>
      </x:c>
      <x:c r="L33" s="109" t="n">
        <x:f>'Historical Inputs'!L73</x:f>
        <x:v>-1648</x:v>
      </x:c>
      <x:c r="M33" s="109" t="n">
        <x:f>'Historical Inputs'!M73</x:f>
        <x:v>-3044</x:v>
      </x:c>
      <x:c r="N33" s="109" t="n">
        <x:f>'Historical Inputs'!N73</x:f>
        <x:v>-2627</x:v>
      </x:c>
      <x:c r="O33" s="109" t="n">
        <x:f>'Balance Sheet'!N13-O18</x:f>
        <x:v>-3387.5880000000107</x:v>
      </x:c>
      <x:c r="P33" s="109" t="n">
        <x:f>'Balance Sheet'!O13-P18</x:f>
        <x:v>-3578.0922999999966</x:v>
      </x:c>
      <x:c r="Q33" s="109" t="n">
        <x:f>'Balance Sheet'!P13-Q18</x:f>
        <x:v>-5510.997671839992</x:v>
      </x:c>
      <x:c r="R33" s="109" t="n">
        <x:f>'Balance Sheet'!Q13-R18</x:f>
        <x:v>-5319.024993960011</x:v>
      </x:c>
      <x:c r="S33" s="109" t="n">
        <x:f>'Balance Sheet'!R13-S18</x:f>
        <x:v>-4902.083643526261</x:v>
      </x:c>
      <x:c r="T33" s="103"/>
      <x:c r="U33" s="103"/>
    </x:row>
    <x:row r="34" ht="24" customHeight="1">
      <x:c r="A34" s="103"/>
      <x:c r="B34" s="103"/>
      <x:c r="C34" s="103" t="str">
        <x:v>Other long-term assets cash effect</x:v>
      </x:c>
      <x:c r="D34" s="103"/>
      <x:c r="E34" s="109" t="n">
        <x:f>'Historical Inputs'!E74</x:f>
        <x:v>-917</x:v>
      </x:c>
      <x:c r="F34" s="109" t="n">
        <x:f>'Historical Inputs'!F74</x:f>
        <x:v>-285</x:v>
      </x:c>
      <x:c r="G34" s="109" t="n">
        <x:f>'Historical Inputs'!G74</x:f>
        <x:v>-1834</x:v>
      </x:c>
      <x:c r="H34" s="109" t="n">
        <x:f>'Historical Inputs'!H74</x:f>
        <x:v>-1037</x:v>
      </x:c>
      <x:c r="I34" s="109" t="n">
        <x:f>'Historical Inputs'!I74</x:f>
        <x:v>-3459</x:v>
      </x:c>
      <x:c r="J34" s="109" t="n">
        <x:f>'Historical Inputs'!J74</x:f>
        <x:v>-2805</x:v>
      </x:c>
      <x:c r="K34" s="109" t="n">
        <x:f>'Historical Inputs'!K74</x:f>
        <x:v>-2833</x:v>
      </x:c>
      <x:c r="L34" s="109" t="n">
        <x:f>'Historical Inputs'!L74</x:f>
        <x:v>-6817</x:v>
      </x:c>
      <x:c r="M34" s="109" t="n">
        <x:f>'Historical Inputs'!M74</x:f>
        <x:v>-2950</x:v>
      </x:c>
      <x:c r="N34" s="109" t="n">
        <x:f>'Historical Inputs'!N74</x:f>
        <x:v>-3964</x:v>
      </x:c>
      <x:c r="O34" s="109" t="n">
        <x:f>'Balance Sheet'!N21-O24</x:f>
        <x:v>-6222.313498413387</x:v>
      </x:c>
      <x:c r="P34" s="109" t="n">
        <x:f>'Balance Sheet'!O21-P24</x:f>
        <x:v>-6949.54019368429</x:v>
      </x:c>
      <x:c r="Q34" s="109" t="n">
        <x:f>'Balance Sheet'!P21-Q24</x:f>
        <x:v>-7536.134501405075</x:v>
      </x:c>
      <x:c r="R34" s="109" t="n">
        <x:f>'Balance Sheet'!Q21-R24</x:f>
        <x:v>-7996.240642530989</x:v>
      </x:c>
      <x:c r="S34" s="109" t="n">
        <x:f>'Balance Sheet'!R21-S24</x:f>
        <x:v>-8279.927936730543</x:v>
      </x:c>
      <x:c r="T34" s="103"/>
      <x:c r="U34" s="103"/>
    </x:row>
    <x:row r="35" ht="24" customHeight="1">
      <x:c r="A35" s="103"/>
      <x:c r="B35" s="103"/>
      <x:c r="C35" s="103" t="str">
        <x:v>Operating payables cash effect</x:v>
      </x:c>
      <x:c r="D35" s="103"/>
      <x:c r="E35" s="109" t="n">
        <x:f>'Historical Inputs'!E75</x:f>
        <x:v>81</x:v>
      </x:c>
      <x:c r="F35" s="109" t="n">
        <x:f>'Historical Inputs'!F75</x:f>
        <x:v>1148</x:v>
      </x:c>
      <x:c r="G35" s="109" t="n">
        <x:f>'Historical Inputs'!G75</x:f>
        <x:v>232</x:v>
      </x:c>
      <x:c r="H35" s="109" t="n">
        <x:f>'Historical Inputs'!H75</x:f>
        <x:v>3018</x:v>
      </x:c>
      <x:c r="I35" s="109" t="n">
        <x:f>'Historical Inputs'!I75</x:f>
        <x:v>2798</x:v>
      </x:c>
      <x:c r="J35" s="109" t="n">
        <x:f>'Historical Inputs'!J75</x:f>
        <x:v>2943</x:v>
      </x:c>
      <x:c r="K35" s="109" t="n">
        <x:f>'Historical Inputs'!K75</x:f>
        <x:v>-2721</x:v>
      </x:c>
      <x:c r="L35" s="109" t="n">
        <x:f>'Historical Inputs'!L75</x:f>
        <x:v>3545</x:v>
      </x:c>
      <x:c r="M35" s="109" t="n">
        <x:f>'Historical Inputs'!M75</x:f>
        <x:v>569</x:v>
      </x:c>
      <x:c r="N35" s="109" t="n">
        <x:f>'Historical Inputs'!N75</x:f>
        <x:v>5268</x:v>
      </x:c>
      <x:c r="O35" s="109" t="n">
        <x:f>O13-N13</x:f>
        <x:v>3037.7006504937817</x:v>
      </x:c>
      <x:c r="P35" s="109" t="n">
        <x:f>P13-O13</x:f>
        <x:v>4676.516438512932</x:v>
      </x:c>
      <x:c r="Q35" s="109" t="n">
        <x:f>Q13-P13</x:f>
        <x:v>4975.156557672388</x:v>
      </x:c>
      <x:c r="R35" s="109" t="n">
        <x:f>R13-Q13</x:f>
        <x:v>5077.194655969099</x:v>
      </x:c>
      <x:c r="S35" s="109" t="n">
        <x:f>S13-R13</x:f>
        <x:v>5175.0589636142395</x:v>
      </x:c>
      <x:c r="T35" s="103"/>
      <x:c r="U35" s="103"/>
    </x:row>
    <x:row r="36" ht="24" customHeight="1">
      <x:c r="A36" s="103"/>
      <x:c r="B36" s="103"/>
      <x:c r="C36" s="103" t="str">
        <x:v>Unearned revenue cash effect</x:v>
      </x:c>
      <x:c r="D36" s="103"/>
      <x:c r="E36" s="109" t="n">
        <x:f>'Historical Inputs'!E76</x:f>
        <x:v>3820</x:v>
      </x:c>
      <x:c r="F36" s="109" t="n">
        <x:f>'Historical Inputs'!F76</x:f>
        <x:v>5922</x:v>
      </x:c>
      <x:c r="G36" s="109" t="n">
        <x:f>'Historical Inputs'!G76</x:f>
        <x:v>4462</x:v>
      </x:c>
      <x:c r="H36" s="109" t="n">
        <x:f>'Historical Inputs'!H76</x:f>
        <x:v>2212</x:v>
      </x:c>
      <x:c r="I36" s="109" t="n">
        <x:f>'Historical Inputs'!I76</x:f>
        <x:v>4633</x:v>
      </x:c>
      <x:c r="J36" s="109" t="n">
        <x:f>'Historical Inputs'!J76</x:f>
        <x:v>5109</x:v>
      </x:c>
      <x:c r="K36" s="109" t="n">
        <x:f>'Historical Inputs'!K76</x:f>
        <x:v>5535</x:v>
      </x:c>
      <x:c r="L36" s="109" t="n">
        <x:f>'Historical Inputs'!L76</x:f>
        <x:v>5348</x:v>
      </x:c>
      <x:c r="M36" s="109" t="n">
        <x:f>'Historical Inputs'!M76</x:f>
        <x:v>5438</x:v>
      </x:c>
      <x:c r="N36" s="109" t="n">
        <x:f>'Historical Inputs'!N76</x:f>
        <x:v>9361</x:v>
      </x:c>
      <x:c r="O36" s="109" t="n">
        <x:f>O20+O26-N20-N26</x:f>
        <x:v>12140.286035095342</x:v>
      </x:c>
      <x:c r="P36" s="109" t="n">
        <x:f>P20+P26-O20-O26</x:f>
        <x:v>13559.169878732764</x:v>
      </x:c>
      <x:c r="Q36" s="109" t="n">
        <x:f>Q20+Q26-P20-P26</x:f>
        <x:v>14703.667449307588</x:v>
      </x:c>
      <x:c r="R36" s="109" t="n">
        <x:f>R20+R26-Q20-Q26</x:f>
        <x:v>15601.375377588107</x:v>
      </x:c>
      <x:c r="S36" s="109" t="n">
        <x:f>S20+S26-R20-R26</x:f>
        <x:v>16154.874473540574</x:v>
      </x:c>
      <x:c r="T36" s="103"/>
      <x:c r="U36" s="103"/>
    </x:row>
    <x:row r="37" ht="24" customHeight="1">
      <x:c r="A37" s="103"/>
      <x:c r="B37" s="103"/>
      <x:c r="C37" s="103" t="str">
        <x:v>Income tax liabilities cash effect</x:v>
      </x:c>
      <x:c r="D37" s="103"/>
      <x:c r="E37" s="109" t="n">
        <x:f>'Historical Inputs'!E77</x:f>
        <x:v>1792</x:v>
      </x:c>
      <x:c r="F37" s="109" t="n">
        <x:f>'Historical Inputs'!F77</x:f>
        <x:v>18183</x:v>
      </x:c>
      <x:c r="G37" s="109" t="n">
        <x:f>'Historical Inputs'!G77</x:f>
        <x:v>2929</x:v>
      </x:c>
      <x:c r="H37" s="109" t="n">
        <x:f>'Historical Inputs'!H77</x:f>
        <x:v>-3631</x:v>
      </x:c>
      <x:c r="I37" s="109" t="n">
        <x:f>'Historical Inputs'!I77</x:f>
        <x:v>-2309</x:v>
      </x:c>
      <x:c r="J37" s="109" t="n">
        <x:f>'Historical Inputs'!J77</x:f>
        <x:v>696</x:v>
      </x:c>
      <x:c r="K37" s="109" t="n">
        <x:f>'Historical Inputs'!K77</x:f>
        <x:v>-358</x:v>
      </x:c>
      <x:c r="L37" s="109" t="n">
        <x:f>'Historical Inputs'!L77</x:f>
        <x:v>1687</x:v>
      </x:c>
      <x:c r="M37" s="109" t="n">
        <x:f>'Historical Inputs'!M77</x:f>
        <x:v>-38</x:v>
      </x:c>
      <x:c r="N37" s="109" t="n">
        <x:f>'Historical Inputs'!N77</x:f>
        <x:v>-1875</x:v>
      </x:c>
      <x:c r="O37" s="109" t="n">
        <x:f>O22+O25-N22-N25</x:f>
        <x:v>4593.496064657862</x:v>
      </x:c>
      <x:c r="P37" s="109" t="n">
        <x:f>P22+P25-O22-O25</x:f>
        <x:v>5130.356343988504</x:v>
      </x:c>
      <x:c r="Q37" s="109" t="n">
        <x:f>Q22+Q25-P22-P25</x:f>
        <x:v>5563.397630762818</x:v>
      </x:c>
      <x:c r="R37" s="109" t="n">
        <x:f>R22+R25-Q22-Q25</x:f>
        <x:v>5903.061607694508</x:v>
      </x:c>
      <x:c r="S37" s="109" t="n">
        <x:f>S22+S25-R22-R25</x:f>
        <x:v>6112.487968136054</x:v>
      </x:c>
      <x:c r="T37" s="103"/>
      <x:c r="U37" s="103"/>
    </x:row>
    <x:row r="38" ht="24" customHeight="1">
      <x:c r="A38" s="103"/>
      <x:c r="B38" s="103"/>
      <x:c r="C38" s="180" t="str">
        <x:v>Compensation and other current liabilities cash effect</x:v>
      </x:c>
      <x:c r="D38" s="103"/>
      <x:c r="E38" s="109" t="n">
        <x:f>'Historical Inputs'!E78</x:f>
        <x:v>356</x:v>
      </x:c>
      <x:c r="F38" s="109" t="n">
        <x:f>'Historical Inputs'!F78</x:f>
        <x:v>798</x:v>
      </x:c>
      <x:c r="G38" s="109" t="n">
        <x:f>'Historical Inputs'!G78</x:f>
        <x:v>1419</x:v>
      </x:c>
      <x:c r="H38" s="109" t="n">
        <x:f>'Historical Inputs'!H78</x:f>
        <x:v>1346</x:v>
      </x:c>
      <x:c r="I38" s="109" t="n">
        <x:f>'Historical Inputs'!I78</x:f>
        <x:v>4149</x:v>
      </x:c>
      <x:c r="J38" s="109" t="n">
        <x:f>'Historical Inputs'!J78</x:f>
        <x:v>2344</x:v>
      </x:c>
      <x:c r="K38" s="109" t="n">
        <x:f>'Historical Inputs'!K78</x:f>
        <x:v>2272</x:v>
      </x:c>
      <x:c r="L38" s="109" t="n">
        <x:f>'Historical Inputs'!L78</x:f>
        <x:v>4867</x:v>
      </x:c>
      <x:c r="M38" s="109" t="n">
        <x:f>'Historical Inputs'!M78</x:f>
        <x:v>5922</x:v>
      </x:c>
      <x:c r="N38" s="109" t="n">
        <x:f>'Historical Inputs'!N78</x:f>
        <x:v>6847</x:v>
      </x:c>
      <x:c r="O38" s="109" t="n">
        <x:f>O19-N19+O21-N21</x:f>
        <x:v>5131.143717284591</x:v>
      </x:c>
      <x:c r="P38" s="109" t="n">
        <x:f>P19-O19+P21-O21</x:f>
        <x:v>5730.841030740812</x:v>
      </x:c>
      <x:c r="Q38" s="109" t="n">
        <x:f>Q19-P19+Q21-P21</x:f>
        <x:v>6214.567814584781</x:v>
      </x:c>
      <x:c r="R38" s="109" t="n">
        <x:f>R19-Q19+R21-Q21</x:f>
        <x:v>6593.98790261543</x:v>
      </x:c>
      <x:c r="S38" s="109" t="n">
        <x:f>S19-R19+S21-R21</x:f>
        <x:v>6827.926658301181</x:v>
      </x:c>
      <x:c r="T38" s="103"/>
      <x:c r="U38" s="103"/>
    </x:row>
    <x:row r="39" ht="24" customHeight="1">
      <x:c r="A39" s="103"/>
      <x:c r="B39" s="103"/>
      <x:c r="C39" s="103" t="str">
        <x:v>Other long-term liabilities cash effect</x:v>
      </x:c>
      <x:c r="D39" s="103"/>
      <x:c r="E39" s="109" t="n">
        <x:f>'Historical Inputs'!E79</x:f>
        <x:v>-118</x:v>
      </x:c>
      <x:c r="F39" s="109" t="n">
        <x:f>'Historical Inputs'!F79</x:f>
        <x:v>-20</x:v>
      </x:c>
      <x:c r="G39" s="109" t="n">
        <x:f>'Historical Inputs'!G79</x:f>
        <x:v>591</x:v>
      </x:c>
      <x:c r="H39" s="109" t="n">
        <x:f>'Historical Inputs'!H79</x:f>
        <x:v>1348</x:v>
      </x:c>
      <x:c r="I39" s="109" t="n">
        <x:f>'Historical Inputs'!I79</x:f>
        <x:v>1402</x:v>
      </x:c>
      <x:c r="J39" s="109" t="n">
        <x:f>'Historical Inputs'!J79</x:f>
        <x:v>825</x:v>
      </x:c>
      <x:c r="K39" s="109" t="n">
        <x:f>'Historical Inputs'!K79</x:f>
        <x:v>553</x:v>
      </x:c>
      <x:c r="L39" s="109" t="n">
        <x:f>'Historical Inputs'!L79</x:f>
        <x:v>749</x:v>
      </x:c>
      <x:c r="M39" s="109" t="n">
        <x:f>'Historical Inputs'!M79</x:f>
        <x:v>-975</x:v>
      </x:c>
      <x:c r="N39" s="109" t="n">
        <x:f>'Historical Inputs'!N79</x:f>
        <x:v>-4707</x:v>
      </x:c>
      <x:c r="O39" s="109" t="n">
        <x:f>O28-N28</x:f>
        <x:v>451.0596023975486</x:v>
      </x:c>
      <x:c r="P39" s="109" t="n">
        <x:f>P28-O28</x:f>
        <x:v>503.7767443585594</x:v>
      </x:c>
      <x:c r="Q39" s="109" t="n">
        <x:f>Q28-P28</x:f>
        <x:v>546.2993519508432</x:v>
      </x:c>
      <x:c r="R39" s="109" t="n">
        <x:f>R28-Q28</x:f>
        <x:v>579.6527490642884</x:v>
      </x:c>
      <x:c r="S39" s="109" t="n">
        <x:f>S28-R28</x:f>
        <x:v>600.2174278062876</x:v>
      </x:c>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4" t="str">
        <x:v>Selected-case observations</x:v>
      </x:c>
      <x:c r="D57" s="104"/>
      <x:c r="E57" s="104"/>
      <x:c r="F57" s="104"/>
      <x:c r="G57" s="104"/>
      <x:c r="H57" s="104"/>
      <x:c r="I57" s="104"/>
      <x:c r="J57" s="104"/>
      <x:c r="K57" s="104"/>
      <x:c r="L57" s="104"/>
      <x:c r="M57" s="104"/>
      <x:c r="N57" s="104"/>
      <x:c r="O57" s="104"/>
      <x:c r="P57" s="104"/>
      <x:c r="Q57" s="104"/>
      <x:c r="R57" s="104"/>
      <x:c r="S57" s="104"/>
      <x:c r="T57" s="103"/>
      <x:c r="U57" s="103"/>
    </x:row>
    <x:row r="58" ht="24" customHeight="1">
      <x:c r="A58" s="103"/>
      <x:c r="B58" s="103"/>
      <x:c r="C58" s="103" t="str">
        <x:f>"FY2031 receivable days: "&amp;FIXED(S9,1,TRUE)&amp;"; inventory days: "&amp;FIXED(S11,1,TRUE)&amp;"; operating payable days: "&amp;FIXED(S16,1,TRUE)&amp;"."</x:f>
        <x:v>FY2031 receivable days: 89.0; inventory days: 4.8; operating payable days: 53.9.</x:v>
      </x:c>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t="str">
        <x:f>"FY2031 accounts payable: "&amp;FIXED(S15/1000,1,TRUE)&amp;"bn, including "&amp;FIXED(S14/1000,1,TRUE)&amp;"bn of capital payables."</x:f>
        <x:v>FY2031 accounts payable: 54.2bn, including 15.6bn of capital payables.</x:v>
      </x:c>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t="str">
        <x:f>"FY2031 receivables cash effect: "&amp;FIXED(S31/1000,1,TRUE)&amp;"bn; operating payables cash effect: "&amp;FIXED(S35/1000,1,TRUE)&amp;"bn."</x:f>
        <x:v>FY2031 receivables cash effect: -17.3bn; operating payables cash effect: 5.2bn.</x:v>
      </x:c>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23" t="str">
        <x:v>Fiscal year</x:v>
      </x:c>
      <x:c r="D84" s="123" t="str">
        <x:v>Receivables</x:v>
      </x:c>
      <x:c r="E84" s="123" t="str">
        <x:v>Inventory</x:v>
      </x:c>
      <x:c r="F84" s="123" t="str">
        <x:v>Operating payables</x:v>
      </x:c>
      <x:c r="G84" s="103"/>
      <x:c r="H84" s="103"/>
      <x:c r="I84" s="103"/>
      <x:c r="J84" s="103"/>
      <x:c r="K84" s="103"/>
      <x:c r="L84" s="103"/>
      <x:c r="M84" s="103"/>
      <x:c r="N84" s="103"/>
      <x:c r="O84" s="103"/>
      <x:c r="P84" s="103"/>
      <x:c r="Q84" s="103"/>
      <x:c r="R84" s="103"/>
      <x:c r="S84" s="103"/>
      <x:c r="T84" s="103"/>
      <x:c r="U84" s="103"/>
    </x:row>
    <x:row r="85" ht="24" customHeight="1">
      <x:c r="A85" s="103"/>
      <x:c r="B85" s="103"/>
      <x:c r="C85" s="103" t="str">
        <x:f>"FY2026 A"</x:f>
        <x:v>FY2026 A</x:v>
      </x:c>
      <x:c r="D85" s="125" t="n">
        <x:f>IF(OR(N9="n.a.",ISBLANK(N9)),"",N9)</x:f>
        <x:v>88.95801879827266</x:v>
      </x:c>
      <x:c r="E85" s="125" t="n">
        <x:f>IF(OR(N11="n.a.",ISBLANK(N11)),"",N11)</x:f>
        <x:v>4.793511572376708</x:v>
      </x:c>
      <x:c r="F85" s="125" t="n">
        <x:f>IF(OR(N16="n.a.",ISBLANK(N16)),"",N16)</x:f>
        <x:v>53.92614736683777</x:v>
      </x:c>
      <x:c r="G85" s="103"/>
      <x:c r="H85" s="103"/>
      <x:c r="I85" s="103"/>
      <x:c r="J85" s="103"/>
      <x:c r="K85" s="103"/>
      <x:c r="L85" s="103"/>
      <x:c r="M85" s="103"/>
      <x:c r="N85" s="103"/>
      <x:c r="O85" s="103"/>
      <x:c r="P85" s="103"/>
      <x:c r="Q85" s="103"/>
      <x:c r="R85" s="103"/>
      <x:c r="S85" s="103"/>
      <x:c r="T85" s="103"/>
      <x:c r="U85" s="103"/>
    </x:row>
    <x:row r="86" ht="24" customHeight="1">
      <x:c r="A86" s="103"/>
      <x:c r="B86" s="103"/>
      <x:c r="C86" s="103" t="str">
        <x:f>"FY2027 E"</x:f>
        <x:v>FY2027 E</x:v>
      </x:c>
      <x:c r="D86" s="125" t="n">
        <x:f>IF(OR(O9="n.a.",ISBLANK(O9)),"",O9)</x:f>
        <x:v>88.95801879827266</x:v>
      </x:c>
      <x:c r="E86" s="125" t="n">
        <x:f>IF(OR(O11="n.a.",ISBLANK(O11)),"",O11)</x:f>
        <x:v>4.793511572376709</x:v>
      </x:c>
      <x:c r="F86" s="125" t="n">
        <x:f>IF(OR(O16="n.a.",ISBLANK(O16)),"",O16)</x:f>
        <x:v>53.926147366837775</x:v>
      </x:c>
      <x:c r="G86" s="103"/>
      <x:c r="H86" s="103"/>
      <x:c r="I86" s="103"/>
      <x:c r="J86" s="103"/>
      <x:c r="K86" s="103"/>
      <x:c r="L86" s="103"/>
      <x:c r="M86" s="103"/>
      <x:c r="N86" s="103"/>
      <x:c r="O86" s="103"/>
      <x:c r="P86" s="103"/>
      <x:c r="Q86" s="103"/>
      <x:c r="R86" s="103"/>
      <x:c r="S86" s="103"/>
      <x:c r="T86" s="103"/>
      <x:c r="U86" s="103"/>
    </x:row>
    <x:row r="87" ht="24" customHeight="1">
      <x:c r="A87" s="103"/>
      <x:c r="B87" s="103"/>
      <x:c r="C87" s="103" t="str">
        <x:f>"FY2028 E"</x:f>
        <x:v>FY2028 E</x:v>
      </x:c>
      <x:c r="D87" s="125" t="n">
        <x:f>IF(OR(P9="n.a.",ISBLANK(P9)),"",P9)</x:f>
        <x:v>88.95801879827265</x:v>
      </x:c>
      <x:c r="E87" s="125" t="n">
        <x:f>IF(OR(P11="n.a.",ISBLANK(P11)),"",P11)</x:f>
        <x:v>4.793511572376709</x:v>
      </x:c>
      <x:c r="F87" s="125" t="n">
        <x:f>IF(OR(P16="n.a.",ISBLANK(P16)),"",P16)</x:f>
        <x:v>53.92614736683777</x:v>
      </x:c>
      <x:c r="G87" s="103"/>
      <x:c r="H87" s="103"/>
      <x:c r="I87" s="103"/>
      <x:c r="J87" s="103"/>
      <x:c r="K87" s="103"/>
      <x:c r="L87" s="103"/>
      <x:c r="M87" s="103"/>
      <x:c r="N87" s="103"/>
      <x:c r="O87" s="103"/>
      <x:c r="P87" s="103"/>
      <x:c r="Q87" s="103"/>
      <x:c r="R87" s="103"/>
      <x:c r="S87" s="103"/>
      <x:c r="T87" s="103"/>
      <x:c r="U87" s="103"/>
    </x:row>
    <x:row r="88" ht="24" customHeight="1">
      <x:c r="A88" s="103"/>
      <x:c r="B88" s="103"/>
      <x:c r="C88" s="103" t="str">
        <x:f>"FY2029 E"</x:f>
        <x:v>FY2029 E</x:v>
      </x:c>
      <x:c r="D88" s="125" t="n">
        <x:f>IF(OR(Q9="n.a.",ISBLANK(Q9)),"",Q9)</x:f>
        <x:v>88.95801879827266</x:v>
      </x:c>
      <x:c r="E88" s="125" t="n">
        <x:f>IF(OR(Q11="n.a.",ISBLANK(Q11)),"",Q11)</x:f>
        <x:v>4.793511572376708</x:v>
      </x:c>
      <x:c r="F88" s="125" t="n">
        <x:f>IF(OR(Q16="n.a.",ISBLANK(Q16)),"",Q16)</x:f>
        <x:v>53.926147366837775</x:v>
      </x:c>
      <x:c r="G88" s="103"/>
      <x:c r="H88" s="103"/>
      <x:c r="I88" s="103"/>
      <x:c r="J88" s="103"/>
      <x:c r="K88" s="103"/>
      <x:c r="L88" s="103"/>
      <x:c r="M88" s="103"/>
      <x:c r="N88" s="103"/>
      <x:c r="O88" s="103"/>
      <x:c r="P88" s="103"/>
      <x:c r="Q88" s="103"/>
      <x:c r="R88" s="103"/>
      <x:c r="S88" s="103"/>
      <x:c r="T88" s="103"/>
      <x:c r="U88" s="103"/>
    </x:row>
    <x:row r="89" ht="24" customHeight="1">
      <x:c r="A89" s="103"/>
      <x:c r="B89" s="103"/>
      <x:c r="C89" s="103" t="str">
        <x:f>"FY2030 E"</x:f>
        <x:v>FY2030 E</x:v>
      </x:c>
      <x:c r="D89" s="125" t="n">
        <x:f>IF(OR(R9="n.a.",ISBLANK(R9)),"",R9)</x:f>
        <x:v>88.95801879827266</x:v>
      </x:c>
      <x:c r="E89" s="125" t="n">
        <x:f>IF(OR(R11="n.a.",ISBLANK(R11)),"",R11)</x:f>
        <x:v>4.793511572376708</x:v>
      </x:c>
      <x:c r="F89" s="125" t="n">
        <x:f>IF(OR(R16="n.a.",ISBLANK(R16)),"",R16)</x:f>
        <x:v>53.92614736683775</x:v>
      </x:c>
      <x:c r="G89" s="103"/>
      <x:c r="H89" s="103"/>
      <x:c r="I89" s="103"/>
      <x:c r="J89" s="103"/>
      <x:c r="K89" s="103"/>
      <x:c r="L89" s="103"/>
      <x:c r="M89" s="103"/>
      <x:c r="N89" s="103"/>
      <x:c r="O89" s="103"/>
      <x:c r="P89" s="103"/>
      <x:c r="Q89" s="103"/>
      <x:c r="R89" s="103"/>
      <x:c r="S89" s="103"/>
      <x:c r="T89" s="103"/>
      <x:c r="U89" s="103"/>
    </x:row>
    <x:row r="90" ht="24" customHeight="1">
      <x:c r="A90" s="103"/>
      <x:c r="B90" s="103"/>
      <x:c r="C90" s="103" t="str">
        <x:f>"FY2031 E"</x:f>
        <x:v>FY2031 E</x:v>
      </x:c>
      <x:c r="D90" s="125" t="n">
        <x:f>IF(OR(S9="n.a.",ISBLANK(S9)),"",S9)</x:f>
        <x:v>88.95801879827266</x:v>
      </x:c>
      <x:c r="E90" s="125" t="n">
        <x:f>IF(OR(S11="n.a.",ISBLANK(S11)),"",S11)</x:f>
        <x:v>4.793511572376707</x:v>
      </x:c>
      <x:c r="F90" s="125" t="n">
        <x:f>IF(OR(S16="n.a.",ISBLANK(S16)),"",S16)</x:f>
        <x:v>53.92614736683777</x:v>
      </x:c>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row r="99" ht="24" customHeight="1"/>
    <x:row r="100" ht="24" customHeight="1"/>
    <x:row r="101" ht="24" customHeight="1"/>
    <x:row r="102" ht="24" customHeight="1"/>
    <x:row r="103" ht="24" customHeight="1">
      <x:c r="C103" s="138" t="str">
        <x:v>Fiscal year</x:v>
      </x:c>
      <x:c r="D103" s="138" t="str">
        <x:v>Receivables</x:v>
      </x:c>
      <x:c r="E103" s="138" t="str">
        <x:v>Operating payables</x:v>
      </x:c>
      <x:c r="F103" s="138" t="str">
        <x:v>Unearned revenue</x:v>
      </x:c>
    </x:row>
    <x:row r="104" ht="24" customHeight="1">
      <x:c r="C104" s="128" t="str">
        <x:f>"FY2027 E"</x:f>
        <x:v>FY2027 E</x:v>
      </x:c>
      <x:c r="D104" s="134" t="n">
        <x:f>IF(OR(O31="n.a.",ISBLANK(O31)),"",O31)</x:f>
        <x:v>-12968.324352472147</x:v>
      </x:c>
      <x:c r="E104" s="134" t="n">
        <x:f>IF(OR(O35="n.a.",ISBLANK(O35)),"",O35)</x:f>
        <x:v>3037.7006504937817</x:v>
      </x:c>
      <x:c r="F104" s="134" t="n">
        <x:f>IF(OR(O36="n.a.",ISBLANK(O36)),"",O36)</x:f>
        <x:v>12140.286035095342</x:v>
      </x:c>
    </x:row>
    <x:row r="105" ht="24" customHeight="1">
      <x:c r="C105" s="128" t="str">
        <x:f>"FY2028 E"</x:f>
        <x:v>FY2028 E</x:v>
      </x:c>
      <x:c r="D105" s="134" t="n">
        <x:f>IF(OR(P31="n.a.",ISBLANK(P31)),"",P31)</x:f>
        <x:v>-14483.984350068553</x:v>
      </x:c>
      <x:c r="E105" s="134" t="n">
        <x:f>IF(OR(P35="n.a.",ISBLANK(P35)),"",P35)</x:f>
        <x:v>4676.516438512932</x:v>
      </x:c>
      <x:c r="F105" s="134" t="n">
        <x:f>IF(OR(P36="n.a.",ISBLANK(P36)),"",P36)</x:f>
        <x:v>13559.169878732764</x:v>
      </x:c>
    </x:row>
    <x:row r="106" ht="24" customHeight="1">
      <x:c r="C106" s="128" t="str">
        <x:f>"FY2029 E"</x:f>
        <x:v>FY2029 E</x:v>
      </x:c>
      <x:c r="D106" s="134" t="n">
        <x:f>IF(OR(Q31="n.a.",ISBLANK(Q31)),"",Q31)</x:f>
        <x:v>-15706.543330386223</x:v>
      </x:c>
      <x:c r="E106" s="134" t="n">
        <x:f>IF(OR(Q35="n.a.",ISBLANK(Q35)),"",Q35)</x:f>
        <x:v>4975.156557672388</x:v>
      </x:c>
      <x:c r="F106" s="134" t="n">
        <x:f>IF(OR(Q36="n.a.",ISBLANK(Q36)),"",Q36)</x:f>
        <x:v>14703.667449307588</x:v>
      </x:c>
    </x:row>
    <x:row r="107" ht="24" customHeight="1">
      <x:c r="C107" s="128" t="str">
        <x:f>"FY2030 E"</x:f>
        <x:v>FY2030 E</x:v>
      </x:c>
      <x:c r="D107" s="134" t="n">
        <x:f>IF(OR(R31="n.a.",ISBLANK(R31)),"",R31)</x:f>
        <x:v>-16665.48017537268</x:v>
      </x:c>
      <x:c r="E107" s="134" t="n">
        <x:f>IF(OR(R35="n.a.",ISBLANK(R35)),"",R35)</x:f>
        <x:v>5077.194655969099</x:v>
      </x:c>
      <x:c r="F107" s="134" t="n">
        <x:f>IF(OR(R36="n.a.",ISBLANK(R36)),"",R36)</x:f>
        <x:v>15601.375377588107</x:v>
      </x:c>
    </x:row>
    <x:row r="108" ht="24" customHeight="1">
      <x:c r="C108" s="128" t="str">
        <x:f>"FY2031 E"</x:f>
        <x:v>FY2031 E</x:v>
      </x:c>
      <x:c r="D108" s="134" t="n">
        <x:f>IF(OR(S31="n.a.",ISBLANK(S31)),"",S31)</x:f>
        <x:v>-17256.731138023926</x:v>
      </x:c>
      <x:c r="E108" s="134" t="n">
        <x:f>IF(OR(S35="n.a.",ISBLANK(S35)),"",S35)</x:f>
        <x:v>5175.0589636142395</x:v>
      </x:c>
      <x:c r="F108" s="134" t="n">
        <x:f>IF(OR(S36="n.a.",ISBLANK(S36)),"",S36)</x:f>
        <x:v>16154.874473540574</x:v>
      </x:c>
    </x:row>
  </x:sheetData>
  <x:mergeCells>
    <x:mergeCell ref="C58:S58"/>
    <x:mergeCell ref="C59:S59"/>
    <x:mergeCell ref="C60:S60"/>
  </x:mergeCells>
  <x:pageMargins left="0.7" right="0.7" top="0.75" bottom="0.75" header="0.3" footer="0.3"/>
  <x:drawing xmlns:r="http://schemas.openxmlformats.org/officeDocument/2006/relationships" r:id="R764a70263a334c6a"/>
  <x:legacyDrawing xmlns:r="http://schemas.openxmlformats.org/officeDocument/2006/relationships" r:id="Rca33a4af0c8446b4"/>
</x:worksheet>
</file>

<file path=xl/worksheets/sheet13.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PPE and Intangibles</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Cash capex budget</x:v>
      </x:c>
      <x:c r="D8" s="103"/>
      <x:c r="E8" s="109" t="n">
        <x:f>-'Historical Inputs'!E89</x:f>
        <x:v>8129</x:v>
      </x:c>
      <x:c r="F8" s="109" t="n">
        <x:f>-'Historical Inputs'!F89</x:f>
        <x:v>11632</x:v>
      </x:c>
      <x:c r="G8" s="109" t="n">
        <x:f>-'Historical Inputs'!G89</x:f>
        <x:v>13925</x:v>
      </x:c>
      <x:c r="H8" s="109" t="n">
        <x:f>-'Historical Inputs'!H89</x:f>
        <x:v>15441</x:v>
      </x:c>
      <x:c r="I8" s="109" t="n">
        <x:f>-'Historical Inputs'!I89</x:f>
        <x:v>20622</x:v>
      </x:c>
      <x:c r="J8" s="109" t="n">
        <x:f>-'Historical Inputs'!J89</x:f>
        <x:v>23886</x:v>
      </x:c>
      <x:c r="K8" s="109" t="n">
        <x:f>-'Historical Inputs'!K89</x:f>
        <x:v>28107</x:v>
      </x:c>
      <x:c r="L8" s="109" t="n">
        <x:f>-'Historical Inputs'!L89</x:f>
        <x:v>44477</x:v>
      </x:c>
      <x:c r="M8" s="109" t="n">
        <x:f>-'Historical Inputs'!M89</x:f>
        <x:v>64551</x:v>
      </x:c>
      <x:c r="N8" s="109" t="n">
        <x:f>-'Historical Inputs'!N89</x:f>
        <x:v>115948</x:v>
      </x:c>
      <x:c r="O8" s="109" t="n">
        <x:f>'Income Statement'!O8*'Assumptions'!O45</x:f>
        <x:v>123215.61600000002</x:v>
      </x:c>
      <x:c r="P8" s="109" t="n">
        <x:f>'Income Statement'!P8*'Assumptions'!P45</x:f>
        <x:v>124453.68387200002</x:v>
      </x:c>
      <x:c r="Q8" s="109" t="n">
        <x:f>'Income Statement'!Q8*'Assumptions'!Q45</x:f>
        <x:v>127230.579108</x:v>
      </x:c>
      <x:c r="R8" s="109" t="n">
        <x:f>'Income Statement'!R8*'Assumptions'!R45</x:f>
        <x:v>127006.38828240002</x:v>
      </x:c>
      <x:c r="S8" s="109" t="n">
        <x:f>'Income Statement'!S8*'Assumptions'!S45</x:f>
        <x:v>129621.43019877505</x:v>
      </x:c>
      <x:c r="T8" s="103"/>
      <x:c r="U8" s="103"/>
    </x:row>
    <x:row r="9" ht="24" customHeight="1">
      <x:c r="A9" s="103"/>
      <x:c r="B9" s="103"/>
      <x:c r="C9" s="103" t="str">
        <x:v>Capitalized cash interest within capex</x:v>
      </x:c>
      <x:c r="D9" s="103"/>
      <x:c r="E9" s="109"/>
      <x:c r="F9" s="109"/>
      <x:c r="G9" s="109"/>
      <x:c r="H9" s="109"/>
      <x:c r="I9" s="109"/>
      <x:c r="J9" s="109"/>
      <x:c r="K9" s="109"/>
      <x:c r="L9" s="109"/>
      <x:c r="M9" s="109"/>
      <x:c r="N9" s="109"/>
      <x:c r="O9" s="109" t="n">
        <x:f>'Debt and Leases'!O24</x:f>
        <x:v>1052.25197</x:v>
      </x:c>
      <x:c r="P9" s="109" t="n">
        <x:f>'Debt and Leases'!P24</x:f>
        <x:v>1210.3514451252308</x:v>
      </x:c>
      <x:c r="Q9" s="109" t="n">
        <x:f>'Debt and Leases'!Q24</x:f>
        <x:v>1428.8818672933423</x:v>
      </x:c>
      <x:c r="R9" s="109" t="n">
        <x:f>'Debt and Leases'!R24</x:f>
        <x:v>1633.1712600386338</x:v>
      </x:c>
      <x:c r="S9" s="109" t="n">
        <x:f>'Debt and Leases'!S24</x:f>
        <x:v>1842.6508418215735</x:v>
      </x:c>
      <x:c r="T9" s="103"/>
      <x:c r="U9" s="103"/>
    </x:row>
    <x:row r="10" ht="24" customHeight="1">
      <x:c r="A10" s="103"/>
      <x:c r="B10" s="103"/>
      <x:c r="C10" s="103" t="str">
        <x:v>Cash capex excluding capitalized interest</x:v>
      </x:c>
      <x:c r="D10" s="103"/>
      <x:c r="E10" s="109"/>
      <x:c r="F10" s="109"/>
      <x:c r="G10" s="109"/>
      <x:c r="H10" s="109"/>
      <x:c r="I10" s="109"/>
      <x:c r="J10" s="109"/>
      <x:c r="K10" s="109"/>
      <x:c r="L10" s="109"/>
      <x:c r="M10" s="109"/>
      <x:c r="N10" s="109"/>
      <x:c r="O10" s="109" t="n">
        <x:f>O8-O9</x:f>
        <x:v>122163.36403000003</x:v>
      </x:c>
      <x:c r="P10" s="109" t="n">
        <x:f>P8-P9</x:f>
        <x:v>123243.3324268748</x:v>
      </x:c>
      <x:c r="Q10" s="109" t="n">
        <x:f>Q8-Q9</x:f>
        <x:v>125801.69724070666</x:v>
      </x:c>
      <x:c r="R10" s="109" t="n">
        <x:f>R8-R9</x:f>
        <x:v>125373.21702236138</x:v>
      </x:c>
      <x:c r="S10" s="109" t="n">
        <x:f>S8-S9</x:f>
        <x:v>127778.77935695348</x:v>
      </x:c>
      <x:c r="T10" s="103"/>
      <x:c r="U10" s="103"/>
    </x:row>
    <x:row r="11" ht="24" customHeight="1">
      <x:c r="A11" s="103"/>
      <x:c r="B11" s="103"/>
      <x:c r="C11" s="103"/>
      <x:c r="D11" s="103"/>
      <x:c r="E11" s="103"/>
      <x:c r="F11" s="103"/>
      <x:c r="G11" s="103"/>
      <x:c r="H11" s="103"/>
      <x:c r="I11" s="103"/>
      <x:c r="J11" s="103"/>
      <x:c r="K11" s="103"/>
      <x:c r="L11" s="103"/>
      <x:c r="M11" s="103"/>
      <x:c r="N11" s="103"/>
      <x:c r="O11" s="103"/>
      <x:c r="P11" s="103"/>
      <x:c r="Q11" s="103"/>
      <x:c r="R11" s="103"/>
      <x:c r="S11" s="103"/>
      <x:c r="T11" s="103"/>
      <x:c r="U11" s="103"/>
    </x:row>
    <x:row r="12" ht="24" customHeight="1">
      <x:c r="A12" s="103"/>
      <x:c r="B12" s="103"/>
      <x:c r="C12" s="103" t="str">
        <x:v>Capital expenditure payables</x:v>
      </x:c>
      <x:c r="D12" s="103"/>
      <x:c r="E12" s="109"/>
      <x:c r="F12" s="109"/>
      <x:c r="G12" s="109"/>
      <x:c r="H12" s="109"/>
      <x:c r="I12" s="109"/>
      <x:c r="J12" s="109"/>
      <x:c r="K12" s="109"/>
      <x:c r="L12" s="109"/>
      <x:c r="M12" s="109"/>
      <x:c r="N12" s="109" t="n">
        <x:f>'Filing Notes'!N23</x:f>
        <x:v>26700</x:v>
      </x:c>
      <x:c r="O12" s="109" t="n">
        <x:f>'Working Capital'!O14</x:f>
        <x:v>24643.123200000005</x:v>
      </x:c>
      <x:c r="P12" s="109" t="n">
        <x:f>'Working Capital'!P14</x:f>
        <x:v>22401.663096960005</x:v>
      </x:c>
      <x:c r="Q12" s="109" t="n">
        <x:f>'Working Capital'!Q14</x:f>
        <x:v>20356.89265728</x:v>
      </x:c>
      <x:c r="R12" s="109" t="n">
        <x:f>'Working Capital'!R14</x:f>
        <x:v>17780.894359536003</x:v>
      </x:c>
      <x:c r="S12" s="109" t="n">
        <x:f>'Working Capital'!S14</x:f>
        <x:v>15554.571623853006</x:v>
      </x:c>
      <x:c r="T12" s="103"/>
      <x:c r="U12" s="103"/>
    </x:row>
    <x:row r="13" ht="24" customHeight="1">
      <x:c r="A13" s="103"/>
      <x:c r="B13" s="103"/>
      <x:c r="C13" s="103" t="str">
        <x:v>Change in capital expenditure payables</x:v>
      </x:c>
      <x:c r="D13" s="103"/>
      <x:c r="E13" s="109"/>
      <x:c r="F13" s="109"/>
      <x:c r="G13" s="109"/>
      <x:c r="H13" s="109"/>
      <x:c r="I13" s="109"/>
      <x:c r="J13" s="109"/>
      <x:c r="K13" s="109"/>
      <x:c r="L13" s="109"/>
      <x:c r="M13" s="109"/>
      <x:c r="N13" s="109"/>
      <x:c r="O13" s="109" t="n">
        <x:f>O12-N12</x:f>
        <x:v>-2056.8767999999945</x:v>
      </x:c>
      <x:c r="P13" s="109" t="n">
        <x:f>P12-O12</x:f>
        <x:v>-2241.460103040001</x:v>
      </x:c>
      <x:c r="Q13" s="109" t="n">
        <x:f>Q12-P12</x:f>
        <x:v>-2044.7704396800036</x:v>
      </x:c>
      <x:c r="R13" s="109" t="n">
        <x:f>R12-Q12</x:f>
        <x:v>-2575.9982977439977</x:v>
      </x:c>
      <x:c r="S13" s="109" t="n">
        <x:f>S12-R12</x:f>
        <x:v>-2226.3227356829975</x:v>
      </x:c>
      <x:c r="T13" s="103"/>
      <x:c r="U13" s="103"/>
    </x:row>
    <x:row r="14" ht="24" customHeight="1">
      <x:c r="A14" s="103"/>
      <x:c r="B14" s="103"/>
      <x:c r="C14" s="103" t="str">
        <x:v>New finance lease assets</x:v>
      </x:c>
      <x:c r="D14" s="103"/>
      <x:c r="E14" s="109" t="n">
        <x:f>'Filing Notes'!E14</x:f>
        <x:v>1773</x:v>
      </x:c>
      <x:c r="F14" s="109" t="n">
        <x:f>'Filing Notes'!F14</x:f>
        <x:v>1933</x:v>
      </x:c>
      <x:c r="G14" s="109" t="n">
        <x:f>'Filing Notes'!G14</x:f>
        <x:v>2532</x:v>
      </x:c>
      <x:c r="H14" s="109" t="n">
        <x:f>'Filing Notes'!H14</x:f>
        <x:v>3467</x:v>
      </x:c>
      <x:c r="I14" s="109" t="n">
        <x:f>'Filing Notes'!I14</x:f>
        <x:v>3290</x:v>
      </x:c>
      <x:c r="J14" s="109" t="n">
        <x:f>'Filing Notes'!J14</x:f>
        <x:v>4234</x:v>
      </x:c>
      <x:c r="K14" s="109" t="n">
        <x:f>'Filing Notes'!K14</x:f>
        <x:v>3128</x:v>
      </x:c>
      <x:c r="L14" s="109" t="n">
        <x:f>'Filing Notes'!L14</x:f>
        <x:v>11633</x:v>
      </x:c>
      <x:c r="M14" s="109" t="n">
        <x:f>'Filing Notes'!M14</x:f>
        <x:v>20511</x:v>
      </x:c>
      <x:c r="N14" s="109" t="n">
        <x:f>'Filing Notes'!N14</x:f>
        <x:v>24608</x:v>
      </x:c>
      <x:c r="O14" s="109" t="n">
        <x:f>'Debt and Leases'!O37</x:f>
        <x:v>28878.660000000003</x:v>
      </x:c>
      <x:c r="P14" s="109" t="n">
        <x:f>'Debt and Leases'!P37</x:f>
        <x:v>31113.420968000006</x:v>
      </x:c>
      <x:c r="Q14" s="109" t="n">
        <x:f>'Debt and Leases'!Q37</x:f>
        <x:v>33079.95056808</x:v>
      </x:c>
      <x:c r="R14" s="109" t="n">
        <x:f>'Debt and Leases'!R37</x:f>
        <x:v>34638.1058952</x:v>
      </x:c>
      <x:c r="S14" s="109" t="n">
        <x:f>'Debt and Leases'!S37</x:f>
        <x:v>35645.893304663135</x:v>
      </x:c>
      <x:c r="T14" s="103"/>
      <x:c r="U14" s="103"/>
    </x:row>
    <x:row r="15" ht="24" customHeight="1">
      <x:c r="A15" s="103"/>
      <x:c r="B15" s="103"/>
      <x:c r="C15" s="174" t="str">
        <x:v>Total PPE additions</x:v>
      </x:c>
      <x:c r="D15" s="174"/>
      <x:c r="E15" s="175"/>
      <x:c r="F15" s="175"/>
      <x:c r="G15" s="175"/>
      <x:c r="H15" s="175"/>
      <x:c r="I15" s="175"/>
      <x:c r="J15" s="175"/>
      <x:c r="K15" s="175"/>
      <x:c r="L15" s="175"/>
      <x:c r="M15" s="175"/>
      <x:c r="N15" s="175"/>
      <x:c r="O15" s="175" t="n">
        <x:f>SUM(O8,O13:O14)</x:f>
        <x:v>150037.39920000004</x:v>
      </x:c>
      <x:c r="P15" s="175" t="n">
        <x:f>SUM(P8,P13:P14)</x:f>
        <x:v>153325.64473696004</x:v>
      </x:c>
      <x:c r="Q15" s="175" t="n">
        <x:f>SUM(Q8,Q13:Q14)</x:f>
        <x:v>158265.75923640002</x:v>
      </x:c>
      <x:c r="R15" s="175" t="n">
        <x:f>SUM(R8,R13:R14)</x:f>
        <x:v>159068.49587985603</x:v>
      </x:c>
      <x:c r="S15" s="175" t="n">
        <x:f>SUM(S8,S13:S14)</x:f>
        <x:v>163041.0007677552</x:v>
      </x:c>
      <x:c r="T15" s="103"/>
      <x:c r="U15" s="103"/>
    </x:row>
    <x:row r="16" ht="24" customHeight="1">
      <x:c r="A16" s="103"/>
      <x:c r="B16" s="103"/>
      <x:c r="C16" s="103"/>
      <x:c r="D16" s="103"/>
      <x:c r="E16" s="103"/>
      <x:c r="F16" s="103"/>
      <x:c r="G16" s="103"/>
      <x:c r="H16" s="103"/>
      <x:c r="I16" s="103"/>
      <x:c r="J16" s="103"/>
      <x:c r="K16" s="103"/>
      <x:c r="L16" s="103"/>
      <x:c r="M16" s="103"/>
      <x:c r="N16" s="103"/>
      <x:c r="O16" s="103"/>
      <x:c r="P16" s="103"/>
      <x:c r="Q16" s="103"/>
      <x:c r="R16" s="103"/>
      <x:c r="S16" s="103"/>
      <x:c r="T16" s="103"/>
      <x:c r="U16" s="103"/>
    </x:row>
    <x:row r="17" ht="24" customHeight="1">
      <x:c r="A17" s="103"/>
      <x:c r="B17" s="103"/>
      <x:c r="C17" s="103" t="str">
        <x:v>Opening gross PPE</x:v>
      </x:c>
      <x:c r="D17" s="103"/>
      <x:c r="E17" s="109"/>
      <x:c r="F17" s="109"/>
      <x:c r="G17" s="109"/>
      <x:c r="H17" s="109"/>
      <x:c r="I17" s="109"/>
      <x:c r="J17" s="109"/>
      <x:c r="K17" s="109"/>
      <x:c r="L17" s="109"/>
      <x:c r="M17" s="109"/>
      <x:c r="N17" s="109"/>
      <x:c r="O17" s="109" t="n">
        <x:f>N18</x:f>
        <x:v>431767</x:v>
      </x:c>
      <x:c r="P17" s="109" t="n">
        <x:f>O18</x:f>
        <x:v>581804.3992000001</x:v>
      </x:c>
      <x:c r="Q17" s="109" t="n">
        <x:f>P18</x:f>
        <x:v>735130.0439369602</x:v>
      </x:c>
      <x:c r="R17" s="109" t="n">
        <x:f>Q18</x:f>
        <x:v>893395.8031733602</x:v>
      </x:c>
      <x:c r="S17" s="109" t="n">
        <x:f>R18</x:f>
        <x:v>1052464.2990532161</x:v>
      </x:c>
      <x:c r="T17" s="103"/>
      <x:c r="U17" s="103"/>
    </x:row>
    <x:row r="18" ht="24" customHeight="1">
      <x:c r="A18" s="103"/>
      <x:c r="B18" s="103"/>
      <x:c r="C18" s="103" t="str">
        <x:v>Closing gross PPE</x:v>
      </x:c>
      <x:c r="D18" s="103"/>
      <x:c r="E18" s="109" t="n">
        <x:f>'Filing Notes'!E10</x:f>
        <x:v>47913</x:v>
      </x:c>
      <x:c r="F18" s="109" t="n">
        <x:f>'Filing Notes'!F10</x:f>
        <x:v>58683</x:v>
      </x:c>
      <x:c r="G18" s="109" t="n">
        <x:f>'Filing Notes'!G10</x:f>
        <x:v>71807</x:v>
      </x:c>
      <x:c r="H18" s="109" t="n">
        <x:f>'Filing Notes'!H10</x:f>
        <x:v>87348</x:v>
      </x:c>
      <x:c r="I18" s="109" t="n">
        <x:f>'Filing Notes'!I10</x:f>
        <x:v>111066</x:v>
      </x:c>
      <x:c r="J18" s="109" t="n">
        <x:f>'Filing Notes'!J10</x:f>
        <x:v>134058</x:v>
      </x:c>
      <x:c r="K18" s="109" t="n">
        <x:f>'Filing Notes'!K10</x:f>
        <x:v>163892</x:v>
      </x:c>
      <x:c r="L18" s="109" t="n">
        <x:f>'Filing Notes'!L10</x:f>
        <x:v>212012</x:v>
      </x:c>
      <x:c r="M18" s="109" t="n">
        <x:f>'Filing Notes'!M10</x:f>
        <x:v>298619</x:v>
      </x:c>
      <x:c r="N18" s="109" t="n">
        <x:f>'Filing Notes'!N10</x:f>
        <x:v>431767</x:v>
      </x:c>
      <x:c r="O18" s="109" t="n">
        <x:f>O17+O15</x:f>
        <x:v>581804.3992000001</x:v>
      </x:c>
      <x:c r="P18" s="109" t="n">
        <x:f>P17+P15</x:f>
        <x:v>735130.0439369602</x:v>
      </x:c>
      <x:c r="Q18" s="109" t="n">
        <x:f>Q17+Q15</x:f>
        <x:v>893395.8031733602</x:v>
      </x:c>
      <x:c r="R18" s="109" t="n">
        <x:f>R17+R15</x:f>
        <x:v>1052464.2990532161</x:v>
      </x:c>
      <x:c r="S18" s="109" t="n">
        <x:f>S17+S15</x:f>
        <x:v>1215505.2998209712</x:v>
      </x:c>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3" t="str">
        <x:v>Opening accumulated depreciation</x:v>
      </x:c>
      <x:c r="D20" s="103"/>
      <x:c r="E20" s="109"/>
      <x:c r="F20" s="109"/>
      <x:c r="G20" s="109"/>
      <x:c r="H20" s="109"/>
      <x:c r="I20" s="109"/>
      <x:c r="J20" s="109"/>
      <x:c r="K20" s="109"/>
      <x:c r="L20" s="109"/>
      <x:c r="M20" s="109"/>
      <x:c r="N20" s="109"/>
      <x:c r="O20" s="109" t="n">
        <x:f>N22</x:f>
        <x:v>118691</x:v>
      </x:c>
      <x:c r="P20" s="109" t="n">
        <x:f>O22</x:f>
        <x:v>169010.3666</x:v>
      </x:c>
      <x:c r="Q20" s="109" t="n">
        <x:f>P22</x:f>
        <x:v>244609.98686141334</x:v>
      </x:c>
      <x:c r="R20" s="109" t="n">
        <x:f>Q22</x:f>
        <x:v>346175.55745394004</x:v>
      </x:c>
      <x:c r="S20" s="109" t="n">
        <x:f>R22</x:f>
        <x:v>474185.6493061547</x:v>
      </x:c>
      <x:c r="T20" s="103"/>
      <x:c r="U20" s="103"/>
    </x:row>
    <x:row r="21" ht="24" customHeight="1">
      <x:c r="A21" s="103"/>
      <x:c r="B21" s="103"/>
      <x:c r="C21" s="174" t="str">
        <x:v>PPE depreciation</x:v>
      </x:c>
      <x:c r="D21" s="174"/>
      <x:c r="E21" s="175" t="n">
        <x:f>'Filing Notes'!E8</x:f>
        <x:v>6100</x:v>
      </x:c>
      <x:c r="F21" s="175" t="n">
        <x:f>'Filing Notes'!F8</x:f>
        <x:v>7700</x:v>
      </x:c>
      <x:c r="G21" s="175" t="n">
        <x:f>'Filing Notes'!G8</x:f>
        <x:v>9700</x:v>
      </x:c>
      <x:c r="H21" s="175" t="n">
        <x:f>'Filing Notes'!H8</x:f>
        <x:v>10700</x:v>
      </x:c>
      <x:c r="I21" s="175" t="n">
        <x:f>'Filing Notes'!I8</x:f>
        <x:v>9300</x:v>
      </x:c>
      <x:c r="J21" s="175" t="n">
        <x:f>'Filing Notes'!J8</x:f>
        <x:v>12600</x:v>
      </x:c>
      <x:c r="K21" s="175" t="n">
        <x:f>'Filing Notes'!K8</x:f>
        <x:v>11000</x:v>
      </x:c>
      <x:c r="L21" s="175" t="n">
        <x:f>'Filing Notes'!L8</x:f>
        <x:v>15200</x:v>
      </x:c>
      <x:c r="M21" s="175" t="n">
        <x:f>'Filing Notes'!M8</x:f>
        <x:v>22000</x:v>
      </x:c>
      <x:c r="N21" s="175" t="n">
        <x:f>'Filing Notes'!N8</x:f>
        <x:v>34300</x:v>
      </x:c>
      <x:c r="O21" s="175" t="n">
        <x:f>O27+O39</x:f>
        <x:v>50319.3666</x:v>
      </x:c>
      <x:c r="P21" s="175" t="n">
        <x:f>P27+P39</x:f>
        <x:v>75599.62026141334</x:v>
      </x:c>
      <x:c r="Q21" s="175" t="n">
        <x:f>Q27+Q39</x:f>
        <x:v>101565.57059252668</x:v>
      </x:c>
      <x:c r="R21" s="175" t="n">
        <x:f>R27+R39</x:f>
        <x:v>128010.09185221468</x:v>
      </x:c>
      <x:c r="S21" s="175" t="n">
        <x:f>S27+S39</x:f>
        <x:v>154852.54990618228</x:v>
      </x:c>
      <x:c r="T21" s="103"/>
      <x:c r="U21" s="103"/>
    </x:row>
    <x:row r="22" ht="24" customHeight="1">
      <x:c r="A22" s="103"/>
      <x:c r="B22" s="103"/>
      <x:c r="C22" s="103" t="str">
        <x:v>Closing accumulated depreciation</x:v>
      </x:c>
      <x:c r="D22" s="103"/>
      <x:c r="E22" s="109" t="n">
        <x:f>'Filing Notes'!E11</x:f>
        <x:v>24179</x:v>
      </x:c>
      <x:c r="F22" s="109" t="n">
        <x:f>'Filing Notes'!F11</x:f>
        <x:v>29223</x:v>
      </x:c>
      <x:c r="G22" s="109" t="n">
        <x:f>'Filing Notes'!G11</x:f>
        <x:v>35330</x:v>
      </x:c>
      <x:c r="H22" s="109" t="n">
        <x:f>'Filing Notes'!H11</x:f>
        <x:v>43197</x:v>
      </x:c>
      <x:c r="I22" s="109" t="n">
        <x:f>'Filing Notes'!I11</x:f>
        <x:v>51351</x:v>
      </x:c>
      <x:c r="J22" s="109" t="n">
        <x:f>'Filing Notes'!J11</x:f>
        <x:v>59660</x:v>
      </x:c>
      <x:c r="K22" s="109" t="n">
        <x:f>'Filing Notes'!K11</x:f>
        <x:v>68251</x:v>
      </x:c>
      <x:c r="L22" s="109" t="n">
        <x:f>'Filing Notes'!L11</x:f>
        <x:v>76421</x:v>
      </x:c>
      <x:c r="M22" s="109" t="n">
        <x:f>'Filing Notes'!M11</x:f>
        <x:v>93653</x:v>
      </x:c>
      <x:c r="N22" s="109" t="n">
        <x:f>'Filing Notes'!N11</x:f>
        <x:v>118691</x:v>
      </x:c>
      <x:c r="O22" s="109" t="n">
        <x:f>O20+O21</x:f>
        <x:v>169010.3666</x:v>
      </x:c>
      <x:c r="P22" s="109" t="n">
        <x:f>P20+P21</x:f>
        <x:v>244609.98686141334</x:v>
      </x:c>
      <x:c r="Q22" s="109" t="n">
        <x:f>Q20+Q21</x:f>
        <x:v>346175.55745394004</x:v>
      </x:c>
      <x:c r="R22" s="109" t="n">
        <x:f>R20+R21</x:f>
        <x:v>474185.6493061547</x:v>
      </x:c>
      <x:c r="S22" s="109" t="n">
        <x:f>S20+S21</x:f>
        <x:v>629038.1992123369</x:v>
      </x:c>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74" t="str">
        <x:v>Closing net PPE</x:v>
      </x:c>
      <x:c r="D24" s="174"/>
      <x:c r="E24" s="175" t="n">
        <x:f>'Historical Inputs'!E35</x:f>
        <x:v>23734</x:v>
      </x:c>
      <x:c r="F24" s="175" t="n">
        <x:f>'Historical Inputs'!F35</x:f>
        <x:v>29460</x:v>
      </x:c>
      <x:c r="G24" s="175" t="n">
        <x:f>'Historical Inputs'!G35</x:f>
        <x:v>36477</x:v>
      </x:c>
      <x:c r="H24" s="175" t="n">
        <x:f>'Historical Inputs'!H35</x:f>
        <x:v>44151</x:v>
      </x:c>
      <x:c r="I24" s="175" t="n">
        <x:f>'Historical Inputs'!I35</x:f>
        <x:v>59715</x:v>
      </x:c>
      <x:c r="J24" s="175" t="n">
        <x:f>'Historical Inputs'!J35</x:f>
        <x:v>74398</x:v>
      </x:c>
      <x:c r="K24" s="175" t="n">
        <x:f>'Historical Inputs'!K35</x:f>
        <x:v>95641</x:v>
      </x:c>
      <x:c r="L24" s="175" t="n">
        <x:f>'Historical Inputs'!L35</x:f>
        <x:v>135591</x:v>
      </x:c>
      <x:c r="M24" s="175" t="n">
        <x:f>'Historical Inputs'!M35</x:f>
        <x:v>204966</x:v>
      </x:c>
      <x:c r="N24" s="175" t="n">
        <x:f>'Historical Inputs'!N35</x:f>
        <x:v>313076</x:v>
      </x:c>
      <x:c r="O24" s="175" t="n">
        <x:f>O18-O22</x:f>
        <x:v>412794.0326000001</x:v>
      </x:c>
      <x:c r="P24" s="175" t="n">
        <x:f>P18-P22</x:f>
        <x:v>490520.0570755468</x:v>
      </x:c>
      <x:c r="Q24" s="175" t="n">
        <x:f>Q18-Q22</x:f>
        <x:v>547220.2457194201</x:v>
      </x:c>
      <x:c r="R24" s="175" t="n">
        <x:f>R18-R22</x:f>
        <x:v>578278.6497470614</x:v>
      </x:c>
      <x:c r="S24" s="175" t="n">
        <x:f>S18-S22</x:f>
        <x:v>586467.1006086343</x:v>
      </x:c>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t="str">
        <x:v>Legacy depreciable PPE opening balance</x:v>
      </x:c>
      <x:c r="D26" s="103"/>
      <x:c r="E26" s="109"/>
      <x:c r="F26" s="109"/>
      <x:c r="G26" s="109"/>
      <x:c r="H26" s="109"/>
      <x:c r="I26" s="109"/>
      <x:c r="J26" s="109"/>
      <x:c r="K26" s="109"/>
      <x:c r="L26" s="109"/>
      <x:c r="M26" s="109"/>
      <x:c r="N26" s="109"/>
      <x:c r="O26" s="109" t="n">
        <x:f>'Historical Inputs'!N35-'Filing Notes'!N22</x:f>
        <x:v>302530</x:v>
      </x:c>
      <x:c r="P26" s="109" t="n">
        <x:f>O28</x:f>
        <x:v>264713.75</x:v>
      </x:c>
      <x:c r="Q26" s="109" t="n">
        <x:f>P28</x:f>
        <x:v>226897.5</x:v>
      </x:c>
      <x:c r="R26" s="109" t="n">
        <x:f>Q28</x:f>
        <x:v>189081.25</x:v>
      </x:c>
      <x:c r="S26" s="109" t="n">
        <x:f>R28</x:f>
        <x:v>151265</x:v>
      </x:c>
      <x:c r="T26" s="103"/>
      <x:c r="U26" s="103"/>
    </x:row>
    <x:row r="27" ht="24" customHeight="1">
      <x:c r="A27" s="103"/>
      <x:c r="B27" s="103"/>
      <x:c r="C27" s="103" t="str">
        <x:v>Legacy PPE depreciation</x:v>
      </x:c>
      <x:c r="D27" s="103"/>
      <x:c r="E27" s="109"/>
      <x:c r="F27" s="109"/>
      <x:c r="G27" s="109"/>
      <x:c r="H27" s="109"/>
      <x:c r="I27" s="109"/>
      <x:c r="J27" s="109"/>
      <x:c r="K27" s="109"/>
      <x:c r="L27" s="109"/>
      <x:c r="M27" s="109"/>
      <x:c r="N27" s="109"/>
      <x:c r="O27" s="109" t="n">
        <x:f>MIN(O26,('Historical Inputs'!N35-'Filing Notes'!N22)/'Assumptions'!O61)</x:f>
        <x:v>37816.25</x:v>
      </x:c>
      <x:c r="P27" s="109" t="n">
        <x:f>MIN(P26,('Historical Inputs'!N35-'Filing Notes'!N22)/'Assumptions'!P61)</x:f>
        <x:v>37816.25</x:v>
      </x:c>
      <x:c r="Q27" s="109" t="n">
        <x:f>MIN(Q26,('Historical Inputs'!N35-'Filing Notes'!N22)/'Assumptions'!Q61)</x:f>
        <x:v>37816.25</x:v>
      </x:c>
      <x:c r="R27" s="109" t="n">
        <x:f>MIN(R26,('Historical Inputs'!N35-'Filing Notes'!N22)/'Assumptions'!R61)</x:f>
        <x:v>37816.25</x:v>
      </x:c>
      <x:c r="S27" s="109" t="n">
        <x:f>MIN(S26,('Historical Inputs'!N35-'Filing Notes'!N22)/'Assumptions'!S61)</x:f>
        <x:v>37816.25</x:v>
      </x:c>
      <x:c r="T27" s="103"/>
      <x:c r="U27" s="103"/>
    </x:row>
    <x:row r="28" ht="24" customHeight="1">
      <x:c r="A28" s="103"/>
      <x:c r="B28" s="103"/>
      <x:c r="C28" s="103" t="str">
        <x:v>Legacy depreciable PPE closing balance</x:v>
      </x:c>
      <x:c r="D28" s="103"/>
      <x:c r="E28" s="109"/>
      <x:c r="F28" s="109"/>
      <x:c r="G28" s="109"/>
      <x:c r="H28" s="109"/>
      <x:c r="I28" s="109"/>
      <x:c r="J28" s="109"/>
      <x:c r="K28" s="109"/>
      <x:c r="L28" s="109"/>
      <x:c r="M28" s="109"/>
      <x:c r="N28" s="109"/>
      <x:c r="O28" s="109" t="n">
        <x:f>O26-O27</x:f>
        <x:v>264713.75</x:v>
      </x:c>
      <x:c r="P28" s="109" t="n">
        <x:f>P26-P27</x:f>
        <x:v>226897.5</x:v>
      </x:c>
      <x:c r="Q28" s="109" t="n">
        <x:f>Q26-Q27</x:f>
        <x:v>189081.25</x:v>
      </x:c>
      <x:c r="R28" s="109" t="n">
        <x:f>R26-R27</x:f>
        <x:v>151265</x:v>
      </x:c>
      <x:c r="S28" s="109" t="n">
        <x:f>S26-S27</x:f>
        <x:v>113448.75</x:v>
      </x:c>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t="str">
        <x:v>Land held constant</x:v>
      </x:c>
      <x:c r="D30" s="103"/>
      <x:c r="E30" s="109"/>
      <x:c r="F30" s="109"/>
      <x:c r="G30" s="109"/>
      <x:c r="H30" s="109"/>
      <x:c r="I30" s="109"/>
      <x:c r="J30" s="109"/>
      <x:c r="K30" s="109"/>
      <x:c r="L30" s="109"/>
      <x:c r="M30" s="109"/>
      <x:c r="N30" s="109"/>
      <x:c r="O30" s="109" t="n">
        <x:f>'Filing Notes'!N22</x:f>
        <x:v>10546</x:v>
      </x:c>
      <x:c r="P30" s="109" t="n">
        <x:f>'Filing Notes'!N22</x:f>
        <x:v>10546</x:v>
      </x:c>
      <x:c r="Q30" s="109" t="n">
        <x:f>'Filing Notes'!N22</x:f>
        <x:v>10546</x:v>
      </x:c>
      <x:c r="R30" s="109" t="n">
        <x:f>'Filing Notes'!N22</x:f>
        <x:v>10546</x:v>
      </x:c>
      <x:c r="S30" s="109" t="n">
        <x:f>'Filing Notes'!N22</x:f>
        <x:v>10546</x:v>
      </x:c>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t="str">
        <x:v>FY2027 PPE cohort net carrying amount</x:v>
      </x:c>
      <x:c r="D32" s="103"/>
      <x:c r="E32" s="109"/>
      <x:c r="F32" s="109"/>
      <x:c r="G32" s="109"/>
      <x:c r="H32" s="109"/>
      <x:c r="I32" s="109"/>
      <x:c r="J32" s="109"/>
      <x:c r="K32" s="109"/>
      <x:c r="L32" s="109"/>
      <x:c r="M32" s="109"/>
      <x:c r="N32" s="109"/>
      <x:c r="O32" s="109" t="n">
        <x:f>O15-(O15/'Assumptions'!O65*0.5)</x:f>
        <x:v>137534.28260000004</x:v>
      </x:c>
      <x:c r="P32" s="109" t="n">
        <x:f>O32-(MIN(O32,O15/'Assumptions'!O65))</x:f>
        <x:v>112528.04940000003</x:v>
      </x:c>
      <x:c r="Q32" s="109" t="n">
        <x:f>P32-(MIN(P32,O15/'Assumptions'!O65))</x:f>
        <x:v>87521.81620000003</x:v>
      </x:c>
      <x:c r="R32" s="109" t="n">
        <x:f>Q32-(MIN(Q32,O15/'Assumptions'!O65))</x:f>
        <x:v>62515.58300000003</x:v>
      </x:c>
      <x:c r="S32" s="109" t="n">
        <x:f>R32-(MIN(R32,O15/'Assumptions'!O65))</x:f>
        <x:v>37509.349800000025</x:v>
      </x:c>
      <x:c r="T32" s="103"/>
      <x:c r="U32" s="103"/>
    </x:row>
    <x:row r="33" ht="24" customHeight="1">
      <x:c r="A33" s="103"/>
      <x:c r="B33" s="103"/>
      <x:c r="C33" s="103" t="str">
        <x:v>FY2028 PPE cohort net carrying amount</x:v>
      </x:c>
      <x:c r="D33" s="103"/>
      <x:c r="E33" s="109"/>
      <x:c r="F33" s="109"/>
      <x:c r="G33" s="109"/>
      <x:c r="H33" s="109"/>
      <x:c r="I33" s="109"/>
      <x:c r="J33" s="109"/>
      <x:c r="K33" s="109"/>
      <x:c r="L33" s="109"/>
      <x:c r="M33" s="109"/>
      <x:c r="N33" s="109"/>
      <x:c r="O33" s="166" t="n">
        <x:v>0</x:v>
      </x:c>
      <x:c r="P33" s="109" t="n">
        <x:f>P15-(P15/'Assumptions'!P65*0.5)</x:f>
        <x:v>140548.5076755467</x:v>
      </x:c>
      <x:c r="Q33" s="109" t="n">
        <x:f>P33-(MIN(P33,P15/'Assumptions'!P65))</x:f>
        <x:v>114994.23355272002</x:v>
      </x:c>
      <x:c r="R33" s="109" t="n">
        <x:f>Q33-(MIN(Q33,P15/'Assumptions'!P65))</x:f>
        <x:v>89439.95942989335</x:v>
      </x:c>
      <x:c r="S33" s="109" t="n">
        <x:f>R33-(MIN(R33,P15/'Assumptions'!P65))</x:f>
        <x:v>63885.685307066684</x:v>
      </x:c>
      <x:c r="T33" s="103"/>
      <x:c r="U33" s="103"/>
    </x:row>
    <x:row r="34" ht="24" customHeight="1">
      <x:c r="A34" s="103"/>
      <x:c r="B34" s="103"/>
      <x:c r="C34" s="103" t="str">
        <x:v>FY2029 PPE cohort net carrying amount</x:v>
      </x:c>
      <x:c r="D34" s="103"/>
      <x:c r="E34" s="109"/>
      <x:c r="F34" s="109"/>
      <x:c r="G34" s="109"/>
      <x:c r="H34" s="109"/>
      <x:c r="I34" s="109"/>
      <x:c r="J34" s="109"/>
      <x:c r="K34" s="109"/>
      <x:c r="L34" s="109"/>
      <x:c r="M34" s="109"/>
      <x:c r="N34" s="109"/>
      <x:c r="O34" s="166" t="n">
        <x:v>0</x:v>
      </x:c>
      <x:c r="P34" s="166" t="n">
        <x:v>0</x:v>
      </x:c>
      <x:c r="Q34" s="109" t="n">
        <x:f>Q15-(Q15/'Assumptions'!Q65*0.5)</x:f>
        <x:v>145076.9459667</x:v>
      </x:c>
      <x:c r="R34" s="109" t="n">
        <x:f>Q34-(MIN(Q34,Q15/'Assumptions'!Q65))</x:f>
        <x:v>118699.3194273</x:v>
      </x:c>
      <x:c r="S34" s="109" t="n">
        <x:f>R34-(MIN(R34,Q15/'Assumptions'!Q65))</x:f>
        <x:v>92321.69288789999</x:v>
      </x:c>
      <x:c r="T34" s="103"/>
      <x:c r="U34" s="103"/>
    </x:row>
    <x:row r="35" ht="24" customHeight="1">
      <x:c r="A35" s="103"/>
      <x:c r="B35" s="103"/>
      <x:c r="C35" s="103" t="str">
        <x:v>FY2030 PPE cohort net carrying amount</x:v>
      </x:c>
      <x:c r="D35" s="103"/>
      <x:c r="E35" s="109"/>
      <x:c r="F35" s="109"/>
      <x:c r="G35" s="109"/>
      <x:c r="H35" s="109"/>
      <x:c r="I35" s="109"/>
      <x:c r="J35" s="109"/>
      <x:c r="K35" s="109"/>
      <x:c r="L35" s="109"/>
      <x:c r="M35" s="109"/>
      <x:c r="N35" s="109"/>
      <x:c r="O35" s="166" t="n">
        <x:v>0</x:v>
      </x:c>
      <x:c r="P35" s="166" t="n">
        <x:v>0</x:v>
      </x:c>
      <x:c r="Q35" s="166" t="n">
        <x:v>0</x:v>
      </x:c>
      <x:c r="R35" s="109" t="n">
        <x:f>R15-(R15/'Assumptions'!R65*0.5)</x:f>
        <x:v>145812.78788986802</x:v>
      </x:c>
      <x:c r="S35" s="109" t="n">
        <x:f>R35-(MIN(R35,R15/'Assumptions'!R65))</x:f>
        <x:v>119301.37190989201</x:v>
      </x:c>
      <x:c r="T35" s="103"/>
      <x:c r="U35" s="103"/>
    </x:row>
    <x:row r="36" ht="24" customHeight="1">
      <x:c r="A36" s="103"/>
      <x:c r="B36" s="103"/>
      <x:c r="C36" s="103" t="str">
        <x:v>FY2031 PPE cohort net carrying amount</x:v>
      </x:c>
      <x:c r="D36" s="103"/>
      <x:c r="E36" s="109"/>
      <x:c r="F36" s="109"/>
      <x:c r="G36" s="109"/>
      <x:c r="H36" s="109"/>
      <x:c r="I36" s="109"/>
      <x:c r="J36" s="109"/>
      <x:c r="K36" s="109"/>
      <x:c r="L36" s="109"/>
      <x:c r="M36" s="109"/>
      <x:c r="N36" s="109"/>
      <x:c r="O36" s="166" t="n">
        <x:v>0</x:v>
      </x:c>
      <x:c r="P36" s="166" t="n">
        <x:v>0</x:v>
      </x:c>
      <x:c r="Q36" s="166" t="n">
        <x:v>0</x:v>
      </x:c>
      <x:c r="R36" s="166" t="n">
        <x:v>0</x:v>
      </x:c>
      <x:c r="S36" s="109" t="n">
        <x:f>S15-(S15/'Assumptions'!S65*0.5)</x:f>
        <x:v>149454.25070377561</x:v>
      </x:c>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t="str">
        <x:v>Depreciation of new PPE cohorts</x:v>
      </x:c>
      <x:c r="D39" s="103"/>
      <x:c r="E39" s="109"/>
      <x:c r="F39" s="109"/>
      <x:c r="G39" s="109"/>
      <x:c r="H39" s="109"/>
      <x:c r="I39" s="109"/>
      <x:c r="J39" s="109"/>
      <x:c r="K39" s="109"/>
      <x:c r="L39" s="109"/>
      <x:c r="M39" s="109"/>
      <x:c r="N39" s="109"/>
      <x:c r="O39" s="109" t="n">
        <x:f>O15/'Assumptions'!O65*0.5</x:f>
        <x:v>12503.116600000003</x:v>
      </x:c>
      <x:c r="P39" s="109" t="n">
        <x:f>MIN(O32,O15/'Assumptions'!O65)+P15/'Assumptions'!P65*0.5</x:f>
        <x:v>37783.37026141334</x:v>
      </x:c>
      <x:c r="Q39" s="109" t="n">
        <x:f>MIN(P32,O15/'Assumptions'!O65)+MIN(P33,P15/'Assumptions'!P65)+Q15/'Assumptions'!Q65*0.5</x:f>
        <x:v>63749.32059252668</x:v>
      </x:c>
      <x:c r="R39" s="109" t="n">
        <x:f>MIN(Q32,O15/'Assumptions'!O65)+MIN(Q33,P15/'Assumptions'!P65)+MIN(Q34,Q15/'Assumptions'!Q65)+R15/'Assumptions'!R65*0.5</x:f>
        <x:v>90193.84185221468</x:v>
      </x:c>
      <x:c r="S39" s="109" t="n">
        <x:f>MIN(R32,O15/'Assumptions'!O65)+MIN(R33,P15/'Assumptions'!P65)+MIN(R34,Q15/'Assumptions'!Q65)+MIN(R35,R15/'Assumptions'!R65)+S15/'Assumptions'!S65*0.5</x:f>
        <x:v>117036.29990618229</x:v>
      </x:c>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t="str">
        <x:v>Intangible assets opening balance</x:v>
      </x:c>
      <x:c r="D41" s="103"/>
      <x:c r="E41" s="109"/>
      <x:c r="F41" s="109"/>
      <x:c r="G41" s="109"/>
      <x:c r="H41" s="109"/>
      <x:c r="I41" s="109"/>
      <x:c r="J41" s="109"/>
      <x:c r="K41" s="109"/>
      <x:c r="L41" s="109"/>
      <x:c r="M41" s="109"/>
      <x:c r="N41" s="109"/>
      <x:c r="O41" s="109" t="n">
        <x:f>'Balance Sheet'!N20</x:f>
        <x:v>18609</x:v>
      </x:c>
      <x:c r="P41" s="109" t="n">
        <x:f>'Balance Sheet'!O20</x:f>
        <x:v>15512</x:v>
      </x:c>
      <x:c r="Q41" s="109" t="n">
        <x:f>'Balance Sheet'!P20</x:f>
        <x:v>13371</x:v>
      </x:c>
      <x:c r="R41" s="109" t="n">
        <x:f>'Balance Sheet'!Q20</x:f>
        <x:v>11427</x:v>
      </x:c>
      <x:c r="S41" s="109" t="n">
        <x:f>'Balance Sheet'!R20</x:f>
        <x:v>9950</x:v>
      </x:c>
      <x:c r="T41" s="103"/>
      <x:c r="U41" s="103"/>
    </x:row>
    <x:row r="42" ht="24" customHeight="1">
      <x:c r="A42" s="103"/>
      <x:c r="B42" s="103"/>
      <x:c r="C42" s="103" t="str">
        <x:v>Disclosed expected intangible amortization</x:v>
      </x:c>
      <x:c r="D42" s="103"/>
      <x:c r="E42" s="109" t="n">
        <x:f>'Filing Notes'!E9</x:f>
        <x:v>1700</x:v>
      </x:c>
      <x:c r="F42" s="109" t="n">
        <x:f>'Filing Notes'!F9</x:f>
        <x:v>2200</x:v>
      </x:c>
      <x:c r="G42" s="109" t="n">
        <x:f>'Filing Notes'!G9</x:f>
        <x:v>1900</x:v>
      </x:c>
      <x:c r="H42" s="109" t="n">
        <x:f>'Filing Notes'!H9</x:f>
        <x:v>1600</x:v>
      </x:c>
      <x:c r="I42" s="109" t="n">
        <x:f>'Filing Notes'!I9</x:f>
        <x:v>1600</x:v>
      </x:c>
      <x:c r="J42" s="109" t="n">
        <x:f>'Filing Notes'!J9</x:f>
        <x:v>2000</x:v>
      </x:c>
      <x:c r="K42" s="109" t="n">
        <x:f>'Filing Notes'!K9</x:f>
        <x:v>2500</x:v>
      </x:c>
      <x:c r="L42" s="109" t="n">
        <x:f>'Filing Notes'!L9</x:f>
        <x:v>4800</x:v>
      </x:c>
      <x:c r="M42" s="109" t="n">
        <x:f>'Filing Notes'!M9</x:f>
        <x:v>6000</x:v>
      </x:c>
      <x:c r="N42" s="109" t="n">
        <x:f>'Filing Notes'!N9</x:f>
        <x:v>4700</x:v>
      </x:c>
      <x:c r="O42" s="109" t="n">
        <x:f>MIN(O41,'Filing Notes'!O38)</x:f>
        <x:v>3097</x:v>
      </x:c>
      <x:c r="P42" s="109" t="n">
        <x:f>MIN(P41,'Filing Notes'!P38)</x:f>
        <x:v>2141</x:v>
      </x:c>
      <x:c r="Q42" s="109" t="n">
        <x:f>MIN(Q41,'Filing Notes'!Q38)</x:f>
        <x:v>1944</x:v>
      </x:c>
      <x:c r="R42" s="109" t="n">
        <x:f>MIN(R41,'Filing Notes'!R38)</x:f>
        <x:v>1477</x:v>
      </x:c>
      <x:c r="S42" s="109" t="n">
        <x:f>MIN(S41,'Filing Notes'!S38)</x:f>
        <x:v>1128</x:v>
      </x:c>
      <x:c r="T42" s="103"/>
      <x:c r="U42" s="103"/>
    </x:row>
    <x:row r="43" ht="24" customHeight="1">
      <x:c r="A43" s="103"/>
      <x:c r="B43" s="103"/>
      <x:c r="C43" s="174" t="str">
        <x:v>Intangible assets closing balance</x:v>
      </x:c>
      <x:c r="D43" s="174"/>
      <x:c r="E43" s="175" t="n">
        <x:f>'Historical Inputs'!E39</x:f>
        <x:v>10106</x:v>
      </x:c>
      <x:c r="F43" s="175" t="n">
        <x:f>'Historical Inputs'!F39</x:f>
        <x:v>8053</x:v>
      </x:c>
      <x:c r="G43" s="175" t="n">
        <x:f>'Historical Inputs'!G39</x:f>
        <x:v>7750</x:v>
      </x:c>
      <x:c r="H43" s="175" t="n">
        <x:f>'Historical Inputs'!H39</x:f>
        <x:v>7038</x:v>
      </x:c>
      <x:c r="I43" s="175" t="n">
        <x:f>'Historical Inputs'!I39</x:f>
        <x:v>7800</x:v>
      </x:c>
      <x:c r="J43" s="175" t="n">
        <x:f>'Historical Inputs'!J39</x:f>
        <x:v>11298</x:v>
      </x:c>
      <x:c r="K43" s="175" t="n">
        <x:f>'Historical Inputs'!K39</x:f>
        <x:v>9366</x:v>
      </x:c>
      <x:c r="L43" s="175" t="n">
        <x:f>'Historical Inputs'!L39</x:f>
        <x:v>27597</x:v>
      </x:c>
      <x:c r="M43" s="175" t="n">
        <x:f>'Historical Inputs'!M39</x:f>
        <x:v>22604</x:v>
      </x:c>
      <x:c r="N43" s="175" t="n">
        <x:f>'Historical Inputs'!N39</x:f>
        <x:v>18609</x:v>
      </x:c>
      <x:c r="O43" s="175" t="n">
        <x:f>O41-O42</x:f>
        <x:v>15512</x:v>
      </x:c>
      <x:c r="P43" s="175" t="n">
        <x:f>P41-P42</x:f>
        <x:v>13371</x:v>
      </x:c>
      <x:c r="Q43" s="175" t="n">
        <x:f>Q41-Q42</x:f>
        <x:v>11427</x:v>
      </x:c>
      <x:c r="R43" s="175" t="n">
        <x:f>R41-R42</x:f>
        <x:v>9950</x:v>
      </x:c>
      <x:c r="S43" s="175" t="n">
        <x:f>S41-S42</x:f>
        <x:v>8822</x:v>
      </x:c>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4" t="str">
        <x:v>Selected-case observations</x:v>
      </x:c>
      <x:c r="D61" s="104"/>
      <x:c r="E61" s="104"/>
      <x:c r="F61" s="104"/>
      <x:c r="G61" s="104"/>
      <x:c r="H61" s="104"/>
      <x:c r="I61" s="104"/>
      <x:c r="J61" s="104"/>
      <x:c r="K61" s="104"/>
      <x:c r="L61" s="104"/>
      <x:c r="M61" s="104"/>
      <x:c r="N61" s="104"/>
      <x:c r="O61" s="104"/>
      <x:c r="P61" s="104"/>
      <x:c r="Q61" s="104"/>
      <x:c r="R61" s="104"/>
      <x:c r="S61" s="104"/>
      <x:c r="T61" s="103"/>
      <x:c r="U61" s="103"/>
    </x:row>
    <x:row r="62" ht="24" customHeight="1">
      <x:c r="A62" s="103"/>
      <x:c r="B62" s="103"/>
      <x:c r="C62" s="103" t="str">
        <x:f>"FY2031 PPE additions: "&amp;FIXED(S15/1000,1,TRUE)&amp;"bn versus depreciation of "&amp;FIXED(S21/1000,1,TRUE)&amp;"bn."</x:f>
        <x:v>FY2031 PPE additions: 163.0bn versus depreciation of 154.9bn.</x:v>
      </x:c>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t="str">
        <x:f>"FY2031 closing net PPE: "&amp;FIXED(S24/1000,1,TRUE)&amp;"bn. New finance lease assets contribute "&amp;FIXED(S14/1000,1,TRUE)&amp;"bn of annual additions."</x:f>
        <x:v>FY2031 closing net PPE: 586.5bn. New finance lease assets contribute 35.6bn of annual additions.</x:v>
      </x:c>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t="str">
        <x:f>"FY2031 remaining intangible assets: "&amp;FIXED(S43/1000,1,TRUE)&amp;"bn, after the disclosed amortization schedule."</x:f>
        <x:v>FY2031 remaining intangible assets: 8.8bn, after the disclosed amortization schedule.</x:v>
      </x:c>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23" t="str">
        <x:v>Fiscal year</x:v>
      </x:c>
      <x:c r="D88" s="123" t="str">
        <x:v>Cash capex</x:v>
      </x:c>
      <x:c r="E88" s="123" t="str">
        <x:v>Total additions</x:v>
      </x:c>
      <x:c r="F88" s="123" t="str">
        <x:v>Depreciation</x:v>
      </x:c>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"FY2026 A"</x:f>
        <x:v>FY2026 A</x:v>
      </x:c>
      <x:c r="D89" s="125" t="n">
        <x:f>IF(OR(N8="n.a.",ISBLANK(N8)),"",N8)</x:f>
        <x:v>115948</x:v>
      </x:c>
      <x:c r="E89" s="125" t="str">
        <x:f>IF(OR(N15="n.a.",ISBLANK(N15)),"",N15)</x:f>
      </x:c>
      <x:c r="F89" s="125" t="n">
        <x:f>IF(OR(N21="n.a.",ISBLANK(N21)),"",N21)</x:f>
        <x:v>34300</x:v>
      </x:c>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"FY2027 E"</x:f>
        <x:v>FY2027 E</x:v>
      </x:c>
      <x:c r="D90" s="125" t="n">
        <x:f>IF(OR(O8="n.a.",ISBLANK(O8)),"",O8)</x:f>
        <x:v>123215.61600000002</x:v>
      </x:c>
      <x:c r="E90" s="125" t="n">
        <x:f>IF(OR(O15="n.a.",ISBLANK(O15)),"",O15)</x:f>
        <x:v>150037.39920000004</x:v>
      </x:c>
      <x:c r="F90" s="125" t="n">
        <x:f>IF(OR(O21="n.a.",ISBLANK(O21)),"",O21)</x:f>
        <x:v>50319.3666</x:v>
      </x:c>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"FY2028 E"</x:f>
        <x:v>FY2028 E</x:v>
      </x:c>
      <x:c r="D91" s="125" t="n">
        <x:f>IF(OR(P8="n.a.",ISBLANK(P8)),"",P8)</x:f>
        <x:v>124453.68387200002</x:v>
      </x:c>
      <x:c r="E91" s="125" t="n">
        <x:f>IF(OR(P15="n.a.",ISBLANK(P15)),"",P15)</x:f>
        <x:v>153325.64473696004</x:v>
      </x:c>
      <x:c r="F91" s="125" t="n">
        <x:f>IF(OR(P21="n.a.",ISBLANK(P21)),"",P21)</x:f>
        <x:v>75599.62026141334</x:v>
      </x:c>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"FY2029 E"</x:f>
        <x:v>FY2029 E</x:v>
      </x:c>
      <x:c r="D92" s="125" t="n">
        <x:f>IF(OR(Q8="n.a.",ISBLANK(Q8)),"",Q8)</x:f>
        <x:v>127230.579108</x:v>
      </x:c>
      <x:c r="E92" s="125" t="n">
        <x:f>IF(OR(Q15="n.a.",ISBLANK(Q15)),"",Q15)</x:f>
        <x:v>158265.75923640002</x:v>
      </x:c>
      <x:c r="F92" s="125" t="n">
        <x:f>IF(OR(Q21="n.a.",ISBLANK(Q21)),"",Q21)</x:f>
        <x:v>101565.57059252668</x:v>
      </x:c>
      <x:c r="G92" s="103"/>
      <x:c r="H92" s="103"/>
      <x:c r="I92" s="103"/>
      <x:c r="J92" s="103"/>
      <x:c r="K92" s="103"/>
      <x:c r="L92" s="103"/>
      <x:c r="M92" s="103"/>
      <x:c r="N92" s="103"/>
      <x:c r="O92" s="103"/>
      <x:c r="P92" s="103"/>
      <x:c r="Q92" s="103"/>
      <x:c r="R92" s="103"/>
      <x:c r="S92" s="103"/>
      <x:c r="T92" s="103"/>
      <x:c r="U92" s="103"/>
    </x:row>
    <x:row r="93" ht="24" customHeight="1">
      <x:c r="A93" s="103"/>
      <x:c r="B93" s="103"/>
      <x:c r="C93" s="103" t="str">
        <x:f>"FY2030 E"</x:f>
        <x:v>FY2030 E</x:v>
      </x:c>
      <x:c r="D93" s="125" t="n">
        <x:f>IF(OR(R8="n.a.",ISBLANK(R8)),"",R8)</x:f>
        <x:v>127006.38828240002</x:v>
      </x:c>
      <x:c r="E93" s="125" t="n">
        <x:f>IF(OR(R15="n.a.",ISBLANK(R15)),"",R15)</x:f>
        <x:v>159068.49587985603</x:v>
      </x:c>
      <x:c r="F93" s="125" t="n">
        <x:f>IF(OR(R21="n.a.",ISBLANK(R21)),"",R21)</x:f>
        <x:v>128010.09185221468</x:v>
      </x:c>
      <x:c r="G93" s="103"/>
      <x:c r="H93" s="103"/>
      <x:c r="I93" s="103"/>
      <x:c r="J93" s="103"/>
      <x:c r="K93" s="103"/>
      <x:c r="L93" s="103"/>
      <x:c r="M93" s="103"/>
      <x:c r="N93" s="103"/>
      <x:c r="O93" s="103"/>
      <x:c r="P93" s="103"/>
      <x:c r="Q93" s="103"/>
      <x:c r="R93" s="103"/>
      <x:c r="S93" s="103"/>
      <x:c r="T93" s="103"/>
      <x:c r="U93" s="103"/>
    </x:row>
    <x:row r="94" ht="24" customHeight="1">
      <x:c r="A94" s="103"/>
      <x:c r="B94" s="103"/>
      <x:c r="C94" s="103" t="str">
        <x:f>"FY2031 E"</x:f>
        <x:v>FY2031 E</x:v>
      </x:c>
      <x:c r="D94" s="125" t="n">
        <x:f>IF(OR(S8="n.a.",ISBLANK(S8)),"",S8)</x:f>
        <x:v>129621.43019877505</x:v>
      </x:c>
      <x:c r="E94" s="125" t="n">
        <x:f>IF(OR(S15="n.a.",ISBLANK(S15)),"",S15)</x:f>
        <x:v>163041.0007677552</x:v>
      </x:c>
      <x:c r="F94" s="125" t="n">
        <x:f>IF(OR(S21="n.a.",ISBLANK(S21)),"",S21)</x:f>
        <x:v>154852.54990618228</x:v>
      </x:c>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row r="99" ht="24" customHeight="1"/>
    <x:row r="100" ht="24" customHeight="1"/>
    <x:row r="101" ht="24" customHeight="1"/>
    <x:row r="102" ht="24" customHeight="1"/>
    <x:row r="103" ht="24" customHeight="1"/>
    <x:row r="104" ht="24" customHeight="1"/>
    <x:row r="105" ht="24" customHeight="1"/>
    <x:row r="106" ht="24" customHeight="1"/>
    <x:row r="107" ht="24" customHeight="1">
      <x:c r="C107" s="138" t="str">
        <x:v>Fiscal year</x:v>
      </x:c>
      <x:c r="D107" s="138" t="str">
        <x:v>Net PPE</x:v>
      </x:c>
      <x:c r="E107" s="138" t="str">
        <x:v>Intangibles</x:v>
      </x:c>
    </x:row>
    <x:row r="108" ht="24" customHeight="1">
      <x:c r="C108" s="128" t="str">
        <x:f>"FY2026 A"</x:f>
        <x:v>FY2026 A</x:v>
      </x:c>
      <x:c r="D108" s="134" t="n">
        <x:f>IF(OR(N24="n.a.",ISBLANK(N24)),"",N24)</x:f>
        <x:v>313076</x:v>
      </x:c>
      <x:c r="E108" s="134" t="n">
        <x:f>IF(OR(N43="n.a.",ISBLANK(N43)),"",N43)</x:f>
        <x:v>18609</x:v>
      </x:c>
    </x:row>
    <x:row r="109" ht="24" customHeight="1">
      <x:c r="C109" s="128" t="str">
        <x:f>"FY2027 E"</x:f>
        <x:v>FY2027 E</x:v>
      </x:c>
      <x:c r="D109" s="134" t="n">
        <x:f>IF(OR(O24="n.a.",ISBLANK(O24)),"",O24)</x:f>
        <x:v>412794.0326000001</x:v>
      </x:c>
      <x:c r="E109" s="134" t="n">
        <x:f>IF(OR(O43="n.a.",ISBLANK(O43)),"",O43)</x:f>
        <x:v>15512</x:v>
      </x:c>
    </x:row>
    <x:row r="110" ht="24" customHeight="1">
      <x:c r="C110" s="128" t="str">
        <x:f>"FY2028 E"</x:f>
        <x:v>FY2028 E</x:v>
      </x:c>
      <x:c r="D110" s="134" t="n">
        <x:f>IF(OR(P24="n.a.",ISBLANK(P24)),"",P24)</x:f>
        <x:v>490520.0570755468</x:v>
      </x:c>
      <x:c r="E110" s="134" t="n">
        <x:f>IF(OR(P43="n.a.",ISBLANK(P43)),"",P43)</x:f>
        <x:v>13371</x:v>
      </x:c>
    </x:row>
    <x:row r="111" ht="24" customHeight="1">
      <x:c r="C111" s="128" t="str">
        <x:f>"FY2029 E"</x:f>
        <x:v>FY2029 E</x:v>
      </x:c>
      <x:c r="D111" s="134" t="n">
        <x:f>IF(OR(Q24="n.a.",ISBLANK(Q24)),"",Q24)</x:f>
        <x:v>547220.2457194201</x:v>
      </x:c>
      <x:c r="E111" s="134" t="n">
        <x:f>IF(OR(Q43="n.a.",ISBLANK(Q43)),"",Q43)</x:f>
        <x:v>11427</x:v>
      </x:c>
    </x:row>
    <x:row r="112" ht="24" customHeight="1">
      <x:c r="C112" s="128" t="str">
        <x:f>"FY2030 E"</x:f>
        <x:v>FY2030 E</x:v>
      </x:c>
      <x:c r="D112" s="134" t="n">
        <x:f>IF(OR(R24="n.a.",ISBLANK(R24)),"",R24)</x:f>
        <x:v>578278.6497470614</x:v>
      </x:c>
      <x:c r="E112" s="134" t="n">
        <x:f>IF(OR(R43="n.a.",ISBLANK(R43)),"",R43)</x:f>
        <x:v>9950</x:v>
      </x:c>
    </x:row>
    <x:row r="113" ht="24" customHeight="1">
      <x:c r="C113" s="128" t="str">
        <x:f>"FY2031 E"</x:f>
        <x:v>FY2031 E</x:v>
      </x:c>
      <x:c r="D113" s="134" t="n">
        <x:f>IF(OR(S24="n.a.",ISBLANK(S24)),"",S24)</x:f>
        <x:v>586467.1006086343</x:v>
      </x:c>
      <x:c r="E113" s="134" t="n">
        <x:f>IF(OR(S43="n.a.",ISBLANK(S43)),"",S43)</x:f>
        <x:v>8822</x:v>
      </x:c>
    </x:row>
  </x:sheetData>
  <x:mergeCells>
    <x:mergeCell ref="C62:S62"/>
    <x:mergeCell ref="C63:S63"/>
    <x:mergeCell ref="C64:S64"/>
  </x:mergeCells>
  <x:pageMargins left="0.7" right="0.7" top="0.75" bottom="0.75" header="0.3" footer="0.3"/>
  <x:drawing xmlns:r="http://schemas.openxmlformats.org/officeDocument/2006/relationships" r:id="R6dcc2e8e4f7f4684"/>
  <x:legacyDrawing xmlns:r="http://schemas.openxmlformats.org/officeDocument/2006/relationships" r:id="R10ef8c85f5ee46a2"/>
</x:worksheet>
</file>

<file path=xl/worksheets/sheet14.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Debt and Leases</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Opening debt face value</x:v>
      </x:c>
      <x:c r="D8" s="103"/>
      <x:c r="E8" s="109" t="str">
        <x:v>n.a.</x:v>
      </x:c>
      <x:c r="F8" s="109" t="str">
        <x:v>n.a.</x:v>
      </x:c>
      <x:c r="G8" s="109" t="str">
        <x:v>n.a.</x:v>
      </x:c>
      <x:c r="H8" s="109" t="str">
        <x:v>n.a.</x:v>
      </x:c>
      <x:c r="I8" s="109" t="str">
        <x:v>n.a.</x:v>
      </x:c>
      <x:c r="J8" s="109" t="str">
        <x:v>n.a.</x:v>
      </x:c>
      <x:c r="K8" s="109" t="str">
        <x:v>n.a.</x:v>
      </x:c>
      <x:c r="L8" s="109" t="str">
        <x:v>n.a.</x:v>
      </x:c>
      <x:c r="M8" s="109" t="str">
        <x:v>n.a.</x:v>
      </x:c>
      <x:c r="N8" s="109" t="str">
        <x:v>n.a.</x:v>
      </x:c>
      <x:c r="O8" s="109" t="n">
        <x:f>N12</x:f>
        <x:v>46136</x:v>
      </x:c>
      <x:c r="P8" s="109" t="n">
        <x:f>O12</x:f>
        <x:v>36886</x:v>
      </x:c>
      <x:c r="Q8" s="109" t="n">
        <x:f>P12</x:f>
        <x:v>36886</x:v>
      </x:c>
      <x:c r="R8" s="109" t="n">
        <x:f>Q12</x:f>
        <x:v>34885</x:v>
      </x:c>
      <x:c r="S8" s="109" t="n">
        <x:f>R12</x:f>
        <x:v>34885</x:v>
      </x:c>
      <x:c r="T8" s="103"/>
      <x:c r="U8" s="103"/>
    </x:row>
    <x:row r="9" ht="24" customHeight="1">
      <x:c r="A9" s="103"/>
      <x:c r="B9" s="103"/>
      <x:c r="C9" s="103" t="str">
        <x:v>Contractual debt principal repayment</x:v>
      </x:c>
      <x:c r="D9" s="103"/>
      <x:c r="E9" s="109" t="str">
        <x:v>n.a.</x:v>
      </x:c>
      <x:c r="F9" s="109" t="str">
        <x:v>n.a.</x:v>
      </x:c>
      <x:c r="G9" s="109" t="str">
        <x:v>n.a.</x:v>
      </x:c>
      <x:c r="H9" s="109" t="str">
        <x:v>n.a.</x:v>
      </x:c>
      <x:c r="I9" s="109" t="str">
        <x:v>n.a.</x:v>
      </x:c>
      <x:c r="J9" s="109" t="str">
        <x:v>n.a.</x:v>
      </x:c>
      <x:c r="K9" s="109" t="str">
        <x:v>n.a.</x:v>
      </x:c>
      <x:c r="L9" s="109" t="str">
        <x:v>n.a.</x:v>
      </x:c>
      <x:c r="M9" s="109" t="str">
        <x:v>n.a.</x:v>
      </x:c>
      <x:c r="N9" s="109" t="str">
        <x:v>n.a.</x:v>
      </x:c>
      <x:c r="O9" s="109" t="n">
        <x:f>MIN(O8,'Filing Notes'!O37)</x:f>
        <x:v>9250</x:v>
      </x:c>
      <x:c r="P9" s="109" t="n">
        <x:f>MIN(P8,'Filing Notes'!P37)</x:f>
        <x:v>0</x:v>
      </x:c>
      <x:c r="Q9" s="109" t="n">
        <x:f>MIN(Q8,'Filing Notes'!Q37)</x:f>
        <x:v>2001</x:v>
      </x:c>
      <x:c r="R9" s="109" t="n">
        <x:f>MIN(R8,'Filing Notes'!R37)</x:f>
        <x:v>0</x:v>
      </x:c>
      <x:c r="S9" s="109" t="n">
        <x:f>MIN(S8,'Filing Notes'!S37)</x:f>
        <x:v>500</x:v>
      </x:c>
      <x:c r="T9" s="103"/>
      <x:c r="U9" s="103"/>
    </x:row>
    <x:row r="10" ht="24" customHeight="1">
      <x:c r="A10" s="103"/>
      <x:c r="B10" s="103"/>
      <x:c r="C10" s="103" t="str">
        <x:v>Planned new debt</x:v>
      </x:c>
      <x:c r="D10" s="103"/>
      <x:c r="E10" s="109" t="str">
        <x:v>n.a.</x:v>
      </x:c>
      <x:c r="F10" s="109" t="str">
        <x:v>n.a.</x:v>
      </x:c>
      <x:c r="G10" s="109" t="str">
        <x:v>n.a.</x:v>
      </x:c>
      <x:c r="H10" s="109" t="str">
        <x:v>n.a.</x:v>
      </x:c>
      <x:c r="I10" s="109" t="str">
        <x:v>n.a.</x:v>
      </x:c>
      <x:c r="J10" s="109" t="str">
        <x:v>n.a.</x:v>
      </x:c>
      <x:c r="K10" s="109" t="str">
        <x:v>n.a.</x:v>
      </x:c>
      <x:c r="L10" s="109" t="str">
        <x:v>n.a.</x:v>
      </x:c>
      <x:c r="M10" s="109" t="str">
        <x:v>n.a.</x:v>
      </x:c>
      <x:c r="N10" s="109" t="str">
        <x:v>n.a.</x:v>
      </x:c>
      <x:c r="O10" s="109" t="n">
        <x:f>'Assumptions'!O161</x:f>
        <x:v>0</x:v>
      </x:c>
      <x:c r="P10" s="109" t="n">
        <x:f>'Assumptions'!P161</x:f>
        <x:v>0</x:v>
      </x:c>
      <x:c r="Q10" s="109" t="n">
        <x:f>'Assumptions'!Q161</x:f>
        <x:v>0</x:v>
      </x:c>
      <x:c r="R10" s="109" t="n">
        <x:f>'Assumptions'!R161</x:f>
        <x:v>0</x:v>
      </x:c>
      <x:c r="S10" s="109" t="n">
        <x:f>'Assumptions'!S161</x:f>
        <x:v>0</x:v>
      </x:c>
      <x:c r="T10" s="103"/>
      <x:c r="U10" s="103"/>
    </x:row>
    <x:row r="11" ht="24" customHeight="1">
      <x:c r="A11" s="103"/>
      <x:c r="B11" s="103"/>
      <x:c r="C11" s="103" t="str">
        <x:v>Liquidity borrowing requirement</x:v>
      </x:c>
      <x:c r="D11" s="103"/>
      <x:c r="E11" s="109" t="str">
        <x:v>n.a.</x:v>
      </x:c>
      <x:c r="F11" s="109" t="str">
        <x:v>n.a.</x:v>
      </x:c>
      <x:c r="G11" s="109" t="str">
        <x:v>n.a.</x:v>
      </x:c>
      <x:c r="H11" s="109" t="str">
        <x:v>n.a.</x:v>
      </x:c>
      <x:c r="I11" s="109" t="str">
        <x:v>n.a.</x:v>
      </x:c>
      <x:c r="J11" s="109" t="str">
        <x:v>n.a.</x:v>
      </x:c>
      <x:c r="K11" s="109" t="str">
        <x:v>n.a.</x:v>
      </x:c>
      <x:c r="L11" s="109" t="str">
        <x:v>n.a.</x:v>
      </x:c>
      <x:c r="M11" s="109" t="str">
        <x:v>n.a.</x:v>
      </x:c>
      <x:c r="N11" s="109" t="str">
        <x:v>n.a.</x:v>
      </x:c>
      <x:c r="O11" s="109" t="n">
        <x:f>MAX(0,'Assumptions'!O117-'Cash Flow'!O59-O77)</x:f>
        <x:v>0</x:v>
      </x:c>
      <x:c r="P11" s="109" t="n">
        <x:f>MAX(0,'Assumptions'!P117-'Cash Flow'!P59-P77)</x:f>
        <x:v>0</x:v>
      </x:c>
      <x:c r="Q11" s="109" t="n">
        <x:f>MAX(0,'Assumptions'!Q117-'Cash Flow'!Q59-Q77)</x:f>
        <x:v>0</x:v>
      </x:c>
      <x:c r="R11" s="109" t="n">
        <x:f>MAX(0,'Assumptions'!R117-'Cash Flow'!R59-R77)</x:f>
        <x:v>0</x:v>
      </x:c>
      <x:c r="S11" s="109" t="n">
        <x:f>MAX(0,'Assumptions'!S117-'Cash Flow'!S59-S77)</x:f>
        <x:v>0</x:v>
      </x:c>
      <x:c r="T11" s="103"/>
      <x:c r="U11" s="103"/>
    </x:row>
    <x:row r="12" ht="24" customHeight="1">
      <x:c r="A12" s="103"/>
      <x:c r="B12" s="103"/>
      <x:c r="C12" s="174" t="str">
        <x:v>Closing debt face value</x:v>
      </x:c>
      <x:c r="D12" s="174"/>
      <x:c r="E12" s="175" t="str">
        <x:v>n.a.</x:v>
      </x:c>
      <x:c r="F12" s="175" t="str">
        <x:v>n.a.</x:v>
      </x:c>
      <x:c r="G12" s="175" t="str">
        <x:v>n.a.</x:v>
      </x:c>
      <x:c r="H12" s="175" t="str">
        <x:v>n.a.</x:v>
      </x:c>
      <x:c r="I12" s="175" t="str">
        <x:v>n.a.</x:v>
      </x:c>
      <x:c r="J12" s="175" t="str">
        <x:v>n.a.</x:v>
      </x:c>
      <x:c r="K12" s="175" t="str">
        <x:v>n.a.</x:v>
      </x:c>
      <x:c r="L12" s="175" t="str">
        <x:v>n.a.</x:v>
      </x:c>
      <x:c r="M12" s="175" t="str">
        <x:v>n.a.</x:v>
      </x:c>
      <x:c r="N12" s="175" t="n">
        <x:f>'Filing Notes'!N24</x:f>
        <x:v>46136</x:v>
      </x:c>
      <x:c r="O12" s="175" t="n">
        <x:f>O8-O9+O10+O11</x:f>
        <x:v>36886</x:v>
      </x:c>
      <x:c r="P12" s="175" t="n">
        <x:f>P8-P9+P10+P11</x:f>
        <x:v>36886</x:v>
      </x:c>
      <x:c r="Q12" s="175" t="n">
        <x:f>Q8-Q9+Q10+Q11</x:f>
        <x:v>34885</x:v>
      </x:c>
      <x:c r="R12" s="175" t="n">
        <x:f>R8-R9+R10+R11</x:f>
        <x:v>34885</x:v>
      </x:c>
      <x:c r="S12" s="175" t="n">
        <x:f>S8-S9+S10+S11</x:f>
        <x:v>34385</x:v>
      </x:c>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t="str">
        <x:v>Opening debt accounting adjustments</x:v>
      </x:c>
      <x:c r="D14" s="103"/>
      <x:c r="E14" s="109" t="str">
        <x:v>n.a.</x:v>
      </x:c>
      <x:c r="F14" s="109" t="str">
        <x:v>n.a.</x:v>
      </x:c>
      <x:c r="G14" s="109" t="str">
        <x:v>n.a.</x:v>
      </x:c>
      <x:c r="H14" s="109" t="str">
        <x:v>n.a.</x:v>
      </x:c>
      <x:c r="I14" s="109" t="str">
        <x:v>n.a.</x:v>
      </x:c>
      <x:c r="J14" s="109" t="str">
        <x:v>n.a.</x:v>
      </x:c>
      <x:c r="K14" s="109" t="str">
        <x:v>n.a.</x:v>
      </x:c>
      <x:c r="L14" s="109" t="str">
        <x:v>n.a.</x:v>
      </x:c>
      <x:c r="M14" s="109" t="str">
        <x:v>n.a.</x:v>
      </x:c>
      <x:c r="N14" s="109" t="str">
        <x:v>n.a.</x:v>
      </x:c>
      <x:c r="O14" s="109" t="n">
        <x:f>N16</x:f>
        <x:v>5842</x:v>
      </x:c>
      <x:c r="P14" s="109" t="n">
        <x:f>O16</x:f>
        <x:v>5666.74</x:v>
      </x:c>
      <x:c r="Q14" s="109" t="n">
        <x:f>P16</x:f>
        <x:v>5496.7378</x:v>
      </x:c>
      <x:c r="R14" s="109" t="n">
        <x:f>Q16</x:f>
        <x:v>5331.835666</x:v>
      </x:c>
      <x:c r="S14" s="109" t="n">
        <x:f>R16</x:f>
        <x:v>5171.88059602</x:v>
      </x:c>
      <x:c r="T14" s="103"/>
      <x:c r="U14" s="103"/>
    </x:row>
    <x:row r="15" ht="24" customHeight="1">
      <x:c r="A15" s="103"/>
      <x:c r="B15" s="103"/>
      <x:c r="C15" s="103" t="str">
        <x:v>Noncash accounting amortization</x:v>
      </x:c>
      <x:c r="D15" s="103"/>
      <x:c r="E15" s="109" t="str">
        <x:v>n.a.</x:v>
      </x:c>
      <x:c r="F15" s="109" t="str">
        <x:v>n.a.</x:v>
      </x:c>
      <x:c r="G15" s="109" t="str">
        <x:v>n.a.</x:v>
      </x:c>
      <x:c r="H15" s="109" t="str">
        <x:v>n.a.</x:v>
      </x:c>
      <x:c r="I15" s="109" t="str">
        <x:v>n.a.</x:v>
      </x:c>
      <x:c r="J15" s="109" t="str">
        <x:v>n.a.</x:v>
      </x:c>
      <x:c r="K15" s="109" t="str">
        <x:v>n.a.</x:v>
      </x:c>
      <x:c r="L15" s="109" t="str">
        <x:v>n.a.</x:v>
      </x:c>
      <x:c r="M15" s="109" t="str">
        <x:v>n.a.</x:v>
      </x:c>
      <x:c r="N15" s="109" t="str">
        <x:v>n.a.</x:v>
      </x:c>
      <x:c r="O15" s="109" t="n">
        <x:f>MIN(O14,O14*'Assumptions'!O137)</x:f>
        <x:v>175.26</x:v>
      </x:c>
      <x:c r="P15" s="109" t="n">
        <x:f>MIN(P14,P14*'Assumptions'!P137)</x:f>
        <x:v>170.0022</x:v>
      </x:c>
      <x:c r="Q15" s="109" t="n">
        <x:f>MIN(Q14,Q14*'Assumptions'!Q137)</x:f>
        <x:v>164.902134</x:v>
      </x:c>
      <x:c r="R15" s="109" t="n">
        <x:f>MIN(R14,R14*'Assumptions'!R137)</x:f>
        <x:v>159.95506998</x:v>
      </x:c>
      <x:c r="S15" s="109" t="n">
        <x:f>MIN(S14,S14*'Assumptions'!S137)</x:f>
        <x:v>155.15641788059997</x:v>
      </x:c>
      <x:c r="T15" s="103"/>
      <x:c r="U15" s="103"/>
    </x:row>
    <x:row r="16" ht="24" customHeight="1">
      <x:c r="A16" s="103"/>
      <x:c r="B16" s="103"/>
      <x:c r="C16" s="103" t="str">
        <x:v>Closing debt accounting adjustments</x:v>
      </x:c>
      <x:c r="D16" s="103"/>
      <x:c r="E16" s="109" t="str">
        <x:v>n.a.</x:v>
      </x:c>
      <x:c r="F16" s="109" t="str">
        <x:v>n.a.</x:v>
      </x:c>
      <x:c r="G16" s="109" t="str">
        <x:v>n.a.</x:v>
      </x:c>
      <x:c r="H16" s="109" t="str">
        <x:v>n.a.</x:v>
      </x:c>
      <x:c r="I16" s="109" t="str">
        <x:v>n.a.</x:v>
      </x:c>
      <x:c r="J16" s="109" t="str">
        <x:v>n.a.</x:v>
      </x:c>
      <x:c r="K16" s="109" t="str">
        <x:v>n.a.</x:v>
      </x:c>
      <x:c r="L16" s="109" t="str">
        <x:v>n.a.</x:v>
      </x:c>
      <x:c r="M16" s="109" t="str">
        <x:v>n.a.</x:v>
      </x:c>
      <x:c r="N16" s="109" t="n">
        <x:f>SUM('Filing Notes'!N25:N27)</x:f>
        <x:v>5842</x:v>
      </x:c>
      <x:c r="O16" s="109" t="n">
        <x:f>O14-O15</x:f>
        <x:v>5666.74</x:v>
      </x:c>
      <x:c r="P16" s="109" t="n">
        <x:f>P14-P15</x:f>
        <x:v>5496.7378</x:v>
      </x:c>
      <x:c r="Q16" s="109" t="n">
        <x:f>Q14-Q15</x:f>
        <x:v>5331.835666</x:v>
      </x:c>
      <x:c r="R16" s="109" t="n">
        <x:f>R14-R15</x:f>
        <x:v>5171.88059602</x:v>
      </x:c>
      <x:c r="S16" s="109" t="n">
        <x:f>S14-S15</x:f>
        <x:v>5016.7241781394</x:v>
      </x:c>
      <x:c r="T16" s="103"/>
      <x:c r="U16" s="103"/>
    </x:row>
    <x:row r="17" ht="24" customHeight="1">
      <x:c r="A17" s="103"/>
      <x:c r="B17" s="103"/>
      <x:c r="C17" s="103"/>
      <x:c r="D17" s="103"/>
      <x:c r="E17" s="103"/>
      <x:c r="F17" s="103"/>
      <x:c r="G17" s="103"/>
      <x:c r="H17" s="103"/>
      <x:c r="I17" s="103"/>
      <x:c r="J17" s="103"/>
      <x:c r="K17" s="103"/>
      <x:c r="L17" s="103"/>
      <x:c r="M17" s="103"/>
      <x:c r="N17" s="103"/>
      <x:c r="O17" s="103"/>
      <x:c r="P17" s="103"/>
      <x:c r="Q17" s="103"/>
      <x:c r="R17" s="103"/>
      <x:c r="S17" s="103"/>
      <x:c r="T17" s="103"/>
      <x:c r="U17" s="103"/>
    </x:row>
    <x:row r="18" ht="24" customHeight="1">
      <x:c r="A18" s="103"/>
      <x:c r="B18" s="103"/>
      <x:c r="C18" s="174" t="str">
        <x:v>Closing debt carrying amount</x:v>
      </x:c>
      <x:c r="D18" s="174"/>
      <x:c r="E18" s="175" t="n">
        <x:f>'Historical Inputs'!E43+'Historical Inputs'!E49+'Historical Inputs'!E61</x:f>
        <x:v>86194</x:v>
      </x:c>
      <x:c r="F18" s="175" t="n">
        <x:f>'Historical Inputs'!F43+'Historical Inputs'!F49+'Historical Inputs'!F61</x:f>
        <x:v>76240</x:v>
      </x:c>
      <x:c r="G18" s="175" t="n">
        <x:f>'Historical Inputs'!G43+'Historical Inputs'!G49+'Historical Inputs'!G61</x:f>
        <x:v>72178</x:v>
      </x:c>
      <x:c r="H18" s="175" t="n">
        <x:f>'Historical Inputs'!H43+'Historical Inputs'!H49+'Historical Inputs'!H61</x:f>
        <x:v>63327</x:v>
      </x:c>
      <x:c r="I18" s="175" t="n">
        <x:f>'Historical Inputs'!I43+'Historical Inputs'!I49+'Historical Inputs'!I61</x:f>
        <x:v>58146</x:v>
      </x:c>
      <x:c r="J18" s="175" t="n">
        <x:f>'Historical Inputs'!J43+'Historical Inputs'!J49+'Historical Inputs'!J61</x:f>
        <x:v>49781</x:v>
      </x:c>
      <x:c r="K18" s="175" t="n">
        <x:f>'Historical Inputs'!K43+'Historical Inputs'!K49+'Historical Inputs'!K61</x:f>
        <x:v>47237</x:v>
      </x:c>
      <x:c r="L18" s="175" t="n">
        <x:f>'Historical Inputs'!L43+'Historical Inputs'!L49+'Historical Inputs'!L61</x:f>
        <x:v>51630</x:v>
      </x:c>
      <x:c r="M18" s="175" t="n">
        <x:f>'Historical Inputs'!M43+'Historical Inputs'!M49+'Historical Inputs'!M61</x:f>
        <x:v>43151</x:v>
      </x:c>
      <x:c r="N18" s="175" t="n">
        <x:f>'Historical Inputs'!N43+'Historical Inputs'!N49+'Historical Inputs'!N61</x:f>
        <x:v>40294</x:v>
      </x:c>
      <x:c r="O18" s="175" t="n">
        <x:f>O12-O16</x:f>
        <x:v>31219.260000000002</x:v>
      </x:c>
      <x:c r="P18" s="175" t="n">
        <x:f>P12-P16</x:f>
        <x:v>31389.2622</x:v>
      </x:c>
      <x:c r="Q18" s="175" t="n">
        <x:f>Q12-Q16</x:f>
        <x:v>29553.164334</x:v>
      </x:c>
      <x:c r="R18" s="175" t="n">
        <x:f>R12-R16</x:f>
        <x:v>29713.11940398</x:v>
      </x:c>
      <x:c r="S18" s="175" t="n">
        <x:f>S12-S16</x:f>
        <x:v>29368.2758218606</x:v>
      </x:c>
      <x:c r="T18" s="103"/>
      <x:c r="U18" s="103"/>
    </x:row>
    <x:row r="19" ht="24" customHeight="1">
      <x:c r="A19" s="103"/>
      <x:c r="B19" s="103"/>
      <x:c r="C19" s="103" t="str">
        <x:v>Current debt carrying amount</x:v>
      </x:c>
      <x:c r="D19" s="103"/>
      <x:c r="E19" s="109" t="n">
        <x:f>'Historical Inputs'!E43</x:f>
        <x:v>1049</x:v>
      </x:c>
      <x:c r="F19" s="109" t="n">
        <x:f>'Historical Inputs'!F43</x:f>
        <x:v>3998</x:v>
      </x:c>
      <x:c r="G19" s="109" t="n">
        <x:f>'Historical Inputs'!G43</x:f>
        <x:v>5516</x:v>
      </x:c>
      <x:c r="H19" s="109" t="n">
        <x:f>'Historical Inputs'!H43</x:f>
        <x:v>3749</x:v>
      </x:c>
      <x:c r="I19" s="109" t="n">
        <x:f>'Historical Inputs'!I43</x:f>
        <x:v>8072</x:v>
      </x:c>
      <x:c r="J19" s="109" t="n">
        <x:f>'Historical Inputs'!J43</x:f>
        <x:v>2749</x:v>
      </x:c>
      <x:c r="K19" s="109" t="n">
        <x:f>'Historical Inputs'!K43</x:f>
        <x:v>5247</x:v>
      </x:c>
      <x:c r="L19" s="109" t="n">
        <x:f>'Historical Inputs'!L43</x:f>
        <x:v>2249</x:v>
      </x:c>
      <x:c r="M19" s="109" t="n">
        <x:f>'Historical Inputs'!M43</x:f>
        <x:v>2999</x:v>
      </x:c>
      <x:c r="N19" s="109" t="n">
        <x:f>'Historical Inputs'!N43</x:f>
        <x:v>9227</x:v>
      </x:c>
      <x:c r="O19" s="109" t="n">
        <x:f>MIN(O18,O27*(1-'Filing Notes'!N44))</x:f>
        <x:v>0</x:v>
      </x:c>
      <x:c r="P19" s="109" t="n">
        <x:f>MIN(P18,P27*(1-'Filing Notes'!N44))</x:f>
        <x:v>1996.0245405405406</x:v>
      </x:c>
      <x:c r="Q19" s="109" t="n">
        <x:f>MIN(Q18,Q27*(1-'Filing Notes'!N44))</x:f>
        <x:v>0</x:v>
      </x:c>
      <x:c r="R19" s="109" t="n">
        <x:f>MIN(R18,R27*(1-'Filing Notes'!N44))</x:f>
        <x:v>498.7567567567567</x:v>
      </x:c>
      <x:c r="S19" s="109" t="n">
        <x:f>MIN(S18,S27*(1-'Filing Notes'!N44))</x:f>
        <x:v>0</x:v>
      </x:c>
      <x:c r="T19" s="103"/>
      <x:c r="U19" s="103"/>
    </x:row>
    <x:row r="20" ht="24" customHeight="1">
      <x:c r="A20" s="103"/>
      <x:c r="B20" s="103"/>
      <x:c r="C20" s="103" t="str">
        <x:v>Long-term debt carrying amount</x:v>
      </x:c>
      <x:c r="D20" s="103"/>
      <x:c r="E20" s="109" t="n">
        <x:f>'Historical Inputs'!E49</x:f>
        <x:v>76073</x:v>
      </x:c>
      <x:c r="F20" s="109" t="n">
        <x:f>'Historical Inputs'!F49</x:f>
        <x:v>72242</x:v>
      </x:c>
      <x:c r="G20" s="109" t="n">
        <x:f>'Historical Inputs'!G49</x:f>
        <x:v>66662</x:v>
      </x:c>
      <x:c r="H20" s="109" t="n">
        <x:f>'Historical Inputs'!H49</x:f>
        <x:v>59578</x:v>
      </x:c>
      <x:c r="I20" s="109" t="n">
        <x:f>'Historical Inputs'!I49</x:f>
        <x:v>50074</x:v>
      </x:c>
      <x:c r="J20" s="109" t="n">
        <x:f>'Historical Inputs'!J49</x:f>
        <x:v>47032</x:v>
      </x:c>
      <x:c r="K20" s="109" t="n">
        <x:f>'Historical Inputs'!K49</x:f>
        <x:v>41990</x:v>
      </x:c>
      <x:c r="L20" s="109" t="n">
        <x:f>'Historical Inputs'!L49</x:f>
        <x:v>42688</x:v>
      </x:c>
      <x:c r="M20" s="109" t="n">
        <x:f>'Historical Inputs'!M49</x:f>
        <x:v>40152</x:v>
      </x:c>
      <x:c r="N20" s="109" t="n">
        <x:f>'Historical Inputs'!N49</x:f>
        <x:v>31067</x:v>
      </x:c>
      <x:c r="O20" s="109" t="n">
        <x:f>O18-O19</x:f>
        <x:v>31219.260000000002</x:v>
      </x:c>
      <x:c r="P20" s="109" t="n">
        <x:f>P18-P19</x:f>
        <x:v>29393.23765945946</x:v>
      </x:c>
      <x:c r="Q20" s="109" t="n">
        <x:f>Q18-Q19</x:f>
        <x:v>29553.164334</x:v>
      </x:c>
      <x:c r="R20" s="109" t="n">
        <x:f>R18-R19</x:f>
        <x:v>29214.362647223243</x:v>
      </x:c>
      <x:c r="S20" s="109" t="n">
        <x:f>S18-S19</x:f>
        <x:v>29368.2758218606</x:v>
      </x:c>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t="str">
        <x:v>Cash coupon interest on debt</x:v>
      </x:c>
      <x:c r="D22" s="103"/>
      <x:c r="E22" s="109" t="str">
        <x:v>n.a.</x:v>
      </x:c>
      <x:c r="F22" s="109" t="str">
        <x:v>n.a.</x:v>
      </x:c>
      <x:c r="G22" s="109" t="str">
        <x:v>n.a.</x:v>
      </x:c>
      <x:c r="H22" s="109" t="str">
        <x:v>n.a.</x:v>
      </x:c>
      <x:c r="I22" s="109" t="str">
        <x:v>n.a.</x:v>
      </x:c>
      <x:c r="J22" s="109" t="str">
        <x:v>n.a.</x:v>
      </x:c>
      <x:c r="K22" s="109" t="str">
        <x:v>n.a.</x:v>
      </x:c>
      <x:c r="L22" s="109" t="str">
        <x:v>n.a.</x:v>
      </x:c>
      <x:c r="M22" s="109" t="str">
        <x:v>n.a.</x:v>
      </x:c>
      <x:c r="N22" s="109" t="str">
        <x:v>n.a.</x:v>
      </x:c>
      <x:c r="O22" s="109" t="n">
        <x:f>O8*'Assumptions'!O125</x:f>
        <x:v>1614.7600000000002</x:v>
      </x:c>
      <x:c r="P22" s="109" t="n">
        <x:f>P8*'Assumptions'!P125</x:f>
        <x:v>1291.0100000000002</x:v>
      </x:c>
      <x:c r="Q22" s="109" t="n">
        <x:f>Q8*'Assumptions'!Q125</x:f>
        <x:v>1291.0100000000002</x:v>
      </x:c>
      <x:c r="R22" s="109" t="n">
        <x:f>R8*'Assumptions'!R125</x:f>
        <x:v>1220.9750000000001</x:v>
      </x:c>
      <x:c r="S22" s="109" t="n">
        <x:f>S8*'Assumptions'!S125</x:f>
        <x:v>1220.9750000000001</x:v>
      </x:c>
      <x:c r="T22" s="103"/>
      <x:c r="U22" s="103"/>
    </x:row>
    <x:row r="23" ht="24" customHeight="1">
      <x:c r="A23" s="103"/>
      <x:c r="B23" s="103"/>
      <x:c r="C23" s="103" t="str">
        <x:v>Finance lease interest</x:v>
      </x:c>
      <x:c r="D23" s="103"/>
      <x:c r="E23" s="109" t="str">
        <x:v>n.a.</x:v>
      </x:c>
      <x:c r="F23" s="109" t="str">
        <x:v>n.a.</x:v>
      </x:c>
      <x:c r="G23" s="109" t="str">
        <x:v>n.a.</x:v>
      </x:c>
      <x:c r="H23" s="109" t="str">
        <x:v>n.a.</x:v>
      </x:c>
      <x:c r="I23" s="109" t="str">
        <x:v>n.a.</x:v>
      </x:c>
      <x:c r="J23" s="109" t="str">
        <x:v>n.a.</x:v>
      </x:c>
      <x:c r="K23" s="109" t="str">
        <x:v>n.a.</x:v>
      </x:c>
      <x:c r="L23" s="109" t="str">
        <x:v>n.a.</x:v>
      </x:c>
      <x:c r="M23" s="109" t="str">
        <x:v>n.a.</x:v>
      </x:c>
      <x:c r="N23" s="109" t="str">
        <x:v>n.a.</x:v>
      </x:c>
      <x:c r="O23" s="109" t="n">
        <x:f>O40</x:f>
        <x:v>3646.49985</x:v>
      </x:c>
      <x:c r="P23" s="109" t="n">
        <x:f>P40</x:f>
        <x:v>4760.7472256261535</x:v>
      </x:c>
      <x:c r="Q23" s="109" t="n">
        <x:f>Q40</x:f>
        <x:v>5853.399336466711</x:v>
      </x:c>
      <x:c r="R23" s="109" t="n">
        <x:f>R40</x:f>
        <x:v>6944.8813001931685</x:v>
      </x:c>
      <x:c r="S23" s="109" t="n">
        <x:f>S40</x:f>
        <x:v>7992.279209107867</x:v>
      </x:c>
      <x:c r="T23" s="103"/>
      <x:c r="U23" s="103"/>
    </x:row>
    <x:row r="24" ht="24" customHeight="1">
      <x:c r="A24" s="103"/>
      <x:c r="B24" s="103"/>
      <x:c r="C24" s="103" t="str">
        <x:v>Capitalized cash interest within capex</x:v>
      </x:c>
      <x:c r="D24" s="103"/>
      <x:c r="E24" s="109" t="str">
        <x:v>n.a.</x:v>
      </x:c>
      <x:c r="F24" s="109" t="str">
        <x:v>n.a.</x:v>
      </x:c>
      <x:c r="G24" s="109" t="str">
        <x:v>n.a.</x:v>
      </x:c>
      <x:c r="H24" s="109" t="str">
        <x:v>n.a.</x:v>
      </x:c>
      <x:c r="I24" s="109" t="str">
        <x:v>n.a.</x:v>
      </x:c>
      <x:c r="J24" s="109" t="str">
        <x:v>n.a.</x:v>
      </x:c>
      <x:c r="K24" s="109" t="str">
        <x:v>n.a.</x:v>
      </x:c>
      <x:c r="L24" s="109" t="str">
        <x:v>n.a.</x:v>
      </x:c>
      <x:c r="M24" s="109" t="str">
        <x:v>n.a.</x:v>
      </x:c>
      <x:c r="N24" s="109" t="str">
        <x:v>n.a.</x:v>
      </x:c>
      <x:c r="O24" s="109" t="n">
        <x:f>(O22+O23)*'Assumptions'!O133</x:f>
        <x:v>1052.25197</x:v>
      </x:c>
      <x:c r="P24" s="109" t="n">
        <x:f>(P22+P23)*'Assumptions'!P133</x:f>
        <x:v>1210.3514451252308</x:v>
      </x:c>
      <x:c r="Q24" s="109" t="n">
        <x:f>(Q22+Q23)*'Assumptions'!Q133</x:f>
        <x:v>1428.8818672933423</x:v>
      </x:c>
      <x:c r="R24" s="109" t="n">
        <x:f>(R22+R23)*'Assumptions'!R133</x:f>
        <x:v>1633.1712600386338</x:v>
      </x:c>
      <x:c r="S24" s="109" t="n">
        <x:f>(S22+S23)*'Assumptions'!S133</x:f>
        <x:v>1842.6508418215735</x:v>
      </x:c>
      <x:c r="T24" s="103"/>
      <x:c r="U24" s="103"/>
    </x:row>
    <x:row r="25" ht="24" customHeight="1">
      <x:c r="A25" s="103"/>
      <x:c r="B25" s="103"/>
      <x:c r="C25" s="174" t="str">
        <x:v>Interest expense recognized in income</x:v>
      </x:c>
      <x:c r="D25" s="174"/>
      <x:c r="E25" s="175" t="str">
        <x:v>n.a.</x:v>
      </x:c>
      <x:c r="F25" s="175" t="str">
        <x:v>n.a.</x:v>
      </x:c>
      <x:c r="G25" s="175" t="str">
        <x:v>n.a.</x:v>
      </x:c>
      <x:c r="H25" s="175" t="str">
        <x:v>n.a.</x:v>
      </x:c>
      <x:c r="I25" s="175" t="str">
        <x:v>n.a.</x:v>
      </x:c>
      <x:c r="J25" s="175" t="str">
        <x:v>n.a.</x:v>
      </x:c>
      <x:c r="K25" s="175" t="str">
        <x:v>n.a.</x:v>
      </x:c>
      <x:c r="L25" s="175" t="str">
        <x:v>n.a.</x:v>
      </x:c>
      <x:c r="M25" s="175" t="str">
        <x:v>n.a.</x:v>
      </x:c>
      <x:c r="N25" s="175" t="str">
        <x:v>n.a.</x:v>
      </x:c>
      <x:c r="O25" s="175" t="n">
        <x:f>O22+O23-O24+O15</x:f>
        <x:v>4384.26788</x:v>
      </x:c>
      <x:c r="P25" s="175" t="n">
        <x:f>P22+P23-P24+P15</x:f>
        <x:v>5011.407980500923</x:v>
      </x:c>
      <x:c r="Q25" s="175" t="n">
        <x:f>Q22+Q23-Q24+Q15</x:f>
        <x:v>5880.429603173369</x:v>
      </x:c>
      <x:c r="R25" s="175" t="n">
        <x:f>R22+R23-R24+R15</x:f>
        <x:v>6692.6401101345355</x:v>
      </x:c>
      <x:c r="S25" s="175" t="n">
        <x:f>S22+S23-S24+S15</x:f>
        <x:v>7525.759785166893</x:v>
      </x:c>
      <x:c r="T25" s="103"/>
      <x:c r="U25" s="103"/>
    </x:row>
    <x:row r="26" ht="24" customHeight="1">
      <x:c r="A26" s="103"/>
      <x:c r="B26" s="103"/>
      <x:c r="C26" s="180" t="str">
        <x:v>Income on opening cash and short-term investments</x:v>
      </x:c>
      <x:c r="D26" s="103"/>
      <x:c r="E26" s="109" t="str">
        <x:v>n.a.</x:v>
      </x:c>
      <x:c r="F26" s="109" t="str">
        <x:v>n.a.</x:v>
      </x:c>
      <x:c r="G26" s="109" t="str">
        <x:v>n.a.</x:v>
      </x:c>
      <x:c r="H26" s="109" t="str">
        <x:v>n.a.</x:v>
      </x:c>
      <x:c r="I26" s="109" t="str">
        <x:v>n.a.</x:v>
      </x:c>
      <x:c r="J26" s="109" t="str">
        <x:v>n.a.</x:v>
      </x:c>
      <x:c r="K26" s="109" t="str">
        <x:v>n.a.</x:v>
      </x:c>
      <x:c r="L26" s="109" t="str">
        <x:v>n.a.</x:v>
      </x:c>
      <x:c r="M26" s="109" t="str">
        <x:v>n.a.</x:v>
      </x:c>
      <x:c r="N26" s="109" t="str">
        <x:v>n.a.</x:v>
      </x:c>
      <x:c r="O26" s="109" t="n">
        <x:f>('Balance Sheet'!N8+'Balance Sheet'!N9)*'Assumptions'!O129</x:f>
        <x:v>2689.505</x:v>
      </x:c>
      <x:c r="P26" s="109" t="n">
        <x:f>('Balance Sheet'!O8+'Balance Sheet'!O9)*'Assumptions'!P129</x:f>
        <x:v>3280.906292409156</x:v>
      </x:c>
      <x:c r="Q26" s="109" t="n">
        <x:f>('Balance Sheet'!P8+'Balance Sheet'!P9)*'Assumptions'!Q129</x:f>
        <x:v>5263.303274194405</x:v>
      </x:c>
      <x:c r="R26" s="109" t="n">
        <x:f>('Balance Sheet'!Q8+'Balance Sheet'!Q9)*'Assumptions'!R129</x:f>
        <x:v>8210.538420249859</x:v>
      </x:c>
      <x:c r="S26" s="109" t="n">
        <x:f>('Balance Sheet'!R8+'Balance Sheet'!R9)*'Assumptions'!S129</x:f>
        <x:v>12481.89425895139</x:v>
      </x:c>
      <x:c r="T26" s="103"/>
      <x:c r="U26" s="103"/>
    </x:row>
    <x:row r="27" ht="24" customHeight="1">
      <x:c r="A27" s="103"/>
      <x:c r="B27" s="103"/>
      <x:c r="C27" s="103" t="str">
        <x:v>Next year contractual debt principal</x:v>
      </x:c>
      <x:c r="D27" s="103"/>
      <x:c r="E27" s="109" t="str">
        <x:v>n.a.</x:v>
      </x:c>
      <x:c r="F27" s="109" t="str">
        <x:v>n.a.</x:v>
      </x:c>
      <x:c r="G27" s="109" t="str">
        <x:v>n.a.</x:v>
      </x:c>
      <x:c r="H27" s="109" t="str">
        <x:v>n.a.</x:v>
      </x:c>
      <x:c r="I27" s="109" t="str">
        <x:v>n.a.</x:v>
      </x:c>
      <x:c r="J27" s="109" t="str">
        <x:v>n.a.</x:v>
      </x:c>
      <x:c r="K27" s="109" t="str">
        <x:v>n.a.</x:v>
      </x:c>
      <x:c r="L27" s="109" t="str">
        <x:v>n.a.</x:v>
      </x:c>
      <x:c r="M27" s="109" t="str">
        <x:v>n.a.</x:v>
      </x:c>
      <x:c r="N27" s="109" t="str">
        <x:v>n.a.</x:v>
      </x:c>
      <x:c r="O27" s="109" t="n">
        <x:f>'Filing Notes'!P37</x:f>
        <x:v>0</x:v>
      </x:c>
      <x:c r="P27" s="109" t="n">
        <x:f>'Filing Notes'!Q37</x:f>
        <x:v>2001</x:v>
      </x:c>
      <x:c r="Q27" s="109" t="n">
        <x:f>'Filing Notes'!R37</x:f>
        <x:v>0</x:v>
      </x:c>
      <x:c r="R27" s="109" t="n">
        <x:f>'Filing Notes'!S37</x:f>
        <x:v>500</x:v>
      </x:c>
      <x:c r="S27" s="109" t="n">
        <x:f>'Assumptions'!O211</x:f>
        <x:v>0</x:v>
      </x:c>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36" t="str">
        <x:v>Finance leases</x:v>
      </x:c>
      <x:c r="D30" s="136"/>
      <x:c r="E30" s="136"/>
      <x:c r="F30" s="136"/>
      <x:c r="G30" s="136"/>
      <x:c r="H30" s="136"/>
      <x:c r="I30" s="136"/>
      <x:c r="J30" s="136"/>
      <x:c r="K30" s="136"/>
      <x:c r="L30" s="136"/>
      <x:c r="M30" s="136"/>
      <x:c r="N30" s="136"/>
      <x:c r="O30" s="136"/>
      <x:c r="P30" s="136"/>
      <x:c r="Q30" s="136"/>
      <x:c r="R30" s="136"/>
      <x:c r="S30" s="136"/>
      <x:c r="T30" s="103"/>
      <x:c r="U30" s="103"/>
    </x:row>
    <x:row r="31" ht="24" customHeight="1">
      <x:c r="A31" s="103"/>
      <x:c r="B31" s="103"/>
      <x:c r="C31" s="103" t="str">
        <x:v>Opening legacy finance lease liability</x:v>
      </x:c>
      <x:c r="D31" s="103"/>
      <x:c r="E31" s="109" t="str">
        <x:v>n.a.</x:v>
      </x:c>
      <x:c r="F31" s="109" t="str">
        <x:v>n.a.</x:v>
      </x:c>
      <x:c r="G31" s="109" t="str">
        <x:v>n.a.</x:v>
      </x:c>
      <x:c r="H31" s="109" t="str">
        <x:v>n.a.</x:v>
      </x:c>
      <x:c r="I31" s="109" t="str">
        <x:v>n.a.</x:v>
      </x:c>
      <x:c r="J31" s="109" t="str">
        <x:v>n.a.</x:v>
      </x:c>
      <x:c r="K31" s="109" t="str">
        <x:v>n.a.</x:v>
      </x:c>
      <x:c r="L31" s="109" t="str">
        <x:v>n.a.</x:v>
      </x:c>
      <x:c r="M31" s="109" t="str">
        <x:v>n.a.</x:v>
      </x:c>
      <x:c r="N31" s="109" t="str">
        <x:v>n.a.</x:v>
      </x:c>
      <x:c r="O31" s="109" t="n">
        <x:f>'Filing Notes'!N12</x:f>
        <x:v>66594</x:v>
      </x:c>
      <x:c r="P31" s="109" t="n">
        <x:f>O35</x:f>
        <x:v>62469.729999999996</x:v>
      </x:c>
      <x:c r="Q31" s="109" t="n">
        <x:f>P35</x:f>
        <x:v>57986.867849999995</x:v>
      </x:c>
      <x:c r="R31" s="109" t="n">
        <x:f>Q35</x:f>
        <x:v>53928.27690324999</x:v>
      </x:c>
      <x:c r="S31" s="109" t="n">
        <x:f>R35</x:f>
        <x:v>49785.04936389624</x:v>
      </x:c>
      <x:c r="T31" s="103"/>
      <x:c r="U31" s="103"/>
    </x:row>
    <x:row r="32" ht="24" customHeight="1">
      <x:c r="A32" s="103"/>
      <x:c r="B32" s="103"/>
      <x:c r="C32" s="103" t="str">
        <x:v>Contractual legacy finance lease cash payments</x:v>
      </x:c>
      <x:c r="D32" s="103"/>
      <x:c r="E32" s="109" t="str">
        <x:v>n.a.</x:v>
      </x:c>
      <x:c r="F32" s="109" t="str">
        <x:v>n.a.</x:v>
      </x:c>
      <x:c r="G32" s="109" t="str">
        <x:v>n.a.</x:v>
      </x:c>
      <x:c r="H32" s="109" t="str">
        <x:v>n.a.</x:v>
      </x:c>
      <x:c r="I32" s="109" t="str">
        <x:v>n.a.</x:v>
      </x:c>
      <x:c r="J32" s="109" t="str">
        <x:v>n.a.</x:v>
      </x:c>
      <x:c r="K32" s="109" t="str">
        <x:v>n.a.</x:v>
      </x:c>
      <x:c r="L32" s="109" t="str">
        <x:v>n.a.</x:v>
      </x:c>
      <x:c r="M32" s="109" t="str">
        <x:v>n.a.</x:v>
      </x:c>
      <x:c r="N32" s="109" t="str">
        <x:v>n.a.</x:v>
      </x:c>
      <x:c r="O32" s="109" t="n">
        <x:f>'Filing Notes'!O40</x:f>
        <x:v>7121</x:v>
      </x:c>
      <x:c r="P32" s="109" t="n">
        <x:f>'Filing Notes'!P40</x:f>
        <x:v>7294</x:v>
      </x:c>
      <x:c r="Q32" s="109" t="n">
        <x:f>'Filing Notes'!Q40</x:f>
        <x:v>6668</x:v>
      </x:c>
      <x:c r="R32" s="109" t="n">
        <x:f>'Filing Notes'!R40</x:f>
        <x:v>6570</x:v>
      </x:c>
      <x:c r="S32" s="109" t="n">
        <x:f>'Filing Notes'!S40</x:f>
        <x:v>6543</x:v>
      </x:c>
      <x:c r="T32" s="103"/>
      <x:c r="U32" s="103"/>
    </x:row>
    <x:row r="33" ht="24" customHeight="1">
      <x:c r="A33" s="103"/>
      <x:c r="B33" s="103"/>
      <x:c r="C33" s="103" t="str">
        <x:v>Interest on legacy finance leases</x:v>
      </x:c>
      <x:c r="D33" s="103"/>
      <x:c r="E33" s="109" t="str">
        <x:v>n.a.</x:v>
      </x:c>
      <x:c r="F33" s="109" t="str">
        <x:v>n.a.</x:v>
      </x:c>
      <x:c r="G33" s="109" t="str">
        <x:v>n.a.</x:v>
      </x:c>
      <x:c r="H33" s="109" t="str">
        <x:v>n.a.</x:v>
      </x:c>
      <x:c r="I33" s="109" t="str">
        <x:v>n.a.</x:v>
      </x:c>
      <x:c r="J33" s="109" t="str">
        <x:v>n.a.</x:v>
      </x:c>
      <x:c r="K33" s="109" t="str">
        <x:v>n.a.</x:v>
      </x:c>
      <x:c r="L33" s="109" t="str">
        <x:v>n.a.</x:v>
      </x:c>
      <x:c r="M33" s="109" t="str">
        <x:v>n.a.</x:v>
      </x:c>
      <x:c r="N33" s="109" t="str">
        <x:v>n.a.</x:v>
      </x:c>
      <x:c r="O33" s="109" t="n">
        <x:f>O31*'Assumptions'!O141</x:f>
        <x:v>2996.73</x:v>
      </x:c>
      <x:c r="P33" s="109" t="n">
        <x:f>P31*'Assumptions'!P141</x:f>
        <x:v>2811.1378499999996</x:v>
      </x:c>
      <x:c r="Q33" s="109" t="n">
        <x:f>Q31*'Assumptions'!Q141</x:f>
        <x:v>2609.4090532499995</x:v>
      </x:c>
      <x:c r="R33" s="109" t="n">
        <x:f>R31*'Assumptions'!R141</x:f>
        <x:v>2426.77246064625</x:v>
      </x:c>
      <x:c r="S33" s="109" t="n">
        <x:f>S31*'Assumptions'!S141</x:f>
        <x:v>2240.3272213753307</x:v>
      </x:c>
      <x:c r="T33" s="103"/>
      <x:c r="U33" s="103"/>
    </x:row>
    <x:row r="34" ht="24" customHeight="1">
      <x:c r="A34" s="103"/>
      <x:c r="B34" s="103"/>
      <x:c r="C34" s="103" t="str">
        <x:v>Legacy finance lease principal payments</x:v>
      </x:c>
      <x:c r="D34" s="103"/>
      <x:c r="E34" s="109" t="str">
        <x:v>n.a.</x:v>
      </x:c>
      <x:c r="F34" s="109" t="str">
        <x:v>n.a.</x:v>
      </x:c>
      <x:c r="G34" s="109" t="str">
        <x:v>n.a.</x:v>
      </x:c>
      <x:c r="H34" s="109" t="str">
        <x:v>n.a.</x:v>
      </x:c>
      <x:c r="I34" s="109" t="str">
        <x:v>n.a.</x:v>
      </x:c>
      <x:c r="J34" s="109" t="str">
        <x:v>n.a.</x:v>
      </x:c>
      <x:c r="K34" s="109" t="str">
        <x:v>n.a.</x:v>
      </x:c>
      <x:c r="L34" s="109" t="str">
        <x:v>n.a.</x:v>
      </x:c>
      <x:c r="M34" s="109" t="str">
        <x:v>n.a.</x:v>
      </x:c>
      <x:c r="N34" s="109" t="str">
        <x:v>n.a.</x:v>
      </x:c>
      <x:c r="O34" s="109" t="n">
        <x:f>MIN(O31,MAX(0,O32-O33))</x:f>
        <x:v>4124.27</x:v>
      </x:c>
      <x:c r="P34" s="109" t="n">
        <x:f>MIN(P31,MAX(0,P32-P33))</x:f>
        <x:v>4482.862150000001</x:v>
      </x:c>
      <x:c r="Q34" s="109" t="n">
        <x:f>MIN(Q31,MAX(0,Q32-Q33))</x:f>
        <x:v>4058.5909467500005</x:v>
      </x:c>
      <x:c r="R34" s="109" t="n">
        <x:f>MIN(R31,MAX(0,R32-R33))</x:f>
        <x:v>4143.22753935375</x:v>
      </x:c>
      <x:c r="S34" s="109" t="n">
        <x:f>MIN(S31,MAX(0,S32-S33))</x:f>
        <x:v>4302.672778624669</x:v>
      </x:c>
      <x:c r="T34" s="103"/>
      <x:c r="U34" s="103"/>
    </x:row>
    <x:row r="35" ht="24" customHeight="1">
      <x:c r="A35" s="103"/>
      <x:c r="B35" s="103"/>
      <x:c r="C35" s="103" t="str">
        <x:v>Closing legacy finance lease liability</x:v>
      </x:c>
      <x:c r="D35" s="103"/>
      <x:c r="E35" s="109" t="str">
        <x:v>n.a.</x:v>
      </x:c>
      <x:c r="F35" s="109" t="str">
        <x:v>n.a.</x:v>
      </x:c>
      <x:c r="G35" s="109" t="str">
        <x:v>n.a.</x:v>
      </x:c>
      <x:c r="H35" s="109" t="str">
        <x:v>n.a.</x:v>
      </x:c>
      <x:c r="I35" s="109" t="str">
        <x:v>n.a.</x:v>
      </x:c>
      <x:c r="J35" s="109" t="str">
        <x:v>n.a.</x:v>
      </x:c>
      <x:c r="K35" s="109" t="str">
        <x:v>n.a.</x:v>
      </x:c>
      <x:c r="L35" s="109" t="str">
        <x:v>n.a.</x:v>
      </x:c>
      <x:c r="M35" s="109" t="str">
        <x:v>n.a.</x:v>
      </x:c>
      <x:c r="N35" s="109" t="str">
        <x:v>n.a.</x:v>
      </x:c>
      <x:c r="O35" s="109" t="n">
        <x:f>O31-O34</x:f>
        <x:v>62469.729999999996</x:v>
      </x:c>
      <x:c r="P35" s="109" t="n">
        <x:f>P31-P34</x:f>
        <x:v>57986.867849999995</x:v>
      </x:c>
      <x:c r="Q35" s="109" t="n">
        <x:f>Q31-Q34</x:f>
        <x:v>53928.27690324999</x:v>
      </x:c>
      <x:c r="R35" s="109" t="n">
        <x:f>R31-R34</x:f>
        <x:v>49785.04936389624</x:v>
      </x:c>
      <x:c r="S35" s="109" t="n">
        <x:f>S31-S34</x:f>
        <x:v>45482.37658527157</x:v>
      </x:c>
      <x:c r="T35" s="103"/>
      <x:c r="U35" s="103"/>
    </x:row>
    <x:row r="36" ht="24" customHeight="1">
      <x:c r="A36" s="103"/>
      <x:c r="B36" s="103"/>
      <x:c r="C36" s="103" t="str">
        <x:v>Opening new finance lease liability</x:v>
      </x:c>
      <x:c r="D36" s="103"/>
      <x:c r="E36" s="109" t="str">
        <x:v>n.a.</x:v>
      </x:c>
      <x:c r="F36" s="109" t="str">
        <x:v>n.a.</x:v>
      </x:c>
      <x:c r="G36" s="109" t="str">
        <x:v>n.a.</x:v>
      </x:c>
      <x:c r="H36" s="109" t="str">
        <x:v>n.a.</x:v>
      </x:c>
      <x:c r="I36" s="109" t="str">
        <x:v>n.a.</x:v>
      </x:c>
      <x:c r="J36" s="109" t="str">
        <x:v>n.a.</x:v>
      </x:c>
      <x:c r="K36" s="109" t="str">
        <x:v>n.a.</x:v>
      </x:c>
      <x:c r="L36" s="109" t="str">
        <x:v>n.a.</x:v>
      </x:c>
      <x:c r="M36" s="109" t="str">
        <x:v>n.a.</x:v>
      </x:c>
      <x:c r="N36" s="109" t="str">
        <x:v>n.a.</x:v>
      </x:c>
      <x:c r="O36" s="109" t="n">
        <x:f>0</x:f>
        <x:v>0</x:v>
      </x:c>
      <x:c r="P36" s="109" t="n">
        <x:f>O39</x:f>
        <x:v>27767.942307692312</x:v>
      </x:c>
      <x:c r="Q36" s="109" t="n">
        <x:f>P39</x:f>
        <x:v>55548.69767633137</x:v>
      </x:c>
      <x:c r="R36" s="109" t="n">
        <x:f>Q39</x:f>
        <x:v>83083.36570899819</x:v>
      </x:c>
      <x:c r="S36" s="109" t="n">
        <x:f>R39</x:f>
        <x:v>109998.2086306137</x:v>
      </x:c>
      <x:c r="T36" s="103"/>
      <x:c r="U36" s="103"/>
    </x:row>
    <x:row r="37" ht="24" customHeight="1">
      <x:c r="A37" s="103"/>
      <x:c r="B37" s="103"/>
      <x:c r="C37" s="103" t="str">
        <x:v>New finance lease assets and liabilities</x:v>
      </x:c>
      <x:c r="D37" s="103"/>
      <x:c r="E37" s="109" t="n">
        <x:f>'Filing Notes'!E14</x:f>
        <x:v>1773</x:v>
      </x:c>
      <x:c r="F37" s="109" t="n">
        <x:f>'Filing Notes'!F14</x:f>
        <x:v>1933</x:v>
      </x:c>
      <x:c r="G37" s="109" t="n">
        <x:f>'Filing Notes'!G14</x:f>
        <x:v>2532</x:v>
      </x:c>
      <x:c r="H37" s="109" t="n">
        <x:f>'Filing Notes'!H14</x:f>
        <x:v>3467</x:v>
      </x:c>
      <x:c r="I37" s="109" t="n">
        <x:f>'Filing Notes'!I14</x:f>
        <x:v>3290</x:v>
      </x:c>
      <x:c r="J37" s="109" t="n">
        <x:f>'Filing Notes'!J14</x:f>
        <x:v>4234</x:v>
      </x:c>
      <x:c r="K37" s="109" t="n">
        <x:f>'Filing Notes'!K14</x:f>
        <x:v>3128</x:v>
      </x:c>
      <x:c r="L37" s="109" t="n">
        <x:f>'Filing Notes'!L14</x:f>
        <x:v>11633</x:v>
      </x:c>
      <x:c r="M37" s="109" t="n">
        <x:f>'Filing Notes'!M14</x:f>
        <x:v>20511</x:v>
      </x:c>
      <x:c r="N37" s="109" t="n">
        <x:f>'Filing Notes'!N14</x:f>
        <x:v>24608</x:v>
      </x:c>
      <x:c r="O37" s="109" t="n">
        <x:f>'Income Statement'!O8*'Assumptions'!O53</x:f>
        <x:v>28878.660000000003</x:v>
      </x:c>
      <x:c r="P37" s="109" t="n">
        <x:f>'Income Statement'!P8*'Assumptions'!P53</x:f>
        <x:v>31113.420968000006</x:v>
      </x:c>
      <x:c r="Q37" s="109" t="n">
        <x:f>'Income Statement'!Q8*'Assumptions'!Q53</x:f>
        <x:v>33079.95056808</x:v>
      </x:c>
      <x:c r="R37" s="109" t="n">
        <x:f>'Income Statement'!R8*'Assumptions'!R53</x:f>
        <x:v>34638.1058952</x:v>
      </x:c>
      <x:c r="S37" s="109" t="n">
        <x:f>'Income Statement'!S8*'Assumptions'!S53</x:f>
        <x:v>35645.893304663135</x:v>
      </x:c>
      <x:c r="T37" s="103"/>
      <x:c r="U37" s="103"/>
    </x:row>
    <x:row r="38" ht="24" customHeight="1">
      <x:c r="A38" s="103"/>
      <x:c r="B38" s="103"/>
      <x:c r="C38" s="103" t="str">
        <x:v>Principal payments on new finance leases</x:v>
      </x:c>
      <x:c r="D38" s="103"/>
      <x:c r="E38" s="109" t="str">
        <x:v>n.a.</x:v>
      </x:c>
      <x:c r="F38" s="109" t="str">
        <x:v>n.a.</x:v>
      </x:c>
      <x:c r="G38" s="109" t="str">
        <x:v>n.a.</x:v>
      </x:c>
      <x:c r="H38" s="109" t="str">
        <x:v>n.a.</x:v>
      </x:c>
      <x:c r="I38" s="109" t="str">
        <x:v>n.a.</x:v>
      </x:c>
      <x:c r="J38" s="109" t="str">
        <x:v>n.a.</x:v>
      </x:c>
      <x:c r="K38" s="109" t="str">
        <x:v>n.a.</x:v>
      </x:c>
      <x:c r="L38" s="109" t="str">
        <x:v>n.a.</x:v>
      </x:c>
      <x:c r="M38" s="109" t="str">
        <x:v>n.a.</x:v>
      </x:c>
      <x:c r="N38" s="109" t="str">
        <x:v>n.a.</x:v>
      </x:c>
      <x:c r="O38" s="109" t="n">
        <x:f>MIN(O36+O37,O36/'Assumptions'!O149+0.5*O37/'Assumptions'!O149)</x:f>
        <x:v>1110.7176923076925</x:v>
      </x:c>
      <x:c r="P38" s="109" t="n">
        <x:f>MIN(P36+P37,P36/'Assumptions'!P149+0.5*P37/'Assumptions'!P149)</x:f>
        <x:v>3332.6655993609475</x:v>
      </x:c>
      <x:c r="Q38" s="109" t="n">
        <x:f>MIN(Q36+Q37,Q36/'Assumptions'!Q149+0.5*Q37/'Assumptions'!Q149)</x:f>
        <x:v>5545.282535413182</x:v>
      </x:c>
      <x:c r="R38" s="109" t="n">
        <x:f>MIN(R36+R37,R36/'Assumptions'!R149+0.5*R37/'Assumptions'!R149)</x:f>
        <x:v>7723.262973584476</x:v>
      </x:c>
      <x:c r="S38" s="109" t="n">
        <x:f>MIN(S36+S37,S36/'Assumptions'!S149+0.5*S37/'Assumptions'!S149)</x:f>
        <x:v>9832.39656022656</x:v>
      </x:c>
      <x:c r="T38" s="103"/>
      <x:c r="U38" s="103"/>
    </x:row>
    <x:row r="39" ht="24" customHeight="1">
      <x:c r="A39" s="103"/>
      <x:c r="B39" s="103"/>
      <x:c r="C39" s="103" t="str">
        <x:v>Closing new finance lease liability</x:v>
      </x:c>
      <x:c r="D39" s="103"/>
      <x:c r="E39" s="109" t="str">
        <x:v>n.a.</x:v>
      </x:c>
      <x:c r="F39" s="109" t="str">
        <x:v>n.a.</x:v>
      </x:c>
      <x:c r="G39" s="109" t="str">
        <x:v>n.a.</x:v>
      </x:c>
      <x:c r="H39" s="109" t="str">
        <x:v>n.a.</x:v>
      </x:c>
      <x:c r="I39" s="109" t="str">
        <x:v>n.a.</x:v>
      </x:c>
      <x:c r="J39" s="109" t="str">
        <x:v>n.a.</x:v>
      </x:c>
      <x:c r="K39" s="109" t="str">
        <x:v>n.a.</x:v>
      </x:c>
      <x:c r="L39" s="109" t="str">
        <x:v>n.a.</x:v>
      </x:c>
      <x:c r="M39" s="109" t="str">
        <x:v>n.a.</x:v>
      </x:c>
      <x:c r="N39" s="109" t="str">
        <x:v>n.a.</x:v>
      </x:c>
      <x:c r="O39" s="109" t="n">
        <x:f>O36+O37-O38</x:f>
        <x:v>27767.942307692312</x:v>
      </x:c>
      <x:c r="P39" s="109" t="n">
        <x:f>P36+P37-P38</x:f>
        <x:v>55548.69767633137</x:v>
      </x:c>
      <x:c r="Q39" s="109" t="n">
        <x:f>Q36+Q37-Q38</x:f>
        <x:v>83083.36570899819</x:v>
      </x:c>
      <x:c r="R39" s="109" t="n">
        <x:f>R36+R37-R38</x:f>
        <x:v>109998.2086306137</x:v>
      </x:c>
      <x:c r="S39" s="109" t="n">
        <x:f>S36+S37-S38</x:f>
        <x:v>135811.70537505028</x:v>
      </x:c>
      <x:c r="T39" s="103"/>
      <x:c r="U39" s="103"/>
    </x:row>
    <x:row r="40" ht="24" customHeight="1">
      <x:c r="A40" s="103"/>
      <x:c r="B40" s="103"/>
      <x:c r="C40" s="103" t="str">
        <x:v>Total finance lease interest</x:v>
      </x:c>
      <x:c r="D40" s="103"/>
      <x:c r="E40" s="109" t="str">
        <x:v>n.a.</x:v>
      </x:c>
      <x:c r="F40" s="109" t="str">
        <x:v>n.a.</x:v>
      </x:c>
      <x:c r="G40" s="109" t="str">
        <x:v>n.a.</x:v>
      </x:c>
      <x:c r="H40" s="109" t="str">
        <x:v>n.a.</x:v>
      </x:c>
      <x:c r="I40" s="109" t="str">
        <x:v>n.a.</x:v>
      </x:c>
      <x:c r="J40" s="109" t="str">
        <x:v>n.a.</x:v>
      </x:c>
      <x:c r="K40" s="109" t="str">
        <x:v>n.a.</x:v>
      </x:c>
      <x:c r="L40" s="109" t="str">
        <x:v>n.a.</x:v>
      </x:c>
      <x:c r="M40" s="109" t="str">
        <x:v>n.a.</x:v>
      </x:c>
      <x:c r="N40" s="109" t="str">
        <x:v>n.a.</x:v>
      </x:c>
      <x:c r="O40" s="109" t="n">
        <x:f>O33+(O36+0.5*O37)*'Assumptions'!O141</x:f>
        <x:v>3646.49985</x:v>
      </x:c>
      <x:c r="P40" s="109" t="n">
        <x:f>P33+(P36+0.5*P37)*'Assumptions'!P141</x:f>
        <x:v>4760.7472256261535</x:v>
      </x:c>
      <x:c r="Q40" s="109" t="n">
        <x:f>Q33+(Q36+0.5*Q37)*'Assumptions'!Q141</x:f>
        <x:v>5853.399336466711</x:v>
      </x:c>
      <x:c r="R40" s="109" t="n">
        <x:f>R33+(R36+0.5*R37)*'Assumptions'!R141</x:f>
        <x:v>6944.8813001931685</x:v>
      </x:c>
      <x:c r="S40" s="109" t="n">
        <x:f>S33+(S36+0.5*S37)*'Assumptions'!S141</x:f>
        <x:v>7992.279209107867</x:v>
      </x:c>
      <x:c r="T40" s="103"/>
      <x:c r="U40" s="103"/>
    </x:row>
    <x:row r="41" ht="24" customHeight="1">
      <x:c r="A41" s="103"/>
      <x:c r="B41" s="103"/>
      <x:c r="C41" s="174" t="str">
        <x:v>Total finance lease principal payments</x:v>
      </x:c>
      <x:c r="D41" s="174"/>
      <x:c r="E41" s="175" t="n">
        <x:f>'Filing Notes'!E13</x:f>
        <x:v>46</x:v>
      </x:c>
      <x:c r="F41" s="175" t="n">
        <x:f>'Filing Notes'!F13</x:f>
        <x:v>144</x:v>
      </x:c>
      <x:c r="G41" s="175" t="n">
        <x:f>'Filing Notes'!G13</x:f>
        <x:v>221</x:v>
      </x:c>
      <x:c r="H41" s="175" t="n">
        <x:f>'Filing Notes'!H13</x:f>
        <x:v>409</x:v>
      </x:c>
      <x:c r="I41" s="175" t="n">
        <x:f>'Filing Notes'!I13</x:f>
        <x:v>648</x:v>
      </x:c>
      <x:c r="J41" s="175" t="n">
        <x:f>'Filing Notes'!J13</x:f>
        <x:v>896</x:v>
      </x:c>
      <x:c r="K41" s="175" t="n">
        <x:f>'Filing Notes'!K13</x:f>
        <x:v>1056</x:v>
      </x:c>
      <x:c r="L41" s="175" t="n">
        <x:f>'Filing Notes'!L13</x:f>
        <x:v>1286</x:v>
      </x:c>
      <x:c r="M41" s="175" t="n">
        <x:f>'Filing Notes'!M13</x:f>
        <x:v>2283</x:v>
      </x:c>
      <x:c r="N41" s="175" t="n">
        <x:f>'Filing Notes'!N13</x:f>
        <x:v>3101</x:v>
      </x:c>
      <x:c r="O41" s="175" t="n">
        <x:f>O34+O38</x:f>
        <x:v>5234.987692307693</x:v>
      </x:c>
      <x:c r="P41" s="175" t="n">
        <x:f>P34+P38</x:f>
        <x:v>7815.527749360948</x:v>
      </x:c>
      <x:c r="Q41" s="175" t="n">
        <x:f>Q34+Q38</x:f>
        <x:v>9603.873482163182</x:v>
      </x:c>
      <x:c r="R41" s="175" t="n">
        <x:f>R34+R38</x:f>
        <x:v>11866.490512938226</x:v>
      </x:c>
      <x:c r="S41" s="175" t="n">
        <x:f>S34+S38</x:f>
        <x:v>14135.06933885123</x:v>
      </x:c>
      <x:c r="T41" s="103"/>
      <x:c r="U41" s="103"/>
    </x:row>
    <x:row r="42" ht="24" customHeight="1">
      <x:c r="A42" s="103"/>
      <x:c r="B42" s="103"/>
      <x:c r="C42" s="174" t="str">
        <x:v>Total finance lease liabilities</x:v>
      </x:c>
      <x:c r="D42" s="174"/>
      <x:c r="E42" s="175" t="n">
        <x:f>'Filing Notes'!E12</x:f>
        <x:v>2538</x:v>
      </x:c>
      <x:c r="F42" s="175" t="n">
        <x:f>'Filing Notes'!F12</x:f>
        <x:v>4301</x:v>
      </x:c>
      <x:c r="G42" s="175" t="n">
        <x:f>'Filing Notes'!G12</x:f>
        <x:v>6574</x:v>
      </x:c>
      <x:c r="H42" s="175" t="n">
        <x:f>'Filing Notes'!H12</x:f>
        <x:v>9496</x:v>
      </x:c>
      <x:c r="I42" s="175" t="n">
        <x:f>'Filing Notes'!I12</x:f>
        <x:v>12541</x:v>
      </x:c>
      <x:c r="J42" s="175" t="n">
        <x:f>'Filing Notes'!J12</x:f>
        <x:v>14902</x:v>
      </x:c>
      <x:c r="K42" s="175" t="n">
        <x:f>'Filing Notes'!K12</x:f>
        <x:v>17067</x:v>
      </x:c>
      <x:c r="L42" s="175" t="n">
        <x:f>'Filing Notes'!L12</x:f>
        <x:v>27145</x:v>
      </x:c>
      <x:c r="M42" s="175" t="n">
        <x:f>'Filing Notes'!M12</x:f>
        <x:v>46172</x:v>
      </x:c>
      <x:c r="N42" s="175" t="n">
        <x:f>'Filing Notes'!N12</x:f>
        <x:v>66594</x:v>
      </x:c>
      <x:c r="O42" s="175" t="n">
        <x:f>O35+O39</x:f>
        <x:v>90237.67230769231</x:v>
      </x:c>
      <x:c r="P42" s="175" t="n">
        <x:f>P35+P39</x:f>
        <x:v>113535.56552633137</x:v>
      </x:c>
      <x:c r="Q42" s="175" t="n">
        <x:f>Q35+Q39</x:f>
        <x:v>137011.6426122482</x:v>
      </x:c>
      <x:c r="R42" s="175" t="n">
        <x:f>R35+R39</x:f>
        <x:v>159783.25799450994</x:v>
      </x:c>
      <x:c r="S42" s="175" t="n">
        <x:f>S35+S39</x:f>
        <x:v>181294.08196032187</x:v>
      </x:c>
      <x:c r="T42" s="103"/>
      <x:c r="U42" s="103"/>
    </x:row>
    <x:row r="43" ht="24" customHeight="1">
      <x:c r="A43" s="103"/>
      <x:c r="B43" s="103"/>
      <x:c r="C43" s="103" t="str">
        <x:v>Current finance lease liabilities</x:v>
      </x:c>
      <x:c r="D43" s="103"/>
      <x:c r="E43" s="109" t="str">
        <x:v>n.a.</x:v>
      </x:c>
      <x:c r="F43" s="109" t="str">
        <x:v>n.a.</x:v>
      </x:c>
      <x:c r="G43" s="109" t="str">
        <x:v>n.a.</x:v>
      </x:c>
      <x:c r="H43" s="109" t="str">
        <x:v>n.a.</x:v>
      </x:c>
      <x:c r="I43" s="109" t="str">
        <x:v>n.a.</x:v>
      </x:c>
      <x:c r="J43" s="109" t="str">
        <x:v>n.a.</x:v>
      </x:c>
      <x:c r="K43" s="109" t="str">
        <x:v>n.a.</x:v>
      </x:c>
      <x:c r="L43" s="109" t="str">
        <x:v>n.a.</x:v>
      </x:c>
      <x:c r="M43" s="109" t="str">
        <x:v>n.a.</x:v>
      </x:c>
      <x:c r="N43" s="109" t="n">
        <x:f>'Filing Notes'!N29</x:f>
        <x:v>4290</x:v>
      </x:c>
      <x:c r="O43" s="109" t="n">
        <x:f>MIN(O42,MAX(0,O45-O35*'Assumptions'!O141)+O39/'Assumptions'!O149)</x:f>
        <x:v>6618.857712130179</x:v>
      </x:c>
      <x:c r="P43" s="109" t="n">
        <x:f>MIN(P42,MAX(0,P45-P35*'Assumptions'!P141)+P39/'Assumptions'!P149)</x:f>
        <x:v>8331.567691083183</x:v>
      </x:c>
      <x:c r="Q43" s="109" t="n">
        <x:f>MIN(Q42,MAX(0,Q45-Q35*'Assumptions'!Q141)+Q39/'Assumptions'!Q149)</x:f>
        <x:v>10534.25567081515</x:v>
      </x:c>
      <x:c r="R43" s="109" t="n">
        <x:f>MIN(R42,MAX(0,R45-R35*'Assumptions'!R141)+R39/'Assumptions'!R149)</x:f>
        <x:v>12764.07344251803</x:v>
      </x:c>
      <x:c r="S43" s="109" t="n">
        <x:f>MIN(S42,MAX(0,S45-S35*'Assumptions'!S141)+S39/'Assumptions'!S149)</x:f>
        <x:v>14900.34731328203</x:v>
      </x:c>
      <x:c r="T43" s="103"/>
      <x:c r="U43" s="103"/>
    </x:row>
    <x:row r="44" ht="24" customHeight="1">
      <x:c r="A44" s="103"/>
      <x:c r="B44" s="103"/>
      <x:c r="C44" s="103" t="str">
        <x:v>Long-term finance lease liabilities</x:v>
      </x:c>
      <x:c r="D44" s="103"/>
      <x:c r="E44" s="109" t="str">
        <x:v>n.a.</x:v>
      </x:c>
      <x:c r="F44" s="109" t="str">
        <x:v>n.a.</x:v>
      </x:c>
      <x:c r="G44" s="109" t="str">
        <x:v>n.a.</x:v>
      </x:c>
      <x:c r="H44" s="109" t="str">
        <x:v>n.a.</x:v>
      </x:c>
      <x:c r="I44" s="109" t="str">
        <x:v>n.a.</x:v>
      </x:c>
      <x:c r="J44" s="109" t="str">
        <x:v>n.a.</x:v>
      </x:c>
      <x:c r="K44" s="109" t="str">
        <x:v>n.a.</x:v>
      </x:c>
      <x:c r="L44" s="109" t="str">
        <x:v>n.a.</x:v>
      </x:c>
      <x:c r="M44" s="109" t="str">
        <x:v>n.a.</x:v>
      </x:c>
      <x:c r="N44" s="109" t="n">
        <x:f>'Filing Notes'!N30</x:f>
        <x:v>62304</x:v>
      </x:c>
      <x:c r="O44" s="109" t="n">
        <x:f>O42-O43</x:f>
        <x:v>83618.81459556213</x:v>
      </x:c>
      <x:c r="P44" s="109" t="n">
        <x:f>P42-P43</x:f>
        <x:v>105203.99783524818</x:v>
      </x:c>
      <x:c r="Q44" s="109" t="n">
        <x:f>Q42-Q43</x:f>
        <x:v>126477.38694143304</x:v>
      </x:c>
      <x:c r="R44" s="109" t="n">
        <x:f>R42-R43</x:f>
        <x:v>147019.1845519919</x:v>
      </x:c>
      <x:c r="S44" s="109" t="n">
        <x:f>S42-S43</x:f>
        <x:v>166393.73464703985</x:v>
      </x:c>
      <x:c r="T44" s="103"/>
      <x:c r="U44" s="103"/>
    </x:row>
    <x:row r="45" ht="24" customHeight="1">
      <x:c r="A45" s="103"/>
      <x:c r="B45" s="103"/>
      <x:c r="C45" s="103" t="str">
        <x:v>Next year legacy finance lease cash payments</x:v>
      </x:c>
      <x:c r="D45" s="103"/>
      <x:c r="E45" s="109" t="str">
        <x:v>n.a.</x:v>
      </x:c>
      <x:c r="F45" s="109" t="str">
        <x:v>n.a.</x:v>
      </x:c>
      <x:c r="G45" s="109" t="str">
        <x:v>n.a.</x:v>
      </x:c>
      <x:c r="H45" s="109" t="str">
        <x:v>n.a.</x:v>
      </x:c>
      <x:c r="I45" s="109" t="str">
        <x:v>n.a.</x:v>
      </x:c>
      <x:c r="J45" s="109" t="str">
        <x:v>n.a.</x:v>
      </x:c>
      <x:c r="K45" s="109" t="str">
        <x:v>n.a.</x:v>
      </x:c>
      <x:c r="L45" s="109" t="str">
        <x:v>n.a.</x:v>
      </x:c>
      <x:c r="M45" s="109" t="str">
        <x:v>n.a.</x:v>
      </x:c>
      <x:c r="N45" s="109" t="str">
        <x:v>n.a.</x:v>
      </x:c>
      <x:c r="O45" s="109" t="n">
        <x:f>'Filing Notes'!P40</x:f>
        <x:v>7294</x:v>
      </x:c>
      <x:c r="P45" s="109" t="n">
        <x:f>'Filing Notes'!Q40</x:f>
        <x:v>6668</x:v>
      </x:c>
      <x:c r="Q45" s="109" t="n">
        <x:f>'Filing Notes'!R40</x:f>
        <x:v>6570</x:v>
      </x:c>
      <x:c r="R45" s="109" t="n">
        <x:f>'Filing Notes'!S40</x:f>
        <x:v>6543</x:v>
      </x:c>
      <x:c r="S45" s="109" t="n">
        <x:f>'Assumptions'!O213</x:f>
        <x:v>6500</x:v>
      </x:c>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36" t="str">
        <x:v>Operating leases</x:v>
      </x:c>
      <x:c r="D47" s="136"/>
      <x:c r="E47" s="136"/>
      <x:c r="F47" s="136"/>
      <x:c r="G47" s="136"/>
      <x:c r="H47" s="136"/>
      <x:c r="I47" s="136"/>
      <x:c r="J47" s="136"/>
      <x:c r="K47" s="136"/>
      <x:c r="L47" s="136"/>
      <x:c r="M47" s="136"/>
      <x:c r="N47" s="136"/>
      <x:c r="O47" s="136"/>
      <x:c r="P47" s="136"/>
      <x:c r="Q47" s="136"/>
      <x:c r="R47" s="136"/>
      <x:c r="S47" s="136"/>
      <x:c r="T47" s="103"/>
      <x:c r="U47" s="103"/>
    </x:row>
    <x:row r="48" ht="24" customHeight="1">
      <x:c r="A48" s="103"/>
      <x:c r="B48" s="103"/>
      <x:c r="C48" s="103" t="str">
        <x:v>Opening legacy operating ROU assets</x:v>
      </x:c>
      <x:c r="D48" s="103"/>
      <x:c r="E48" s="109" t="str">
        <x:v>n.a.</x:v>
      </x:c>
      <x:c r="F48" s="109" t="str">
        <x:v>n.a.</x:v>
      </x:c>
      <x:c r="G48" s="109" t="str">
        <x:v>n.a.</x:v>
      </x:c>
      <x:c r="H48" s="109" t="str">
        <x:v>n.a.</x:v>
      </x:c>
      <x:c r="I48" s="109" t="str">
        <x:v>n.a.</x:v>
      </x:c>
      <x:c r="J48" s="109" t="str">
        <x:v>n.a.</x:v>
      </x:c>
      <x:c r="K48" s="109" t="str">
        <x:v>n.a.</x:v>
      </x:c>
      <x:c r="L48" s="109" t="str">
        <x:v>n.a.</x:v>
      </x:c>
      <x:c r="M48" s="109" t="str">
        <x:v>n.a.</x:v>
      </x:c>
      <x:c r="N48" s="109" t="str">
        <x:v>n.a.</x:v>
      </x:c>
      <x:c r="O48" s="109" t="n">
        <x:f>'Historical Inputs'!N36</x:f>
        <x:v>24177</x:v>
      </x:c>
      <x:c r="P48" s="109" t="n">
        <x:f>O50</x:f>
        <x:v>20147.5</x:v>
      </x:c>
      <x:c r="Q48" s="109" t="n">
        <x:f>P50</x:f>
        <x:v>16118</x:v>
      </x:c>
      <x:c r="R48" s="109" t="n">
        <x:f>Q50</x:f>
        <x:v>12088.5</x:v>
      </x:c>
      <x:c r="S48" s="109" t="n">
        <x:f>R50</x:f>
        <x:v>8059</x:v>
      </x:c>
      <x:c r="T48" s="103"/>
      <x:c r="U48" s="103"/>
    </x:row>
    <x:row r="49" ht="24" customHeight="1">
      <x:c r="A49" s="103"/>
      <x:c r="B49" s="103"/>
      <x:c r="C49" s="103" t="str">
        <x:v>Legacy operating ROU amortization</x:v>
      </x:c>
      <x:c r="D49" s="103"/>
      <x:c r="E49" s="109" t="str">
        <x:v>n.a.</x:v>
      </x:c>
      <x:c r="F49" s="109" t="str">
        <x:v>n.a.</x:v>
      </x:c>
      <x:c r="G49" s="109" t="str">
        <x:v>n.a.</x:v>
      </x:c>
      <x:c r="H49" s="109" t="str">
        <x:v>n.a.</x:v>
      </x:c>
      <x:c r="I49" s="109" t="str">
        <x:v>n.a.</x:v>
      </x:c>
      <x:c r="J49" s="109" t="str">
        <x:v>n.a.</x:v>
      </x:c>
      <x:c r="K49" s="109" t="str">
        <x:v>n.a.</x:v>
      </x:c>
      <x:c r="L49" s="109" t="str">
        <x:v>n.a.</x:v>
      </x:c>
      <x:c r="M49" s="109" t="str">
        <x:v>n.a.</x:v>
      </x:c>
      <x:c r="N49" s="109" t="str">
        <x:v>n.a.</x:v>
      </x:c>
      <x:c r="O49" s="109" t="n">
        <x:f>MIN(O48,'Historical Inputs'!N36/'Assumptions'!O157)</x:f>
        <x:v>4029.5</x:v>
      </x:c>
      <x:c r="P49" s="109" t="n">
        <x:f>MIN(P48,'Historical Inputs'!N36/'Assumptions'!P157)</x:f>
        <x:v>4029.5</x:v>
      </x:c>
      <x:c r="Q49" s="109" t="n">
        <x:f>MIN(Q48,'Historical Inputs'!N36/'Assumptions'!Q157)</x:f>
        <x:v>4029.5</x:v>
      </x:c>
      <x:c r="R49" s="109" t="n">
        <x:f>MIN(R48,'Historical Inputs'!N36/'Assumptions'!R157)</x:f>
        <x:v>4029.5</x:v>
      </x:c>
      <x:c r="S49" s="109" t="n">
        <x:f>MIN(S48,'Historical Inputs'!N36/'Assumptions'!S157)</x:f>
        <x:v>4029.5</x:v>
      </x:c>
      <x:c r="T49" s="103"/>
      <x:c r="U49" s="103"/>
    </x:row>
    <x:row r="50" ht="24" customHeight="1">
      <x:c r="A50" s="103"/>
      <x:c r="B50" s="103"/>
      <x:c r="C50" s="103" t="str">
        <x:v>Closing legacy operating ROU assets</x:v>
      </x:c>
      <x:c r="D50" s="103"/>
      <x:c r="E50" s="109" t="str">
        <x:v>n.a.</x:v>
      </x:c>
      <x:c r="F50" s="109" t="str">
        <x:v>n.a.</x:v>
      </x:c>
      <x:c r="G50" s="109" t="str">
        <x:v>n.a.</x:v>
      </x:c>
      <x:c r="H50" s="109" t="str">
        <x:v>n.a.</x:v>
      </x:c>
      <x:c r="I50" s="109" t="str">
        <x:v>n.a.</x:v>
      </x:c>
      <x:c r="J50" s="109" t="str">
        <x:v>n.a.</x:v>
      </x:c>
      <x:c r="K50" s="109" t="str">
        <x:v>n.a.</x:v>
      </x:c>
      <x:c r="L50" s="109" t="str">
        <x:v>n.a.</x:v>
      </x:c>
      <x:c r="M50" s="109" t="str">
        <x:v>n.a.</x:v>
      </x:c>
      <x:c r="N50" s="109" t="str">
        <x:v>n.a.</x:v>
      </x:c>
      <x:c r="O50" s="109" t="n">
        <x:f>O48-O49</x:f>
        <x:v>20147.5</x:v>
      </x:c>
      <x:c r="P50" s="109" t="n">
        <x:f>P48-P49</x:f>
        <x:v>16118</x:v>
      </x:c>
      <x:c r="Q50" s="109" t="n">
        <x:f>Q48-Q49</x:f>
        <x:v>12088.5</x:v>
      </x:c>
      <x:c r="R50" s="109" t="n">
        <x:f>R48-R49</x:f>
        <x:v>8059</x:v>
      </x:c>
      <x:c r="S50" s="109" t="n">
        <x:f>S48-S49</x:f>
        <x:v>4029.5</x:v>
      </x:c>
      <x:c r="T50" s="103"/>
      <x:c r="U50" s="103"/>
    </x:row>
    <x:row r="51" ht="24" customHeight="1">
      <x:c r="A51" s="103"/>
      <x:c r="B51" s="103"/>
      <x:c r="C51" s="103" t="str">
        <x:v>Opening legacy operating lease liability</x:v>
      </x:c>
      <x:c r="D51" s="103"/>
      <x:c r="E51" s="109" t="str">
        <x:v>n.a.</x:v>
      </x:c>
      <x:c r="F51" s="109" t="str">
        <x:v>n.a.</x:v>
      </x:c>
      <x:c r="G51" s="109" t="str">
        <x:v>n.a.</x:v>
      </x:c>
      <x:c r="H51" s="109" t="str">
        <x:v>n.a.</x:v>
      </x:c>
      <x:c r="I51" s="109" t="str">
        <x:v>n.a.</x:v>
      </x:c>
      <x:c r="J51" s="109" t="str">
        <x:v>n.a.</x:v>
      </x:c>
      <x:c r="K51" s="109" t="str">
        <x:v>n.a.</x:v>
      </x:c>
      <x:c r="L51" s="109" t="str">
        <x:v>n.a.</x:v>
      </x:c>
      <x:c r="M51" s="109" t="str">
        <x:v>n.a.</x:v>
      </x:c>
      <x:c r="N51" s="109" t="str">
        <x:v>n.a.</x:v>
      </x:c>
      <x:c r="O51" s="109" t="n">
        <x:f>'Filing Notes'!N15</x:f>
        <x:v>21925</x:v>
      </x:c>
      <x:c r="P51" s="109" t="n">
        <x:f>O55</x:f>
        <x:v>16654.225</x:v>
      </x:c>
      <x:c r="Q51" s="109" t="n">
        <x:f>P55</x:f>
        <x:v>12936.431324999998</x:v>
      </x:c>
      <x:c r="R51" s="109" t="n">
        <x:f>Q55</x:f>
        <x:v>10269.079284024998</x:v>
      </x:c>
      <x:c r="S51" s="109" t="n">
        <x:f>R55</x:f>
        <x:v>8037.035217533923</x:v>
      </x:c>
      <x:c r="T51" s="103"/>
      <x:c r="U51" s="103"/>
    </x:row>
    <x:row r="52" ht="24" customHeight="1">
      <x:c r="A52" s="103"/>
      <x:c r="B52" s="103"/>
      <x:c r="C52" s="103" t="str">
        <x:v>Contractual legacy operating lease cash payments</x:v>
      </x:c>
      <x:c r="D52" s="103"/>
      <x:c r="E52" s="109" t="str">
        <x:v>n.a.</x:v>
      </x:c>
      <x:c r="F52" s="109" t="str">
        <x:v>n.a.</x:v>
      </x:c>
      <x:c r="G52" s="109" t="str">
        <x:v>n.a.</x:v>
      </x:c>
      <x:c r="H52" s="109" t="str">
        <x:v>n.a.</x:v>
      </x:c>
      <x:c r="I52" s="109" t="str">
        <x:v>n.a.</x:v>
      </x:c>
      <x:c r="J52" s="109" t="str">
        <x:v>n.a.</x:v>
      </x:c>
      <x:c r="K52" s="109" t="str">
        <x:v>n.a.</x:v>
      </x:c>
      <x:c r="L52" s="109" t="str">
        <x:v>n.a.</x:v>
      </x:c>
      <x:c r="M52" s="109" t="str">
        <x:v>n.a.</x:v>
      </x:c>
      <x:c r="N52" s="109" t="str">
        <x:v>n.a.</x:v>
      </x:c>
      <x:c r="O52" s="109" t="n">
        <x:f>'Filing Notes'!O39</x:f>
        <x:v>6082</x:v>
      </x:c>
      <x:c r="P52" s="109" t="n">
        <x:f>'Filing Notes'!P39</x:f>
        <x:v>4334</x:v>
      </x:c>
      <x:c r="Q52" s="109" t="n">
        <x:f>'Filing Notes'!Q39</x:f>
        <x:v>3146</x:v>
      </x:c>
      <x:c r="R52" s="109" t="n">
        <x:f>'Filing Notes'!R39</x:f>
        <x:v>2612</x:v>
      </x:c>
      <x:c r="S52" s="109" t="n">
        <x:f>'Filing Notes'!S39</x:f>
        <x:v>2316</x:v>
      </x:c>
      <x:c r="T52" s="103"/>
      <x:c r="U52" s="103"/>
    </x:row>
    <x:row r="53" ht="24" customHeight="1">
      <x:c r="A53" s="103"/>
      <x:c r="B53" s="103"/>
      <x:c r="C53" s="103" t="str">
        <x:v>Interest component of legacy operating leases</x:v>
      </x:c>
      <x:c r="D53" s="103"/>
      <x:c r="E53" s="109" t="str">
        <x:v>n.a.</x:v>
      </x:c>
      <x:c r="F53" s="109" t="str">
        <x:v>n.a.</x:v>
      </x:c>
      <x:c r="G53" s="109" t="str">
        <x:v>n.a.</x:v>
      </x:c>
      <x:c r="H53" s="109" t="str">
        <x:v>n.a.</x:v>
      </x:c>
      <x:c r="I53" s="109" t="str">
        <x:v>n.a.</x:v>
      </x:c>
      <x:c r="J53" s="109" t="str">
        <x:v>n.a.</x:v>
      </x:c>
      <x:c r="K53" s="109" t="str">
        <x:v>n.a.</x:v>
      </x:c>
      <x:c r="L53" s="109" t="str">
        <x:v>n.a.</x:v>
      </x:c>
      <x:c r="M53" s="109" t="str">
        <x:v>n.a.</x:v>
      </x:c>
      <x:c r="N53" s="109" t="str">
        <x:v>n.a.</x:v>
      </x:c>
      <x:c r="O53" s="109" t="n">
        <x:f>O51*'Assumptions'!O145</x:f>
        <x:v>811.2249999999999</x:v>
      </x:c>
      <x:c r="P53" s="109" t="n">
        <x:f>P51*'Assumptions'!P145</x:f>
        <x:v>616.2063249999999</x:v>
      </x:c>
      <x:c r="Q53" s="109" t="n">
        <x:f>Q51*'Assumptions'!Q145</x:f>
        <x:v>478.6479590249999</x:v>
      </x:c>
      <x:c r="R53" s="109" t="n">
        <x:f>R51*'Assumptions'!R145</x:f>
        <x:v>379.9559335089249</x:v>
      </x:c>
      <x:c r="S53" s="109" t="n">
        <x:f>S51*'Assumptions'!S145</x:f>
        <x:v>297.37030304875515</x:v>
      </x:c>
      <x:c r="T53" s="103"/>
      <x:c r="U53" s="103"/>
    </x:row>
    <x:row r="54" ht="24" customHeight="1">
      <x:c r="A54" s="103"/>
      <x:c r="B54" s="103"/>
      <x:c r="C54" s="103" t="str">
        <x:v>Legacy operating lease principal reduction</x:v>
      </x:c>
      <x:c r="D54" s="103"/>
      <x:c r="E54" s="109" t="str">
        <x:v>n.a.</x:v>
      </x:c>
      <x:c r="F54" s="109" t="str">
        <x:v>n.a.</x:v>
      </x:c>
      <x:c r="G54" s="109" t="str">
        <x:v>n.a.</x:v>
      </x:c>
      <x:c r="H54" s="109" t="str">
        <x:v>n.a.</x:v>
      </x:c>
      <x:c r="I54" s="109" t="str">
        <x:v>n.a.</x:v>
      </x:c>
      <x:c r="J54" s="109" t="str">
        <x:v>n.a.</x:v>
      </x:c>
      <x:c r="K54" s="109" t="str">
        <x:v>n.a.</x:v>
      </x:c>
      <x:c r="L54" s="109" t="str">
        <x:v>n.a.</x:v>
      </x:c>
      <x:c r="M54" s="109" t="str">
        <x:v>n.a.</x:v>
      </x:c>
      <x:c r="N54" s="109" t="str">
        <x:v>n.a.</x:v>
      </x:c>
      <x:c r="O54" s="109" t="n">
        <x:f>MIN(O51,MAX(0,O52-O53))</x:f>
        <x:v>5270.775</x:v>
      </x:c>
      <x:c r="P54" s="109" t="n">
        <x:f>MIN(P51,MAX(0,P52-P53))</x:f>
        <x:v>3717.793675</x:v>
      </x:c>
      <x:c r="Q54" s="109" t="n">
        <x:f>MIN(Q51,MAX(0,Q52-Q53))</x:f>
        <x:v>2667.352040975</x:v>
      </x:c>
      <x:c r="R54" s="109" t="n">
        <x:f>MIN(R51,MAX(0,R52-R53))</x:f>
        <x:v>2232.0440664910752</x:v>
      </x:c>
      <x:c r="S54" s="109" t="n">
        <x:f>MIN(S51,MAX(0,S52-S53))</x:f>
        <x:v>2018.6296969512448</x:v>
      </x:c>
      <x:c r="T54" s="103"/>
      <x:c r="U54" s="103"/>
    </x:row>
    <x:row r="55" ht="24" customHeight="1">
      <x:c r="A55" s="103"/>
      <x:c r="B55" s="103"/>
      <x:c r="C55" s="103" t="str">
        <x:v>Closing legacy operating lease liability</x:v>
      </x:c>
      <x:c r="D55" s="103"/>
      <x:c r="E55" s="109" t="str">
        <x:v>n.a.</x:v>
      </x:c>
      <x:c r="F55" s="109" t="str">
        <x:v>n.a.</x:v>
      </x:c>
      <x:c r="G55" s="109" t="str">
        <x:v>n.a.</x:v>
      </x:c>
      <x:c r="H55" s="109" t="str">
        <x:v>n.a.</x:v>
      </x:c>
      <x:c r="I55" s="109" t="str">
        <x:v>n.a.</x:v>
      </x:c>
      <x:c r="J55" s="109" t="str">
        <x:v>n.a.</x:v>
      </x:c>
      <x:c r="K55" s="109" t="str">
        <x:v>n.a.</x:v>
      </x:c>
      <x:c r="L55" s="109" t="str">
        <x:v>n.a.</x:v>
      </x:c>
      <x:c r="M55" s="109" t="str">
        <x:v>n.a.</x:v>
      </x:c>
      <x:c r="N55" s="109" t="str">
        <x:v>n.a.</x:v>
      </x:c>
      <x:c r="O55" s="109" t="n">
        <x:f>O51-O54</x:f>
        <x:v>16654.225</x:v>
      </x:c>
      <x:c r="P55" s="109" t="n">
        <x:f>P51-P54</x:f>
        <x:v>12936.431324999998</x:v>
      </x:c>
      <x:c r="Q55" s="109" t="n">
        <x:f>Q51-Q54</x:f>
        <x:v>10269.079284024998</x:v>
      </x:c>
      <x:c r="R55" s="109" t="n">
        <x:f>R51-R54</x:f>
        <x:v>8037.035217533923</x:v>
      </x:c>
      <x:c r="S55" s="109" t="n">
        <x:f>S51-S54</x:f>
        <x:v>6018.405520582678</x:v>
      </x:c>
      <x:c r="T55" s="103"/>
      <x:c r="U55" s="103"/>
    </x:row>
    <x:row r="56" ht="24" customHeight="1">
      <x:c r="A56" s="103"/>
      <x:c r="B56" s="103"/>
      <x:c r="C56" s="180" t="str">
        <x:v>Opening new operating lease assets and liabilities</x:v>
      </x:c>
      <x:c r="D56" s="103"/>
      <x:c r="E56" s="109" t="str">
        <x:v>n.a.</x:v>
      </x:c>
      <x:c r="F56" s="109" t="str">
        <x:v>n.a.</x:v>
      </x:c>
      <x:c r="G56" s="109" t="str">
        <x:v>n.a.</x:v>
      </x:c>
      <x:c r="H56" s="109" t="str">
        <x:v>n.a.</x:v>
      </x:c>
      <x:c r="I56" s="109" t="str">
        <x:v>n.a.</x:v>
      </x:c>
      <x:c r="J56" s="109" t="str">
        <x:v>n.a.</x:v>
      </x:c>
      <x:c r="K56" s="109" t="str">
        <x:v>n.a.</x:v>
      </x:c>
      <x:c r="L56" s="109" t="str">
        <x:v>n.a.</x:v>
      </x:c>
      <x:c r="M56" s="109" t="str">
        <x:v>n.a.</x:v>
      </x:c>
      <x:c r="N56" s="109" t="str">
        <x:v>n.a.</x:v>
      </x:c>
      <x:c r="O56" s="109" t="n">
        <x:f>0</x:f>
        <x:v>0</x:v>
      </x:c>
      <x:c r="P56" s="109" t="n">
        <x:f>O59</x:f>
        <x:v>5294.421000000001</x:v>
      </x:c>
      <x:c r="Q56" s="109" t="n">
        <x:f>P59</x:f>
        <x:v>10523.582333000002</x:v>
      </x:c>
      <x:c r="R56" s="109" t="n">
        <x:f>Q59</x:f>
        <x:v>15767.333795106668</x:v>
      </x:c>
      <x:c r="S56" s="109" t="n">
        <x:f>R59</x:f>
        <x:v>21077.34409690556</x:v>
      </x:c>
      <x:c r="T56" s="103"/>
      <x:c r="U56" s="103"/>
    </x:row>
    <x:row r="57" ht="24" customHeight="1">
      <x:c r="A57" s="103"/>
      <x:c r="B57" s="103"/>
      <x:c r="C57" s="103" t="str">
        <x:v>New operating lease assets and liabilities</x:v>
      </x:c>
      <x:c r="D57" s="103"/>
      <x:c r="E57" s="109" t="str">
        <x:v>n.a.</x:v>
      </x:c>
      <x:c r="F57" s="109" t="str">
        <x:v>n.a.</x:v>
      </x:c>
      <x:c r="G57" s="109" t="str">
        <x:v>n.a.</x:v>
      </x:c>
      <x:c r="H57" s="109" t="str">
        <x:v>n.a.</x:v>
      </x:c>
      <x:c r="I57" s="109" t="str">
        <x:v>n.a.</x:v>
      </x:c>
      <x:c r="J57" s="109" t="str">
        <x:v>n.a.</x:v>
      </x:c>
      <x:c r="K57" s="109" t="str">
        <x:v>n.a.</x:v>
      </x:c>
      <x:c r="L57" s="109" t="str">
        <x:v>n.a.</x:v>
      </x:c>
      <x:c r="M57" s="109" t="str">
        <x:v>n.a.</x:v>
      </x:c>
      <x:c r="N57" s="109" t="str">
        <x:v>n.a.</x:v>
      </x:c>
      <x:c r="O57" s="109" t="n">
        <x:f>'Income Statement'!O8*'Assumptions'!O57</x:f>
        <x:v>5775.732000000001</x:v>
      </x:c>
      <x:c r="P57" s="109" t="n">
        <x:f>'Income Statement'!P8*'Assumptions'!P57</x:f>
        <x:v>6667.161636000001</x:v>
      </x:c>
      <x:c r="Q57" s="109" t="n">
        <x:f>'Income Statement'!Q8*'Assumptions'!Q57</x:f>
        <x:v>7633.83474648</x:v>
      </x:c>
      <x:c r="R57" s="109" t="n">
        <x:f>'Income Statement'!R8*'Assumptions'!R57</x:f>
        <x:v>8659.5264738</x:v>
      </x:c>
      <x:c r="S57" s="109" t="n">
        <x:f>'Income Statement'!S8*'Assumptions'!S57</x:f>
        <x:v>9721.607264908129</x:v>
      </x:c>
      <x:c r="T57" s="103"/>
      <x:c r="U57" s="103"/>
    </x:row>
    <x:row r="58" ht="24" customHeight="1">
      <x:c r="A58" s="103"/>
      <x:c r="B58" s="103"/>
      <x:c r="C58" s="103" t="str">
        <x:v>New operating ROU amortization and principal</x:v>
      </x:c>
      <x:c r="D58" s="103"/>
      <x:c r="E58" s="109" t="str">
        <x:v>n.a.</x:v>
      </x:c>
      <x:c r="F58" s="109" t="str">
        <x:v>n.a.</x:v>
      </x:c>
      <x:c r="G58" s="109" t="str">
        <x:v>n.a.</x:v>
      </x:c>
      <x:c r="H58" s="109" t="str">
        <x:v>n.a.</x:v>
      </x:c>
      <x:c r="I58" s="109" t="str">
        <x:v>n.a.</x:v>
      </x:c>
      <x:c r="J58" s="109" t="str">
        <x:v>n.a.</x:v>
      </x:c>
      <x:c r="K58" s="109" t="str">
        <x:v>n.a.</x:v>
      </x:c>
      <x:c r="L58" s="109" t="str">
        <x:v>n.a.</x:v>
      </x:c>
      <x:c r="M58" s="109" t="str">
        <x:v>n.a.</x:v>
      </x:c>
      <x:c r="N58" s="109" t="str">
        <x:v>n.a.</x:v>
      </x:c>
      <x:c r="O58" s="109" t="n">
        <x:f>MIN(O56+O57,O56/'Assumptions'!O153+0.5*O57/'Assumptions'!O153)</x:f>
        <x:v>481.3110000000001</x:v>
      </x:c>
      <x:c r="P58" s="109" t="n">
        <x:f>MIN(P56+P57,P56/'Assumptions'!P153+0.5*P57/'Assumptions'!P153)</x:f>
        <x:v>1438.0003030000003</x:v>
      </x:c>
      <x:c r="Q58" s="109" t="n">
        <x:f>MIN(Q56+Q57,Q56/'Assumptions'!Q153+0.5*Q57/'Assumptions'!Q153)</x:f>
        <x:v>2390.0832843733338</x:v>
      </x:c>
      <x:c r="R58" s="109" t="n">
        <x:f>MIN(R56+R57,R56/'Assumptions'!R153+0.5*R57/'Assumptions'!R153)</x:f>
        <x:v>3349.516172001111</x:v>
      </x:c>
      <x:c r="S58" s="109" t="n">
        <x:f>MIN(S56+S57,S56/'Assumptions'!S153+0.5*S57/'Assumptions'!S153)</x:f>
        <x:v>4323.024621559937</x:v>
      </x:c>
      <x:c r="T58" s="103"/>
      <x:c r="U58" s="103"/>
    </x:row>
    <x:row r="59" ht="24" customHeight="1">
      <x:c r="A59" s="103"/>
      <x:c r="B59" s="103"/>
      <x:c r="C59" s="180" t="str">
        <x:v>Closing new operating lease assets and liabilities</x:v>
      </x:c>
      <x:c r="D59" s="103"/>
      <x:c r="E59" s="109" t="str">
        <x:v>n.a.</x:v>
      </x:c>
      <x:c r="F59" s="109" t="str">
        <x:v>n.a.</x:v>
      </x:c>
      <x:c r="G59" s="109" t="str">
        <x:v>n.a.</x:v>
      </x:c>
      <x:c r="H59" s="109" t="str">
        <x:v>n.a.</x:v>
      </x:c>
      <x:c r="I59" s="109" t="str">
        <x:v>n.a.</x:v>
      </x:c>
      <x:c r="J59" s="109" t="str">
        <x:v>n.a.</x:v>
      </x:c>
      <x:c r="K59" s="109" t="str">
        <x:v>n.a.</x:v>
      </x:c>
      <x:c r="L59" s="109" t="str">
        <x:v>n.a.</x:v>
      </x:c>
      <x:c r="M59" s="109" t="str">
        <x:v>n.a.</x:v>
      </x:c>
      <x:c r="N59" s="109" t="str">
        <x:v>n.a.</x:v>
      </x:c>
      <x:c r="O59" s="109" t="n">
        <x:f>O56+O57-O58</x:f>
        <x:v>5294.421000000001</x:v>
      </x:c>
      <x:c r="P59" s="109" t="n">
        <x:f>P56+P57-P58</x:f>
        <x:v>10523.582333000002</x:v>
      </x:c>
      <x:c r="Q59" s="109" t="n">
        <x:f>Q56+Q57-Q58</x:f>
        <x:v>15767.333795106668</x:v>
      </x:c>
      <x:c r="R59" s="109" t="n">
        <x:f>R56+R57-R58</x:f>
        <x:v>21077.34409690556</x:v>
      </x:c>
      <x:c r="S59" s="109" t="n">
        <x:f>S56+S57-S58</x:f>
        <x:v>26475.92674025375</x:v>
      </x:c>
      <x:c r="T59" s="103"/>
      <x:c r="U59" s="103"/>
    </x:row>
    <x:row r="60" ht="24" customHeight="1">
      <x:c r="A60" s="103"/>
      <x:c r="B60" s="103"/>
      <x:c r="C60" s="103" t="str">
        <x:v>Interest component of new operating leases</x:v>
      </x:c>
      <x:c r="D60" s="103"/>
      <x:c r="E60" s="109" t="str">
        <x:v>n.a.</x:v>
      </x:c>
      <x:c r="F60" s="109" t="str">
        <x:v>n.a.</x:v>
      </x:c>
      <x:c r="G60" s="109" t="str">
        <x:v>n.a.</x:v>
      </x:c>
      <x:c r="H60" s="109" t="str">
        <x:v>n.a.</x:v>
      </x:c>
      <x:c r="I60" s="109" t="str">
        <x:v>n.a.</x:v>
      </x:c>
      <x:c r="J60" s="109" t="str">
        <x:v>n.a.</x:v>
      </x:c>
      <x:c r="K60" s="109" t="str">
        <x:v>n.a.</x:v>
      </x:c>
      <x:c r="L60" s="109" t="str">
        <x:v>n.a.</x:v>
      </x:c>
      <x:c r="M60" s="109" t="str">
        <x:v>n.a.</x:v>
      </x:c>
      <x:c r="N60" s="109" t="str">
        <x:v>n.a.</x:v>
      </x:c>
      <x:c r="O60" s="109" t="n">
        <x:f>(O56+0.5*O57)*'Assumptions'!O145</x:f>
        <x:v>106.851042</x:v>
      </x:c>
      <x:c r="P60" s="109" t="n">
        <x:f>(P56+0.5*P57)*'Assumptions'!P145</x:f>
        <x:v>319.236067266</x:v>
      </x:c>
      <x:c r="Q60" s="109" t="n">
        <x:f>(Q56+0.5*Q57)*'Assumptions'!Q145</x:f>
        <x:v>530.59848913088</x:v>
      </x:c>
      <x:c r="R60" s="109" t="n">
        <x:f>(R56+0.5*R57)*'Assumptions'!R145</x:f>
        <x:v>743.5925901842468</x:v>
      </x:c>
      <x:c r="S60" s="109" t="n">
        <x:f>(S56+0.5*S57)*'Assumptions'!S145</x:f>
        <x:v>959.711465986306</x:v>
      </x:c>
      <x:c r="T60" s="103"/>
      <x:c r="U60" s="103"/>
    </x:row>
    <x:row r="61" ht="24" customHeight="1">
      <x:c r="A61" s="103"/>
      <x:c r="B61" s="103"/>
      <x:c r="C61" s="174" t="str">
        <x:v>Operating lease expense</x:v>
      </x:c>
      <x:c r="D61" s="174"/>
      <x:c r="E61" s="175" t="n">
        <x:f>'Filing Notes'!E17</x:f>
        <x:v>1412</x:v>
      </x:c>
      <x:c r="F61" s="175" t="n">
        <x:f>'Filing Notes'!F17</x:f>
        <x:v>1585</x:v>
      </x:c>
      <x:c r="G61" s="175" t="n">
        <x:f>'Filing Notes'!G17</x:f>
        <x:v>1707</x:v>
      </x:c>
      <x:c r="H61" s="175" t="n">
        <x:f>'Filing Notes'!H17</x:f>
        <x:v>2043</x:v>
      </x:c>
      <x:c r="I61" s="175" t="n">
        <x:f>'Filing Notes'!I17</x:f>
        <x:v>2127</x:v>
      </x:c>
      <x:c r="J61" s="175" t="n">
        <x:f>'Filing Notes'!J17</x:f>
        <x:v>2461</x:v>
      </x:c>
      <x:c r="K61" s="175" t="n">
        <x:f>'Filing Notes'!K17</x:f>
        <x:v>2875</x:v>
      </x:c>
      <x:c r="L61" s="175" t="n">
        <x:f>'Filing Notes'!L17</x:f>
        <x:v>3555</x:v>
      </x:c>
      <x:c r="M61" s="175" t="n">
        <x:f>'Filing Notes'!M17</x:f>
        <x:v>5524</x:v>
      </x:c>
      <x:c r="N61" s="175" t="n">
        <x:f>'Filing Notes'!N17</x:f>
        <x:v>6968</x:v>
      </x:c>
      <x:c r="O61" s="175" t="n">
        <x:f>SUM(O49,O53,O58,O60)</x:f>
        <x:v>5428.887042</x:v>
      </x:c>
      <x:c r="P61" s="175" t="n">
        <x:f>SUM(P49,P53,P58,P60)</x:f>
        <x:v>6402.942695266</x:v>
      </x:c>
      <x:c r="Q61" s="175" t="n">
        <x:f>SUM(Q49,Q53,Q58,Q60)</x:f>
        <x:v>7428.829732529213</x:v>
      </x:c>
      <x:c r="R61" s="175" t="n">
        <x:f>SUM(R49,R53,R58,R60)</x:f>
        <x:v>8502.564695694284</x:v>
      </x:c>
      <x:c r="S61" s="175" t="n">
        <x:f>SUM(S49,S53,S58,S60)</x:f>
        <x:v>9609.606390594998</x:v>
      </x:c>
      <x:c r="T61" s="103"/>
      <x:c r="U61" s="103"/>
    </x:row>
    <x:row r="62" ht="24" customHeight="1">
      <x:c r="A62" s="103"/>
      <x:c r="B62" s="103"/>
      <x:c r="C62" s="103" t="str">
        <x:v>Closing operating ROU assets</x:v>
      </x:c>
      <x:c r="D62" s="103"/>
      <x:c r="E62" s="109" t="n">
        <x:f>'Historical Inputs'!E36</x:f>
        <x:v>6555</x:v>
      </x:c>
      <x:c r="F62" s="109" t="n">
        <x:f>'Historical Inputs'!F36</x:f>
        <x:v>6686</x:v>
      </x:c>
      <x:c r="G62" s="109" t="n">
        <x:f>'Historical Inputs'!G36</x:f>
        <x:v>7379</x:v>
      </x:c>
      <x:c r="H62" s="109" t="n">
        <x:f>'Historical Inputs'!H36</x:f>
        <x:v>8753</x:v>
      </x:c>
      <x:c r="I62" s="109" t="n">
        <x:f>'Historical Inputs'!I36</x:f>
        <x:v>11088</x:v>
      </x:c>
      <x:c r="J62" s="109" t="n">
        <x:f>'Historical Inputs'!J36</x:f>
        <x:v>13148</x:v>
      </x:c>
      <x:c r="K62" s="109" t="n">
        <x:f>'Historical Inputs'!K36</x:f>
        <x:v>14346</x:v>
      </x:c>
      <x:c r="L62" s="109" t="n">
        <x:f>'Historical Inputs'!L36</x:f>
        <x:v>18961</x:v>
      </x:c>
      <x:c r="M62" s="109" t="n">
        <x:f>'Historical Inputs'!M36</x:f>
        <x:v>24823</x:v>
      </x:c>
      <x:c r="N62" s="109" t="n">
        <x:f>'Historical Inputs'!N36</x:f>
        <x:v>24177</x:v>
      </x:c>
      <x:c r="O62" s="109" t="n">
        <x:f>O50+O59</x:f>
        <x:v>25441.921000000002</x:v>
      </x:c>
      <x:c r="P62" s="109" t="n">
        <x:f>P50+P59</x:f>
        <x:v>26641.582333000002</x:v>
      </x:c>
      <x:c r="Q62" s="109" t="n">
        <x:f>Q50+Q59</x:f>
        <x:v>27855.833795106668</x:v>
      </x:c>
      <x:c r="R62" s="109" t="n">
        <x:f>R50+R59</x:f>
        <x:v>29136.34409690556</x:v>
      </x:c>
      <x:c r="S62" s="109" t="n">
        <x:f>S50+S59</x:f>
        <x:v>30505.42674025375</x:v>
      </x:c>
      <x:c r="T62" s="103"/>
      <x:c r="U62" s="103"/>
    </x:row>
    <x:row r="63" ht="24" customHeight="1">
      <x:c r="A63" s="103"/>
      <x:c r="B63" s="103"/>
      <x:c r="C63" s="174" t="str">
        <x:v>Total operating lease liabilities</x:v>
      </x:c>
      <x:c r="D63" s="174"/>
      <x:c r="E63" s="175" t="n">
        <x:f>'Filing Notes'!E15</x:f>
        <x:v>6795</x:v>
      </x:c>
      <x:c r="F63" s="175" t="n">
        <x:f>'Filing Notes'!F15</x:f>
        <x:v>6967</x:v>
      </x:c>
      <x:c r="G63" s="175" t="n">
        <x:f>'Filing Notes'!G15</x:f>
        <x:v>7703</x:v>
      </x:c>
      <x:c r="H63" s="175" t="n">
        <x:f>'Filing Notes'!H15</x:f>
        <x:v>9287</x:v>
      </x:c>
      <x:c r="I63" s="175" t="n">
        <x:f>'Filing Notes'!I15</x:f>
        <x:v>11591</x:v>
      </x:c>
      <x:c r="J63" s="175" t="n">
        <x:f>'Filing Notes'!J15</x:f>
        <x:v>13717</x:v>
      </x:c>
      <x:c r="K63" s="175" t="n">
        <x:f>'Filing Notes'!K15</x:f>
        <x:v>15137</x:v>
      </x:c>
      <x:c r="L63" s="175" t="n">
        <x:f>'Filing Notes'!L15</x:f>
        <x:v>19077</x:v>
      </x:c>
      <x:c r="M63" s="175" t="n">
        <x:f>'Filing Notes'!M15</x:f>
        <x:v>22861</x:v>
      </x:c>
      <x:c r="N63" s="175" t="n">
        <x:f>'Filing Notes'!N15</x:f>
        <x:v>21925</x:v>
      </x:c>
      <x:c r="O63" s="175" t="n">
        <x:f>O55+O59</x:f>
        <x:v>21948.646</x:v>
      </x:c>
      <x:c r="P63" s="175" t="n">
        <x:f>P55+P59</x:f>
        <x:v>23460.013658</x:v>
      </x:c>
      <x:c r="Q63" s="175" t="n">
        <x:f>Q55+Q59</x:f>
        <x:v>26036.413079131664</x:v>
      </x:c>
      <x:c r="R63" s="175" t="n">
        <x:f>R55+R59</x:f>
        <x:v>29114.37931443948</x:v>
      </x:c>
      <x:c r="S63" s="175" t="n">
        <x:f>S55+S59</x:f>
        <x:v>32494.33226083643</x:v>
      </x:c>
      <x:c r="T63" s="103"/>
      <x:c r="U63" s="103"/>
    </x:row>
    <x:row r="64" ht="24" customHeight="1">
      <x:c r="A64" s="103"/>
      <x:c r="B64" s="103"/>
      <x:c r="C64" s="103" t="str">
        <x:v>Current operating lease liabilities</x:v>
      </x:c>
      <x:c r="D64" s="103"/>
      <x:c r="E64" s="109" t="str">
        <x:v>n.a.</x:v>
      </x:c>
      <x:c r="F64" s="109" t="str">
        <x:v>n.a.</x:v>
      </x:c>
      <x:c r="G64" s="109" t="str">
        <x:v>n.a.</x:v>
      </x:c>
      <x:c r="H64" s="109" t="str">
        <x:v>n.a.</x:v>
      </x:c>
      <x:c r="I64" s="109" t="str">
        <x:v>n.a.</x:v>
      </x:c>
      <x:c r="J64" s="109" t="str">
        <x:v>n.a.</x:v>
      </x:c>
      <x:c r="K64" s="109" t="str">
        <x:v>n.a.</x:v>
      </x:c>
      <x:c r="L64" s="109" t="str">
        <x:v>n.a.</x:v>
      </x:c>
      <x:c r="M64" s="109" t="str">
        <x:v>n.a.</x:v>
      </x:c>
      <x:c r="N64" s="109" t="n">
        <x:f>'Filing Notes'!N28</x:f>
        <x:v>5393</x:v>
      </x:c>
      <x:c r="O64" s="109" t="n">
        <x:f>MIN(O63,MAX(0,O69-O55*'Assumptions'!O145)+O59/'Assumptions'!O153)</x:f>
        <x:v>4600.197175</x:v>
      </x:c>
      <x:c r="P64" s="109" t="n">
        <x:f>MIN(P63,MAX(0,P69-P55*'Assumptions'!P145)+P59/'Assumptions'!P153)</x:f>
        <x:v>4421.282429808333</x:v>
      </x:c>
      <x:c r="Q64" s="109" t="n">
        <x:f>MIN(Q63,MAX(0,Q69-Q55*'Assumptions'!Q145)+Q59/'Assumptions'!Q153)</x:f>
        <x:v>4859.933032342186</x:v>
      </x:c>
      <x:c r="R64" s="109" t="n">
        <x:f>MIN(R63,MAX(0,R69-R55*'Assumptions'!R145)+R59/'Assumptions'!R153)</x:f>
        <x:v>5531.520379768838</x:v>
      </x:c>
      <x:c r="S64" s="109" t="n">
        <x:f>MIN(S63,MAX(0,S69-S55*'Assumptions'!S145)+S59/'Assumptions'!S153)</x:f>
        <x:v>6189.9734524474</x:v>
      </x:c>
      <x:c r="T64" s="103"/>
      <x:c r="U64" s="103"/>
    </x:row>
    <x:row r="65" ht="24" customHeight="1">
      <x:c r="A65" s="103"/>
      <x:c r="B65" s="103"/>
      <x:c r="C65" s="103" t="str">
        <x:v>Long-term operating lease liabilities</x:v>
      </x:c>
      <x:c r="D65" s="103"/>
      <x:c r="E65" s="109" t="str">
        <x:v>n.a.</x:v>
      </x:c>
      <x:c r="F65" s="109" t="str">
        <x:v>n.a.</x:v>
      </x:c>
      <x:c r="G65" s="109" t="str">
        <x:v>n.a.</x:v>
      </x:c>
      <x:c r="H65" s="109" t="str">
        <x:v>n.a.</x:v>
      </x:c>
      <x:c r="I65" s="109" t="str">
        <x:v>n.a.</x:v>
      </x:c>
      <x:c r="J65" s="109" t="str">
        <x:v>n.a.</x:v>
      </x:c>
      <x:c r="K65" s="109" t="str">
        <x:v>n.a.</x:v>
      </x:c>
      <x:c r="L65" s="109" t="str">
        <x:v>n.a.</x:v>
      </x:c>
      <x:c r="M65" s="109" t="str">
        <x:v>n.a.</x:v>
      </x:c>
      <x:c r="N65" s="109" t="n">
        <x:f>'Historical Inputs'!N53</x:f>
        <x:v>16532</x:v>
      </x:c>
      <x:c r="O65" s="109" t="n">
        <x:f>O63-O64</x:f>
        <x:v>17348.448825</x:v>
      </x:c>
      <x:c r="P65" s="109" t="n">
        <x:f>P63-P64</x:f>
        <x:v>19038.731228191667</x:v>
      </x:c>
      <x:c r="Q65" s="109" t="n">
        <x:f>Q63-Q64</x:f>
        <x:v>21176.48004678948</x:v>
      </x:c>
      <x:c r="R65" s="109" t="n">
        <x:f>R63-R64</x:f>
        <x:v>23582.858934670643</x:v>
      </x:c>
      <x:c r="S65" s="109" t="n">
        <x:f>S63-S64</x:f>
        <x:v>26304.358808389028</x:v>
      </x:c>
      <x:c r="T65" s="103"/>
      <x:c r="U65" s="103"/>
    </x:row>
    <x:row r="66" ht="24" customHeight="1">
      <x:c r="A66" s="103"/>
      <x:c r="B66" s="103"/>
      <x:c r="C66" s="103" t="str">
        <x:v>Operating lease cash reconciliation</x:v>
      </x:c>
      <x:c r="D66" s="103"/>
      <x:c r="E66" s="109" t="str">
        <x:v>n.a.</x:v>
      </x:c>
      <x:c r="F66" s="109" t="str">
        <x:v>n.a.</x:v>
      </x:c>
      <x:c r="G66" s="109" t="str">
        <x:v>n.a.</x:v>
      </x:c>
      <x:c r="H66" s="109" t="str">
        <x:v>n.a.</x:v>
      </x:c>
      <x:c r="I66" s="109" t="str">
        <x:v>n.a.</x:v>
      </x:c>
      <x:c r="J66" s="109" t="str">
        <x:v>n.a.</x:v>
      </x:c>
      <x:c r="K66" s="109" t="str">
        <x:v>n.a.</x:v>
      </x:c>
      <x:c r="L66" s="109" t="str">
        <x:v>n.a.</x:v>
      </x:c>
      <x:c r="M66" s="109" t="str">
        <x:v>n.a.</x:v>
      </x:c>
      <x:c r="N66" s="109" t="str">
        <x:v>n.a.</x:v>
      </x:c>
      <x:c r="O66" s="109" t="n">
        <x:f>O67-O68</x:f>
        <x:v>-1241.2749999999996</x:v>
      </x:c>
      <x:c r="P66" s="109" t="n">
        <x:f>P67-P68</x:f>
        <x:v>311.706325000001</x:v>
      </x:c>
      <x:c r="Q66" s="109" t="n">
        <x:f>Q67-Q68</x:f>
        <x:v>1362.147959025</x:v>
      </x:c>
      <x:c r="R66" s="109" t="n">
        <x:f>R67-R68</x:f>
        <x:v>1797.4559335089252</x:v>
      </x:c>
      <x:c r="S66" s="109" t="n">
        <x:f>S67-S68</x:f>
        <x:v>2010.870303048754</x:v>
      </x:c>
      <x:c r="T66" s="103"/>
      <x:c r="U66" s="103"/>
    </x:row>
    <x:row r="67" ht="24" customHeight="1">
      <x:c r="A67" s="103"/>
      <x:c r="B67" s="103"/>
      <x:c r="C67" s="103" t="str">
        <x:v>Total operating ROU amortization</x:v>
      </x:c>
      <x:c r="D67" s="103"/>
      <x:c r="E67" s="109" t="str">
        <x:v>n.a.</x:v>
      </x:c>
      <x:c r="F67" s="109" t="str">
        <x:v>n.a.</x:v>
      </x:c>
      <x:c r="G67" s="109" t="str">
        <x:v>n.a.</x:v>
      </x:c>
      <x:c r="H67" s="109" t="str">
        <x:v>n.a.</x:v>
      </x:c>
      <x:c r="I67" s="109" t="str">
        <x:v>n.a.</x:v>
      </x:c>
      <x:c r="J67" s="109" t="str">
        <x:v>n.a.</x:v>
      </x:c>
      <x:c r="K67" s="109" t="str">
        <x:v>n.a.</x:v>
      </x:c>
      <x:c r="L67" s="109" t="str">
        <x:v>n.a.</x:v>
      </x:c>
      <x:c r="M67" s="109" t="str">
        <x:v>n.a.</x:v>
      </x:c>
      <x:c r="N67" s="109" t="str">
        <x:v>n.a.</x:v>
      </x:c>
      <x:c r="O67" s="109" t="n">
        <x:f>O49+O58</x:f>
        <x:v>4510.811</x:v>
      </x:c>
      <x:c r="P67" s="109" t="n">
        <x:f>P49+P58</x:f>
        <x:v>5467.500303000001</x:v>
      </x:c>
      <x:c r="Q67" s="109" t="n">
        <x:f>Q49+Q58</x:f>
        <x:v>6419.583284373333</x:v>
      </x:c>
      <x:c r="R67" s="109" t="n">
        <x:f>R49+R58</x:f>
        <x:v>7379.016172001111</x:v>
      </x:c>
      <x:c r="S67" s="109" t="n">
        <x:f>S49+S58</x:f>
        <x:v>8352.524621559936</x:v>
      </x:c>
      <x:c r="T67" s="103"/>
      <x:c r="U67" s="103"/>
    </x:row>
    <x:row r="68" ht="24" customHeight="1">
      <x:c r="A68" s="103"/>
      <x:c r="B68" s="103"/>
      <x:c r="C68" s="103" t="str">
        <x:v>Total operating lease principal reduction</x:v>
      </x:c>
      <x:c r="D68" s="103"/>
      <x:c r="E68" s="109" t="str">
        <x:v>n.a.</x:v>
      </x:c>
      <x:c r="F68" s="109" t="str">
        <x:v>n.a.</x:v>
      </x:c>
      <x:c r="G68" s="109" t="str">
        <x:v>n.a.</x:v>
      </x:c>
      <x:c r="H68" s="109" t="str">
        <x:v>n.a.</x:v>
      </x:c>
      <x:c r="I68" s="109" t="str">
        <x:v>n.a.</x:v>
      </x:c>
      <x:c r="J68" s="109" t="str">
        <x:v>n.a.</x:v>
      </x:c>
      <x:c r="K68" s="109" t="str">
        <x:v>n.a.</x:v>
      </x:c>
      <x:c r="L68" s="109" t="str">
        <x:v>n.a.</x:v>
      </x:c>
      <x:c r="M68" s="109" t="str">
        <x:v>n.a.</x:v>
      </x:c>
      <x:c r="N68" s="109" t="str">
        <x:v>n.a.</x:v>
      </x:c>
      <x:c r="O68" s="109" t="n">
        <x:f>O54+O58</x:f>
        <x:v>5752.085999999999</x:v>
      </x:c>
      <x:c r="P68" s="109" t="n">
        <x:f>P54+P58</x:f>
        <x:v>5155.793978</x:v>
      </x:c>
      <x:c r="Q68" s="109" t="n">
        <x:f>Q54+Q58</x:f>
        <x:v>5057.435325348333</x:v>
      </x:c>
      <x:c r="R68" s="109" t="n">
        <x:f>R54+R58</x:f>
        <x:v>5581.560238492186</x:v>
      </x:c>
      <x:c r="S68" s="109" t="n">
        <x:f>S54+S58</x:f>
        <x:v>6341.654318511182</x:v>
      </x:c>
      <x:c r="T68" s="103"/>
      <x:c r="U68" s="103"/>
    </x:row>
    <x:row r="69" ht="24" customHeight="1">
      <x:c r="A69" s="103"/>
      <x:c r="B69" s="103"/>
      <x:c r="C69" s="103" t="str">
        <x:v>Next year legacy operating lease cash payments</x:v>
      </x:c>
      <x:c r="D69" s="103"/>
      <x:c r="E69" s="109" t="str">
        <x:v>n.a.</x:v>
      </x:c>
      <x:c r="F69" s="109" t="str">
        <x:v>n.a.</x:v>
      </x:c>
      <x:c r="G69" s="109" t="str">
        <x:v>n.a.</x:v>
      </x:c>
      <x:c r="H69" s="109" t="str">
        <x:v>n.a.</x:v>
      </x:c>
      <x:c r="I69" s="109" t="str">
        <x:v>n.a.</x:v>
      </x:c>
      <x:c r="J69" s="109" t="str">
        <x:v>n.a.</x:v>
      </x:c>
      <x:c r="K69" s="109" t="str">
        <x:v>n.a.</x:v>
      </x:c>
      <x:c r="L69" s="109" t="str">
        <x:v>n.a.</x:v>
      </x:c>
      <x:c r="M69" s="109" t="str">
        <x:v>n.a.</x:v>
      </x:c>
      <x:c r="N69" s="109" t="str">
        <x:v>n.a.</x:v>
      </x:c>
      <x:c r="O69" s="109" t="n">
        <x:f>'Filing Notes'!P39</x:f>
        <x:v>4334</x:v>
      </x:c>
      <x:c r="P69" s="109" t="n">
        <x:f>'Filing Notes'!Q39</x:f>
        <x:v>3146</x:v>
      </x:c>
      <x:c r="Q69" s="109" t="n">
        <x:f>'Filing Notes'!R39</x:f>
        <x:v>2612</x:v>
      </x:c>
      <x:c r="R69" s="109" t="n">
        <x:f>'Filing Notes'!S39</x:f>
        <x:v>2316</x:v>
      </x:c>
      <x:c r="S69" s="109" t="n">
        <x:f>'Assumptions'!O212</x:f>
        <x:v>2000</x:v>
      </x:c>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36" t="str">
        <x:v>Cash and investment funding</x:v>
      </x:c>
      <x:c r="D71" s="136"/>
      <x:c r="E71" s="136"/>
      <x:c r="F71" s="136"/>
      <x:c r="G71" s="136"/>
      <x:c r="H71" s="136"/>
      <x:c r="I71" s="136"/>
      <x:c r="J71" s="136"/>
      <x:c r="K71" s="136"/>
      <x:c r="L71" s="136"/>
      <x:c r="M71" s="136"/>
      <x:c r="N71" s="136"/>
      <x:c r="O71" s="136"/>
      <x:c r="P71" s="136"/>
      <x:c r="Q71" s="136"/>
      <x:c r="R71" s="136"/>
      <x:c r="S71" s="136"/>
      <x:c r="T71" s="103"/>
      <x:c r="U71" s="103"/>
    </x:row>
    <x:row r="72" ht="24" customHeight="1">
      <x:c r="A72" s="103"/>
      <x:c r="B72" s="103"/>
      <x:c r="C72" s="103" t="str">
        <x:v>Opening short-term investments</x:v>
      </x:c>
      <x:c r="D72" s="103"/>
      <x:c r="E72" s="109" t="str">
        <x:v>n.a.</x:v>
      </x:c>
      <x:c r="F72" s="109" t="str">
        <x:v>n.a.</x:v>
      </x:c>
      <x:c r="G72" s="109" t="str">
        <x:v>n.a.</x:v>
      </x:c>
      <x:c r="H72" s="109" t="str">
        <x:v>n.a.</x:v>
      </x:c>
      <x:c r="I72" s="109" t="str">
        <x:v>n.a.</x:v>
      </x:c>
      <x:c r="J72" s="109" t="str">
        <x:v>n.a.</x:v>
      </x:c>
      <x:c r="K72" s="109" t="str">
        <x:v>n.a.</x:v>
      </x:c>
      <x:c r="L72" s="109" t="str">
        <x:v>n.a.</x:v>
      </x:c>
      <x:c r="M72" s="109" t="str">
        <x:v>n.a.</x:v>
      </x:c>
      <x:c r="N72" s="109" t="str">
        <x:v>n.a.</x:v>
      </x:c>
      <x:c r="O72" s="109" t="n">
        <x:f>'Balance Sheet'!N9</x:f>
        <x:v>55908</x:v>
      </x:c>
      <x:c r="P72" s="109" t="n">
        <x:f>'Balance Sheet'!O9</x:f>
        <x:v>55908</x:v>
      </x:c>
      <x:c r="Q72" s="109" t="n">
        <x:f>'Balance Sheet'!P9</x:f>
        <x:v>55908</x:v>
      </x:c>
      <x:c r="R72" s="109" t="n">
        <x:f>'Balance Sheet'!Q9</x:f>
        <x:v>55908</x:v>
      </x:c>
      <x:c r="S72" s="109" t="n">
        <x:f>'Balance Sheet'!R9</x:f>
        <x:v>55908</x:v>
      </x:c>
      <x:c r="T72" s="103"/>
      <x:c r="U72" s="103"/>
    </x:row>
    <x:row r="73" ht="24" customHeight="1">
      <x:c r="A73" s="103"/>
      <x:c r="B73" s="103"/>
      <x:c r="C73" s="103" t="str">
        <x:v>Planned closing short-term investments</x:v>
      </x:c>
      <x:c r="D73" s="103"/>
      <x:c r="E73" s="109" t="str">
        <x:v>n.a.</x:v>
      </x:c>
      <x:c r="F73" s="109" t="str">
        <x:v>n.a.</x:v>
      </x:c>
      <x:c r="G73" s="109" t="str">
        <x:v>n.a.</x:v>
      </x:c>
      <x:c r="H73" s="109" t="str">
        <x:v>n.a.</x:v>
      </x:c>
      <x:c r="I73" s="109" t="str">
        <x:v>n.a.</x:v>
      </x:c>
      <x:c r="J73" s="109" t="str">
        <x:v>n.a.</x:v>
      </x:c>
      <x:c r="K73" s="109" t="str">
        <x:v>n.a.</x:v>
      </x:c>
      <x:c r="L73" s="109" t="str">
        <x:v>n.a.</x:v>
      </x:c>
      <x:c r="M73" s="109" t="str">
        <x:v>n.a.</x:v>
      </x:c>
      <x:c r="N73" s="109" t="str">
        <x:v>n.a.</x:v>
      </x:c>
      <x:c r="O73" s="109" t="n">
        <x:f>MAX('Assumptions'!O121,O72*(1+'Assumptions'!O165))</x:f>
        <x:v>55908</x:v>
      </x:c>
      <x:c r="P73" s="109" t="n">
        <x:f>MAX('Assumptions'!P121,P72*(1+'Assumptions'!P165))</x:f>
        <x:v>55908</x:v>
      </x:c>
      <x:c r="Q73" s="109" t="n">
        <x:f>MAX('Assumptions'!Q121,Q72*(1+'Assumptions'!Q165))</x:f>
        <x:v>55908</x:v>
      </x:c>
      <x:c r="R73" s="109" t="n">
        <x:f>MAX('Assumptions'!R121,R72*(1+'Assumptions'!R165))</x:f>
        <x:v>55908</x:v>
      </x:c>
      <x:c r="S73" s="109" t="n">
        <x:f>MAX('Assumptions'!S121,S72*(1+'Assumptions'!S165))</x:f>
        <x:v>55908</x:v>
      </x:c>
      <x:c r="T73" s="103"/>
      <x:c r="U73" s="103"/>
    </x:row>
    <x:row r="74" ht="24" customHeight="1">
      <x:c r="A74" s="103"/>
      <x:c r="B74" s="103"/>
      <x:c r="C74" s="103" t="str">
        <x:v>Minimum short-term investment reserve</x:v>
      </x:c>
      <x:c r="D74" s="103"/>
      <x:c r="E74" s="109" t="str">
        <x:v>n.a.</x:v>
      </x:c>
      <x:c r="F74" s="109" t="str">
        <x:v>n.a.</x:v>
      </x:c>
      <x:c r="G74" s="109" t="str">
        <x:v>n.a.</x:v>
      </x:c>
      <x:c r="H74" s="109" t="str">
        <x:v>n.a.</x:v>
      </x:c>
      <x:c r="I74" s="109" t="str">
        <x:v>n.a.</x:v>
      </x:c>
      <x:c r="J74" s="109" t="str">
        <x:v>n.a.</x:v>
      </x:c>
      <x:c r="K74" s="109" t="str">
        <x:v>n.a.</x:v>
      </x:c>
      <x:c r="L74" s="109" t="str">
        <x:v>n.a.</x:v>
      </x:c>
      <x:c r="M74" s="109" t="str">
        <x:v>n.a.</x:v>
      </x:c>
      <x:c r="N74" s="109" t="str">
        <x:v>n.a.</x:v>
      </x:c>
      <x:c r="O74" s="109" t="n">
        <x:f>'Assumptions'!O121</x:f>
        <x:v>20000</x:v>
      </x:c>
      <x:c r="P74" s="109" t="n">
        <x:f>'Assumptions'!P121</x:f>
        <x:v>20000</x:v>
      </x:c>
      <x:c r="Q74" s="109" t="n">
        <x:f>'Assumptions'!Q121</x:f>
        <x:v>20000</x:v>
      </x:c>
      <x:c r="R74" s="109" t="n">
        <x:f>'Assumptions'!R121</x:f>
        <x:v>20000</x:v>
      </x:c>
      <x:c r="S74" s="109" t="n">
        <x:f>'Assumptions'!S121</x:f>
        <x:v>20000</x:v>
      </x:c>
      <x:c r="T74" s="103"/>
      <x:c r="U74" s="103"/>
    </x:row>
    <x:row r="75" ht="24" customHeight="1">
      <x:c r="A75" s="103"/>
      <x:c r="B75" s="103"/>
      <x:c r="C75" s="103" t="str">
        <x:v>Cash before reserve liquidation and funding</x:v>
      </x:c>
      <x:c r="D75" s="103"/>
      <x:c r="E75" s="109" t="str">
        <x:v>n.a.</x:v>
      </x:c>
      <x:c r="F75" s="109" t="str">
        <x:v>n.a.</x:v>
      </x:c>
      <x:c r="G75" s="109" t="str">
        <x:v>n.a.</x:v>
      </x:c>
      <x:c r="H75" s="109" t="str">
        <x:v>n.a.</x:v>
      </x:c>
      <x:c r="I75" s="109" t="str">
        <x:v>n.a.</x:v>
      </x:c>
      <x:c r="J75" s="109" t="str">
        <x:v>n.a.</x:v>
      </x:c>
      <x:c r="K75" s="109" t="str">
        <x:v>n.a.</x:v>
      </x:c>
      <x:c r="L75" s="109" t="str">
        <x:v>n.a.</x:v>
      </x:c>
      <x:c r="M75" s="109" t="str">
        <x:v>n.a.</x:v>
      </x:c>
      <x:c r="N75" s="109" t="str">
        <x:v>n.a.</x:v>
      </x:c>
      <x:c r="O75" s="109" t="n">
        <x:f>'Cash Flow'!O59</x:f>
        <x:v>37832.17978311874</x:v>
      </x:c>
      <x:c r="P75" s="109" t="n">
        <x:f>'Cash Flow'!P59</x:f>
        <x:v>94472.09354841156</x:v>
      </x:c>
      <x:c r="Q75" s="109" t="n">
        <x:f>'Cash Flow'!Q59</x:f>
        <x:v>178678.8120071388</x:v>
      </x:c>
      <x:c r="R75" s="109" t="n">
        <x:f>'Cash Flow'!R59</x:f>
        <x:v>300717.550255754</x:v>
      </x:c>
      <x:c r="S75" s="109" t="n">
        <x:f>'Cash Flow'!S59</x:f>
        <x:v>457382.5410788634</x:v>
      </x:c>
      <x:c r="T75" s="103"/>
      <x:c r="U75" s="103"/>
    </x:row>
    <x:row r="76" ht="24" customHeight="1">
      <x:c r="A76" s="103"/>
      <x:c r="B76" s="103"/>
      <x:c r="C76" s="103" t="str">
        <x:v>Cash shortfall to policy minimum</x:v>
      </x:c>
      <x:c r="D76" s="103"/>
      <x:c r="E76" s="109" t="str">
        <x:v>n.a.</x:v>
      </x:c>
      <x:c r="F76" s="109" t="str">
        <x:v>n.a.</x:v>
      </x:c>
      <x:c r="G76" s="109" t="str">
        <x:v>n.a.</x:v>
      </x:c>
      <x:c r="H76" s="109" t="str">
        <x:v>n.a.</x:v>
      </x:c>
      <x:c r="I76" s="109" t="str">
        <x:v>n.a.</x:v>
      </x:c>
      <x:c r="J76" s="109" t="str">
        <x:v>n.a.</x:v>
      </x:c>
      <x:c r="K76" s="109" t="str">
        <x:v>n.a.</x:v>
      </x:c>
      <x:c r="L76" s="109" t="str">
        <x:v>n.a.</x:v>
      </x:c>
      <x:c r="M76" s="109" t="str">
        <x:v>n.a.</x:v>
      </x:c>
      <x:c r="N76" s="109" t="str">
        <x:v>n.a.</x:v>
      </x:c>
      <x:c r="O76" s="109" t="n">
        <x:f>MAX(0,'Assumptions'!O117-O75)</x:f>
        <x:v>0</x:v>
      </x:c>
      <x:c r="P76" s="109" t="n">
        <x:f>MAX(0,'Assumptions'!P117-P75)</x:f>
        <x:v>0</x:v>
      </x:c>
      <x:c r="Q76" s="109" t="n">
        <x:f>MAX(0,'Assumptions'!Q117-Q75)</x:f>
        <x:v>0</x:v>
      </x:c>
      <x:c r="R76" s="109" t="n">
        <x:f>MAX(0,'Assumptions'!R117-R75)</x:f>
        <x:v>0</x:v>
      </x:c>
      <x:c r="S76" s="109" t="n">
        <x:f>MAX(0,'Assumptions'!S117-S75)</x:f>
        <x:v>0</x:v>
      </x:c>
      <x:c r="T76" s="103"/>
      <x:c r="U76" s="103"/>
    </x:row>
    <x:row r="77" ht="24" customHeight="1">
      <x:c r="A77" s="103"/>
      <x:c r="B77" s="103"/>
      <x:c r="C77" s="103" t="str">
        <x:v>Reserve investments liquidated</x:v>
      </x:c>
      <x:c r="D77" s="103"/>
      <x:c r="E77" s="109" t="str">
        <x:v>n.a.</x:v>
      </x:c>
      <x:c r="F77" s="109" t="str">
        <x:v>n.a.</x:v>
      </x:c>
      <x:c r="G77" s="109" t="str">
        <x:v>n.a.</x:v>
      </x:c>
      <x:c r="H77" s="109" t="str">
        <x:v>n.a.</x:v>
      </x:c>
      <x:c r="I77" s="109" t="str">
        <x:v>n.a.</x:v>
      </x:c>
      <x:c r="J77" s="109" t="str">
        <x:v>n.a.</x:v>
      </x:c>
      <x:c r="K77" s="109" t="str">
        <x:v>n.a.</x:v>
      </x:c>
      <x:c r="L77" s="109" t="str">
        <x:v>n.a.</x:v>
      </x:c>
      <x:c r="M77" s="109" t="str">
        <x:v>n.a.</x:v>
      </x:c>
      <x:c r="N77" s="109" t="str">
        <x:v>n.a.</x:v>
      </x:c>
      <x:c r="O77" s="109" t="n">
        <x:f>MIN(MAX(0,O73-O74),O76)</x:f>
        <x:v>0</x:v>
      </x:c>
      <x:c r="P77" s="109" t="n">
        <x:f>MIN(MAX(0,P73-P74),P76)</x:f>
        <x:v>0</x:v>
      </x:c>
      <x:c r="Q77" s="109" t="n">
        <x:f>MIN(MAX(0,Q73-Q74),Q76)</x:f>
        <x:v>0</x:v>
      </x:c>
      <x:c r="R77" s="109" t="n">
        <x:f>MIN(MAX(0,R73-R74),R76)</x:f>
        <x:v>0</x:v>
      </x:c>
      <x:c r="S77" s="109" t="n">
        <x:f>MIN(MAX(0,S73-S74),S76)</x:f>
        <x:v>0</x:v>
      </x:c>
      <x:c r="T77" s="103"/>
      <x:c r="U77" s="103"/>
    </x:row>
    <x:row r="78" ht="24" customHeight="1">
      <x:c r="A78" s="103"/>
      <x:c r="B78" s="103"/>
      <x:c r="C78" s="174" t="str">
        <x:v>Closing short-term investments</x:v>
      </x:c>
      <x:c r="D78" s="174"/>
      <x:c r="E78" s="175" t="n">
        <x:f>'Historical Inputs'!E29</x:f>
        <x:v>125318</x:v>
      </x:c>
      <x:c r="F78" s="175" t="n">
        <x:f>'Historical Inputs'!F29</x:f>
        <x:v>121822</x:v>
      </x:c>
      <x:c r="G78" s="175" t="n">
        <x:f>'Historical Inputs'!G29</x:f>
        <x:v>122463</x:v>
      </x:c>
      <x:c r="H78" s="175" t="n">
        <x:f>'Historical Inputs'!H29</x:f>
        <x:v>122951</x:v>
      </x:c>
      <x:c r="I78" s="175" t="n">
        <x:f>'Historical Inputs'!I29</x:f>
        <x:v>116110</x:v>
      </x:c>
      <x:c r="J78" s="175" t="n">
        <x:f>'Historical Inputs'!J29</x:f>
        <x:v>90826</x:v>
      </x:c>
      <x:c r="K78" s="175" t="n">
        <x:f>'Historical Inputs'!K29</x:f>
        <x:v>76558</x:v>
      </x:c>
      <x:c r="L78" s="175" t="n">
        <x:f>'Historical Inputs'!L29</x:f>
        <x:v>57228</x:v>
      </x:c>
      <x:c r="M78" s="175" t="n">
        <x:f>'Historical Inputs'!M29</x:f>
        <x:v>64323</x:v>
      </x:c>
      <x:c r="N78" s="175" t="n">
        <x:f>'Historical Inputs'!N29</x:f>
        <x:v>55908</x:v>
      </x:c>
      <x:c r="O78" s="175" t="n">
        <x:f>O73-O77</x:f>
        <x:v>55908</x:v>
      </x:c>
      <x:c r="P78" s="175" t="n">
        <x:f>P73-P77</x:f>
        <x:v>55908</x:v>
      </x:c>
      <x:c r="Q78" s="175" t="n">
        <x:f>Q73-Q77</x:f>
        <x:v>55908</x:v>
      </x:c>
      <x:c r="R78" s="175" t="n">
        <x:f>R73-R77</x:f>
        <x:v>55908</x:v>
      </x:c>
      <x:c r="S78" s="175" t="n">
        <x:f>S73-S77</x:f>
        <x:v>55908</x:v>
      </x:c>
      <x:c r="T78" s="103"/>
      <x:c r="U78" s="103"/>
    </x:row>
    <x:row r="79" ht="24" customHeight="1">
      <x:c r="A79" s="103"/>
      <x:c r="B79" s="103"/>
      <x:c r="C79" s="103" t="str">
        <x:v>Opening cash balance</x:v>
      </x:c>
      <x:c r="D79" s="103"/>
      <x:c r="E79" s="109" t="str">
        <x:v>n.a.</x:v>
      </x:c>
      <x:c r="F79" s="109" t="str">
        <x:v>n.a.</x:v>
      </x:c>
      <x:c r="G79" s="109" t="str">
        <x:v>n.a.</x:v>
      </x:c>
      <x:c r="H79" s="109" t="str">
        <x:v>n.a.</x:v>
      </x:c>
      <x:c r="I79" s="109" t="str">
        <x:v>n.a.</x:v>
      </x:c>
      <x:c r="J79" s="109" t="str">
        <x:v>n.a.</x:v>
      </x:c>
      <x:c r="K79" s="109" t="str">
        <x:v>n.a.</x:v>
      </x:c>
      <x:c r="L79" s="109" t="str">
        <x:v>n.a.</x:v>
      </x:c>
      <x:c r="M79" s="109" t="str">
        <x:v>n.a.</x:v>
      </x:c>
      <x:c r="N79" s="109" t="str">
        <x:v>n.a.</x:v>
      </x:c>
      <x:c r="O79" s="109" t="n">
        <x:f>'Balance Sheet'!N8</x:f>
        <x:v>20935</x:v>
      </x:c>
      <x:c r="P79" s="109" t="n">
        <x:f>'Balance Sheet'!O8</x:f>
        <x:v>37832.17978311873</x:v>
      </x:c>
      <x:c r="Q79" s="109" t="n">
        <x:f>'Balance Sheet'!P8</x:f>
        <x:v>94472.09354841156</x:v>
      </x:c>
      <x:c r="R79" s="109" t="n">
        <x:f>'Balance Sheet'!Q8</x:f>
        <x:v>178678.8120071388</x:v>
      </x:c>
      <x:c r="S79" s="109" t="n">
        <x:f>'Balance Sheet'!R8</x:f>
        <x:v>300717.550255754</x:v>
      </x:c>
      <x:c r="T79" s="103"/>
      <x:c r="U79" s="103"/>
    </x:row>
    <x:row r="80" ht="24" customHeight="1">
      <x:c r="A80" s="103"/>
      <x:c r="B80" s="103"/>
      <x:c r="C80" s="174" t="str">
        <x:v>Closing cash balance</x:v>
      </x:c>
      <x:c r="D80" s="174"/>
      <x:c r="E80" s="175" t="n">
        <x:f>'Historical Inputs'!E28</x:f>
        <x:v>7663</x:v>
      </x:c>
      <x:c r="F80" s="175" t="n">
        <x:f>'Historical Inputs'!F28</x:f>
        <x:v>11946</x:v>
      </x:c>
      <x:c r="G80" s="175" t="n">
        <x:f>'Historical Inputs'!G28</x:f>
        <x:v>11356</x:v>
      </x:c>
      <x:c r="H80" s="175" t="n">
        <x:f>'Historical Inputs'!H28</x:f>
        <x:v>13576</x:v>
      </x:c>
      <x:c r="I80" s="175" t="n">
        <x:f>'Historical Inputs'!I28</x:f>
        <x:v>14224</x:v>
      </x:c>
      <x:c r="J80" s="175" t="n">
        <x:f>'Historical Inputs'!J28</x:f>
        <x:v>13931</x:v>
      </x:c>
      <x:c r="K80" s="175" t="n">
        <x:f>'Historical Inputs'!K28</x:f>
        <x:v>34704</x:v>
      </x:c>
      <x:c r="L80" s="175" t="n">
        <x:f>'Historical Inputs'!L28</x:f>
        <x:v>18315</x:v>
      </x:c>
      <x:c r="M80" s="175" t="n">
        <x:f>'Historical Inputs'!M28</x:f>
        <x:v>30242</x:v>
      </x:c>
      <x:c r="N80" s="175" t="n">
        <x:f>'Historical Inputs'!N28</x:f>
        <x:v>20935</x:v>
      </x:c>
      <x:c r="O80" s="175" t="n">
        <x:f>'Cash Flow'!O54</x:f>
        <x:v>37832.17978311873</x:v>
      </x:c>
      <x:c r="P80" s="175" t="n">
        <x:f>'Cash Flow'!P54</x:f>
        <x:v>94472.09354841156</x:v>
      </x:c>
      <x:c r="Q80" s="175" t="n">
        <x:f>'Cash Flow'!Q54</x:f>
        <x:v>178678.8120071388</x:v>
      </x:c>
      <x:c r="R80" s="175" t="n">
        <x:f>'Cash Flow'!R54</x:f>
        <x:v>300717.550255754</x:v>
      </x:c>
      <x:c r="S80" s="175" t="n">
        <x:f>'Cash Flow'!S54</x:f>
        <x:v>457382.5410788633</x:v>
      </x:c>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t="str">
        <x:v>Opening equity investments</x:v>
      </x:c>
      <x:c r="D82" s="103"/>
      <x:c r="E82" s="109" t="str">
        <x:v>n.a.</x:v>
      </x:c>
      <x:c r="F82" s="109" t="str">
        <x:v>n.a.</x:v>
      </x:c>
      <x:c r="G82" s="109" t="str">
        <x:v>n.a.</x:v>
      </x:c>
      <x:c r="H82" s="109" t="str">
        <x:v>n.a.</x:v>
      </x:c>
      <x:c r="I82" s="109" t="str">
        <x:v>n.a.</x:v>
      </x:c>
      <x:c r="J82" s="109" t="str">
        <x:v>n.a.</x:v>
      </x:c>
      <x:c r="K82" s="109" t="str">
        <x:v>n.a.</x:v>
      </x:c>
      <x:c r="L82" s="109" t="str">
        <x:v>n.a.</x:v>
      </x:c>
      <x:c r="M82" s="109" t="str">
        <x:v>n.a.</x:v>
      </x:c>
      <x:c r="N82" s="109" t="str">
        <x:v>n.a.</x:v>
      </x:c>
      <x:c r="O82" s="109" t="n">
        <x:f>'Balance Sheet'!N18</x:f>
        <x:v>36348</x:v>
      </x:c>
      <x:c r="P82" s="109" t="n">
        <x:f>'Balance Sheet'!O18</x:f>
        <x:v>40198.488</x:v>
      </x:c>
      <x:c r="Q82" s="109" t="n">
        <x:f>'Balance Sheet'!P18</x:f>
        <x:v>44643.262424</x:v>
      </x:c>
      <x:c r="R82" s="109" t="n">
        <x:f>'Balance Sheet'!Q18</x:f>
        <x:v>49732.48558832</x:v>
      </x:c>
      <x:c r="S82" s="109" t="n">
        <x:f>'Balance Sheet'!R18</x:f>
        <x:v>55505.50323752</x:v>
      </x:c>
      <x:c r="T82" s="103"/>
      <x:c r="U82" s="103"/>
    </x:row>
    <x:row r="83" ht="24" customHeight="1">
      <x:c r="A83" s="103"/>
      <x:c r="B83" s="103"/>
      <x:c r="C83" s="103" t="str">
        <x:v>Cash purchases of equity investments</x:v>
      </x:c>
      <x:c r="D83" s="103"/>
      <x:c r="E83" s="109" t="str">
        <x:v>n.a.</x:v>
      </x:c>
      <x:c r="F83" s="109" t="str">
        <x:v>n.a.</x:v>
      </x:c>
      <x:c r="G83" s="109" t="str">
        <x:v>n.a.</x:v>
      </x:c>
      <x:c r="H83" s="109" t="str">
        <x:v>n.a.</x:v>
      </x:c>
      <x:c r="I83" s="109" t="str">
        <x:v>n.a.</x:v>
      </x:c>
      <x:c r="J83" s="109" t="str">
        <x:v>n.a.</x:v>
      </x:c>
      <x:c r="K83" s="109" t="str">
        <x:v>n.a.</x:v>
      </x:c>
      <x:c r="L83" s="109" t="str">
        <x:v>n.a.</x:v>
      </x:c>
      <x:c r="M83" s="109" t="str">
        <x:v>n.a.</x:v>
      </x:c>
      <x:c r="N83" s="109" t="str">
        <x:v>n.a.</x:v>
      </x:c>
      <x:c r="O83" s="109" t="n">
        <x:f>'Income Statement'!O8*'Assumptions'!O169</x:f>
        <x:v>3850.4880000000007</x:v>
      </x:c>
      <x:c r="P83" s="109" t="n">
        <x:f>'Income Statement'!P8*'Assumptions'!P169</x:f>
        <x:v>4444.774424000001</x:v>
      </x:c>
      <x:c r="Q83" s="109" t="n">
        <x:f>'Income Statement'!Q8*'Assumptions'!Q169</x:f>
        <x:v>5089.22316432</x:v>
      </x:c>
      <x:c r="R83" s="109" t="n">
        <x:f>'Income Statement'!R8*'Assumptions'!R169</x:f>
        <x:v>5773.017649200001</x:v>
      </x:c>
      <x:c r="S83" s="109" t="n">
        <x:f>'Income Statement'!S8*'Assumptions'!S169</x:f>
        <x:v>6481.071509938753</x:v>
      </x:c>
      <x:c r="T83" s="103"/>
      <x:c r="U83" s="103"/>
    </x:row>
    <x:row r="84" ht="24" customHeight="1">
      <x:c r="A84" s="103"/>
      <x:c r="B84" s="103"/>
      <x:c r="C84" s="103" t="str">
        <x:v>Closing equity investments</x:v>
      </x:c>
      <x:c r="D84" s="103"/>
      <x:c r="E84" s="109" t="n">
        <x:f>'Historical Inputs'!E37</x:f>
        <x:v>6023</x:v>
      </x:c>
      <x:c r="F84" s="109" t="n">
        <x:f>'Historical Inputs'!F37</x:f>
        <x:v>1862</x:v>
      </x:c>
      <x:c r="G84" s="109" t="n">
        <x:f>'Historical Inputs'!G37</x:f>
        <x:v>2649</x:v>
      </x:c>
      <x:c r="H84" s="109" t="n">
        <x:f>'Historical Inputs'!H37</x:f>
        <x:v>2965</x:v>
      </x:c>
      <x:c r="I84" s="109" t="n">
        <x:f>'Historical Inputs'!I37</x:f>
        <x:v>5984</x:v>
      </x:c>
      <x:c r="J84" s="109" t="n">
        <x:f>'Historical Inputs'!J37</x:f>
        <x:v>6891</x:v>
      </x:c>
      <x:c r="K84" s="109" t="n">
        <x:f>'Historical Inputs'!K37</x:f>
        <x:v>9879</x:v>
      </x:c>
      <x:c r="L84" s="109" t="n">
        <x:f>'Historical Inputs'!L37</x:f>
        <x:v>14600</x:v>
      </x:c>
      <x:c r="M84" s="109" t="n">
        <x:f>'Historical Inputs'!M37</x:f>
        <x:v>15405</x:v>
      </x:c>
      <x:c r="N84" s="109" t="n">
        <x:f>'Historical Inputs'!N37</x:f>
        <x:v>36348</x:v>
      </x:c>
      <x:c r="O84" s="109" t="n">
        <x:f>O82+O83</x:f>
        <x:v>40198.488</x:v>
      </x:c>
      <x:c r="P84" s="109" t="n">
        <x:f>P82+P83</x:f>
        <x:v>44643.262424</x:v>
      </x:c>
      <x:c r="Q84" s="109" t="n">
        <x:f>Q82+Q83</x:f>
        <x:v>49732.48558832</x:v>
      </x:c>
      <x:c r="R84" s="109" t="n">
        <x:f>R82+R83</x:f>
        <x:v>55505.50323752</x:v>
      </x:c>
      <x:c r="S84" s="109" t="n">
        <x:f>S82+S83</x:f>
        <x:v>61986.574747458755</x:v>
      </x:c>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c r="A96" s="103"/>
      <x:c r="B96" s="103"/>
      <x:c r="C96" s="103"/>
      <x:c r="D96" s="103"/>
      <x:c r="E96" s="103"/>
      <x:c r="F96" s="103"/>
      <x:c r="G96" s="103"/>
      <x:c r="H96" s="103"/>
      <x:c r="I96" s="103"/>
      <x:c r="J96" s="103"/>
      <x:c r="K96" s="103"/>
      <x:c r="L96" s="103"/>
      <x:c r="M96" s="103"/>
      <x:c r="N96" s="103"/>
      <x:c r="O96" s="103"/>
      <x:c r="P96" s="103"/>
      <x:c r="Q96" s="103"/>
      <x:c r="R96" s="103"/>
      <x:c r="S96" s="103"/>
      <x:c r="T96" s="103"/>
      <x:c r="U96" s="103"/>
    </x:row>
    <x:row r="97" ht="24" customHeight="1">
      <x:c r="A97" s="103"/>
      <x:c r="B97" s="103"/>
      <x:c r="C97" s="103"/>
      <x:c r="D97" s="103"/>
      <x:c r="E97" s="103"/>
      <x:c r="F97" s="103"/>
      <x:c r="G97" s="103"/>
      <x:c r="H97" s="103"/>
      <x:c r="I97" s="103"/>
      <x:c r="J97" s="103"/>
      <x:c r="K97" s="103"/>
      <x:c r="L97" s="103"/>
      <x:c r="M97" s="103"/>
      <x:c r="N97" s="103"/>
      <x:c r="O97" s="103"/>
      <x:c r="P97" s="103"/>
      <x:c r="Q97" s="103"/>
      <x:c r="R97" s="103"/>
      <x:c r="S97" s="103"/>
      <x:c r="T97" s="103"/>
      <x:c r="U97" s="103"/>
    </x:row>
    <x:row r="98" ht="24" customHeight="1">
      <x:c r="A98" s="103"/>
      <x:c r="B98" s="103"/>
      <x:c r="C98" s="103"/>
      <x:c r="D98" s="103"/>
      <x:c r="E98" s="103"/>
      <x:c r="F98" s="103"/>
      <x:c r="G98" s="103"/>
      <x:c r="H98" s="103"/>
      <x:c r="I98" s="103"/>
      <x:c r="J98" s="103"/>
      <x:c r="K98" s="103"/>
      <x:c r="L98" s="103"/>
      <x:c r="M98" s="103"/>
      <x:c r="N98" s="103"/>
      <x:c r="O98" s="103"/>
      <x:c r="P98" s="103"/>
      <x:c r="Q98" s="103"/>
      <x:c r="R98" s="103"/>
      <x:c r="S98" s="103"/>
      <x:c r="T98" s="103"/>
      <x:c r="U98" s="103"/>
    </x:row>
    <x:row r="99" ht="24" customHeight="1">
      <x:c r="A99" s="103"/>
      <x:c r="B99" s="103"/>
      <x:c r="C99" s="103"/>
      <x:c r="D99" s="103"/>
      <x:c r="E99" s="103"/>
      <x:c r="F99" s="103"/>
      <x:c r="G99" s="103"/>
      <x:c r="H99" s="103"/>
      <x:c r="I99" s="103"/>
      <x:c r="J99" s="103"/>
      <x:c r="K99" s="103"/>
      <x:c r="L99" s="103"/>
      <x:c r="M99" s="103"/>
      <x:c r="N99" s="103"/>
      <x:c r="O99" s="103"/>
      <x:c r="P99" s="103"/>
      <x:c r="Q99" s="103"/>
      <x:c r="R99" s="103"/>
      <x:c r="S99" s="103"/>
      <x:c r="T99" s="103"/>
      <x:c r="U99" s="103"/>
    </x:row>
    <x:row r="100" ht="24" customHeight="1">
      <x:c r="A100" s="103"/>
      <x:c r="B100" s="103"/>
      <x:c r="C100" s="103"/>
      <x:c r="D100" s="103"/>
      <x:c r="E100" s="103"/>
      <x:c r="F100" s="103"/>
      <x:c r="G100" s="103"/>
      <x:c r="H100" s="103"/>
      <x:c r="I100" s="103"/>
      <x:c r="J100" s="103"/>
      <x:c r="K100" s="103"/>
      <x:c r="L100" s="103"/>
      <x:c r="M100" s="103"/>
      <x:c r="N100" s="103"/>
      <x:c r="O100" s="103"/>
      <x:c r="P100" s="103"/>
      <x:c r="Q100" s="103"/>
      <x:c r="R100" s="103"/>
      <x:c r="S100" s="103"/>
      <x:c r="T100" s="103"/>
      <x:c r="U100" s="103"/>
    </x:row>
    <x:row r="101" ht="24" customHeight="1">
      <x:c r="A101" s="103"/>
      <x:c r="B101" s="103"/>
      <x:c r="C101" s="103"/>
      <x:c r="D101" s="103"/>
      <x:c r="E101" s="103"/>
      <x:c r="F101" s="103"/>
      <x:c r="G101" s="103"/>
      <x:c r="H101" s="103"/>
      <x:c r="I101" s="103"/>
      <x:c r="J101" s="103"/>
      <x:c r="K101" s="103"/>
      <x:c r="L101" s="103"/>
      <x:c r="M101" s="103"/>
      <x:c r="N101" s="103"/>
      <x:c r="O101" s="103"/>
      <x:c r="P101" s="103"/>
      <x:c r="Q101" s="103"/>
      <x:c r="R101" s="103"/>
      <x:c r="S101" s="103"/>
      <x:c r="T101" s="103"/>
      <x:c r="U101" s="103"/>
    </x:row>
    <x:row r="102" ht="24" customHeight="1">
      <x:c r="A102" s="103"/>
      <x:c r="B102" s="103"/>
      <x:c r="C102" s="103"/>
      <x:c r="D102" s="103"/>
      <x:c r="E102" s="103"/>
      <x:c r="F102" s="103"/>
      <x:c r="G102" s="103"/>
      <x:c r="H102" s="103"/>
      <x:c r="I102" s="103"/>
      <x:c r="J102" s="103"/>
      <x:c r="K102" s="103"/>
      <x:c r="L102" s="103"/>
      <x:c r="M102" s="103"/>
      <x:c r="N102" s="103"/>
      <x:c r="O102" s="103"/>
      <x:c r="P102" s="103"/>
      <x:c r="Q102" s="103"/>
      <x:c r="R102" s="103"/>
      <x:c r="S102" s="103"/>
      <x:c r="T102" s="103"/>
      <x:c r="U102" s="103"/>
    </x:row>
    <x:row r="103" ht="24" customHeight="1">
      <x:c r="A103" s="103"/>
      <x:c r="B103" s="103"/>
      <x:c r="C103" s="103"/>
      <x:c r="D103" s="103"/>
      <x:c r="E103" s="103"/>
      <x:c r="F103" s="103"/>
      <x:c r="G103" s="103"/>
      <x:c r="H103" s="103"/>
      <x:c r="I103" s="103"/>
      <x:c r="J103" s="103"/>
      <x:c r="K103" s="103"/>
      <x:c r="L103" s="103"/>
      <x:c r="M103" s="103"/>
      <x:c r="N103" s="103"/>
      <x:c r="O103" s="103"/>
      <x:c r="P103" s="103"/>
      <x:c r="Q103" s="103"/>
      <x:c r="R103" s="103"/>
      <x:c r="S103" s="103"/>
      <x:c r="T103" s="103"/>
      <x:c r="U103" s="103"/>
    </x:row>
    <x:row r="104" ht="24" customHeight="1">
      <x:c r="A104" s="103"/>
      <x:c r="B104" s="103"/>
      <x:c r="C104" s="103"/>
      <x:c r="D104" s="103"/>
      <x:c r="E104" s="103"/>
      <x:c r="F104" s="103"/>
      <x:c r="G104" s="103"/>
      <x:c r="H104" s="103"/>
      <x:c r="I104" s="103"/>
      <x:c r="J104" s="103"/>
      <x:c r="K104" s="103"/>
      <x:c r="L104" s="103"/>
      <x:c r="M104" s="103"/>
      <x:c r="N104" s="103"/>
      <x:c r="O104" s="103"/>
      <x:c r="P104" s="103"/>
      <x:c r="Q104" s="103"/>
      <x:c r="R104" s="103"/>
      <x:c r="S104" s="103"/>
      <x:c r="T104" s="103"/>
      <x:c r="U104" s="103"/>
    </x:row>
    <x:row r="105" ht="24" customHeight="1">
      <x:c r="A105" s="103"/>
      <x:c r="B105" s="103"/>
      <x:c r="C105" s="103"/>
      <x:c r="D105" s="103"/>
      <x:c r="E105" s="103"/>
      <x:c r="F105" s="103"/>
      <x:c r="G105" s="103"/>
      <x:c r="H105" s="103"/>
      <x:c r="I105" s="103"/>
      <x:c r="J105" s="103"/>
      <x:c r="K105" s="103"/>
      <x:c r="L105" s="103"/>
      <x:c r="M105" s="103"/>
      <x:c r="N105" s="103"/>
      <x:c r="O105" s="103"/>
      <x:c r="P105" s="103"/>
      <x:c r="Q105" s="103"/>
      <x:c r="R105" s="103"/>
      <x:c r="S105" s="103"/>
      <x:c r="T105" s="103"/>
      <x:c r="U105" s="103"/>
    </x:row>
    <x:row r="106" ht="24" customHeight="1">
      <x:c r="A106" s="103"/>
      <x:c r="B106" s="103"/>
      <x:c r="C106" s="103"/>
      <x:c r="D106" s="103"/>
      <x:c r="E106" s="103"/>
      <x:c r="F106" s="103"/>
      <x:c r="G106" s="103"/>
      <x:c r="H106" s="103"/>
      <x:c r="I106" s="103"/>
      <x:c r="J106" s="103"/>
      <x:c r="K106" s="103"/>
      <x:c r="L106" s="103"/>
      <x:c r="M106" s="103"/>
      <x:c r="N106" s="103"/>
      <x:c r="O106" s="103"/>
      <x:c r="P106" s="103"/>
      <x:c r="Q106" s="103"/>
      <x:c r="R106" s="103"/>
      <x:c r="S106" s="103"/>
      <x:c r="T106" s="103"/>
      <x:c r="U106" s="103"/>
    </x:row>
    <x:row r="107" ht="24" customHeight="1">
      <x:c r="A107" s="103"/>
      <x:c r="B107" s="103"/>
      <x:c r="C107" s="103"/>
      <x:c r="D107" s="103"/>
      <x:c r="E107" s="103"/>
      <x:c r="F107" s="103"/>
      <x:c r="G107" s="103"/>
      <x:c r="H107" s="103"/>
      <x:c r="I107" s="103"/>
      <x:c r="J107" s="103"/>
      <x:c r="K107" s="103"/>
      <x:c r="L107" s="103"/>
      <x:c r="M107" s="103"/>
      <x:c r="N107" s="103"/>
      <x:c r="O107" s="103"/>
      <x:c r="P107" s="103"/>
      <x:c r="Q107" s="103"/>
      <x:c r="R107" s="103"/>
      <x:c r="S107" s="103"/>
      <x:c r="T107" s="103"/>
      <x:c r="U107" s="103"/>
    </x:row>
    <x:row r="108" ht="24" customHeight="1"/>
    <x:row r="109" ht="24" customHeight="1"/>
    <x:row r="110" ht="24" customHeight="1"/>
    <x:row r="111" ht="24" customHeight="1"/>
    <x:row r="112" ht="24" customHeight="1"/>
    <x:row r="113" ht="24" customHeight="1"/>
    <x:row r="114" ht="24" customHeight="1"/>
    <x:row r="115" ht="24" customHeight="1">
      <x:c r="C115" s="181" t="str">
        <x:v>Selected-case observations</x:v>
      </x:c>
      <x:c r="D115" s="181"/>
      <x:c r="E115" s="181"/>
      <x:c r="F115" s="181"/>
      <x:c r="G115" s="181"/>
      <x:c r="H115" s="181"/>
      <x:c r="I115" s="181"/>
      <x:c r="J115" s="181"/>
      <x:c r="K115" s="181"/>
      <x:c r="L115" s="181"/>
      <x:c r="M115" s="181"/>
      <x:c r="N115" s="181"/>
      <x:c r="O115" s="181"/>
      <x:c r="P115" s="181"/>
      <x:c r="Q115" s="181"/>
      <x:c r="R115" s="181"/>
      <x:c r="S115" s="181"/>
    </x:row>
    <x:row r="116" ht="24" customHeight="1">
      <x:c r="C116" s="128" t="str">
        <x:f>"FY2031 debt face value: "&amp;FIXED(S12/1000,1,TRUE)&amp;"bn; carrying amount: "&amp;FIXED(S18/1000,1,TRUE)&amp;"bn."</x:f>
        <x:v>FY2031 debt face value: 34.4bn; carrying amount: 29.4bn.</x:v>
      </x:c>
      <x:c r="D116" s="128"/>
      <x:c r="E116" s="128"/>
      <x:c r="F116" s="128"/>
      <x:c r="G116" s="128"/>
      <x:c r="H116" s="128"/>
      <x:c r="I116" s="128"/>
      <x:c r="J116" s="128"/>
      <x:c r="K116" s="128"/>
      <x:c r="L116" s="128"/>
      <x:c r="M116" s="128"/>
      <x:c r="N116" s="128"/>
      <x:c r="O116" s="128"/>
      <x:c r="P116" s="128"/>
      <x:c r="Q116" s="128"/>
      <x:c r="R116" s="128"/>
      <x:c r="S116" s="128"/>
    </x:row>
    <x:row r="117" ht="24" customHeight="1">
      <x:c r="C117" s="128" t="str">
        <x:f>"FY2031 finance lease liabilities: "&amp;FIXED(S42/1000,1,TRUE)&amp;"bn; operating lease liabilities: "&amp;FIXED(S63/1000,1,TRUE)&amp;"bn."</x:f>
        <x:v>FY2031 finance lease liabilities: 181.3bn; operating lease liabilities: 32.5bn.</x:v>
      </x:c>
      <x:c r="D117" s="128"/>
      <x:c r="E117" s="128"/>
      <x:c r="F117" s="128"/>
      <x:c r="G117" s="128"/>
      <x:c r="H117" s="128"/>
      <x:c r="I117" s="128"/>
      <x:c r="J117" s="128"/>
      <x:c r="K117" s="128"/>
      <x:c r="L117" s="128"/>
      <x:c r="M117" s="128"/>
      <x:c r="N117" s="128"/>
      <x:c r="O117" s="128"/>
      <x:c r="P117" s="128"/>
      <x:c r="Q117" s="128"/>
      <x:c r="R117" s="128"/>
      <x:c r="S117" s="128"/>
    </x:row>
    <x:row r="118" ht="24" customHeight="1">
      <x:c r="C118" s="128" t="str">
        <x:f>"FY2031 liquidity borrowing: "&amp;FIXED(S11/1000,1,TRUE)&amp;"bn. The funding sequence uses eligible investment reserves first."</x:f>
        <x:v>FY2031 liquidity borrowing: 0.0bn. The funding sequence uses eligible investment reserves first.</x:v>
      </x:c>
      <x:c r="D118" s="128"/>
      <x:c r="E118" s="128"/>
      <x:c r="F118" s="128"/>
      <x:c r="G118" s="128"/>
      <x:c r="H118" s="128"/>
      <x:c r="I118" s="128"/>
      <x:c r="J118" s="128"/>
      <x:c r="K118" s="128"/>
      <x:c r="L118" s="128"/>
      <x:c r="M118" s="128"/>
      <x:c r="N118" s="128"/>
      <x:c r="O118" s="128"/>
      <x:c r="P118" s="128"/>
      <x:c r="Q118" s="128"/>
      <x:c r="R118" s="128"/>
      <x:c r="S118" s="128"/>
    </x:row>
    <x:row r="119" ht="24" customHeight="1"/>
    <x:row r="120" ht="24" customHeight="1"/>
    <x:row r="121" ht="24" customHeight="1"/>
    <x:row r="122" ht="24" customHeight="1"/>
    <x:row r="123" ht="24" customHeight="1"/>
    <x:row r="124" ht="24" customHeight="1"/>
    <x:row r="125" ht="24" customHeight="1"/>
    <x:row r="126" ht="24" customHeight="1"/>
    <x:row r="127" ht="24" customHeight="1"/>
    <x:row r="128" ht="24" customHeight="1"/>
    <x:row r="129" ht="24" customHeight="1"/>
    <x:row r="130" ht="24" customHeight="1"/>
    <x:row r="131" ht="24" customHeight="1"/>
    <x:row r="132" ht="24" customHeight="1"/>
    <x:row r="133" ht="24" customHeight="1"/>
    <x:row r="134" ht="24" customHeight="1"/>
    <x:row r="135" ht="24" customHeight="1"/>
    <x:row r="136" ht="24" customHeight="1"/>
    <x:row r="137" ht="24" customHeight="1"/>
    <x:row r="138" ht="24" customHeight="1"/>
    <x:row r="139" ht="24" customHeight="1"/>
    <x:row r="140" ht="24" customHeight="1"/>
    <x:row r="141" ht="24" customHeight="1"/>
    <x:row r="142" ht="24" customHeight="1">
      <x:c r="C142" s="138" t="str">
        <x:v>Fiscal year</x:v>
      </x:c>
      <x:c r="D142" s="138" t="str">
        <x:v>Debt carrying amount</x:v>
      </x:c>
      <x:c r="E142" s="138" t="str">
        <x:v>Finance leases</x:v>
      </x:c>
      <x:c r="F142" s="138" t="str">
        <x:v>Operating leases</x:v>
      </x:c>
    </x:row>
    <x:row r="143" ht="24" customHeight="1">
      <x:c r="C143" s="128" t="str">
        <x:f>"FY2026 A"</x:f>
        <x:v>FY2026 A</x:v>
      </x:c>
      <x:c r="D143" s="134" t="n">
        <x:f>IF(OR(N18="n.a.",ISBLANK(N18)),"",N18)</x:f>
        <x:v>40294</x:v>
      </x:c>
      <x:c r="E143" s="134" t="n">
        <x:f>IF(OR(N42="n.a.",ISBLANK(N42)),"",N42)</x:f>
        <x:v>66594</x:v>
      </x:c>
      <x:c r="F143" s="134" t="n">
        <x:f>IF(OR(N63="n.a.",ISBLANK(N63)),"",N63)</x:f>
        <x:v>21925</x:v>
      </x:c>
    </x:row>
    <x:row r="144" ht="24" customHeight="1">
      <x:c r="C144" s="128" t="str">
        <x:f>"FY2027 E"</x:f>
        <x:v>FY2027 E</x:v>
      </x:c>
      <x:c r="D144" s="134" t="n">
        <x:f>IF(OR(O18="n.a.",ISBLANK(O18)),"",O18)</x:f>
        <x:v>31219.260000000002</x:v>
      </x:c>
      <x:c r="E144" s="134" t="n">
        <x:f>IF(OR(O42="n.a.",ISBLANK(O42)),"",O42)</x:f>
        <x:v>90237.67230769231</x:v>
      </x:c>
      <x:c r="F144" s="134" t="n">
        <x:f>IF(OR(O63="n.a.",ISBLANK(O63)),"",O63)</x:f>
        <x:v>21948.646</x:v>
      </x:c>
    </x:row>
    <x:row r="145" ht="24" customHeight="1">
      <x:c r="C145" s="128" t="str">
        <x:f>"FY2028 E"</x:f>
        <x:v>FY2028 E</x:v>
      </x:c>
      <x:c r="D145" s="134" t="n">
        <x:f>IF(OR(P18="n.a.",ISBLANK(P18)),"",P18)</x:f>
        <x:v>31389.2622</x:v>
      </x:c>
      <x:c r="E145" s="134" t="n">
        <x:f>IF(OR(P42="n.a.",ISBLANK(P42)),"",P42)</x:f>
        <x:v>113535.56552633137</x:v>
      </x:c>
      <x:c r="F145" s="134" t="n">
        <x:f>IF(OR(P63="n.a.",ISBLANK(P63)),"",P63)</x:f>
        <x:v>23460.013658</x:v>
      </x:c>
    </x:row>
    <x:row r="146" ht="24" customHeight="1">
      <x:c r="C146" s="128" t="str">
        <x:f>"FY2029 E"</x:f>
        <x:v>FY2029 E</x:v>
      </x:c>
      <x:c r="D146" s="134" t="n">
        <x:f>IF(OR(Q18="n.a.",ISBLANK(Q18)),"",Q18)</x:f>
        <x:v>29553.164334</x:v>
      </x:c>
      <x:c r="E146" s="134" t="n">
        <x:f>IF(OR(Q42="n.a.",ISBLANK(Q42)),"",Q42)</x:f>
        <x:v>137011.6426122482</x:v>
      </x:c>
      <x:c r="F146" s="134" t="n">
        <x:f>IF(OR(Q63="n.a.",ISBLANK(Q63)),"",Q63)</x:f>
        <x:v>26036.413079131664</x:v>
      </x:c>
    </x:row>
    <x:row r="147" ht="24" customHeight="1">
      <x:c r="C147" s="128" t="str">
        <x:f>"FY2030 E"</x:f>
        <x:v>FY2030 E</x:v>
      </x:c>
      <x:c r="D147" s="134" t="n">
        <x:f>IF(OR(R18="n.a.",ISBLANK(R18)),"",R18)</x:f>
        <x:v>29713.11940398</x:v>
      </x:c>
      <x:c r="E147" s="134" t="n">
        <x:f>IF(OR(R42="n.a.",ISBLANK(R42)),"",R42)</x:f>
        <x:v>159783.25799450994</x:v>
      </x:c>
      <x:c r="F147" s="134" t="n">
        <x:f>IF(OR(R63="n.a.",ISBLANK(R63)),"",R63)</x:f>
        <x:v>29114.37931443948</x:v>
      </x:c>
    </x:row>
    <x:row r="148" ht="24" customHeight="1">
      <x:c r="C148" s="128" t="str">
        <x:f>"FY2031 E"</x:f>
        <x:v>FY2031 E</x:v>
      </x:c>
      <x:c r="D148" s="134" t="n">
        <x:f>IF(OR(S18="n.a.",ISBLANK(S18)),"",S18)</x:f>
        <x:v>29368.2758218606</x:v>
      </x:c>
      <x:c r="E148" s="134" t="n">
        <x:f>IF(OR(S42="n.a.",ISBLANK(S42)),"",S42)</x:f>
        <x:v>181294.08196032187</x:v>
      </x:c>
      <x:c r="F148" s="134" t="n">
        <x:f>IF(OR(S63="n.a.",ISBLANK(S63)),"",S63)</x:f>
        <x:v>32494.33226083643</x:v>
      </x:c>
    </x:row>
    <x:row r="149" ht="24" customHeight="1"/>
    <x:row r="150" ht="24" customHeight="1"/>
    <x:row r="151" ht="24" customHeight="1"/>
    <x:row r="152" ht="24" customHeight="1"/>
    <x:row r="153" ht="24" customHeight="1"/>
    <x:row r="154" ht="24" customHeight="1"/>
    <x:row r="155" ht="24" customHeight="1"/>
    <x:row r="156" ht="24" customHeight="1"/>
    <x:row r="157" ht="24" customHeight="1"/>
    <x:row r="158" ht="24" customHeight="1"/>
    <x:row r="159" ht="24" customHeight="1"/>
    <x:row r="160" ht="24" customHeight="1"/>
    <x:row r="161" ht="24" customHeight="1">
      <x:c r="C161" s="138" t="str">
        <x:v>Fiscal year</x:v>
      </x:c>
      <x:c r="D161" s="138" t="str">
        <x:v>Short-term investments</x:v>
      </x:c>
      <x:c r="E161" s="138" t="str">
        <x:v>Cash</x:v>
      </x:c>
    </x:row>
    <x:row r="162" ht="24" customHeight="1">
      <x:c r="C162" s="128" t="str">
        <x:f>"FY2026 A"</x:f>
        <x:v>FY2026 A</x:v>
      </x:c>
      <x:c r="D162" s="134" t="n">
        <x:f>IF(OR(N78="n.a.",ISBLANK(N78)),"",N78)</x:f>
        <x:v>55908</x:v>
      </x:c>
      <x:c r="E162" s="134" t="n">
        <x:f>IF(OR(N80="n.a.",ISBLANK(N80)),"",N80)</x:f>
        <x:v>20935</x:v>
      </x:c>
    </x:row>
    <x:row r="163" ht="24" customHeight="1">
      <x:c r="C163" s="128" t="str">
        <x:f>"FY2027 E"</x:f>
        <x:v>FY2027 E</x:v>
      </x:c>
      <x:c r="D163" s="134" t="n">
        <x:f>IF(OR(O78="n.a.",ISBLANK(O78)),"",O78)</x:f>
        <x:v>55908</x:v>
      </x:c>
      <x:c r="E163" s="134" t="n">
        <x:f>IF(OR(O80="n.a.",ISBLANK(O80)),"",O80)</x:f>
        <x:v>37832.17978311873</x:v>
      </x:c>
    </x:row>
    <x:row r="164" ht="24" customHeight="1">
      <x:c r="C164" s="128" t="str">
        <x:f>"FY2028 E"</x:f>
        <x:v>FY2028 E</x:v>
      </x:c>
      <x:c r="D164" s="134" t="n">
        <x:f>IF(OR(P78="n.a.",ISBLANK(P78)),"",P78)</x:f>
        <x:v>55908</x:v>
      </x:c>
      <x:c r="E164" s="134" t="n">
        <x:f>IF(OR(P80="n.a.",ISBLANK(P80)),"",P80)</x:f>
        <x:v>94472.09354841156</x:v>
      </x:c>
    </x:row>
    <x:row r="165" ht="24" customHeight="1">
      <x:c r="C165" s="128" t="str">
        <x:f>"FY2029 E"</x:f>
        <x:v>FY2029 E</x:v>
      </x:c>
      <x:c r="D165" s="134" t="n">
        <x:f>IF(OR(Q78="n.a.",ISBLANK(Q78)),"",Q78)</x:f>
        <x:v>55908</x:v>
      </x:c>
      <x:c r="E165" s="134" t="n">
        <x:f>IF(OR(Q80="n.a.",ISBLANK(Q80)),"",Q80)</x:f>
        <x:v>178678.8120071388</x:v>
      </x:c>
    </x:row>
    <x:row r="166" ht="24" customHeight="1">
      <x:c r="C166" s="128" t="str">
        <x:f>"FY2030 E"</x:f>
        <x:v>FY2030 E</x:v>
      </x:c>
      <x:c r="D166" s="134" t="n">
        <x:f>IF(OR(R78="n.a.",ISBLANK(R78)),"",R78)</x:f>
        <x:v>55908</x:v>
      </x:c>
      <x:c r="E166" s="134" t="n">
        <x:f>IF(OR(R80="n.a.",ISBLANK(R80)),"",R80)</x:f>
        <x:v>300717.550255754</x:v>
      </x:c>
    </x:row>
    <x:row r="167" ht="24" customHeight="1">
      <x:c r="C167" s="128" t="str">
        <x:f>"FY2031 E"</x:f>
        <x:v>FY2031 E</x:v>
      </x:c>
      <x:c r="D167" s="134" t="n">
        <x:f>IF(OR(S78="n.a.",ISBLANK(S78)),"",S78)</x:f>
        <x:v>55908</x:v>
      </x:c>
      <x:c r="E167" s="134" t="n">
        <x:f>IF(OR(S80="n.a.",ISBLANK(S80)),"",S80)</x:f>
        <x:v>457382.5410788633</x:v>
      </x:c>
    </x:row>
  </x:sheetData>
  <x:mergeCells>
    <x:mergeCell ref="C116:S116"/>
    <x:mergeCell ref="C117:S117"/>
    <x:mergeCell ref="C118:S118"/>
  </x:mergeCells>
  <x:pageMargins left="0.7" right="0.7" top="0.75" bottom="0.75" header="0.3" footer="0.3"/>
  <x:drawing xmlns:r="http://schemas.openxmlformats.org/officeDocument/2006/relationships" r:id="R801911fc342e4db2"/>
  <x:legacyDrawing xmlns:r="http://schemas.openxmlformats.org/officeDocument/2006/relationships" r:id="Rb2103c697f9d44c5"/>
</x:worksheet>
</file>

<file path=xl/worksheets/sheet15.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Tax and Equity</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Income before taxes</x:v>
      </x:c>
      <x:c r="D8" s="103"/>
      <x:c r="E8" s="109" t="n">
        <x:f>'Income Statement'!E23</x:f>
        <x:v>29901</x:v>
      </x:c>
      <x:c r="F8" s="109" t="n">
        <x:f>'Income Statement'!F23</x:f>
        <x:v>36474</x:v>
      </x:c>
      <x:c r="G8" s="109" t="n">
        <x:f>'Income Statement'!G23</x:f>
        <x:v>43688</x:v>
      </x:c>
      <x:c r="H8" s="109" t="n">
        <x:f>'Income Statement'!H23</x:f>
        <x:v>53036</x:v>
      </x:c>
      <x:c r="I8" s="109" t="n">
        <x:f>'Income Statement'!I23</x:f>
        <x:v>71102</x:v>
      </x:c>
      <x:c r="J8" s="109" t="n">
        <x:f>'Income Statement'!J23</x:f>
        <x:v>83716</x:v>
      </x:c>
      <x:c r="K8" s="109" t="n">
        <x:f>'Income Statement'!K23</x:f>
        <x:v>89311</x:v>
      </x:c>
      <x:c r="L8" s="109" t="n">
        <x:f>'Income Statement'!L23</x:f>
        <x:v>107787</x:v>
      </x:c>
      <x:c r="M8" s="109" t="n">
        <x:f>'Income Statement'!M23</x:f>
        <x:v>123627</x:v>
      </x:c>
      <x:c r="N8" s="109" t="n">
        <x:f>'Income Statement'!N23</x:f>
        <x:v>165934</x:v>
      </x:c>
      <x:c r="O8" s="109" t="n">
        <x:f>'Income Statement'!O23</x:f>
        <x:v>174033.32415427134</x:v>
      </x:c>
      <x:c r="P8" s="109" t="n">
        <x:f>'Income Statement'!P23</x:f>
        <x:v>187449.30041408233</x:v>
      </x:c>
      <x:c r="Q8" s="109" t="n">
        <x:f>'Income Statement'!Q23</x:f>
        <x:v>204119.26623087877</x:v>
      </x:c>
      <x:c r="R8" s="109" t="n">
        <x:f>'Income Statement'!R23</x:f>
        <x:v>224530.61398818123</x:v>
      </x:c>
      <x:c r="S8" s="109" t="n">
        <x:f>'Income Statement'!S23</x:f>
        <x:v>247760.6851953733</x:v>
      </x:c>
      <x:c r="T8" s="103"/>
      <x:c r="U8" s="103"/>
    </x:row>
    <x:row r="9" ht="24" customHeight="1">
      <x:c r="A9" s="103"/>
      <x:c r="B9" s="103"/>
      <x:c r="C9" s="105" t="str">
        <x:v>Effective tax rate</x:v>
      </x:c>
      <x:c r="D9" s="105"/>
      <x:c r="E9" s="119" t="n">
        <x:f>E10/E8</x:f>
        <x:v>0.14755359352530015</x:v>
      </x:c>
      <x:c r="F9" s="119" t="n">
        <x:f>F10/F8</x:f>
        <x:v>0.5456763722103416</x:v>
      </x:c>
      <x:c r="G9" s="119" t="n">
        <x:f>G10/G8</x:f>
        <x:v>0.10181285478850027</x:v>
      </x:c>
      <x:c r="H9" s="119" t="n">
        <x:f>H10/H8</x:f>
        <x:v>0.16507655177615205</x:v>
      </x:c>
      <x:c r="I9" s="119" t="n">
        <x:f>I10/I8</x:f>
        <x:v>0.13826615285083402</x:v>
      </x:c>
      <x:c r="J9" s="119" t="n">
        <x:f>J10/J8</x:f>
        <x:v>0.13113383343685794</x:v>
      </x:c>
      <x:c r="K9" s="119" t="n">
        <x:f>K10/K8</x:f>
        <x:v>0.18978625253328257</x:v>
      </x:c>
      <x:c r="L9" s="119" t="n">
        <x:f>L10/L8</x:f>
        <x:v>0.18231326597827197</x:v>
      </x:c>
      <x:c r="M9" s="119" t="n">
        <x:f>M10/M8</x:f>
        <x:v>0.17629644009803683</x:v>
      </x:c>
      <x:c r="N9" s="119" t="n">
        <x:f>N10/N8</x:f>
        <x:v>0.19396265985271252</x:v>
      </x:c>
      <x:c r="O9" s="119" t="n">
        <x:f>'Assumptions'!O189</x:f>
        <x:v>0.2</x:v>
      </x:c>
      <x:c r="P9" s="119" t="n">
        <x:f>'Assumptions'!P189</x:f>
        <x:v>0.2</x:v>
      </x:c>
      <x:c r="Q9" s="119" t="n">
        <x:f>'Assumptions'!Q189</x:f>
        <x:v>0.2</x:v>
      </x:c>
      <x:c r="R9" s="119" t="n">
        <x:f>'Assumptions'!R189</x:f>
        <x:v>0.2</x:v>
      </x:c>
      <x:c r="S9" s="119" t="n">
        <x:f>'Assumptions'!S189</x:f>
        <x:v>0.2</x:v>
      </x:c>
      <x:c r="T9" s="103"/>
      <x:c r="U9" s="103"/>
    </x:row>
    <x:row r="10" ht="24" customHeight="1">
      <x:c r="A10" s="103"/>
      <x:c r="B10" s="103"/>
      <x:c r="C10" s="174" t="str">
        <x:v>Income tax expense</x:v>
      </x:c>
      <x:c r="D10" s="174"/>
      <x:c r="E10" s="175" t="n">
        <x:f>'Historical Inputs'!E18</x:f>
        <x:v>4412</x:v>
      </x:c>
      <x:c r="F10" s="175" t="n">
        <x:f>'Historical Inputs'!F18</x:f>
        <x:v>19903</x:v>
      </x:c>
      <x:c r="G10" s="175" t="n">
        <x:f>'Historical Inputs'!G18</x:f>
        <x:v>4448</x:v>
      </x:c>
      <x:c r="H10" s="175" t="n">
        <x:f>'Historical Inputs'!H18</x:f>
        <x:v>8755</x:v>
      </x:c>
      <x:c r="I10" s="175" t="n">
        <x:f>'Historical Inputs'!I18</x:f>
        <x:v>9831</x:v>
      </x:c>
      <x:c r="J10" s="175" t="n">
        <x:f>'Historical Inputs'!J18</x:f>
        <x:v>10978</x:v>
      </x:c>
      <x:c r="K10" s="175" t="n">
        <x:f>'Historical Inputs'!K18</x:f>
        <x:v>16950</x:v>
      </x:c>
      <x:c r="L10" s="175" t="n">
        <x:f>'Historical Inputs'!L18</x:f>
        <x:v>19651</x:v>
      </x:c>
      <x:c r="M10" s="175" t="n">
        <x:f>'Historical Inputs'!M18</x:f>
        <x:v>21795</x:v>
      </x:c>
      <x:c r="N10" s="175" t="n">
        <x:f>'Historical Inputs'!N18</x:f>
        <x:v>32185</x:v>
      </x:c>
      <x:c r="O10" s="175" t="n">
        <x:f>O8*O9</x:f>
        <x:v>34806.66483085427</x:v>
      </x:c>
      <x:c r="P10" s="175" t="n">
        <x:f>P8*P9</x:f>
        <x:v>37489.86008281647</x:v>
      </x:c>
      <x:c r="Q10" s="175" t="n">
        <x:f>Q8*Q9</x:f>
        <x:v>40823.85324617576</x:v>
      </x:c>
      <x:c r="R10" s="175" t="n">
        <x:f>R8*R9</x:f>
        <x:v>44906.12279763625</x:v>
      </x:c>
      <x:c r="S10" s="175" t="n">
        <x:f>S8*S9</x:f>
        <x:v>49552.13703907467</x:v>
      </x:c>
      <x:c r="T10" s="103"/>
      <x:c r="U10" s="103"/>
    </x:row>
    <x:row r="11" ht="24" customHeight="1">
      <x:c r="A11" s="103"/>
      <x:c r="B11" s="103"/>
      <x:c r="C11" s="103" t="str">
        <x:v>Change in deferred tax liabilities</x:v>
      </x:c>
      <x:c r="D11" s="103"/>
      <x:c r="E11" s="109" t="str">
        <x:v>n.a.</x:v>
      </x:c>
      <x:c r="F11" s="109" t="str">
        <x:v>n.a.</x:v>
      </x:c>
      <x:c r="G11" s="109" t="str">
        <x:v>n.a.</x:v>
      </x:c>
      <x:c r="H11" s="109" t="str">
        <x:v>n.a.</x:v>
      </x:c>
      <x:c r="I11" s="109" t="str">
        <x:v>n.a.</x:v>
      </x:c>
      <x:c r="J11" s="109" t="str">
        <x:v>n.a.</x:v>
      </x:c>
      <x:c r="K11" s="109" t="str">
        <x:v>n.a.</x:v>
      </x:c>
      <x:c r="L11" s="109" t="str">
        <x:v>n.a.</x:v>
      </x:c>
      <x:c r="M11" s="109" t="str">
        <x:v>n.a.</x:v>
      </x:c>
      <x:c r="N11" s="109" t="str">
        <x:v>n.a.</x:v>
      </x:c>
      <x:c r="O11" s="109" t="n">
        <x:f>'Working Capital'!O27-'Balance Sheet'!N37</x:f>
        <x:v>489.70352851834787</x:v>
      </x:c>
      <x:c r="P11" s="109" t="n">
        <x:f>'Working Capital'!P27-'Balance Sheet'!O37</x:f>
        <x:v>546.9371408713264</x:v>
      </x:c>
      <x:c r="Q11" s="109" t="n">
        <x:f>'Working Capital'!Q27-'Balance Sheet'!P37</x:f>
        <x:v>593.1028158044346</x:v>
      </x:c>
      <x:c r="R11" s="109" t="n">
        <x:f>'Working Capital'!R27-'Balance Sheet'!Q37</x:f>
        <x:v>629.3137204558607</x:v>
      </x:c>
      <x:c r="S11" s="109" t="n">
        <x:f>'Working Capital'!S27-'Balance Sheet'!R37</x:f>
        <x:v>651.6402504516182</x:v>
      </x:c>
      <x:c r="T11" s="103"/>
      <x:c r="U11" s="103"/>
    </x:row>
    <x:row r="12" ht="24" customHeight="1">
      <x:c r="A12" s="103"/>
      <x:c r="B12" s="103"/>
      <x:c r="C12" s="103"/>
      <x:c r="D12" s="103"/>
      <x:c r="E12" s="103"/>
      <x:c r="F12" s="103"/>
      <x:c r="G12" s="103"/>
      <x:c r="H12" s="103"/>
      <x:c r="I12" s="103"/>
      <x:c r="J12" s="103"/>
      <x:c r="K12" s="103"/>
      <x:c r="L12" s="103"/>
      <x:c r="M12" s="103"/>
      <x:c r="N12" s="103"/>
      <x:c r="O12" s="103"/>
      <x:c r="P12" s="103"/>
      <x:c r="Q12" s="103"/>
      <x:c r="R12" s="103"/>
      <x:c r="S12" s="103"/>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t="str">
        <x:v>Net income</x:v>
      </x:c>
      <x:c r="D14" s="103"/>
      <x:c r="E14" s="109" t="n">
        <x:f>'Historical Inputs'!E19</x:f>
        <x:v>25489</x:v>
      </x:c>
      <x:c r="F14" s="109" t="n">
        <x:f>'Historical Inputs'!F19</x:f>
        <x:v>16571</x:v>
      </x:c>
      <x:c r="G14" s="109" t="n">
        <x:f>'Historical Inputs'!G19</x:f>
        <x:v>39240</x:v>
      </x:c>
      <x:c r="H14" s="109" t="n">
        <x:f>'Historical Inputs'!H19</x:f>
        <x:v>44281</x:v>
      </x:c>
      <x:c r="I14" s="109" t="n">
        <x:f>'Historical Inputs'!I19</x:f>
        <x:v>61271</x:v>
      </x:c>
      <x:c r="J14" s="109" t="n">
        <x:f>'Historical Inputs'!J19</x:f>
        <x:v>72738</x:v>
      </x:c>
      <x:c r="K14" s="109" t="n">
        <x:f>'Historical Inputs'!K19</x:f>
        <x:v>72361</x:v>
      </x:c>
      <x:c r="L14" s="109" t="n">
        <x:f>'Historical Inputs'!L19</x:f>
        <x:v>88136</x:v>
      </x:c>
      <x:c r="M14" s="109" t="n">
        <x:f>'Historical Inputs'!M19</x:f>
        <x:v>101832</x:v>
      </x:c>
      <x:c r="N14" s="109" t="n">
        <x:f>'Historical Inputs'!N19</x:f>
        <x:v>133749</x:v>
      </x:c>
      <x:c r="O14" s="109" t="n">
        <x:f>'Income Statement'!O28</x:f>
        <x:v>139226.65932341706</x:v>
      </x:c>
      <x:c r="P14" s="109" t="n">
        <x:f>'Income Statement'!P28</x:f>
        <x:v>149959.44033126585</x:v>
      </x:c>
      <x:c r="Q14" s="109" t="n">
        <x:f>'Income Statement'!Q28</x:f>
        <x:v>163295.41298470303</x:v>
      </x:c>
      <x:c r="R14" s="109" t="n">
        <x:f>'Income Statement'!R28</x:f>
        <x:v>179624.49119054497</x:v>
      </x:c>
      <x:c r="S14" s="109" t="n">
        <x:f>'Income Statement'!S28</x:f>
        <x:v>198208.54815629864</x:v>
      </x:c>
      <x:c r="T14" s="103"/>
      <x:c r="U14" s="103"/>
    </x:row>
    <x:row r="15" ht="24" customHeight="1">
      <x:c r="A15" s="103"/>
      <x:c r="B15" s="103"/>
      <x:c r="C15" s="103"/>
      <x:c r="D15" s="103"/>
      <x:c r="E15" s="103"/>
      <x:c r="F15" s="103"/>
      <x:c r="G15" s="103"/>
      <x:c r="H15" s="103"/>
      <x:c r="I15" s="103"/>
      <x:c r="J15" s="103"/>
      <x:c r="K15" s="103"/>
      <x:c r="L15" s="103"/>
      <x:c r="M15" s="103"/>
      <x:c r="N15" s="103"/>
      <x:c r="O15" s="103"/>
      <x:c r="P15" s="103"/>
      <x:c r="Q15" s="103"/>
      <x:c r="R15" s="103"/>
      <x:c r="S15" s="103"/>
      <x:c r="T15" s="103"/>
      <x:c r="U15" s="103"/>
    </x:row>
    <x:row r="16" ht="24" customHeight="1">
      <x:c r="A16" s="103"/>
      <x:c r="B16" s="103"/>
      <x:c r="C16" s="103" t="str">
        <x:v>Stock-based compensation</x:v>
      </x:c>
      <x:c r="D16" s="103"/>
      <x:c r="E16" s="109" t="n">
        <x:f>'Historical Inputs'!E68</x:f>
        <x:v>3266</x:v>
      </x:c>
      <x:c r="F16" s="109" t="n">
        <x:f>'Historical Inputs'!F68</x:f>
        <x:v>3940</x:v>
      </x:c>
      <x:c r="G16" s="109" t="n">
        <x:f>'Historical Inputs'!G68</x:f>
        <x:v>4652</x:v>
      </x:c>
      <x:c r="H16" s="109" t="n">
        <x:f>'Historical Inputs'!H68</x:f>
        <x:v>5289</x:v>
      </x:c>
      <x:c r="I16" s="109" t="n">
        <x:f>'Historical Inputs'!I68</x:f>
        <x:v>6118</x:v>
      </x:c>
      <x:c r="J16" s="109" t="n">
        <x:f>'Historical Inputs'!J68</x:f>
        <x:v>7502</x:v>
      </x:c>
      <x:c r="K16" s="109" t="n">
        <x:f>'Historical Inputs'!K68</x:f>
        <x:v>9611</x:v>
      </x:c>
      <x:c r="L16" s="109" t="n">
        <x:f>'Historical Inputs'!L68</x:f>
        <x:v>10734</x:v>
      </x:c>
      <x:c r="M16" s="109" t="n">
        <x:f>'Historical Inputs'!M68</x:f>
        <x:v>11974</x:v>
      </x:c>
      <x:c r="N16" s="109" t="n">
        <x:f>'Historical Inputs'!N68</x:f>
        <x:v>12405</x:v>
      </x:c>
      <x:c r="O16" s="109" t="n">
        <x:f>'Income Statement'!O8*'Assumptions'!O177</x:f>
        <x:v>14439.330000000002</x:v>
      </x:c>
      <x:c r="P16" s="109" t="n">
        <x:f>'Income Statement'!P8*'Assumptions'!P177</x:f>
        <x:v>16667.90409</x:v>
      </x:c>
      <x:c r="Q16" s="109" t="n">
        <x:f>'Income Statement'!Q8*'Assumptions'!Q177</x:f>
        <x:v>19084.5868662</x:v>
      </x:c>
      <x:c r="R16" s="109" t="n">
        <x:f>'Income Statement'!R8*'Assumptions'!R177</x:f>
        <x:v>21648.816184500003</x:v>
      </x:c>
      <x:c r="S16" s="109" t="n">
        <x:f>'Income Statement'!S8*'Assumptions'!S177</x:f>
        <x:v>24304.01816227032</x:v>
      </x:c>
      <x:c r="T16" s="103"/>
      <x:c r="U16" s="103"/>
    </x:row>
    <x:row r="17" ht="24" customHeight="1">
      <x:c r="A17" s="103"/>
      <x:c r="B17" s="103"/>
      <x:c r="C17" s="103" t="str">
        <x:v>Cash share issuance proceeds</x:v>
      </x:c>
      <x:c r="D17" s="103"/>
      <x:c r="E17" s="109" t="n">
        <x:f>'Historical Inputs'!E84</x:f>
        <x:v>772</x:v>
      </x:c>
      <x:c r="F17" s="109" t="n">
        <x:f>'Historical Inputs'!F84</x:f>
        <x:v>1002</x:v>
      </x:c>
      <x:c r="G17" s="109" t="n">
        <x:f>'Historical Inputs'!G84</x:f>
        <x:v>1142</x:v>
      </x:c>
      <x:c r="H17" s="109" t="n">
        <x:f>'Historical Inputs'!H84</x:f>
        <x:v>1343</x:v>
      </x:c>
      <x:c r="I17" s="109" t="n">
        <x:f>'Historical Inputs'!I84</x:f>
        <x:v>1693</x:v>
      </x:c>
      <x:c r="J17" s="109" t="n">
        <x:f>'Historical Inputs'!J84</x:f>
        <x:v>1841</x:v>
      </x:c>
      <x:c r="K17" s="109" t="n">
        <x:f>'Historical Inputs'!K84</x:f>
        <x:v>1866</x:v>
      </x:c>
      <x:c r="L17" s="109" t="n">
        <x:f>'Historical Inputs'!L84</x:f>
        <x:v>2002</x:v>
      </x:c>
      <x:c r="M17" s="109" t="n">
        <x:f>'Historical Inputs'!M84</x:f>
        <x:v>2056</x:v>
      </x:c>
      <x:c r="N17" s="109" t="n">
        <x:f>'Historical Inputs'!N84</x:f>
        <x:v>2009</x:v>
      </x:c>
      <x:c r="O17" s="109" t="n">
        <x:f>'Income Statement'!O8*'Assumptions'!O173</x:f>
        <x:v>2310.2928</x:v>
      </x:c>
      <x:c r="P17" s="109" t="n">
        <x:f>'Income Statement'!P8*'Assumptions'!P173</x:f>
        <x:v>2666.8646544000003</x:v>
      </x:c>
      <x:c r="Q17" s="109" t="n">
        <x:f>'Income Statement'!Q8*'Assumptions'!Q173</x:f>
        <x:v>3053.5338985920002</x:v>
      </x:c>
      <x:c r="R17" s="109" t="n">
        <x:f>'Income Statement'!R8*'Assumptions'!R173</x:f>
        <x:v>3463.8105895200006</x:v>
      </x:c>
      <x:c r="S17" s="109" t="n">
        <x:f>'Income Statement'!S8*'Assumptions'!S173</x:f>
        <x:v>3888.6429059632515</x:v>
      </x:c>
      <x:c r="T17" s="103"/>
      <x:c r="U17" s="103"/>
    </x:row>
    <x:row r="18" ht="24" customHeight="1">
      <x:c r="A18" s="103"/>
      <x:c r="B18" s="103"/>
      <x:c r="C18" s="103" t="str">
        <x:v>Cash share repurchases</x:v>
      </x:c>
      <x:c r="D18" s="103"/>
      <x:c r="E18" s="109" t="n">
        <x:f>-'Historical Inputs'!E85</x:f>
        <x:v>11788</x:v>
      </x:c>
      <x:c r="F18" s="109" t="n">
        <x:f>-'Historical Inputs'!F85</x:f>
        <x:v>10721</x:v>
      </x:c>
      <x:c r="G18" s="109" t="n">
        <x:f>-'Historical Inputs'!G85</x:f>
        <x:v>19543</x:v>
      </x:c>
      <x:c r="H18" s="109" t="n">
        <x:f>-'Historical Inputs'!H85</x:f>
        <x:v>22968</x:v>
      </x:c>
      <x:c r="I18" s="109" t="n">
        <x:f>-'Historical Inputs'!I85</x:f>
        <x:v>27385</x:v>
      </x:c>
      <x:c r="J18" s="109" t="n">
        <x:f>-'Historical Inputs'!J85</x:f>
        <x:v>32696</x:v>
      </x:c>
      <x:c r="K18" s="109" t="n">
        <x:f>-'Historical Inputs'!K85</x:f>
        <x:v>22245</x:v>
      </x:c>
      <x:c r="L18" s="109" t="n">
        <x:f>-'Historical Inputs'!L85</x:f>
        <x:v>17254</x:v>
      </x:c>
      <x:c r="M18" s="109" t="n">
        <x:f>-'Historical Inputs'!M85</x:f>
        <x:v>18420</x:v>
      </x:c>
      <x:c r="N18" s="109" t="n">
        <x:f>-'Historical Inputs'!N85</x:f>
        <x:v>22271</x:v>
      </x:c>
      <x:c r="O18" s="109" t="n">
        <x:f>'Income Statement'!O8*'Assumptions'!O193</x:f>
        <x:v>25028.172000000002</x:v>
      </x:c>
      <x:c r="P18" s="109" t="n">
        <x:f>'Income Statement'!P8*'Assumptions'!P193</x:f>
        <x:v>28891.033756000004</x:v>
      </x:c>
      <x:c r="Q18" s="109" t="n">
        <x:f>'Income Statement'!Q8*'Assumptions'!Q193</x:f>
        <x:v>33079.95056808</x:v>
      </x:c>
      <x:c r="R18" s="109" t="n">
        <x:f>'Income Statement'!R8*'Assumptions'!R193</x:f>
        <x:v>37524.61471980001</x:v>
      </x:c>
      <x:c r="S18" s="109" t="n">
        <x:f>'Income Statement'!S8*'Assumptions'!S193</x:f>
        <x:v>42126.96481460189</x:v>
      </x:c>
      <x:c r="T18" s="103"/>
      <x:c r="U18" s="103"/>
    </x:row>
    <x:row r="19" ht="24" customHeight="1">
      <x:c r="A19" s="103"/>
      <x:c r="B19" s="103"/>
      <x:c r="C19" s="103" t="str">
        <x:v>Cash dividends</x:v>
      </x:c>
      <x:c r="D19" s="103"/>
      <x:c r="E19" s="109" t="n">
        <x:f>-'Historical Inputs'!E86</x:f>
        <x:v>11845</x:v>
      </x:c>
      <x:c r="F19" s="109" t="n">
        <x:f>-'Historical Inputs'!F86</x:f>
        <x:v>12699</x:v>
      </x:c>
      <x:c r="G19" s="109" t="n">
        <x:f>-'Historical Inputs'!G86</x:f>
        <x:v>13811</x:v>
      </x:c>
      <x:c r="H19" s="109" t="n">
        <x:f>-'Historical Inputs'!H86</x:f>
        <x:v>15137</x:v>
      </x:c>
      <x:c r="I19" s="109" t="n">
        <x:f>-'Historical Inputs'!I86</x:f>
        <x:v>16521</x:v>
      </x:c>
      <x:c r="J19" s="109" t="n">
        <x:f>-'Historical Inputs'!J86</x:f>
        <x:v>18135</x:v>
      </x:c>
      <x:c r="K19" s="109" t="n">
        <x:f>-'Historical Inputs'!K86</x:f>
        <x:v>19800</x:v>
      </x:c>
      <x:c r="L19" s="109" t="n">
        <x:f>-'Historical Inputs'!L86</x:f>
        <x:v>21771</x:v>
      </x:c>
      <x:c r="M19" s="109" t="n">
        <x:f>-'Historical Inputs'!M86</x:f>
        <x:v>24082</x:v>
      </x:c>
      <x:c r="N19" s="109" t="n">
        <x:f>-'Historical Inputs'!N86</x:f>
        <x:v>26445</x:v>
      </x:c>
      <x:c r="O19" s="109" t="n">
        <x:f>MAX(0,O14)*'Assumptions'!O185</x:f>
        <x:v>27845.331864683412</x:v>
      </x:c>
      <x:c r="P19" s="109" t="n">
        <x:f>MAX(0,P14)*'Assumptions'!P185</x:f>
        <x:v>29991.888066253174</x:v>
      </x:c>
      <x:c r="Q19" s="109" t="n">
        <x:f>MAX(0,Q14)*'Assumptions'!Q185</x:f>
        <x:v>32659.082596940607</x:v>
      </x:c>
      <x:c r="R19" s="109" t="n">
        <x:f>MAX(0,R14)*'Assumptions'!R185</x:f>
        <x:v>35924.898238108995</x:v>
      </x:c>
      <x:c r="S19" s="109" t="n">
        <x:f>MAX(0,S14)*'Assumptions'!S185</x:f>
        <x:v>39641.70963125973</x:v>
      </x:c>
      <x:c r="T19" s="103"/>
      <x:c r="U19" s="103"/>
    </x:row>
    <x:row r="20" ht="24" customHeight="1">
      <x:c r="A20" s="103"/>
      <x:c r="B20" s="103"/>
      <x:c r="C20" s="103" t="str">
        <x:v>Buybacks charged to retained earnings</x:v>
      </x:c>
      <x:c r="D20" s="103"/>
      <x:c r="E20" s="109" t="str">
        <x:v>n.a.</x:v>
      </x:c>
      <x:c r="F20" s="109" t="str">
        <x:v>n.a.</x:v>
      </x:c>
      <x:c r="G20" s="109" t="str">
        <x:v>n.a.</x:v>
      </x:c>
      <x:c r="H20" s="109" t="str">
        <x:v>n.a.</x:v>
      </x:c>
      <x:c r="I20" s="109" t="str">
        <x:v>n.a.</x:v>
      </x:c>
      <x:c r="J20" s="109" t="str">
        <x:v>n.a.</x:v>
      </x:c>
      <x:c r="K20" s="109" t="str">
        <x:v>n.a.</x:v>
      </x:c>
      <x:c r="L20" s="109" t="str">
        <x:v>n.a.</x:v>
      </x:c>
      <x:c r="M20" s="109" t="str">
        <x:v>n.a.</x:v>
      </x:c>
      <x:c r="N20" s="109" t="str">
        <x:v>n.a.</x:v>
      </x:c>
      <x:c r="O20" s="109" t="n">
        <x:f>'Assumptions'!O181</x:f>
        <x:v>0.75</x:v>
      </x:c>
      <x:c r="P20" s="109" t="n">
        <x:f>'Assumptions'!P181</x:f>
        <x:v>0.75</x:v>
      </x:c>
      <x:c r="Q20" s="109" t="n">
        <x:f>'Assumptions'!Q181</x:f>
        <x:v>0.75</x:v>
      </x:c>
      <x:c r="R20" s="109" t="n">
        <x:f>'Assumptions'!R181</x:f>
        <x:v>0.75</x:v>
      </x:c>
      <x:c r="S20" s="109" t="n">
        <x:f>'Assumptions'!S181</x:f>
        <x:v>0.75</x:v>
      </x:c>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t="str">
        <x:v>Opening common stock and paid-in capital</x:v>
      </x:c>
      <x:c r="D22" s="103"/>
      <x:c r="E22" s="109" t="str">
        <x:v>n.a.</x:v>
      </x:c>
      <x:c r="F22" s="109" t="str">
        <x:v>n.a.</x:v>
      </x:c>
      <x:c r="G22" s="109" t="str">
        <x:v>n.a.</x:v>
      </x:c>
      <x:c r="H22" s="109" t="str">
        <x:v>n.a.</x:v>
      </x:c>
      <x:c r="I22" s="109" t="str">
        <x:v>n.a.</x:v>
      </x:c>
      <x:c r="J22" s="109" t="str">
        <x:v>n.a.</x:v>
      </x:c>
      <x:c r="K22" s="109" t="str">
        <x:v>n.a.</x:v>
      </x:c>
      <x:c r="L22" s="109" t="str">
        <x:v>n.a.</x:v>
      </x:c>
      <x:c r="M22" s="109" t="str">
        <x:v>n.a.</x:v>
      </x:c>
      <x:c r="N22" s="109" t="str">
        <x:v>n.a.</x:v>
      </x:c>
      <x:c r="O22" s="109" t="n">
        <x:f>'Balance Sheet'!N42</x:f>
        <x:v>117406</x:v>
      </x:c>
      <x:c r="P22" s="109" t="n">
        <x:f>'Balance Sheet'!O42</x:f>
        <x:v>127898.5798</x:v>
      </x:c>
      <x:c r="Q22" s="109" t="n">
        <x:f>'Balance Sheet'!P42</x:f>
        <x:v>140010.5901054</x:v>
      </x:c>
      <x:c r="R22" s="109" t="n">
        <x:f>'Balance Sheet'!Q42</x:f>
        <x:v>153878.72322817202</x:v>
      </x:c>
      <x:c r="S22" s="109" t="n">
        <x:f>'Balance Sheet'!R42</x:f>
        <x:v>169610.19632224203</x:v>
      </x:c>
      <x:c r="T22" s="103"/>
      <x:c r="U22" s="103"/>
    </x:row>
    <x:row r="23" ht="24" customHeight="1">
      <x:c r="A23" s="103"/>
      <x:c r="B23" s="103"/>
      <x:c r="C23" s="174" t="str">
        <x:v>Closing common stock and paid-in capital</x:v>
      </x:c>
      <x:c r="D23" s="174"/>
      <x:c r="E23" s="175" t="n">
        <x:f>'Historical Inputs'!E56</x:f>
        <x:v>69315</x:v>
      </x:c>
      <x:c r="F23" s="175" t="n">
        <x:f>'Historical Inputs'!F56</x:f>
        <x:v>71223</x:v>
      </x:c>
      <x:c r="G23" s="175" t="n">
        <x:f>'Historical Inputs'!G56</x:f>
        <x:v>78520</x:v>
      </x:c>
      <x:c r="H23" s="175" t="n">
        <x:f>'Historical Inputs'!H56</x:f>
        <x:v>80552</x:v>
      </x:c>
      <x:c r="I23" s="175" t="n">
        <x:f>'Historical Inputs'!I56</x:f>
        <x:v>83111</x:v>
      </x:c>
      <x:c r="J23" s="175" t="n">
        <x:f>'Historical Inputs'!J56</x:f>
        <x:v>86939</x:v>
      </x:c>
      <x:c r="K23" s="175" t="n">
        <x:f>'Historical Inputs'!K56</x:f>
        <x:v>93718</x:v>
      </x:c>
      <x:c r="L23" s="175" t="n">
        <x:f>'Historical Inputs'!L56</x:f>
        <x:v>100923</x:v>
      </x:c>
      <x:c r="M23" s="175" t="n">
        <x:f>'Historical Inputs'!M56</x:f>
        <x:v>109095</x:v>
      </x:c>
      <x:c r="N23" s="175" t="n">
        <x:f>'Historical Inputs'!N56</x:f>
        <x:v>117406</x:v>
      </x:c>
      <x:c r="O23" s="175" t="n">
        <x:f>O22+O16+O17-O18*(1-O20)</x:f>
        <x:v>127898.5798</x:v>
      </x:c>
      <x:c r="P23" s="175" t="n">
        <x:f>P22+P16+P17-P18*(1-P20)</x:f>
        <x:v>140010.5901054</x:v>
      </x:c>
      <x:c r="Q23" s="175" t="n">
        <x:f>Q22+Q16+Q17-Q18*(1-Q20)</x:f>
        <x:v>153878.72322817202</x:v>
      </x:c>
      <x:c r="R23" s="175" t="n">
        <x:f>R22+R16+R17-R18*(1-R20)</x:f>
        <x:v>169610.19632224203</x:v>
      </x:c>
      <x:c r="S23" s="175" t="n">
        <x:f>S22+S16+S17-S18*(1-S20)</x:f>
        <x:v>187271.11618682512</x:v>
      </x:c>
      <x:c r="T23" s="103"/>
      <x:c r="U23" s="103"/>
    </x:row>
    <x:row r="24" ht="24" customHeight="1">
      <x:c r="A24" s="103"/>
      <x:c r="B24" s="103"/>
      <x:c r="C24" s="103"/>
      <x:c r="D24" s="103"/>
      <x:c r="E24" s="103"/>
      <x:c r="F24" s="103"/>
      <x:c r="G24" s="103"/>
      <x:c r="H24" s="103"/>
      <x:c r="I24" s="103"/>
      <x:c r="J24" s="103"/>
      <x:c r="K24" s="103"/>
      <x:c r="L24" s="103"/>
      <x:c r="M24" s="103"/>
      <x:c r="N24" s="103"/>
      <x:c r="O24" s="103"/>
      <x:c r="P24" s="103"/>
      <x:c r="Q24" s="103"/>
      <x:c r="R24" s="103"/>
      <x:c r="S24" s="103"/>
      <x:c r="T24" s="103"/>
      <x:c r="U24" s="103"/>
    </x:row>
    <x:row r="25" ht="24" customHeight="1">
      <x:c r="A25" s="103"/>
      <x:c r="B25" s="103"/>
      <x:c r="C25" s="103" t="str">
        <x:v>Opening retained earnings</x:v>
      </x:c>
      <x:c r="D25" s="103"/>
      <x:c r="E25" s="109" t="str">
        <x:v>n.a.</x:v>
      </x:c>
      <x:c r="F25" s="109" t="str">
        <x:v>n.a.</x:v>
      </x:c>
      <x:c r="G25" s="109" t="str">
        <x:v>n.a.</x:v>
      </x:c>
      <x:c r="H25" s="109" t="str">
        <x:v>n.a.</x:v>
      </x:c>
      <x:c r="I25" s="109" t="str">
        <x:v>n.a.</x:v>
      </x:c>
      <x:c r="J25" s="109" t="str">
        <x:v>n.a.</x:v>
      </x:c>
      <x:c r="K25" s="109" t="str">
        <x:v>n.a.</x:v>
      </x:c>
      <x:c r="L25" s="109" t="str">
        <x:v>n.a.</x:v>
      </x:c>
      <x:c r="M25" s="109" t="str">
        <x:v>n.a.</x:v>
      </x:c>
      <x:c r="N25" s="109" t="str">
        <x:v>n.a.</x:v>
      </x:c>
      <x:c r="O25" s="109" t="n">
        <x:f>'Balance Sheet'!N43</x:f>
        <x:v>328265</x:v>
      </x:c>
      <x:c r="P25" s="109" t="n">
        <x:f>'Balance Sheet'!O43</x:f>
        <x:v>420875.1984587336</x:v>
      </x:c>
      <x:c r="Q25" s="109" t="n">
        <x:f>'Balance Sheet'!P43</x:f>
        <x:v>519174.4754067464</x:v>
      </x:c>
      <x:c r="R25" s="109" t="n">
        <x:f>'Balance Sheet'!Q43</x:f>
        <x:v>625000.8428684488</x:v>
      </x:c>
      <x:c r="S25" s="109" t="n">
        <x:f>'Balance Sheet'!R43</x:f>
        <x:v>740556.9747810347</x:v>
      </x:c>
      <x:c r="T25" s="103"/>
      <x:c r="U25" s="103"/>
    </x:row>
    <x:row r="26" ht="24" customHeight="1">
      <x:c r="A26" s="103"/>
      <x:c r="B26" s="103"/>
      <x:c r="C26" s="103" t="str">
        <x:v>Share repurchases charged to retained earnings</x:v>
      </x:c>
      <x:c r="D26" s="103"/>
      <x:c r="E26" s="109" t="str">
        <x:v>n.a.</x:v>
      </x:c>
      <x:c r="F26" s="109" t="str">
        <x:v>n.a.</x:v>
      </x:c>
      <x:c r="G26" s="109" t="str">
        <x:v>n.a.</x:v>
      </x:c>
      <x:c r="H26" s="109" t="str">
        <x:v>n.a.</x:v>
      </x:c>
      <x:c r="I26" s="109" t="str">
        <x:v>n.a.</x:v>
      </x:c>
      <x:c r="J26" s="109" t="str">
        <x:v>n.a.</x:v>
      </x:c>
      <x:c r="K26" s="109" t="str">
        <x:v>n.a.</x:v>
      </x:c>
      <x:c r="L26" s="109" t="str">
        <x:v>n.a.</x:v>
      </x:c>
      <x:c r="M26" s="109" t="str">
        <x:v>n.a.</x:v>
      </x:c>
      <x:c r="N26" s="109" t="str">
        <x:v>n.a.</x:v>
      </x:c>
      <x:c r="O26" s="109" t="n">
        <x:f>O18*O20</x:f>
        <x:v>18771.129</x:v>
      </x:c>
      <x:c r="P26" s="109" t="n">
        <x:f>P18*P20</x:f>
        <x:v>21668.275317000003</x:v>
      </x:c>
      <x:c r="Q26" s="109" t="n">
        <x:f>Q18*Q20</x:f>
        <x:v>24809.962926059998</x:v>
      </x:c>
      <x:c r="R26" s="109" t="n">
        <x:f>R18*R20</x:f>
        <x:v>28143.461039850008</x:v>
      </x:c>
      <x:c r="S26" s="109" t="n">
        <x:f>S18*S20</x:f>
        <x:v>31595.223610951416</x:v>
      </x:c>
      <x:c r="T26" s="103"/>
      <x:c r="U26" s="103"/>
    </x:row>
    <x:row r="27" ht="24" customHeight="1">
      <x:c r="A27" s="103"/>
      <x:c r="B27" s="103"/>
      <x:c r="C27" s="174" t="str">
        <x:v>Closing retained earnings</x:v>
      </x:c>
      <x:c r="D27" s="174"/>
      <x:c r="E27" s="175" t="n">
        <x:f>'Historical Inputs'!E57</x:f>
        <x:v>17769</x:v>
      </x:c>
      <x:c r="F27" s="175" t="n">
        <x:f>'Historical Inputs'!F57</x:f>
        <x:v>13682</x:v>
      </x:c>
      <x:c r="G27" s="175" t="n">
        <x:f>'Historical Inputs'!G57</x:f>
        <x:v>24150</x:v>
      </x:c>
      <x:c r="H27" s="175" t="n">
        <x:f>'Historical Inputs'!H57</x:f>
        <x:v>34566</x:v>
      </x:c>
      <x:c r="I27" s="175" t="n">
        <x:f>'Historical Inputs'!I57</x:f>
        <x:v>57055</x:v>
      </x:c>
      <x:c r="J27" s="175" t="n">
        <x:f>'Historical Inputs'!J57</x:f>
        <x:v>84281</x:v>
      </x:c>
      <x:c r="K27" s="175" t="n">
        <x:f>'Historical Inputs'!K57</x:f>
        <x:v>118848</x:v>
      </x:c>
      <x:c r="L27" s="175" t="n">
        <x:f>'Historical Inputs'!L57</x:f>
        <x:v>173144</x:v>
      </x:c>
      <x:c r="M27" s="175" t="n">
        <x:f>'Historical Inputs'!M57</x:f>
        <x:v>237731</x:v>
      </x:c>
      <x:c r="N27" s="175" t="n">
        <x:f>'Historical Inputs'!N57</x:f>
        <x:v>328265</x:v>
      </x:c>
      <x:c r="O27" s="175" t="n">
        <x:f>O25+O14-O19-O26</x:f>
        <x:v>420875.1984587336</x:v>
      </x:c>
      <x:c r="P27" s="175" t="n">
        <x:f>P25+P14-P19-P26</x:f>
        <x:v>519174.4754067464</x:v>
      </x:c>
      <x:c r="Q27" s="175" t="n">
        <x:f>Q25+Q14-Q19-Q26</x:f>
        <x:v>625000.8428684488</x:v>
      </x:c>
      <x:c r="R27" s="175" t="n">
        <x:f>R25+R14-R19-R26</x:f>
        <x:v>740556.9747810347</x:v>
      </x:c>
      <x:c r="S27" s="175" t="n">
        <x:f>S25+S14-S19-S26</x:f>
        <x:v>867528.5896951222</x:v>
      </x:c>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t="str">
        <x:v>Accumulated other comprehensive income</x:v>
      </x:c>
      <x:c r="D29" s="103"/>
      <x:c r="E29" s="109" t="n">
        <x:f>'Historical Inputs'!E58</x:f>
        <x:v>627</x:v>
      </x:c>
      <x:c r="F29" s="109" t="n">
        <x:f>'Historical Inputs'!F58</x:f>
        <x:v>-2187</x:v>
      </x:c>
      <x:c r="G29" s="109" t="n">
        <x:f>'Historical Inputs'!G58</x:f>
        <x:v>-340</x:v>
      </x:c>
      <x:c r="H29" s="109" t="n">
        <x:f>'Historical Inputs'!H58</x:f>
        <x:v>3186</x:v>
      </x:c>
      <x:c r="I29" s="109" t="n">
        <x:f>'Historical Inputs'!I58</x:f>
        <x:v>1822</x:v>
      </x:c>
      <x:c r="J29" s="109" t="n">
        <x:f>'Historical Inputs'!J58</x:f>
        <x:v>-4678</x:v>
      </x:c>
      <x:c r="K29" s="109" t="n">
        <x:f>'Historical Inputs'!K58</x:f>
        <x:v>-6343</x:v>
      </x:c>
      <x:c r="L29" s="109" t="n">
        <x:f>'Historical Inputs'!L58</x:f>
        <x:v>-5590</x:v>
      </x:c>
      <x:c r="M29" s="109" t="n">
        <x:f>'Historical Inputs'!M58</x:f>
        <x:v>-3347</x:v>
      </x:c>
      <x:c r="N29" s="109" t="n">
        <x:f>'Historical Inputs'!N58</x:f>
        <x:v>-3284</x:v>
      </x:c>
      <x:c r="O29" s="109" t="n">
        <x:f>'Balance Sheet'!N44</x:f>
        <x:v>-3284</x:v>
      </x:c>
      <x:c r="P29" s="109" t="n">
        <x:f>'Balance Sheet'!O44</x:f>
        <x:v>-3284</x:v>
      </x:c>
      <x:c r="Q29" s="109" t="n">
        <x:f>'Balance Sheet'!P44</x:f>
        <x:v>-3284</x:v>
      </x:c>
      <x:c r="R29" s="109" t="n">
        <x:f>'Balance Sheet'!Q44</x:f>
        <x:v>-3284</x:v>
      </x:c>
      <x:c r="S29" s="109" t="n">
        <x:f>'Balance Sheet'!R44</x:f>
        <x:v>-3284</x:v>
      </x:c>
      <x:c r="T29" s="103"/>
      <x:c r="U29" s="103"/>
    </x:row>
    <x:row r="30" ht="24" customHeight="1">
      <x:c r="A30" s="103"/>
      <x:c r="B30" s="103"/>
      <x:c r="C30" s="174" t="str">
        <x:v>Total stockholders equity</x:v>
      </x:c>
      <x:c r="D30" s="174"/>
      <x:c r="E30" s="175" t="n">
        <x:f>E23+E27+E29</x:f>
        <x:v>87711</x:v>
      </x:c>
      <x:c r="F30" s="175" t="n">
        <x:f>F23+F27+F29</x:f>
        <x:v>82718</x:v>
      </x:c>
      <x:c r="G30" s="175" t="n">
        <x:f>G23+G27+G29</x:f>
        <x:v>102330</x:v>
      </x:c>
      <x:c r="H30" s="175" t="n">
        <x:f>H23+H27+H29</x:f>
        <x:v>118304</x:v>
      </x:c>
      <x:c r="I30" s="175" t="n">
        <x:f>I23+I27+I29</x:f>
        <x:v>141988</x:v>
      </x:c>
      <x:c r="J30" s="175" t="n">
        <x:f>J23+J27+J29</x:f>
        <x:v>166542</x:v>
      </x:c>
      <x:c r="K30" s="175" t="n">
        <x:f>K23+K27+K29</x:f>
        <x:v>206223</x:v>
      </x:c>
      <x:c r="L30" s="175" t="n">
        <x:f>L23+L27+L29</x:f>
        <x:v>268477</x:v>
      </x:c>
      <x:c r="M30" s="175" t="n">
        <x:f>M23+M27+M29</x:f>
        <x:v>343479</x:v>
      </x:c>
      <x:c r="N30" s="175" t="n">
        <x:f>N23+N27+N29</x:f>
        <x:v>442387</x:v>
      </x:c>
      <x:c r="O30" s="175" t="n">
        <x:f>O23+O27+O29</x:f>
        <x:v>545489.7782587337</x:v>
      </x:c>
      <x:c r="P30" s="175" t="n">
        <x:f>P23+P27+P29</x:f>
        <x:v>655901.0655121463</x:v>
      </x:c>
      <x:c r="Q30" s="175" t="n">
        <x:f>Q23+Q27+Q29</x:f>
        <x:v>775595.5660966209</x:v>
      </x:c>
      <x:c r="R30" s="175" t="n">
        <x:f>R23+R27+R29</x:f>
        <x:v>906883.1711032768</x:v>
      </x:c>
      <x:c r="S30" s="175" t="n">
        <x:f>S23+S27+S29</x:f>
        <x:v>1051515.7058819474</x:v>
      </x:c>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t="str">
        <x:v>Opening diluted weighted average shares</x:v>
      </x:c>
      <x:c r="D32" s="103"/>
      <x:c r="E32" s="125" t="str">
        <x:v>n.a.</x:v>
      </x:c>
      <x:c r="F32" s="125" t="str">
        <x:v>n.a.</x:v>
      </x:c>
      <x:c r="G32" s="125" t="str">
        <x:v>n.a.</x:v>
      </x:c>
      <x:c r="H32" s="125" t="str">
        <x:v>n.a.</x:v>
      </x:c>
      <x:c r="I32" s="125" t="str">
        <x:v>n.a.</x:v>
      </x:c>
      <x:c r="J32" s="125" t="str">
        <x:v>n.a.</x:v>
      </x:c>
      <x:c r="K32" s="125" t="str">
        <x:v>n.a.</x:v>
      </x:c>
      <x:c r="L32" s="125" t="str">
        <x:v>n.a.</x:v>
      </x:c>
      <x:c r="M32" s="125" t="str">
        <x:v>n.a.</x:v>
      </x:c>
      <x:c r="N32" s="125" t="str">
        <x:v>n.a.</x:v>
      </x:c>
      <x:c r="O32" s="125" t="n">
        <x:f>'Income Statement'!N32</x:f>
        <x:v>7453</x:v>
      </x:c>
      <x:c r="P32" s="125" t="n">
        <x:f>'Income Statement'!O32</x:f>
        <x:v>7430.641</x:v>
      </x:c>
      <x:c r="Q32" s="125" t="n">
        <x:f>'Income Statement'!P32</x:f>
        <x:v>7408.349077</x:v>
      </x:c>
      <x:c r="R32" s="125" t="n">
        <x:f>'Income Statement'!Q32</x:f>
        <x:v>7386.124029769</x:v>
      </x:c>
      <x:c r="S32" s="125" t="n">
        <x:f>'Income Statement'!R32</x:f>
        <x:v>7363.965657679693</x:v>
      </x:c>
      <x:c r="T32" s="103"/>
      <x:c r="U32" s="103"/>
    </x:row>
    <x:row r="33" ht="24" customHeight="1">
      <x:c r="A33" s="103"/>
      <x:c r="B33" s="103"/>
      <x:c r="C33" s="105" t="str">
        <x:v>Net diluted share change</x:v>
      </x:c>
      <x:c r="D33" s="105"/>
      <x:c r="E33" s="119" t="str">
        <x:v>n.a.</x:v>
      </x:c>
      <x:c r="F33" s="119" t="str">
        <x:v>n.a.</x:v>
      </x:c>
      <x:c r="G33" s="119" t="str">
        <x:v>n.a.</x:v>
      </x:c>
      <x:c r="H33" s="119" t="str">
        <x:v>n.a.</x:v>
      </x:c>
      <x:c r="I33" s="119" t="str">
        <x:v>n.a.</x:v>
      </x:c>
      <x:c r="J33" s="119" t="str">
        <x:v>n.a.</x:v>
      </x:c>
      <x:c r="K33" s="119" t="str">
        <x:v>n.a.</x:v>
      </x:c>
      <x:c r="L33" s="119" t="str">
        <x:v>n.a.</x:v>
      </x:c>
      <x:c r="M33" s="119" t="str">
        <x:v>n.a.</x:v>
      </x:c>
      <x:c r="N33" s="119" t="str">
        <x:v>n.a.</x:v>
      </x:c>
      <x:c r="O33" s="119" t="n">
        <x:f>'Assumptions'!O197</x:f>
        <x:v>-0.003</x:v>
      </x:c>
      <x:c r="P33" s="119" t="n">
        <x:f>'Assumptions'!P197</x:f>
        <x:v>-0.003</x:v>
      </x:c>
      <x:c r="Q33" s="119" t="n">
        <x:f>'Assumptions'!Q197</x:f>
        <x:v>-0.003</x:v>
      </x:c>
      <x:c r="R33" s="119" t="n">
        <x:f>'Assumptions'!R197</x:f>
        <x:v>-0.003</x:v>
      </x:c>
      <x:c r="S33" s="119" t="n">
        <x:f>'Assumptions'!S197</x:f>
        <x:v>-0.003</x:v>
      </x:c>
      <x:c r="T33" s="103"/>
      <x:c r="U33" s="103"/>
    </x:row>
    <x:row r="34" ht="24" customHeight="1">
      <x:c r="A34" s="103"/>
      <x:c r="B34" s="103"/>
      <x:c r="C34" s="103" t="str">
        <x:v>Diluted weighted average shares</x:v>
      </x:c>
      <x:c r="D34" s="103"/>
      <x:c r="E34" s="125" t="n">
        <x:f>'Historical Inputs'!E23</x:f>
        <x:v>7832</x:v>
      </x:c>
      <x:c r="F34" s="125" t="n">
        <x:f>'Historical Inputs'!F23</x:f>
        <x:v>7794</x:v>
      </x:c>
      <x:c r="G34" s="125" t="n">
        <x:f>'Historical Inputs'!G23</x:f>
        <x:v>7753</x:v>
      </x:c>
      <x:c r="H34" s="125" t="n">
        <x:f>'Historical Inputs'!H23</x:f>
        <x:v>7683</x:v>
      </x:c>
      <x:c r="I34" s="125" t="n">
        <x:f>'Historical Inputs'!I23</x:f>
        <x:v>7608</x:v>
      </x:c>
      <x:c r="J34" s="125" t="n">
        <x:f>'Historical Inputs'!J23</x:f>
        <x:v>7540</x:v>
      </x:c>
      <x:c r="K34" s="125" t="n">
        <x:f>'Historical Inputs'!K23</x:f>
        <x:v>7472</x:v>
      </x:c>
      <x:c r="L34" s="125" t="n">
        <x:f>'Historical Inputs'!L23</x:f>
        <x:v>7469</x:v>
      </x:c>
      <x:c r="M34" s="125" t="n">
        <x:f>'Historical Inputs'!M23</x:f>
        <x:v>7465</x:v>
      </x:c>
      <x:c r="N34" s="125" t="n">
        <x:f>'Historical Inputs'!N23</x:f>
        <x:v>7453</x:v>
      </x:c>
      <x:c r="O34" s="125" t="n">
        <x:f>O32*(1+O33)</x:f>
        <x:v>7430.641</x:v>
      </x:c>
      <x:c r="P34" s="125" t="n">
        <x:f>P32*(1+P33)</x:f>
        <x:v>7408.349077</x:v>
      </x:c>
      <x:c r="Q34" s="125" t="n">
        <x:f>Q32*(1+Q33)</x:f>
        <x:v>7386.124029769</x:v>
      </x:c>
      <x:c r="R34" s="125" t="n">
        <x:f>R32*(1+R33)</x:f>
        <x:v>7363.965657679693</x:v>
      </x:c>
      <x:c r="S34" s="125" t="n">
        <x:f>S32*(1+S33)</x:f>
        <x:v>7341.873760706654</x:v>
      </x:c>
      <x:c r="T34" s="103"/>
      <x:c r="U34" s="103"/>
    </x:row>
    <x:row r="35" ht="24" customHeight="1">
      <x:c r="A35" s="103"/>
      <x:c r="B35" s="103"/>
      <x:c r="C35" s="103" t="str">
        <x:v>Basic weighted average shares</x:v>
      </x:c>
      <x:c r="D35" s="103"/>
      <x:c r="E35" s="125" t="n">
        <x:f>'Historical Inputs'!E22</x:f>
        <x:v>7746</x:v>
      </x:c>
      <x:c r="F35" s="125" t="n">
        <x:f>'Historical Inputs'!F22</x:f>
        <x:v>7700</x:v>
      </x:c>
      <x:c r="G35" s="125" t="n">
        <x:f>'Historical Inputs'!G22</x:f>
        <x:v>7673</x:v>
      </x:c>
      <x:c r="H35" s="125" t="n">
        <x:f>'Historical Inputs'!H22</x:f>
        <x:v>7610</x:v>
      </x:c>
      <x:c r="I35" s="125" t="n">
        <x:f>'Historical Inputs'!I22</x:f>
        <x:v>7547</x:v>
      </x:c>
      <x:c r="J35" s="125" t="n">
        <x:f>'Historical Inputs'!J22</x:f>
        <x:v>7496</x:v>
      </x:c>
      <x:c r="K35" s="125" t="n">
        <x:f>'Historical Inputs'!K22</x:f>
        <x:v>7446</x:v>
      </x:c>
      <x:c r="L35" s="125" t="n">
        <x:f>'Historical Inputs'!L22</x:f>
        <x:v>7431</x:v>
      </x:c>
      <x:c r="M35" s="125" t="n">
        <x:f>'Historical Inputs'!M22</x:f>
        <x:v>7433</x:v>
      </x:c>
      <x:c r="N35" s="125" t="n">
        <x:f>'Historical Inputs'!N22</x:f>
        <x:v>7429</x:v>
      </x:c>
      <x:c r="O35" s="125" t="n">
        <x:f>O34*'Historical Inputs'!N22/'Historical Inputs'!N23</x:f>
        <x:v>7406.713</x:v>
      </x:c>
      <x:c r="P35" s="125" t="n">
        <x:f>P34*'Historical Inputs'!N22/'Historical Inputs'!N23</x:f>
        <x:v>7384.492861</x:v>
      </x:c>
      <x:c r="Q35" s="125" t="n">
        <x:f>Q34*'Historical Inputs'!N22/'Historical Inputs'!N23</x:f>
        <x:v>7362.339382417</x:v>
      </x:c>
      <x:c r="R35" s="125" t="n">
        <x:f>R34*'Historical Inputs'!N22/'Historical Inputs'!N23</x:f>
        <x:v>7340.25236426975</x:v>
      </x:c>
      <x:c r="S35" s="125" t="n">
        <x:f>S34*'Historical Inputs'!N22/'Historical Inputs'!N23</x:f>
        <x:v>7318.23160717694</x:v>
      </x:c>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4" t="str">
        <x:v>Selected-case observations</x:v>
      </x:c>
      <x:c r="D54" s="104"/>
      <x:c r="E54" s="104"/>
      <x:c r="F54" s="104"/>
      <x:c r="G54" s="104"/>
      <x:c r="H54" s="104"/>
      <x:c r="I54" s="104"/>
      <x:c r="J54" s="104"/>
      <x:c r="K54" s="104"/>
      <x:c r="L54" s="104"/>
      <x:c r="M54" s="104"/>
      <x:c r="N54" s="104"/>
      <x:c r="O54" s="104"/>
      <x:c r="P54" s="104"/>
      <x:c r="Q54" s="104"/>
      <x:c r="R54" s="104"/>
      <x:c r="S54" s="104"/>
      <x:c r="T54" s="103"/>
      <x:c r="U54" s="103"/>
    </x:row>
    <x:row r="55" ht="24" customHeight="1">
      <x:c r="A55" s="103"/>
      <x:c r="B55" s="103"/>
      <x:c r="C55" s="103" t="str">
        <x:f>"FY2031 effective tax rate: "&amp;(FIXED((S9)*100,1,TRUE)&amp;"%")&amp;". Income tax expense: "&amp;FIXED(S10/1000,1,TRUE)&amp;"bn."</x:f>
        <x:v>FY2031 effective tax rate: 20.0%. Income tax expense: 49.6bn.</x:v>
      </x:c>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t="str">
        <x:f>"FY2031 dividends and repurchases: "&amp;FIXED(SUM(S18:S19)/1000,1,TRUE)&amp;"bn, compared with net income of "&amp;FIXED(S14/1000,1,TRUE)&amp;"bn."</x:f>
        <x:v>FY2031 dividends and repurchases: 81.8bn, compared with net income of 198.2bn.</x:v>
      </x:c>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t="str">
        <x:f>"FY2031 equity: "&amp;FIXED(S30/1000,1,TRUE)&amp;"bn. Diluted shares: "&amp;FIXED(S34,0,FALSE)&amp;"m."</x:f>
        <x:v>FY2031 equity: 1051.5bn. Diluted shares: 7,342m.</x:v>
      </x:c>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23" t="str">
        <x:v>Fiscal year</x:v>
      </x:c>
      <x:c r="D81" s="123" t="str">
        <x:v>Net income</x:v>
      </x:c>
      <x:c r="E81" s="123" t="str">
        <x:v>Income tax</x:v>
      </x:c>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t="str">
        <x:f>"FY2017 A"</x:f>
        <x:v>FY2017 A</x:v>
      </x:c>
      <x:c r="D82" s="125" t="n">
        <x:f>IF(OR(E14="n.a.",ISBLANK(E14)),"",E14)</x:f>
        <x:v>25489</x:v>
      </x:c>
      <x:c r="E82" s="125" t="n">
        <x:f>IF(OR(E10="n.a.",ISBLANK(E10)),"",E10)</x:f>
        <x:v>4412</x:v>
      </x:c>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t="str">
        <x:f>"FY2018 A"</x:f>
        <x:v>FY2018 A</x:v>
      </x:c>
      <x:c r="D83" s="125" t="n">
        <x:f>IF(OR(F14="n.a.",ISBLANK(F14)),"",F14)</x:f>
        <x:v>16571</x:v>
      </x:c>
      <x:c r="E83" s="125" t="n">
        <x:f>IF(OR(F10="n.a.",ISBLANK(F10)),"",F10)</x:f>
        <x:v>19903</x:v>
      </x:c>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t="str">
        <x:f>"FY2019 A"</x:f>
        <x:v>FY2019 A</x:v>
      </x:c>
      <x:c r="D84" s="125" t="n">
        <x:f>IF(OR(G14="n.a.",ISBLANK(G14)),"",G14)</x:f>
        <x:v>39240</x:v>
      </x:c>
      <x:c r="E84" s="125" t="n">
        <x:f>IF(OR(G10="n.a.",ISBLANK(G10)),"",G10)</x:f>
        <x:v>4448</x:v>
      </x:c>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t="str">
        <x:f>"FY2020 A"</x:f>
        <x:v>FY2020 A</x:v>
      </x:c>
      <x:c r="D85" s="125" t="n">
        <x:f>IF(OR(H14="n.a.",ISBLANK(H14)),"",H14)</x:f>
        <x:v>44281</x:v>
      </x:c>
      <x:c r="E85" s="125" t="n">
        <x:f>IF(OR(H10="n.a.",ISBLANK(H10)),"",H10)</x:f>
        <x:v>8755</x:v>
      </x:c>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t="str">
        <x:f>"FY2021 A"</x:f>
        <x:v>FY2021 A</x:v>
      </x:c>
      <x:c r="D86" s="125" t="n">
        <x:f>IF(OR(I14="n.a.",ISBLANK(I14)),"",I14)</x:f>
        <x:v>61271</x:v>
      </x:c>
      <x:c r="E86" s="125" t="n">
        <x:f>IF(OR(I10="n.a.",ISBLANK(I10)),"",I10)</x:f>
        <x:v>9831</x:v>
      </x:c>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t="str">
        <x:f>"FY2022 A"</x:f>
        <x:v>FY2022 A</x:v>
      </x:c>
      <x:c r="D87" s="125" t="n">
        <x:f>IF(OR(J14="n.a.",ISBLANK(J14)),"",J14)</x:f>
        <x:v>72738</x:v>
      </x:c>
      <x:c r="E87" s="125" t="n">
        <x:f>IF(OR(J10="n.a.",ISBLANK(J10)),"",J10)</x:f>
        <x:v>10978</x:v>
      </x:c>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t="str">
        <x:f>"FY2023 A"</x:f>
        <x:v>FY2023 A</x:v>
      </x:c>
      <x:c r="D88" s="125" t="n">
        <x:f>IF(OR(K14="n.a.",ISBLANK(K14)),"",K14)</x:f>
        <x:v>72361</x:v>
      </x:c>
      <x:c r="E88" s="125" t="n">
        <x:f>IF(OR(K10="n.a.",ISBLANK(K10)),"",K10)</x:f>
        <x:v>16950</x:v>
      </x:c>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t="str">
        <x:f>"FY2024 A"</x:f>
        <x:v>FY2024 A</x:v>
      </x:c>
      <x:c r="D89" s="125" t="n">
        <x:f>IF(OR(L14="n.a.",ISBLANK(L14)),"",L14)</x:f>
        <x:v>88136</x:v>
      </x:c>
      <x:c r="E89" s="125" t="n">
        <x:f>IF(OR(L10="n.a.",ISBLANK(L10)),"",L10)</x:f>
        <x:v>19651</x:v>
      </x:c>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t="str">
        <x:f>"FY2025 A"</x:f>
        <x:v>FY2025 A</x:v>
      </x:c>
      <x:c r="D90" s="125" t="n">
        <x:f>IF(OR(M14="n.a.",ISBLANK(M14)),"",M14)</x:f>
        <x:v>101832</x:v>
      </x:c>
      <x:c r="E90" s="125" t="n">
        <x:f>IF(OR(M10="n.a.",ISBLANK(M10)),"",M10)</x:f>
        <x:v>21795</x:v>
      </x:c>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t="str">
        <x:f>"FY2026 A"</x:f>
        <x:v>FY2026 A</x:v>
      </x:c>
      <x:c r="D91" s="125" t="n">
        <x:f>IF(OR(N14="n.a.",ISBLANK(N14)),"",N14)</x:f>
        <x:v>133749</x:v>
      </x:c>
      <x:c r="E91" s="125" t="n">
        <x:f>IF(OR(N10="n.a.",ISBLANK(N10)),"",N10)</x:f>
        <x:v>32185</x:v>
      </x:c>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t="str">
        <x:f>"FY2027 E"</x:f>
        <x:v>FY2027 E</x:v>
      </x:c>
      <x:c r="D92" s="125" t="n">
        <x:f>IF(OR(O14="n.a.",ISBLANK(O14)),"",O14)</x:f>
        <x:v>139226.65932341706</x:v>
      </x:c>
      <x:c r="E92" s="125" t="n">
        <x:f>IF(OR(O10="n.a.",ISBLANK(O10)),"",O10)</x:f>
        <x:v>34806.66483085427</x:v>
      </x:c>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t="str">
        <x:f>"FY2028 E"</x:f>
        <x:v>FY2028 E</x:v>
      </x:c>
      <x:c r="D93" s="125" t="n">
        <x:f>IF(OR(P14="n.a.",ISBLANK(P14)),"",P14)</x:f>
        <x:v>149959.44033126585</x:v>
      </x:c>
      <x:c r="E93" s="125" t="n">
        <x:f>IF(OR(P10="n.a.",ISBLANK(P10)),"",P10)</x:f>
        <x:v>37489.86008281647</x:v>
      </x:c>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t="str">
        <x:f>"FY2029 E"</x:f>
        <x:v>FY2029 E</x:v>
      </x:c>
      <x:c r="D94" s="125" t="n">
        <x:f>IF(OR(Q14="n.a.",ISBLANK(Q14)),"",Q14)</x:f>
        <x:v>163295.41298470303</x:v>
      </x:c>
      <x:c r="E94" s="125" t="n">
        <x:f>IF(OR(Q10="n.a.",ISBLANK(Q10)),"",Q10)</x:f>
        <x:v>40823.85324617576</x:v>
      </x:c>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t="str">
        <x:f>"FY2030 E"</x:f>
        <x:v>FY2030 E</x:v>
      </x:c>
      <x:c r="D95" s="125" t="n">
        <x:f>IF(OR(R14="n.a.",ISBLANK(R14)),"",R14)</x:f>
        <x:v>179624.49119054497</x:v>
      </x:c>
      <x:c r="E95" s="125" t="n">
        <x:f>IF(OR(R10="n.a.",ISBLANK(R10)),"",R10)</x:f>
        <x:v>44906.12279763625</x:v>
      </x:c>
      <x:c r="F95" s="103"/>
      <x:c r="G95" s="103"/>
      <x:c r="H95" s="103"/>
      <x:c r="I95" s="103"/>
      <x:c r="J95" s="103"/>
      <x:c r="K95" s="103"/>
      <x:c r="L95" s="103"/>
      <x:c r="M95" s="103"/>
      <x:c r="N95" s="103"/>
      <x:c r="O95" s="103"/>
      <x:c r="P95" s="103"/>
      <x:c r="Q95" s="103"/>
      <x:c r="R95" s="103"/>
      <x:c r="S95" s="103"/>
      <x:c r="T95" s="103"/>
      <x:c r="U95" s="103"/>
    </x:row>
    <x:row r="96" ht="24" customHeight="1">
      <x:c r="C96" s="128" t="str">
        <x:f>"FY2031 E"</x:f>
        <x:v>FY2031 E</x:v>
      </x:c>
      <x:c r="D96" s="134" t="n">
        <x:f>IF(OR(S14="n.a.",ISBLANK(S14)),"",S14)</x:f>
        <x:v>198208.54815629864</x:v>
      </x:c>
      <x:c r="E96" s="134" t="n">
        <x:f>IF(OR(S10="n.a.",ISBLANK(S10)),"",S10)</x:f>
        <x:v>49552.13703907467</x:v>
      </x:c>
    </x:row>
    <x:row r="97" ht="24" customHeight="1"/>
    <x:row r="98" ht="24" customHeight="1"/>
    <x:row r="99" ht="24" customHeight="1"/>
    <x:row r="100" ht="24" customHeight="1">
      <x:c r="C100" s="138" t="str">
        <x:v>Fiscal year</x:v>
      </x:c>
      <x:c r="D100" s="138" t="str">
        <x:v>Repurchases</x:v>
      </x:c>
      <x:c r="E100" s="138" t="str">
        <x:v>Dividends</x:v>
      </x:c>
    </x:row>
    <x:row r="101" ht="24" customHeight="1">
      <x:c r="C101" s="128" t="str">
        <x:f>"FY2017 A"</x:f>
        <x:v>FY2017 A</x:v>
      </x:c>
      <x:c r="D101" s="134" t="n">
        <x:f>IF(OR(E18="n.a.",ISBLANK(E18)),"",E18)</x:f>
        <x:v>11788</x:v>
      </x:c>
      <x:c r="E101" s="134" t="n">
        <x:f>IF(OR(E19="n.a.",ISBLANK(E19)),"",E19)</x:f>
        <x:v>11845</x:v>
      </x:c>
    </x:row>
    <x:row r="102" ht="24" customHeight="1">
      <x:c r="C102" s="128" t="str">
        <x:f>"FY2018 A"</x:f>
        <x:v>FY2018 A</x:v>
      </x:c>
      <x:c r="D102" s="134" t="n">
        <x:f>IF(OR(F18="n.a.",ISBLANK(F18)),"",F18)</x:f>
        <x:v>10721</x:v>
      </x:c>
      <x:c r="E102" s="134" t="n">
        <x:f>IF(OR(F19="n.a.",ISBLANK(F19)),"",F19)</x:f>
        <x:v>12699</x:v>
      </x:c>
    </x:row>
    <x:row r="103" ht="24" customHeight="1">
      <x:c r="C103" s="128" t="str">
        <x:f>"FY2019 A"</x:f>
        <x:v>FY2019 A</x:v>
      </x:c>
      <x:c r="D103" s="134" t="n">
        <x:f>IF(OR(G18="n.a.",ISBLANK(G18)),"",G18)</x:f>
        <x:v>19543</x:v>
      </x:c>
      <x:c r="E103" s="134" t="n">
        <x:f>IF(OR(G19="n.a.",ISBLANK(G19)),"",G19)</x:f>
        <x:v>13811</x:v>
      </x:c>
    </x:row>
    <x:row r="104" ht="24" customHeight="1">
      <x:c r="C104" s="128" t="str">
        <x:f>"FY2020 A"</x:f>
        <x:v>FY2020 A</x:v>
      </x:c>
      <x:c r="D104" s="134" t="n">
        <x:f>IF(OR(H18="n.a.",ISBLANK(H18)),"",H18)</x:f>
        <x:v>22968</x:v>
      </x:c>
      <x:c r="E104" s="134" t="n">
        <x:f>IF(OR(H19="n.a.",ISBLANK(H19)),"",H19)</x:f>
        <x:v>15137</x:v>
      </x:c>
    </x:row>
    <x:row r="105" ht="24" customHeight="1">
      <x:c r="C105" s="128" t="str">
        <x:f>"FY2021 A"</x:f>
        <x:v>FY2021 A</x:v>
      </x:c>
      <x:c r="D105" s="134" t="n">
        <x:f>IF(OR(I18="n.a.",ISBLANK(I18)),"",I18)</x:f>
        <x:v>27385</x:v>
      </x:c>
      <x:c r="E105" s="134" t="n">
        <x:f>IF(OR(I19="n.a.",ISBLANK(I19)),"",I19)</x:f>
        <x:v>16521</x:v>
      </x:c>
    </x:row>
    <x:row r="106" ht="24" customHeight="1">
      <x:c r="C106" s="128" t="str">
        <x:f>"FY2022 A"</x:f>
        <x:v>FY2022 A</x:v>
      </x:c>
      <x:c r="D106" s="134" t="n">
        <x:f>IF(OR(J18="n.a.",ISBLANK(J18)),"",J18)</x:f>
        <x:v>32696</x:v>
      </x:c>
      <x:c r="E106" s="134" t="n">
        <x:f>IF(OR(J19="n.a.",ISBLANK(J19)),"",J19)</x:f>
        <x:v>18135</x:v>
      </x:c>
    </x:row>
    <x:row r="107" ht="24" customHeight="1">
      <x:c r="C107" s="128" t="str">
        <x:f>"FY2023 A"</x:f>
        <x:v>FY2023 A</x:v>
      </x:c>
      <x:c r="D107" s="134" t="n">
        <x:f>IF(OR(K18="n.a.",ISBLANK(K18)),"",K18)</x:f>
        <x:v>22245</x:v>
      </x:c>
      <x:c r="E107" s="134" t="n">
        <x:f>IF(OR(K19="n.a.",ISBLANK(K19)),"",K19)</x:f>
        <x:v>19800</x:v>
      </x:c>
    </x:row>
    <x:row r="108" ht="24" customHeight="1">
      <x:c r="C108" s="128" t="str">
        <x:f>"FY2024 A"</x:f>
        <x:v>FY2024 A</x:v>
      </x:c>
      <x:c r="D108" s="134" t="n">
        <x:f>IF(OR(L18="n.a.",ISBLANK(L18)),"",L18)</x:f>
        <x:v>17254</x:v>
      </x:c>
      <x:c r="E108" s="134" t="n">
        <x:f>IF(OR(L19="n.a.",ISBLANK(L19)),"",L19)</x:f>
        <x:v>21771</x:v>
      </x:c>
    </x:row>
    <x:row r="109" ht="24" customHeight="1">
      <x:c r="C109" s="128" t="str">
        <x:f>"FY2025 A"</x:f>
        <x:v>FY2025 A</x:v>
      </x:c>
      <x:c r="D109" s="134" t="n">
        <x:f>IF(OR(M18="n.a.",ISBLANK(M18)),"",M18)</x:f>
        <x:v>18420</x:v>
      </x:c>
      <x:c r="E109" s="134" t="n">
        <x:f>IF(OR(M19="n.a.",ISBLANK(M19)),"",M19)</x:f>
        <x:v>24082</x:v>
      </x:c>
    </x:row>
    <x:row r="110" ht="24" customHeight="1">
      <x:c r="C110" s="128" t="str">
        <x:f>"FY2026 A"</x:f>
        <x:v>FY2026 A</x:v>
      </x:c>
      <x:c r="D110" s="134" t="n">
        <x:f>IF(OR(N18="n.a.",ISBLANK(N18)),"",N18)</x:f>
        <x:v>22271</x:v>
      </x:c>
      <x:c r="E110" s="134" t="n">
        <x:f>IF(OR(N19="n.a.",ISBLANK(N19)),"",N19)</x:f>
        <x:v>26445</x:v>
      </x:c>
    </x:row>
    <x:row r="111" ht="24" customHeight="1">
      <x:c r="C111" s="128" t="str">
        <x:f>"FY2027 E"</x:f>
        <x:v>FY2027 E</x:v>
      </x:c>
      <x:c r="D111" s="134" t="n">
        <x:f>IF(OR(O18="n.a.",ISBLANK(O18)),"",O18)</x:f>
        <x:v>25028.172000000002</x:v>
      </x:c>
      <x:c r="E111" s="134" t="n">
        <x:f>IF(OR(O19="n.a.",ISBLANK(O19)),"",O19)</x:f>
        <x:v>27845.331864683412</x:v>
      </x:c>
    </x:row>
    <x:row r="112" ht="24" customHeight="1">
      <x:c r="C112" s="128" t="str">
        <x:f>"FY2028 E"</x:f>
        <x:v>FY2028 E</x:v>
      </x:c>
      <x:c r="D112" s="134" t="n">
        <x:f>IF(OR(P18="n.a.",ISBLANK(P18)),"",P18)</x:f>
        <x:v>28891.033756000004</x:v>
      </x:c>
      <x:c r="E112" s="134" t="n">
        <x:f>IF(OR(P19="n.a.",ISBLANK(P19)),"",P19)</x:f>
        <x:v>29991.888066253174</x:v>
      </x:c>
    </x:row>
    <x:row r="113" ht="24" customHeight="1">
      <x:c r="C113" s="128" t="str">
        <x:f>"FY2029 E"</x:f>
        <x:v>FY2029 E</x:v>
      </x:c>
      <x:c r="D113" s="134" t="n">
        <x:f>IF(OR(Q18="n.a.",ISBLANK(Q18)),"",Q18)</x:f>
        <x:v>33079.95056808</x:v>
      </x:c>
      <x:c r="E113" s="134" t="n">
        <x:f>IF(OR(Q19="n.a.",ISBLANK(Q19)),"",Q19)</x:f>
        <x:v>32659.082596940607</x:v>
      </x:c>
    </x:row>
    <x:row r="114" ht="24" customHeight="1">
      <x:c r="C114" s="128" t="str">
        <x:f>"FY2030 E"</x:f>
        <x:v>FY2030 E</x:v>
      </x:c>
      <x:c r="D114" s="134" t="n">
        <x:f>IF(OR(R18="n.a.",ISBLANK(R18)),"",R18)</x:f>
        <x:v>37524.61471980001</x:v>
      </x:c>
      <x:c r="E114" s="134" t="n">
        <x:f>IF(OR(R19="n.a.",ISBLANK(R19)),"",R19)</x:f>
        <x:v>35924.898238108995</x:v>
      </x:c>
    </x:row>
    <x:row r="115" ht="24" customHeight="1">
      <x:c r="C115" s="128" t="str">
        <x:f>"FY2031 E"</x:f>
        <x:v>FY2031 E</x:v>
      </x:c>
      <x:c r="D115" s="134" t="n">
        <x:f>IF(OR(S18="n.a.",ISBLANK(S18)),"",S18)</x:f>
        <x:v>42126.96481460189</x:v>
      </x:c>
      <x:c r="E115" s="134" t="n">
        <x:f>IF(OR(S19="n.a.",ISBLANK(S19)),"",S19)</x:f>
        <x:v>39641.70963125973</x:v>
      </x:c>
    </x:row>
  </x:sheetData>
  <x:mergeCells>
    <x:mergeCell ref="C55:S55"/>
    <x:mergeCell ref="C56:S56"/>
    <x:mergeCell ref="C57:S57"/>
  </x:mergeCells>
  <x:pageMargins left="0.7" right="0.7" top="0.75" bottom="0.75" header="0.3" footer="0.3"/>
  <x:drawing xmlns:r="http://schemas.openxmlformats.org/officeDocument/2006/relationships" r:id="Rb50a2e4bd4b547e4"/>
  <x:legacyDrawing xmlns:r="http://schemas.openxmlformats.org/officeDocument/2006/relationships" r:id="Rbf5e1fdb040d4867"/>
</x:worksheet>
</file>

<file path=xl/worksheets/sheet16.xml><?xml version="1.0" encoding="utf-8"?>
<x:worksheet xmlns:x="http://schemas.openxmlformats.org/spreadsheetml/2006/main">
  <x:sheetPr>
    <x:tabColor rgb="FFBFBFBF"/>
  </x:sheetPr>
  <x:sheetViews>
    <x:sheetView showGridLines="0" workbookViewId="0"/>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Data &gt;&gt;</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x:c r="D4" s="103"/>
      <x:c r="E4" s="103"/>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3" t="str">
        <x:v>Historical Inputs, Filing Notes and Audit retain the evidence behind the model.</x:v>
      </x:c>
      <x:c r="D7" s="103"/>
      <x:c r="E7" s="103"/>
      <x:c r="F7" s="103"/>
      <x:c r="G7" s="103"/>
      <x:c r="H7" s="103"/>
      <x:c r="I7" s="103"/>
      <x:c r="J7" s="103"/>
      <x:c r="K7" s="103"/>
      <x:c r="L7" s="103"/>
      <x:c r="M7" s="103"/>
      <x:c r="N7" s="103"/>
      <x:c r="O7" s="103"/>
      <x:c r="P7" s="103"/>
      <x:c r="Q7" s="103"/>
      <x:c r="R7" s="103"/>
      <x:c r="S7" s="103"/>
      <x:c r="T7" s="103"/>
      <x:c r="U7" s="103"/>
    </x:row>
    <x:row r="8" ht="24" customHeight="1">
      <x:c r="A8" s="103"/>
      <x:c r="B8" s="103"/>
      <x:c r="C8" s="103"/>
      <x:c r="D8" s="103"/>
      <x:c r="E8" s="103"/>
      <x:c r="F8" s="103"/>
      <x:c r="G8" s="103"/>
      <x:c r="H8" s="103"/>
      <x:c r="I8" s="103"/>
      <x:c r="J8" s="103"/>
      <x:c r="K8" s="103"/>
      <x:c r="L8" s="103"/>
      <x:c r="M8" s="103"/>
      <x:c r="N8" s="103"/>
      <x:c r="O8" s="103"/>
      <x:c r="P8" s="103"/>
      <x:c r="Q8" s="103"/>
      <x:c r="R8" s="103"/>
      <x:c r="S8" s="103"/>
      <x:c r="T8" s="103"/>
      <x:c r="U8" s="103"/>
    </x:row>
    <x:row r="9" ht="24" customHeight="1">
      <x:c r="A9" s="103"/>
      <x:c r="B9" s="103"/>
      <x:c r="C9" s="103"/>
      <x:c r="D9" s="103"/>
      <x:c r="E9" s="103"/>
      <x:c r="F9" s="103"/>
      <x:c r="G9" s="103"/>
      <x:c r="H9" s="103"/>
      <x:c r="I9" s="103"/>
      <x:c r="J9" s="103"/>
      <x:c r="K9" s="103"/>
      <x:c r="L9" s="103"/>
      <x:c r="M9" s="103"/>
      <x:c r="N9" s="103"/>
      <x:c r="O9" s="103"/>
      <x:c r="P9" s="103"/>
      <x:c r="Q9" s="103"/>
      <x:c r="R9" s="103"/>
      <x:c r="S9" s="103"/>
      <x:c r="T9" s="103"/>
      <x:c r="U9" s="103"/>
    </x:row>
    <x:row r="10" ht="24" customHeight="1">
      <x:c r="A10" s="103"/>
      <x:c r="B10" s="103"/>
      <x:c r="C10" s="103"/>
      <x:c r="D10" s="103"/>
      <x:c r="E10" s="103"/>
      <x:c r="F10" s="103"/>
      <x:c r="G10" s="103"/>
      <x:c r="H10" s="103"/>
      <x:c r="I10" s="103"/>
      <x:c r="J10" s="103"/>
      <x:c r="K10" s="103"/>
      <x:c r="L10" s="103"/>
      <x:c r="M10" s="103"/>
      <x:c r="N10" s="103"/>
      <x:c r="O10" s="103"/>
      <x:c r="P10" s="103"/>
      <x:c r="Q10" s="103"/>
      <x:c r="R10" s="103"/>
      <x:c r="S10" s="103"/>
      <x:c r="T10" s="103"/>
      <x:c r="U10" s="103"/>
    </x:row>
    <x:row r="11" ht="24" customHeight="1">
      <x:c r="A11" s="103"/>
      <x:c r="B11" s="103"/>
      <x:c r="C11" s="103"/>
      <x:c r="D11" s="103"/>
      <x:c r="E11" s="103"/>
      <x:c r="F11" s="103"/>
      <x:c r="G11" s="103"/>
      <x:c r="H11" s="103"/>
      <x:c r="I11" s="103"/>
      <x:c r="J11" s="103"/>
      <x:c r="K11" s="103"/>
      <x:c r="L11" s="103"/>
      <x:c r="M11" s="103"/>
      <x:c r="N11" s="103"/>
      <x:c r="O11" s="103"/>
      <x:c r="P11" s="103"/>
      <x:c r="Q11" s="103"/>
      <x:c r="R11" s="103"/>
      <x:c r="S11" s="103"/>
      <x:c r="T11" s="103"/>
      <x:c r="U11" s="103"/>
    </x:row>
    <x:row r="12" ht="24" customHeight="1">
      <x:c r="A12" s="103"/>
      <x:c r="B12" s="103"/>
      <x:c r="C12" s="103"/>
      <x:c r="D12" s="103"/>
      <x:c r="E12" s="103"/>
      <x:c r="F12" s="103"/>
      <x:c r="G12" s="103"/>
      <x:c r="H12" s="103"/>
      <x:c r="I12" s="103"/>
      <x:c r="J12" s="103"/>
      <x:c r="K12" s="103"/>
      <x:c r="L12" s="103"/>
      <x:c r="M12" s="103"/>
      <x:c r="N12" s="103"/>
      <x:c r="O12" s="103"/>
      <x:c r="P12" s="103"/>
      <x:c r="Q12" s="103"/>
      <x:c r="R12" s="103"/>
      <x:c r="S12" s="103"/>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x:c r="D14" s="103"/>
      <x:c r="E14" s="103"/>
      <x:c r="F14" s="103"/>
      <x:c r="G14" s="103"/>
      <x:c r="H14" s="103"/>
      <x:c r="I14" s="103"/>
      <x:c r="J14" s="103"/>
      <x:c r="K14" s="103"/>
      <x:c r="L14" s="103"/>
      <x:c r="M14" s="103"/>
      <x:c r="N14" s="103"/>
      <x:c r="O14" s="103"/>
      <x:c r="P14" s="103"/>
      <x:c r="Q14" s="103"/>
      <x:c r="R14" s="103"/>
      <x:c r="S14" s="103"/>
      <x:c r="T14" s="103"/>
      <x:c r="U14" s="103"/>
    </x:row>
    <x:row r="15" ht="24" customHeight="1">
      <x:c r="A15" s="103"/>
      <x:c r="B15" s="103"/>
      <x:c r="C15" s="103"/>
      <x:c r="D15" s="103"/>
      <x:c r="E15" s="103"/>
      <x:c r="F15" s="103"/>
      <x:c r="G15" s="103"/>
      <x:c r="H15" s="103"/>
      <x:c r="I15" s="103"/>
      <x:c r="J15" s="103"/>
      <x:c r="K15" s="103"/>
      <x:c r="L15" s="103"/>
      <x:c r="M15" s="103"/>
      <x:c r="N15" s="103"/>
      <x:c r="O15" s="103"/>
      <x:c r="P15" s="103"/>
      <x:c r="Q15" s="103"/>
      <x:c r="R15" s="103"/>
      <x:c r="S15" s="103"/>
      <x:c r="T15" s="103"/>
      <x:c r="U15" s="103"/>
    </x:row>
    <x:row r="16" ht="24" customHeight="1">
      <x:c r="A16" s="103"/>
      <x:c r="B16" s="103"/>
      <x:c r="C16" s="103"/>
      <x:c r="D16" s="103"/>
      <x:c r="E16" s="103"/>
      <x:c r="F16" s="103"/>
      <x:c r="G16" s="103"/>
      <x:c r="H16" s="103"/>
      <x:c r="I16" s="103"/>
      <x:c r="J16" s="103"/>
      <x:c r="K16" s="103"/>
      <x:c r="L16" s="103"/>
      <x:c r="M16" s="103"/>
      <x:c r="N16" s="103"/>
      <x:c r="O16" s="103"/>
      <x:c r="P16" s="103"/>
      <x:c r="Q16" s="103"/>
      <x:c r="R16" s="103"/>
      <x:c r="S16" s="103"/>
      <x:c r="T16" s="103"/>
      <x:c r="U16" s="103"/>
    </x:row>
    <x:row r="17" ht="24" customHeight="1">
      <x:c r="A17" s="103"/>
      <x:c r="B17" s="103"/>
      <x:c r="C17" s="103"/>
      <x:c r="D17" s="103"/>
      <x:c r="E17" s="103"/>
      <x:c r="F17" s="103"/>
      <x:c r="G17" s="103"/>
      <x:c r="H17" s="103"/>
      <x:c r="I17" s="103"/>
      <x:c r="J17" s="103"/>
      <x:c r="K17" s="103"/>
      <x:c r="L17" s="103"/>
      <x:c r="M17" s="103"/>
      <x:c r="N17" s="103"/>
      <x:c r="O17" s="103"/>
      <x:c r="P17" s="103"/>
      <x:c r="Q17" s="103"/>
      <x:c r="R17" s="103"/>
      <x:c r="S17" s="103"/>
      <x:c r="T17" s="103"/>
      <x:c r="U17" s="103"/>
    </x:row>
    <x:row r="18" ht="24" customHeight="1">
      <x:c r="A18" s="103"/>
      <x:c r="B18" s="103"/>
      <x:c r="C18" s="103"/>
      <x:c r="D18" s="103"/>
      <x:c r="E18" s="103"/>
      <x:c r="F18" s="103"/>
      <x:c r="G18" s="103"/>
      <x:c r="H18" s="103"/>
      <x:c r="I18" s="103"/>
      <x:c r="J18" s="103"/>
      <x:c r="K18" s="103"/>
      <x:c r="L18" s="103"/>
      <x:c r="M18" s="103"/>
      <x:c r="N18" s="103"/>
      <x:c r="O18" s="103"/>
      <x:c r="P18" s="103"/>
      <x:c r="Q18" s="103"/>
      <x:c r="R18" s="103"/>
      <x:c r="S18" s="103"/>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3"/>
      <x:c r="D20" s="103"/>
      <x:c r="E20" s="103"/>
      <x:c r="F20" s="103"/>
      <x:c r="G20" s="103"/>
      <x:c r="H20" s="103"/>
      <x:c r="I20" s="103"/>
      <x:c r="J20" s="103"/>
      <x:c r="K20" s="103"/>
      <x:c r="L20" s="103"/>
      <x:c r="M20" s="103"/>
      <x:c r="N20" s="103"/>
      <x:c r="O20" s="103"/>
      <x:c r="P20" s="103"/>
      <x:c r="Q20" s="103"/>
      <x:c r="R20" s="103"/>
      <x:c r="S20" s="103"/>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x:c r="D22" s="103"/>
      <x:c r="E22" s="103"/>
      <x:c r="F22" s="103"/>
      <x:c r="G22" s="103"/>
      <x:c r="H22" s="103"/>
      <x:c r="I22" s="103"/>
      <x:c r="J22" s="103"/>
      <x:c r="K22" s="103"/>
      <x:c r="L22" s="103"/>
      <x:c r="M22" s="103"/>
      <x:c r="N22" s="103"/>
      <x:c r="O22" s="103"/>
      <x:c r="P22" s="103"/>
      <x:c r="Q22" s="103"/>
      <x:c r="R22" s="103"/>
      <x:c r="S22" s="103"/>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x:c r="D24" s="103"/>
      <x:c r="E24" s="103"/>
      <x:c r="F24" s="103"/>
      <x:c r="G24" s="103"/>
      <x:c r="H24" s="103"/>
      <x:c r="I24" s="103"/>
      <x:c r="J24" s="103"/>
      <x:c r="K24" s="103"/>
      <x:c r="L24" s="103"/>
      <x:c r="M24" s="103"/>
      <x:c r="N24" s="103"/>
      <x:c r="O24" s="103"/>
      <x:c r="P24" s="103"/>
      <x:c r="Q24" s="103"/>
      <x:c r="R24" s="103"/>
      <x:c r="S24" s="103"/>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sheetData>
  <x:pageMargins left="0.7" right="0.7" top="0.75" bottom="0.75" header="0.3" footer="0.3"/>
  <x:drawing xmlns:r="http://schemas.openxmlformats.org/officeDocument/2006/relationships" r:id="R4d95cfebda484c85"/>
  <x:legacyDrawing xmlns:r="http://schemas.openxmlformats.org/officeDocument/2006/relationships" r:id="Rec52514b1cd14a8e"/>
</x:worksheet>
</file>

<file path=xl/worksheets/sheet17.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Historical Inputs</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x:c r="D4" s="103"/>
      <x:c r="E4" s="103"/>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36" t="str">
        <x:v>Audited income statements</x:v>
      </x:c>
      <x:c r="D8" s="136"/>
      <x:c r="E8" s="136"/>
      <x:c r="F8" s="136"/>
      <x:c r="G8" s="136"/>
      <x:c r="H8" s="136"/>
      <x:c r="I8" s="136"/>
      <x:c r="J8" s="136"/>
      <x:c r="K8" s="136"/>
      <x:c r="L8" s="136"/>
      <x:c r="M8" s="136"/>
      <x:c r="N8" s="136"/>
      <x:c r="O8" s="136"/>
      <x:c r="P8" s="136"/>
      <x:c r="Q8" s="136"/>
      <x:c r="R8" s="136"/>
      <x:c r="S8" s="136"/>
      <x:c r="T8" s="103"/>
      <x:c r="U8" s="103"/>
    </x:row>
    <x:row r="9" ht="24" customHeight="1">
      <x:c r="A9" s="103"/>
      <x:c r="B9" s="103"/>
      <x:c r="C9" s="103" t="str">
        <x:v>revenue</x:v>
      </x:c>
      <x:c r="D9" s="103"/>
      <x:c r="E9" s="166" t="n">
        <x:v>96571</x:v>
      </x:c>
      <x:c r="F9" s="166" t="n">
        <x:v>110360</x:v>
      </x:c>
      <x:c r="G9" s="166" t="n">
        <x:v>125843</x:v>
      </x:c>
      <x:c r="H9" s="166" t="n">
        <x:v>143015</x:v>
      </x:c>
      <x:c r="I9" s="166" t="n">
        <x:v>168088</x:v>
      </x:c>
      <x:c r="J9" s="166" t="n">
        <x:v>198270</x:v>
      </x:c>
      <x:c r="K9" s="166" t="n">
        <x:v>211915</x:v>
      </x:c>
      <x:c r="L9" s="166" t="n">
        <x:v>245122</x:v>
      </x:c>
      <x:c r="M9" s="166" t="n">
        <x:v>281724</x:v>
      </x:c>
      <x:c r="N9" s="166" t="n">
        <x:v>331839</x:v>
      </x:c>
      <x:c r="O9" s="109"/>
      <x:c r="P9" s="109"/>
      <x:c r="Q9" s="109"/>
      <x:c r="R9" s="109"/>
      <x:c r="S9" s="109"/>
      <x:c r="T9" s="103"/>
      <x:c r="U9" s="103"/>
    </x:row>
    <x:row r="10" ht="24" customHeight="1">
      <x:c r="A10" s="103"/>
      <x:c r="B10" s="103"/>
      <x:c r="C10" s="103" t="str">
        <x:v>cogs</x:v>
      </x:c>
      <x:c r="D10" s="103"/>
      <x:c r="E10" s="166" t="n">
        <x:v>34261</x:v>
      </x:c>
      <x:c r="F10" s="166" t="n">
        <x:v>38353</x:v>
      </x:c>
      <x:c r="G10" s="166" t="n">
        <x:v>42910</x:v>
      </x:c>
      <x:c r="H10" s="166" t="n">
        <x:v>46078</x:v>
      </x:c>
      <x:c r="I10" s="166" t="n">
        <x:v>52232</x:v>
      </x:c>
      <x:c r="J10" s="166" t="n">
        <x:v>62650</x:v>
      </x:c>
      <x:c r="K10" s="166" t="n">
        <x:v>65863</x:v>
      </x:c>
      <x:c r="L10" s="166" t="n">
        <x:v>74114</x:v>
      </x:c>
      <x:c r="M10" s="166" t="n">
        <x:v>87831</x:v>
      </x:c>
      <x:c r="N10" s="166" t="n">
        <x:v>106374</x:v>
      </x:c>
      <x:c r="O10" s="109"/>
      <x:c r="P10" s="109"/>
      <x:c r="Q10" s="109"/>
      <x:c r="R10" s="109"/>
      <x:c r="S10" s="109"/>
      <x:c r="T10" s="103"/>
      <x:c r="U10" s="103"/>
    </x:row>
    <x:row r="11" ht="24" customHeight="1">
      <x:c r="A11" s="103"/>
      <x:c r="B11" s="103"/>
      <x:c r="C11" s="103" t="str">
        <x:v>gross profit</x:v>
      </x:c>
      <x:c r="D11" s="103"/>
      <x:c r="E11" s="166" t="n">
        <x:v>62310</x:v>
      </x:c>
      <x:c r="F11" s="166" t="n">
        <x:v>72007</x:v>
      </x:c>
      <x:c r="G11" s="166" t="n">
        <x:v>82933</x:v>
      </x:c>
      <x:c r="H11" s="166" t="n">
        <x:v>96937</x:v>
      </x:c>
      <x:c r="I11" s="166" t="n">
        <x:v>115856</x:v>
      </x:c>
      <x:c r="J11" s="166" t="n">
        <x:v>135620</x:v>
      </x:c>
      <x:c r="K11" s="166" t="n">
        <x:v>146052</x:v>
      </x:c>
      <x:c r="L11" s="166" t="n">
        <x:v>171008</x:v>
      </x:c>
      <x:c r="M11" s="166" t="n">
        <x:v>193893</x:v>
      </x:c>
      <x:c r="N11" s="166" t="n">
        <x:v>225465</x:v>
      </x:c>
      <x:c r="O11" s="109"/>
      <x:c r="P11" s="109"/>
      <x:c r="Q11" s="109"/>
      <x:c r="R11" s="109"/>
      <x:c r="S11" s="109"/>
      <x:c r="T11" s="103"/>
      <x:c r="U11" s="103"/>
    </x:row>
    <x:row r="12" ht="24" customHeight="1">
      <x:c r="A12" s="103"/>
      <x:c r="B12" s="103"/>
      <x:c r="C12" s="103" t="str">
        <x:v>rd</x:v>
      </x:c>
      <x:c r="D12" s="103"/>
      <x:c r="E12" s="166" t="n">
        <x:v>13037</x:v>
      </x:c>
      <x:c r="F12" s="166" t="n">
        <x:v>14726</x:v>
      </x:c>
      <x:c r="G12" s="166" t="n">
        <x:v>16876</x:v>
      </x:c>
      <x:c r="H12" s="166" t="n">
        <x:v>19269</x:v>
      </x:c>
      <x:c r="I12" s="166" t="n">
        <x:v>20716</x:v>
      </x:c>
      <x:c r="J12" s="166" t="n">
        <x:v>24512</x:v>
      </x:c>
      <x:c r="K12" s="166" t="n">
        <x:v>27195</x:v>
      </x:c>
      <x:c r="L12" s="166" t="n">
        <x:v>29510</x:v>
      </x:c>
      <x:c r="M12" s="166" t="n">
        <x:v>32488</x:v>
      </x:c>
      <x:c r="N12" s="166" t="n">
        <x:v>35562</x:v>
      </x:c>
      <x:c r="O12" s="109"/>
      <x:c r="P12" s="109"/>
      <x:c r="Q12" s="109"/>
      <x:c r="R12" s="109"/>
      <x:c r="S12" s="109"/>
      <x:c r="T12" s="103"/>
      <x:c r="U12" s="103"/>
    </x:row>
    <x:row r="13" ht="24" customHeight="1">
      <x:c r="A13" s="103"/>
      <x:c r="B13" s="103"/>
      <x:c r="C13" s="103" t="str">
        <x:v>sales marketing</x:v>
      </x:c>
      <x:c r="D13" s="103"/>
      <x:c r="E13" s="166" t="n">
        <x:v>15461</x:v>
      </x:c>
      <x:c r="F13" s="166" t="n">
        <x:v>17469</x:v>
      </x:c>
      <x:c r="G13" s="166" t="n">
        <x:v>18213</x:v>
      </x:c>
      <x:c r="H13" s="166" t="n">
        <x:v>19598</x:v>
      </x:c>
      <x:c r="I13" s="166" t="n">
        <x:v>20117</x:v>
      </x:c>
      <x:c r="J13" s="166" t="n">
        <x:v>21825</x:v>
      </x:c>
      <x:c r="K13" s="166" t="n">
        <x:v>22759</x:v>
      </x:c>
      <x:c r="L13" s="166" t="n">
        <x:v>24456</x:v>
      </x:c>
      <x:c r="M13" s="166" t="n">
        <x:v>25654</x:v>
      </x:c>
      <x:c r="N13" s="166" t="n">
        <x:v>26710</x:v>
      </x:c>
      <x:c r="O13" s="109"/>
      <x:c r="P13" s="109"/>
      <x:c r="Q13" s="109"/>
      <x:c r="R13" s="109"/>
      <x:c r="S13" s="109"/>
      <x:c r="T13" s="103"/>
      <x:c r="U13" s="103"/>
    </x:row>
    <x:row r="14" ht="24" customHeight="1">
      <x:c r="A14" s="103"/>
      <x:c r="B14" s="103"/>
      <x:c r="C14" s="103" t="str">
        <x:v>ga</x:v>
      </x:c>
      <x:c r="D14" s="103"/>
      <x:c r="E14" s="166" t="n">
        <x:v>4481</x:v>
      </x:c>
      <x:c r="F14" s="166" t="n">
        <x:v>4754</x:v>
      </x:c>
      <x:c r="G14" s="166" t="n">
        <x:v>4885</x:v>
      </x:c>
      <x:c r="H14" s="166" t="n">
        <x:v>5111</x:v>
      </x:c>
      <x:c r="I14" s="166" t="n">
        <x:v>5107</x:v>
      </x:c>
      <x:c r="J14" s="166" t="n">
        <x:v>5900</x:v>
      </x:c>
      <x:c r="K14" s="166" t="n">
        <x:v>7575</x:v>
      </x:c>
      <x:c r="L14" s="166" t="n">
        <x:v>7609</x:v>
      </x:c>
      <x:c r="M14" s="166" t="n">
        <x:v>7223</x:v>
      </x:c>
      <x:c r="N14" s="166" t="n">
        <x:v>7956</x:v>
      </x:c>
      <x:c r="O14" s="109"/>
      <x:c r="P14" s="109"/>
      <x:c r="Q14" s="109"/>
      <x:c r="R14" s="109"/>
      <x:c r="S14" s="109"/>
      <x:c r="T14" s="103"/>
      <x:c r="U14" s="103"/>
    </x:row>
    <x:row r="15" ht="24" customHeight="1">
      <x:c r="A15" s="103"/>
      <x:c r="B15" s="103"/>
      <x:c r="C15" s="103" t="str">
        <x:v>operating income</x:v>
      </x:c>
      <x:c r="D15" s="103"/>
      <x:c r="E15" s="166" t="n">
        <x:v>29025</x:v>
      </x:c>
      <x:c r="F15" s="166" t="n">
        <x:v>35058</x:v>
      </x:c>
      <x:c r="G15" s="166" t="n">
        <x:v>42959</x:v>
      </x:c>
      <x:c r="H15" s="166" t="n">
        <x:v>52959</x:v>
      </x:c>
      <x:c r="I15" s="166" t="n">
        <x:v>69916</x:v>
      </x:c>
      <x:c r="J15" s="166" t="n">
        <x:v>83383</x:v>
      </x:c>
      <x:c r="K15" s="166" t="n">
        <x:v>88523</x:v>
      </x:c>
      <x:c r="L15" s="166" t="n">
        <x:v>109433</x:v>
      </x:c>
      <x:c r="M15" s="166" t="n">
        <x:v>128528</x:v>
      </x:c>
      <x:c r="N15" s="166" t="n">
        <x:v>155237</x:v>
      </x:c>
      <x:c r="O15" s="109"/>
      <x:c r="P15" s="109"/>
      <x:c r="Q15" s="109"/>
      <x:c r="R15" s="109"/>
      <x:c r="S15" s="109"/>
      <x:c r="T15" s="103"/>
      <x:c r="U15" s="103"/>
    </x:row>
    <x:row r="16" ht="24" customHeight="1">
      <x:c r="A16" s="103"/>
      <x:c r="B16" s="103"/>
      <x:c r="C16" s="103" t="str">
        <x:v>other income</x:v>
      </x:c>
      <x:c r="D16" s="103"/>
      <x:c r="E16" s="166" t="n">
        <x:v>876</x:v>
      </x:c>
      <x:c r="F16" s="166" t="n">
        <x:v>1416</x:v>
      </x:c>
      <x:c r="G16" s="166" t="n">
        <x:v>729</x:v>
      </x:c>
      <x:c r="H16" s="166" t="n">
        <x:v>77</x:v>
      </x:c>
      <x:c r="I16" s="166" t="n">
        <x:v>1186</x:v>
      </x:c>
      <x:c r="J16" s="166" t="n">
        <x:v>333</x:v>
      </x:c>
      <x:c r="K16" s="166" t="n">
        <x:v>788</x:v>
      </x:c>
      <x:c r="L16" s="166" t="n">
        <x:v>-1646</x:v>
      </x:c>
      <x:c r="M16" s="166" t="n">
        <x:v>-4901</x:v>
      </x:c>
      <x:c r="N16" s="166" t="n">
        <x:v>10697</x:v>
      </x:c>
      <x:c r="O16" s="109"/>
      <x:c r="P16" s="109"/>
      <x:c r="Q16" s="109"/>
      <x:c r="R16" s="109"/>
      <x:c r="S16" s="109"/>
      <x:c r="T16" s="103"/>
      <x:c r="U16" s="103"/>
    </x:row>
    <x:row r="17" ht="24" customHeight="1">
      <x:c r="A17" s="103"/>
      <x:c r="B17" s="103"/>
      <x:c r="C17" s="103" t="str">
        <x:v>pretax income</x:v>
      </x:c>
      <x:c r="D17" s="103"/>
      <x:c r="E17" s="166" t="n">
        <x:v>29901</x:v>
      </x:c>
      <x:c r="F17" s="166" t="n">
        <x:v>36474</x:v>
      </x:c>
      <x:c r="G17" s="166" t="n">
        <x:v>43688</x:v>
      </x:c>
      <x:c r="H17" s="166" t="n">
        <x:v>53036</x:v>
      </x:c>
      <x:c r="I17" s="166" t="n">
        <x:v>71102</x:v>
      </x:c>
      <x:c r="J17" s="166" t="n">
        <x:v>83716</x:v>
      </x:c>
      <x:c r="K17" s="166" t="n">
        <x:v>89311</x:v>
      </x:c>
      <x:c r="L17" s="166" t="n">
        <x:v>107787</x:v>
      </x:c>
      <x:c r="M17" s="166" t="n">
        <x:v>123627</x:v>
      </x:c>
      <x:c r="N17" s="166" t="n">
        <x:v>165934</x:v>
      </x:c>
      <x:c r="O17" s="109"/>
      <x:c r="P17" s="109"/>
      <x:c r="Q17" s="109"/>
      <x:c r="R17" s="109"/>
      <x:c r="S17" s="109"/>
      <x:c r="T17" s="103"/>
      <x:c r="U17" s="103"/>
    </x:row>
    <x:row r="18" ht="24" customHeight="1">
      <x:c r="A18" s="103"/>
      <x:c r="B18" s="103"/>
      <x:c r="C18" s="103" t="str">
        <x:v>income tax</x:v>
      </x:c>
      <x:c r="D18" s="103"/>
      <x:c r="E18" s="166" t="n">
        <x:v>4412</x:v>
      </x:c>
      <x:c r="F18" s="166" t="n">
        <x:v>19903</x:v>
      </x:c>
      <x:c r="G18" s="166" t="n">
        <x:v>4448</x:v>
      </x:c>
      <x:c r="H18" s="166" t="n">
        <x:v>8755</x:v>
      </x:c>
      <x:c r="I18" s="166" t="n">
        <x:v>9831</x:v>
      </x:c>
      <x:c r="J18" s="166" t="n">
        <x:v>10978</x:v>
      </x:c>
      <x:c r="K18" s="166" t="n">
        <x:v>16950</x:v>
      </x:c>
      <x:c r="L18" s="166" t="n">
        <x:v>19651</x:v>
      </x:c>
      <x:c r="M18" s="166" t="n">
        <x:v>21795</x:v>
      </x:c>
      <x:c r="N18" s="166" t="n">
        <x:v>32185</x:v>
      </x:c>
      <x:c r="O18" s="109"/>
      <x:c r="P18" s="109"/>
      <x:c r="Q18" s="109"/>
      <x:c r="R18" s="109"/>
      <x:c r="S18" s="109"/>
      <x:c r="T18" s="103"/>
      <x:c r="U18" s="103"/>
    </x:row>
    <x:row r="19" ht="24" customHeight="1">
      <x:c r="A19" s="103"/>
      <x:c r="B19" s="103"/>
      <x:c r="C19" s="103" t="str">
        <x:v>net income</x:v>
      </x:c>
      <x:c r="D19" s="103"/>
      <x:c r="E19" s="166" t="n">
        <x:v>25489</x:v>
      </x:c>
      <x:c r="F19" s="166" t="n">
        <x:v>16571</x:v>
      </x:c>
      <x:c r="G19" s="166" t="n">
        <x:v>39240</x:v>
      </x:c>
      <x:c r="H19" s="166" t="n">
        <x:v>44281</x:v>
      </x:c>
      <x:c r="I19" s="166" t="n">
        <x:v>61271</x:v>
      </x:c>
      <x:c r="J19" s="166" t="n">
        <x:v>72738</x:v>
      </x:c>
      <x:c r="K19" s="166" t="n">
        <x:v>72361</x:v>
      </x:c>
      <x:c r="L19" s="166" t="n">
        <x:v>88136</x:v>
      </x:c>
      <x:c r="M19" s="166" t="n">
        <x:v>101832</x:v>
      </x:c>
      <x:c r="N19" s="166" t="n">
        <x:v>133749</x:v>
      </x:c>
      <x:c r="O19" s="109"/>
      <x:c r="P19" s="109"/>
      <x:c r="Q19" s="109"/>
      <x:c r="R19" s="109"/>
      <x:c r="S19" s="109"/>
      <x:c r="T19" s="103"/>
      <x:c r="U19" s="103"/>
    </x:row>
    <x:row r="20" ht="24" customHeight="1">
      <x:c r="A20" s="103"/>
      <x:c r="B20" s="103"/>
      <x:c r="C20" s="103" t="str">
        <x:v>eps basic</x:v>
      </x:c>
      <x:c r="D20" s="103"/>
      <x:c r="E20" s="183" t="n">
        <x:v>3.29</x:v>
      </x:c>
      <x:c r="F20" s="183" t="n">
        <x:v>2.15</x:v>
      </x:c>
      <x:c r="G20" s="183" t="n">
        <x:v>5.11</x:v>
      </x:c>
      <x:c r="H20" s="183" t="n">
        <x:v>5.82</x:v>
      </x:c>
      <x:c r="I20" s="183" t="n">
        <x:v>8.12</x:v>
      </x:c>
      <x:c r="J20" s="183" t="n">
        <x:v>9.7</x:v>
      </x:c>
      <x:c r="K20" s="183" t="n">
        <x:v>9.72</x:v>
      </x:c>
      <x:c r="L20" s="183" t="n">
        <x:v>11.86</x:v>
      </x:c>
      <x:c r="M20" s="183" t="n">
        <x:v>13.7</x:v>
      </x:c>
      <x:c r="N20" s="183" t="n">
        <x:v>18</x:v>
      </x:c>
      <x:c r="O20" s="121"/>
      <x:c r="P20" s="121"/>
      <x:c r="Q20" s="121"/>
      <x:c r="R20" s="121"/>
      <x:c r="S20" s="121"/>
      <x:c r="T20" s="103"/>
      <x:c r="U20" s="103"/>
    </x:row>
    <x:row r="21" ht="24" customHeight="1">
      <x:c r="A21" s="103"/>
      <x:c r="B21" s="103"/>
      <x:c r="C21" s="103" t="str">
        <x:v>eps diluted</x:v>
      </x:c>
      <x:c r="D21" s="103"/>
      <x:c r="E21" s="183" t="n">
        <x:v>3.25</x:v>
      </x:c>
      <x:c r="F21" s="183" t="n">
        <x:v>2.13</x:v>
      </x:c>
      <x:c r="G21" s="183" t="n">
        <x:v>5.06</x:v>
      </x:c>
      <x:c r="H21" s="183" t="n">
        <x:v>5.76</x:v>
      </x:c>
      <x:c r="I21" s="183" t="n">
        <x:v>8.05</x:v>
      </x:c>
      <x:c r="J21" s="183" t="n">
        <x:v>9.65</x:v>
      </x:c>
      <x:c r="K21" s="183" t="n">
        <x:v>9.68</x:v>
      </x:c>
      <x:c r="L21" s="183" t="n">
        <x:v>11.8</x:v>
      </x:c>
      <x:c r="M21" s="183" t="n">
        <x:v>13.64</x:v>
      </x:c>
      <x:c r="N21" s="183" t="n">
        <x:v>17.95</x:v>
      </x:c>
      <x:c r="O21" s="121"/>
      <x:c r="P21" s="121"/>
      <x:c r="Q21" s="121"/>
      <x:c r="R21" s="121"/>
      <x:c r="S21" s="121"/>
      <x:c r="T21" s="103"/>
      <x:c r="U21" s="103"/>
    </x:row>
    <x:row r="22" ht="24" customHeight="1">
      <x:c r="A22" s="103"/>
      <x:c r="B22" s="103"/>
      <x:c r="C22" s="103" t="str">
        <x:v>shares basic</x:v>
      </x:c>
      <x:c r="D22" s="103"/>
      <x:c r="E22" s="185" t="n">
        <x:v>7746</x:v>
      </x:c>
      <x:c r="F22" s="185" t="n">
        <x:v>7700</x:v>
      </x:c>
      <x:c r="G22" s="185" t="n">
        <x:v>7673</x:v>
      </x:c>
      <x:c r="H22" s="185" t="n">
        <x:v>7610</x:v>
      </x:c>
      <x:c r="I22" s="185" t="n">
        <x:v>7547</x:v>
      </x:c>
      <x:c r="J22" s="185" t="n">
        <x:v>7496</x:v>
      </x:c>
      <x:c r="K22" s="185" t="n">
        <x:v>7446</x:v>
      </x:c>
      <x:c r="L22" s="185" t="n">
        <x:v>7431</x:v>
      </x:c>
      <x:c r="M22" s="185" t="n">
        <x:v>7433</x:v>
      </x:c>
      <x:c r="N22" s="185" t="n">
        <x:v>7429</x:v>
      </x:c>
      <x:c r="O22" s="125"/>
      <x:c r="P22" s="125"/>
      <x:c r="Q22" s="125"/>
      <x:c r="R22" s="125"/>
      <x:c r="S22" s="125"/>
      <x:c r="T22" s="103"/>
      <x:c r="U22" s="103"/>
    </x:row>
    <x:row r="23" ht="24" customHeight="1">
      <x:c r="A23" s="103"/>
      <x:c r="B23" s="103"/>
      <x:c r="C23" s="103" t="str">
        <x:v>shares diluted</x:v>
      </x:c>
      <x:c r="D23" s="103"/>
      <x:c r="E23" s="185" t="n">
        <x:v>7832</x:v>
      </x:c>
      <x:c r="F23" s="185" t="n">
        <x:v>7794</x:v>
      </x:c>
      <x:c r="G23" s="185" t="n">
        <x:v>7753</x:v>
      </x:c>
      <x:c r="H23" s="185" t="n">
        <x:v>7683</x:v>
      </x:c>
      <x:c r="I23" s="185" t="n">
        <x:v>7608</x:v>
      </x:c>
      <x:c r="J23" s="185" t="n">
        <x:v>7540</x:v>
      </x:c>
      <x:c r="K23" s="185" t="n">
        <x:v>7472</x:v>
      </x:c>
      <x:c r="L23" s="185" t="n">
        <x:v>7469</x:v>
      </x:c>
      <x:c r="M23" s="185" t="n">
        <x:v>7465</x:v>
      </x:c>
      <x:c r="N23" s="185" t="n">
        <x:v>7453</x:v>
      </x:c>
      <x:c r="O23" s="125"/>
      <x:c r="P23" s="125"/>
      <x:c r="Q23" s="125"/>
      <x:c r="R23" s="125"/>
      <x:c r="S23" s="125"/>
      <x:c r="T23" s="103"/>
      <x:c r="U23" s="103"/>
    </x:row>
    <x:row r="24" ht="24" customHeight="1">
      <x:c r="A24" s="103"/>
      <x:c r="B24" s="103"/>
      <x:c r="C24" s="103" t="str">
        <x:v>other opex</x:v>
      </x:c>
      <x:c r="D24" s="103"/>
      <x:c r="E24" s="166" t="n">
        <x:v>306</x:v>
      </x:c>
      <x:c r="F24" s="166" t="n">
        <x:v>0</x:v>
      </x:c>
      <x:c r="G24" s="166" t="n">
        <x:v>0</x:v>
      </x:c>
      <x:c r="H24" s="166" t="n">
        <x:v>0</x:v>
      </x:c>
      <x:c r="I24" s="166" t="n">
        <x:v>0</x:v>
      </x:c>
      <x:c r="J24" s="166" t="n">
        <x:v>0</x:v>
      </x:c>
      <x:c r="K24" s="166" t="n">
        <x:v>0</x:v>
      </x:c>
      <x:c r="L24" s="166" t="n">
        <x:v>0</x:v>
      </x:c>
      <x:c r="M24" s="166" t="n">
        <x:v>0</x:v>
      </x:c>
      <x:c r="N24" s="166" t="n">
        <x:v>0</x:v>
      </x:c>
      <x:c r="O24" s="109"/>
      <x:c r="P24" s="109"/>
      <x:c r="Q24" s="109"/>
      <x:c r="R24" s="109"/>
      <x:c r="S24" s="109"/>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36" t="str">
        <x:v>Audited balance sheets</x:v>
      </x:c>
      <x:c r="D27" s="136"/>
      <x:c r="E27" s="136"/>
      <x:c r="F27" s="136"/>
      <x:c r="G27" s="136"/>
      <x:c r="H27" s="136"/>
      <x:c r="I27" s="136"/>
      <x:c r="J27" s="136"/>
      <x:c r="K27" s="136"/>
      <x:c r="L27" s="136"/>
      <x:c r="M27" s="136"/>
      <x:c r="N27" s="136"/>
      <x:c r="O27" s="136"/>
      <x:c r="P27" s="136"/>
      <x:c r="Q27" s="136"/>
      <x:c r="R27" s="136"/>
      <x:c r="S27" s="136"/>
      <x:c r="T27" s="103"/>
      <x:c r="U27" s="103"/>
    </x:row>
    <x:row r="28" ht="24" customHeight="1">
      <x:c r="A28" s="103"/>
      <x:c r="B28" s="103"/>
      <x:c r="C28" s="103" t="str">
        <x:v>cash</x:v>
      </x:c>
      <x:c r="D28" s="103"/>
      <x:c r="E28" s="166" t="n">
        <x:v>7663</x:v>
      </x:c>
      <x:c r="F28" s="166" t="n">
        <x:v>11946</x:v>
      </x:c>
      <x:c r="G28" s="166" t="n">
        <x:v>11356</x:v>
      </x:c>
      <x:c r="H28" s="166" t="n">
        <x:v>13576</x:v>
      </x:c>
      <x:c r="I28" s="166" t="n">
        <x:v>14224</x:v>
      </x:c>
      <x:c r="J28" s="166" t="n">
        <x:v>13931</x:v>
      </x:c>
      <x:c r="K28" s="166" t="n">
        <x:v>34704</x:v>
      </x:c>
      <x:c r="L28" s="166" t="n">
        <x:v>18315</x:v>
      </x:c>
      <x:c r="M28" s="166" t="n">
        <x:v>30242</x:v>
      </x:c>
      <x:c r="N28" s="166" t="n">
        <x:v>20935</x:v>
      </x:c>
      <x:c r="O28" s="109"/>
      <x:c r="P28" s="109"/>
      <x:c r="Q28" s="109"/>
      <x:c r="R28" s="109"/>
      <x:c r="S28" s="109"/>
      <x:c r="T28" s="103"/>
      <x:c r="U28" s="103"/>
    </x:row>
    <x:row r="29" ht="24" customHeight="1">
      <x:c r="A29" s="103"/>
      <x:c r="B29" s="103"/>
      <x:c r="C29" s="103" t="str">
        <x:v>st investments</x:v>
      </x:c>
      <x:c r="D29" s="103"/>
      <x:c r="E29" s="166" t="n">
        <x:v>125318</x:v>
      </x:c>
      <x:c r="F29" s="166" t="n">
        <x:v>121822</x:v>
      </x:c>
      <x:c r="G29" s="166" t="n">
        <x:v>122463</x:v>
      </x:c>
      <x:c r="H29" s="166" t="n">
        <x:v>122951</x:v>
      </x:c>
      <x:c r="I29" s="166" t="n">
        <x:v>116110</x:v>
      </x:c>
      <x:c r="J29" s="166" t="n">
        <x:v>90826</x:v>
      </x:c>
      <x:c r="K29" s="166" t="n">
        <x:v>76558</x:v>
      </x:c>
      <x:c r="L29" s="166" t="n">
        <x:v>57228</x:v>
      </x:c>
      <x:c r="M29" s="166" t="n">
        <x:v>64323</x:v>
      </x:c>
      <x:c r="N29" s="166" t="n">
        <x:v>55908</x:v>
      </x:c>
      <x:c r="O29" s="109"/>
      <x:c r="P29" s="109"/>
      <x:c r="Q29" s="109"/>
      <x:c r="R29" s="109"/>
      <x:c r="S29" s="109"/>
      <x:c r="T29" s="103"/>
      <x:c r="U29" s="103"/>
    </x:row>
    <x:row r="30" ht="24" customHeight="1">
      <x:c r="A30" s="103"/>
      <x:c r="B30" s="103"/>
      <x:c r="C30" s="103" t="str">
        <x:v>liquid assets</x:v>
      </x:c>
      <x:c r="D30" s="103"/>
      <x:c r="E30" s="166" t="n">
        <x:v>132981</x:v>
      </x:c>
      <x:c r="F30" s="166" t="n">
        <x:v>133768</x:v>
      </x:c>
      <x:c r="G30" s="166" t="n">
        <x:v>133819</x:v>
      </x:c>
      <x:c r="H30" s="166" t="n">
        <x:v>136527</x:v>
      </x:c>
      <x:c r="I30" s="166" t="n">
        <x:v>130334</x:v>
      </x:c>
      <x:c r="J30" s="166" t="n">
        <x:v>104757</x:v>
      </x:c>
      <x:c r="K30" s="166" t="n">
        <x:v>111262</x:v>
      </x:c>
      <x:c r="L30" s="166" t="n">
        <x:v>75543</x:v>
      </x:c>
      <x:c r="M30" s="166" t="n">
        <x:v>94565</x:v>
      </x:c>
      <x:c r="N30" s="166" t="n">
        <x:v>76843</x:v>
      </x:c>
      <x:c r="O30" s="109"/>
      <x:c r="P30" s="109"/>
      <x:c r="Q30" s="109"/>
      <x:c r="R30" s="109"/>
      <x:c r="S30" s="109"/>
      <x:c r="T30" s="103"/>
      <x:c r="U30" s="103"/>
    </x:row>
    <x:row r="31" ht="24" customHeight="1">
      <x:c r="A31" s="103"/>
      <x:c r="B31" s="103"/>
      <x:c r="C31" s="103" t="str">
        <x:v>receivables</x:v>
      </x:c>
      <x:c r="D31" s="103"/>
      <x:c r="E31" s="166" t="n">
        <x:v>22431</x:v>
      </x:c>
      <x:c r="F31" s="166" t="n">
        <x:v>26481</x:v>
      </x:c>
      <x:c r="G31" s="166" t="n">
        <x:v>29524</x:v>
      </x:c>
      <x:c r="H31" s="166" t="n">
        <x:v>32011</x:v>
      </x:c>
      <x:c r="I31" s="166" t="n">
        <x:v>38043</x:v>
      </x:c>
      <x:c r="J31" s="166" t="n">
        <x:v>44261</x:v>
      </x:c>
      <x:c r="K31" s="166" t="n">
        <x:v>48688</x:v>
      </x:c>
      <x:c r="L31" s="166" t="n">
        <x:v>56924</x:v>
      </x:c>
      <x:c r="M31" s="166" t="n">
        <x:v>69905</x:v>
      </x:c>
      <x:c r="N31" s="166" t="n">
        <x:v>80876</x:v>
      </x:c>
      <x:c r="O31" s="109"/>
      <x:c r="P31" s="109"/>
      <x:c r="Q31" s="109"/>
      <x:c r="R31" s="109"/>
      <x:c r="S31" s="109"/>
      <x:c r="T31" s="103"/>
      <x:c r="U31" s="103"/>
    </x:row>
    <x:row r="32" ht="24" customHeight="1">
      <x:c r="A32" s="103"/>
      <x:c r="B32" s="103"/>
      <x:c r="C32" s="103" t="str">
        <x:v>inventory</x:v>
      </x:c>
      <x:c r="D32" s="103"/>
      <x:c r="E32" s="166" t="n">
        <x:v>2181</x:v>
      </x:c>
      <x:c r="F32" s="166" t="n">
        <x:v>2662</x:v>
      </x:c>
      <x:c r="G32" s="166" t="n">
        <x:v>2063</x:v>
      </x:c>
      <x:c r="H32" s="166" t="n">
        <x:v>1895</x:v>
      </x:c>
      <x:c r="I32" s="166" t="n">
        <x:v>2636</x:v>
      </x:c>
      <x:c r="J32" s="166" t="n">
        <x:v>3742</x:v>
      </x:c>
      <x:c r="K32" s="166" t="n">
        <x:v>2500</x:v>
      </x:c>
      <x:c r="L32" s="166" t="n">
        <x:v>1246</x:v>
      </x:c>
      <x:c r="M32" s="166" t="n">
        <x:v>938</x:v>
      </x:c>
      <x:c r="N32" s="166" t="n">
        <x:v>1397</x:v>
      </x:c>
      <x:c r="O32" s="109"/>
      <x:c r="P32" s="109"/>
      <x:c r="Q32" s="109"/>
      <x:c r="R32" s="109"/>
      <x:c r="S32" s="109"/>
      <x:c r="T32" s="103"/>
      <x:c r="U32" s="103"/>
    </x:row>
    <x:row r="33" ht="24" customHeight="1">
      <x:c r="A33" s="103"/>
      <x:c r="B33" s="103"/>
      <x:c r="C33" s="103" t="str">
        <x:v>other current assets</x:v>
      </x:c>
      <x:c r="D33" s="103"/>
      <x:c r="E33" s="166" t="n">
        <x:v>5103</x:v>
      </x:c>
      <x:c r="F33" s="166" t="n">
        <x:v>6751</x:v>
      </x:c>
      <x:c r="G33" s="166" t="n">
        <x:v>10146</x:v>
      </x:c>
      <x:c r="H33" s="166" t="n">
        <x:v>11482</x:v>
      </x:c>
      <x:c r="I33" s="166" t="n">
        <x:v>13393</x:v>
      </x:c>
      <x:c r="J33" s="166" t="n">
        <x:v>16924</x:v>
      </x:c>
      <x:c r="K33" s="166" t="n">
        <x:v>21807</x:v>
      </x:c>
      <x:c r="L33" s="166" t="n">
        <x:v>26021</x:v>
      </x:c>
      <x:c r="M33" s="166" t="n">
        <x:v>25723</x:v>
      </x:c>
      <x:c r="N33" s="166" t="n">
        <x:v>48594</x:v>
      </x:c>
      <x:c r="O33" s="109"/>
      <x:c r="P33" s="109"/>
      <x:c r="Q33" s="109"/>
      <x:c r="R33" s="109"/>
      <x:c r="S33" s="109"/>
      <x:c r="T33" s="103"/>
      <x:c r="U33" s="103"/>
    </x:row>
    <x:row r="34" ht="24" customHeight="1">
      <x:c r="A34" s="103"/>
      <x:c r="B34" s="103"/>
      <x:c r="C34" s="103" t="str">
        <x:v>current assets</x:v>
      </x:c>
      <x:c r="D34" s="103"/>
      <x:c r="E34" s="166" t="n">
        <x:v>162696</x:v>
      </x:c>
      <x:c r="F34" s="166" t="n">
        <x:v>169662</x:v>
      </x:c>
      <x:c r="G34" s="166" t="n">
        <x:v>175552</x:v>
      </x:c>
      <x:c r="H34" s="166" t="n">
        <x:v>181915</x:v>
      </x:c>
      <x:c r="I34" s="166" t="n">
        <x:v>184406</x:v>
      </x:c>
      <x:c r="J34" s="166" t="n">
        <x:v>169684</x:v>
      </x:c>
      <x:c r="K34" s="166" t="n">
        <x:v>184257</x:v>
      </x:c>
      <x:c r="L34" s="166" t="n">
        <x:v>159734</x:v>
      </x:c>
      <x:c r="M34" s="166" t="n">
        <x:v>191131</x:v>
      </x:c>
      <x:c r="N34" s="166" t="n">
        <x:v>207710</x:v>
      </x:c>
      <x:c r="O34" s="109"/>
      <x:c r="P34" s="109"/>
      <x:c r="Q34" s="109"/>
      <x:c r="R34" s="109"/>
      <x:c r="S34" s="109"/>
      <x:c r="T34" s="103"/>
      <x:c r="U34" s="103"/>
    </x:row>
    <x:row r="35" ht="24" customHeight="1">
      <x:c r="A35" s="103"/>
      <x:c r="B35" s="103"/>
      <x:c r="C35" s="103" t="str">
        <x:v>ppe</x:v>
      </x:c>
      <x:c r="D35" s="103"/>
      <x:c r="E35" s="166" t="n">
        <x:v>23734</x:v>
      </x:c>
      <x:c r="F35" s="166" t="n">
        <x:v>29460</x:v>
      </x:c>
      <x:c r="G35" s="166" t="n">
        <x:v>36477</x:v>
      </x:c>
      <x:c r="H35" s="166" t="n">
        <x:v>44151</x:v>
      </x:c>
      <x:c r="I35" s="166" t="n">
        <x:v>59715</x:v>
      </x:c>
      <x:c r="J35" s="166" t="n">
        <x:v>74398</x:v>
      </x:c>
      <x:c r="K35" s="166" t="n">
        <x:v>95641</x:v>
      </x:c>
      <x:c r="L35" s="166" t="n">
        <x:v>135591</x:v>
      </x:c>
      <x:c r="M35" s="166" t="n">
        <x:v>204966</x:v>
      </x:c>
      <x:c r="N35" s="166" t="n">
        <x:v>313076</x:v>
      </x:c>
      <x:c r="O35" s="109"/>
      <x:c r="P35" s="109"/>
      <x:c r="Q35" s="109"/>
      <x:c r="R35" s="109"/>
      <x:c r="S35" s="109"/>
      <x:c r="T35" s="103"/>
      <x:c r="U35" s="103"/>
    </x:row>
    <x:row r="36" ht="24" customHeight="1">
      <x:c r="A36" s="103"/>
      <x:c r="B36" s="103"/>
      <x:c r="C36" s="103" t="str">
        <x:v>op rou</x:v>
      </x:c>
      <x:c r="D36" s="103"/>
      <x:c r="E36" s="166" t="n">
        <x:v>6555</x:v>
      </x:c>
      <x:c r="F36" s="166" t="n">
        <x:v>6686</x:v>
      </x:c>
      <x:c r="G36" s="166" t="n">
        <x:v>7379</x:v>
      </x:c>
      <x:c r="H36" s="166" t="n">
        <x:v>8753</x:v>
      </x:c>
      <x:c r="I36" s="166" t="n">
        <x:v>11088</x:v>
      </x:c>
      <x:c r="J36" s="166" t="n">
        <x:v>13148</x:v>
      </x:c>
      <x:c r="K36" s="166" t="n">
        <x:v>14346</x:v>
      </x:c>
      <x:c r="L36" s="166" t="n">
        <x:v>18961</x:v>
      </x:c>
      <x:c r="M36" s="166" t="n">
        <x:v>24823</x:v>
      </x:c>
      <x:c r="N36" s="166" t="n">
        <x:v>24177</x:v>
      </x:c>
      <x:c r="O36" s="109"/>
      <x:c r="P36" s="109"/>
      <x:c r="Q36" s="109"/>
      <x:c r="R36" s="109"/>
      <x:c r="S36" s="109"/>
      <x:c r="T36" s="103"/>
      <x:c r="U36" s="103"/>
    </x:row>
    <x:row r="37" ht="24" customHeight="1">
      <x:c r="A37" s="103"/>
      <x:c r="B37" s="103"/>
      <x:c r="C37" s="103" t="str">
        <x:v>equity investments</x:v>
      </x:c>
      <x:c r="D37" s="103"/>
      <x:c r="E37" s="166" t="n">
        <x:v>6023</x:v>
      </x:c>
      <x:c r="F37" s="166" t="n">
        <x:v>1862</x:v>
      </x:c>
      <x:c r="G37" s="166" t="n">
        <x:v>2649</x:v>
      </x:c>
      <x:c r="H37" s="166" t="n">
        <x:v>2965</x:v>
      </x:c>
      <x:c r="I37" s="166" t="n">
        <x:v>5984</x:v>
      </x:c>
      <x:c r="J37" s="166" t="n">
        <x:v>6891</x:v>
      </x:c>
      <x:c r="K37" s="166" t="n">
        <x:v>9879</x:v>
      </x:c>
      <x:c r="L37" s="166" t="n">
        <x:v>14600</x:v>
      </x:c>
      <x:c r="M37" s="166" t="n">
        <x:v>15405</x:v>
      </x:c>
      <x:c r="N37" s="166" t="n">
        <x:v>36348</x:v>
      </x:c>
      <x:c r="O37" s="109"/>
      <x:c r="P37" s="109"/>
      <x:c r="Q37" s="109"/>
      <x:c r="R37" s="109"/>
      <x:c r="S37" s="109"/>
      <x:c r="T37" s="103"/>
      <x:c r="U37" s="103"/>
    </x:row>
    <x:row r="38" ht="24" customHeight="1">
      <x:c r="A38" s="103"/>
      <x:c r="B38" s="103"/>
      <x:c r="C38" s="103" t="str">
        <x:v>goodwill</x:v>
      </x:c>
      <x:c r="D38" s="103"/>
      <x:c r="E38" s="166" t="n">
        <x:v>35122</x:v>
      </x:c>
      <x:c r="F38" s="166" t="n">
        <x:v>35683</x:v>
      </x:c>
      <x:c r="G38" s="166" t="n">
        <x:v>42026</x:v>
      </x:c>
      <x:c r="H38" s="166" t="n">
        <x:v>43351</x:v>
      </x:c>
      <x:c r="I38" s="166" t="n">
        <x:v>49711</x:v>
      </x:c>
      <x:c r="J38" s="166" t="n">
        <x:v>67524</x:v>
      </x:c>
      <x:c r="K38" s="166" t="n">
        <x:v>67886</x:v>
      </x:c>
      <x:c r="L38" s="166" t="n">
        <x:v>119220</x:v>
      </x:c>
      <x:c r="M38" s="166" t="n">
        <x:v>119509</x:v>
      </x:c>
      <x:c r="N38" s="166" t="n">
        <x:v>119651</x:v>
      </x:c>
      <x:c r="O38" s="109"/>
      <x:c r="P38" s="109"/>
      <x:c r="Q38" s="109"/>
      <x:c r="R38" s="109"/>
      <x:c r="S38" s="109"/>
      <x:c r="T38" s="103"/>
      <x:c r="U38" s="103"/>
    </x:row>
    <x:row r="39" ht="24" customHeight="1">
      <x:c r="A39" s="103"/>
      <x:c r="B39" s="103"/>
      <x:c r="C39" s="103" t="str">
        <x:v>intangibles</x:v>
      </x:c>
      <x:c r="D39" s="103"/>
      <x:c r="E39" s="166" t="n">
        <x:v>10106</x:v>
      </x:c>
      <x:c r="F39" s="166" t="n">
        <x:v>8053</x:v>
      </x:c>
      <x:c r="G39" s="166" t="n">
        <x:v>7750</x:v>
      </x:c>
      <x:c r="H39" s="166" t="n">
        <x:v>7038</x:v>
      </x:c>
      <x:c r="I39" s="166" t="n">
        <x:v>7800</x:v>
      </x:c>
      <x:c r="J39" s="166" t="n">
        <x:v>11298</x:v>
      </x:c>
      <x:c r="K39" s="166" t="n">
        <x:v>9366</x:v>
      </x:c>
      <x:c r="L39" s="166" t="n">
        <x:v>27597</x:v>
      </x:c>
      <x:c r="M39" s="166" t="n">
        <x:v>22604</x:v>
      </x:c>
      <x:c r="N39" s="166" t="n">
        <x:v>18609</x:v>
      </x:c>
      <x:c r="O39" s="109"/>
      <x:c r="P39" s="109"/>
      <x:c r="Q39" s="109"/>
      <x:c r="R39" s="109"/>
      <x:c r="S39" s="109"/>
      <x:c r="T39" s="103"/>
      <x:c r="U39" s="103"/>
    </x:row>
    <x:row r="40" ht="24" customHeight="1">
      <x:c r="A40" s="103"/>
      <x:c r="B40" s="103"/>
      <x:c r="C40" s="103" t="str">
        <x:v>other lt assets</x:v>
      </x:c>
      <x:c r="D40" s="103"/>
      <x:c r="E40" s="166" t="n">
        <x:v>6076</x:v>
      </x:c>
      <x:c r="F40" s="166" t="n">
        <x:v>7442</x:v>
      </x:c>
      <x:c r="G40" s="166" t="n">
        <x:v>14723</x:v>
      </x:c>
      <x:c r="H40" s="166" t="n">
        <x:v>13138</x:v>
      </x:c>
      <x:c r="I40" s="166" t="n">
        <x:v>15075</x:v>
      </x:c>
      <x:c r="J40" s="166" t="n">
        <x:v>21897</x:v>
      </x:c>
      <x:c r="K40" s="166" t="n">
        <x:v>30601</x:v>
      </x:c>
      <x:c r="L40" s="166" t="n">
        <x:v>36460</x:v>
      </x:c>
      <x:c r="M40" s="166" t="n">
        <x:v>40565</x:v>
      </x:c>
      <x:c r="N40" s="166" t="n">
        <x:v>38805</x:v>
      </x:c>
      <x:c r="O40" s="109"/>
      <x:c r="P40" s="109"/>
      <x:c r="Q40" s="109"/>
      <x:c r="R40" s="109"/>
      <x:c r="S40" s="109"/>
      <x:c r="T40" s="103"/>
      <x:c r="U40" s="103"/>
    </x:row>
    <x:row r="41" ht="24" customHeight="1">
      <x:c r="A41" s="103"/>
      <x:c r="B41" s="103"/>
      <x:c r="C41" s="103" t="str">
        <x:v>total assets</x:v>
      </x:c>
      <x:c r="D41" s="103"/>
      <x:c r="E41" s="166" t="n">
        <x:v>250312</x:v>
      </x:c>
      <x:c r="F41" s="166" t="n">
        <x:v>258848</x:v>
      </x:c>
      <x:c r="G41" s="166" t="n">
        <x:v>286556</x:v>
      </x:c>
      <x:c r="H41" s="166" t="n">
        <x:v>301311</x:v>
      </x:c>
      <x:c r="I41" s="166" t="n">
        <x:v>333779</x:v>
      </x:c>
      <x:c r="J41" s="166" t="n">
        <x:v>364840</x:v>
      </x:c>
      <x:c r="K41" s="166" t="n">
        <x:v>411976</x:v>
      </x:c>
      <x:c r="L41" s="166" t="n">
        <x:v>512163</x:v>
      </x:c>
      <x:c r="M41" s="166" t="n">
        <x:v>619003</x:v>
      </x:c>
      <x:c r="N41" s="166" t="n">
        <x:v>758376</x:v>
      </x:c>
      <x:c r="O41" s="109"/>
      <x:c r="P41" s="109"/>
      <x:c r="Q41" s="109"/>
      <x:c r="R41" s="109"/>
      <x:c r="S41" s="109"/>
      <x:c r="T41" s="103"/>
      <x:c r="U41" s="103"/>
    </x:row>
    <x:row r="42" ht="24" customHeight="1">
      <x:c r="A42" s="103"/>
      <x:c r="B42" s="103"/>
      <x:c r="C42" s="103" t="str">
        <x:v>payables</x:v>
      </x:c>
      <x:c r="D42" s="103"/>
      <x:c r="E42" s="166" t="n">
        <x:v>7390</x:v>
      </x:c>
      <x:c r="F42" s="166" t="n">
        <x:v>8617</x:v>
      </x:c>
      <x:c r="G42" s="166" t="n">
        <x:v>9382</x:v>
      </x:c>
      <x:c r="H42" s="166" t="n">
        <x:v>12530</x:v>
      </x:c>
      <x:c r="I42" s="166" t="n">
        <x:v>15163</x:v>
      </x:c>
      <x:c r="J42" s="166" t="n">
        <x:v>19000</x:v>
      </x:c>
      <x:c r="K42" s="166" t="n">
        <x:v>18095</x:v>
      </x:c>
      <x:c r="L42" s="166" t="n">
        <x:v>21996</x:v>
      </x:c>
      <x:c r="M42" s="166" t="n">
        <x:v>27724</x:v>
      </x:c>
      <x:c r="N42" s="166" t="n">
        <x:v>42416</x:v>
      </x:c>
      <x:c r="O42" s="109"/>
      <x:c r="P42" s="109"/>
      <x:c r="Q42" s="109"/>
      <x:c r="R42" s="109"/>
      <x:c r="S42" s="109"/>
      <x:c r="T42" s="103"/>
      <x:c r="U42" s="103"/>
    </x:row>
    <x:row r="43" ht="24" customHeight="1">
      <x:c r="A43" s="103"/>
      <x:c r="B43" s="103"/>
      <x:c r="C43" s="103" t="str">
        <x:v>current debt</x:v>
      </x:c>
      <x:c r="D43" s="103"/>
      <x:c r="E43" s="166" t="n">
        <x:v>1049</x:v>
      </x:c>
      <x:c r="F43" s="166" t="n">
        <x:v>3998</x:v>
      </x:c>
      <x:c r="G43" s="166" t="n">
        <x:v>5516</x:v>
      </x:c>
      <x:c r="H43" s="166" t="n">
        <x:v>3749</x:v>
      </x:c>
      <x:c r="I43" s="166" t="n">
        <x:v>8072</x:v>
      </x:c>
      <x:c r="J43" s="166" t="n">
        <x:v>2749</x:v>
      </x:c>
      <x:c r="K43" s="166" t="n">
        <x:v>5247</x:v>
      </x:c>
      <x:c r="L43" s="166" t="n">
        <x:v>2249</x:v>
      </x:c>
      <x:c r="M43" s="166" t="n">
        <x:v>2999</x:v>
      </x:c>
      <x:c r="N43" s="166" t="n">
        <x:v>9227</x:v>
      </x:c>
      <x:c r="O43" s="109"/>
      <x:c r="P43" s="109"/>
      <x:c r="Q43" s="109"/>
      <x:c r="R43" s="109"/>
      <x:c r="S43" s="109"/>
      <x:c r="T43" s="103"/>
      <x:c r="U43" s="103"/>
    </x:row>
    <x:row r="44" ht="24" customHeight="1">
      <x:c r="A44" s="103"/>
      <x:c r="B44" s="103"/>
      <x:c r="C44" s="103" t="str">
        <x:v>compensation</x:v>
      </x:c>
      <x:c r="D44" s="103"/>
      <x:c r="E44" s="166" t="n">
        <x:v>5819</x:v>
      </x:c>
      <x:c r="F44" s="166" t="n">
        <x:v>6103</x:v>
      </x:c>
      <x:c r="G44" s="166" t="n">
        <x:v>6830</x:v>
      </x:c>
      <x:c r="H44" s="166" t="n">
        <x:v>7874</x:v>
      </x:c>
      <x:c r="I44" s="166" t="n">
        <x:v>10057</x:v>
      </x:c>
      <x:c r="J44" s="166" t="n">
        <x:v>10661</x:v>
      </x:c>
      <x:c r="K44" s="166" t="n">
        <x:v>11009</x:v>
      </x:c>
      <x:c r="L44" s="166" t="n">
        <x:v>12564</x:v>
      </x:c>
      <x:c r="M44" s="166" t="n">
        <x:v>13709</x:v>
      </x:c>
      <x:c r="N44" s="166" t="n">
        <x:v>14945</x:v>
      </x:c>
      <x:c r="O44" s="109"/>
      <x:c r="P44" s="109"/>
      <x:c r="Q44" s="109"/>
      <x:c r="R44" s="109"/>
      <x:c r="S44" s="109"/>
      <x:c r="T44" s="103"/>
      <x:c r="U44" s="103"/>
    </x:row>
    <x:row r="45" ht="24" customHeight="1">
      <x:c r="A45" s="103"/>
      <x:c r="B45" s="103"/>
      <x:c r="C45" s="103" t="str">
        <x:v>current tax</x:v>
      </x:c>
      <x:c r="D45" s="103"/>
      <x:c r="E45" s="166" t="n">
        <x:v>718</x:v>
      </x:c>
      <x:c r="F45" s="166" t="n">
        <x:v>2121</x:v>
      </x:c>
      <x:c r="G45" s="166" t="n">
        <x:v>5665</x:v>
      </x:c>
      <x:c r="H45" s="166" t="n">
        <x:v>2130</x:v>
      </x:c>
      <x:c r="I45" s="166" t="n">
        <x:v>2174</x:v>
      </x:c>
      <x:c r="J45" s="166" t="n">
        <x:v>4067</x:v>
      </x:c>
      <x:c r="K45" s="166" t="n">
        <x:v>4152</x:v>
      </x:c>
      <x:c r="L45" s="166" t="n">
        <x:v>5017</x:v>
      </x:c>
      <x:c r="M45" s="166" t="n">
        <x:v>7211</x:v>
      </x:c>
      <x:c r="N45" s="166" t="n">
        <x:v>2534</x:v>
      </x:c>
      <x:c r="O45" s="109"/>
      <x:c r="P45" s="109"/>
      <x:c r="Q45" s="109"/>
      <x:c r="R45" s="109"/>
      <x:c r="S45" s="109"/>
      <x:c r="T45" s="103"/>
      <x:c r="U45" s="103"/>
    </x:row>
    <x:row r="46" ht="24" customHeight="1">
      <x:c r="A46" s="103"/>
      <x:c r="B46" s="103"/>
      <x:c r="C46" s="103" t="str">
        <x:v>current deferred rev</x:v>
      </x:c>
      <x:c r="D46" s="103"/>
      <x:c r="E46" s="166" t="n">
        <x:v>24013</x:v>
      </x:c>
      <x:c r="F46" s="166" t="n">
        <x:v>28905</x:v>
      </x:c>
      <x:c r="G46" s="166" t="n">
        <x:v>32676</x:v>
      </x:c>
      <x:c r="H46" s="166" t="n">
        <x:v>36000</x:v>
      </x:c>
      <x:c r="I46" s="166" t="n">
        <x:v>41525</x:v>
      </x:c>
      <x:c r="J46" s="166" t="n">
        <x:v>45538</x:v>
      </x:c>
      <x:c r="K46" s="166" t="n">
        <x:v>50901</x:v>
      </x:c>
      <x:c r="L46" s="166" t="n">
        <x:v>57582</x:v>
      </x:c>
      <x:c r="M46" s="166" t="n">
        <x:v>64555</x:v>
      </x:c>
      <x:c r="N46" s="166" t="n">
        <x:v>72965</x:v>
      </x:c>
      <x:c r="O46" s="109"/>
      <x:c r="P46" s="109"/>
      <x:c r="Q46" s="109"/>
      <x:c r="R46" s="109"/>
      <x:c r="S46" s="109"/>
      <x:c r="T46" s="103"/>
      <x:c r="U46" s="103"/>
    </x:row>
    <x:row r="47" ht="24" customHeight="1">
      <x:c r="A47" s="103"/>
      <x:c r="B47" s="103"/>
      <x:c r="C47" s="103" t="str">
        <x:v>other current liab</x:v>
      </x:c>
      <x:c r="D47" s="103"/>
      <x:c r="E47" s="166" t="n">
        <x:v>7684</x:v>
      </x:c>
      <x:c r="F47" s="166" t="n">
        <x:v>8744</x:v>
      </x:c>
      <x:c r="G47" s="166" t="n">
        <x:v>9351</x:v>
      </x:c>
      <x:c r="H47" s="166" t="n">
        <x:v>10027</x:v>
      </x:c>
      <x:c r="I47" s="166" t="n">
        <x:v>11666</x:v>
      </x:c>
      <x:c r="J47" s="166" t="n">
        <x:v>13067</x:v>
      </x:c>
      <x:c r="K47" s="166" t="n">
        <x:v>14745</x:v>
      </x:c>
      <x:c r="L47" s="166" t="n">
        <x:v>19185</x:v>
      </x:c>
      <x:c r="M47" s="166" t="n">
        <x:v>25020</x:v>
      </x:c>
      <x:c r="N47" s="166" t="n">
        <x:v>26738</x:v>
      </x:c>
      <x:c r="O47" s="109"/>
      <x:c r="P47" s="109"/>
      <x:c r="Q47" s="109"/>
      <x:c r="R47" s="109"/>
      <x:c r="S47" s="109"/>
      <x:c r="T47" s="103"/>
      <x:c r="U47" s="103"/>
    </x:row>
    <x:row r="48" ht="24" customHeight="1">
      <x:c r="A48" s="103"/>
      <x:c r="B48" s="103"/>
      <x:c r="C48" s="103" t="str">
        <x:v>current liabilities</x:v>
      </x:c>
      <x:c r="D48" s="103"/>
      <x:c r="E48" s="166" t="n">
        <x:v>55745</x:v>
      </x:c>
      <x:c r="F48" s="166" t="n">
        <x:v>58488</x:v>
      </x:c>
      <x:c r="G48" s="166" t="n">
        <x:v>69420</x:v>
      </x:c>
      <x:c r="H48" s="166" t="n">
        <x:v>72310</x:v>
      </x:c>
      <x:c r="I48" s="166" t="n">
        <x:v>88657</x:v>
      </x:c>
      <x:c r="J48" s="166" t="n">
        <x:v>95082</x:v>
      </x:c>
      <x:c r="K48" s="166" t="n">
        <x:v>104149</x:v>
      </x:c>
      <x:c r="L48" s="166" t="n">
        <x:v>125286</x:v>
      </x:c>
      <x:c r="M48" s="166" t="n">
        <x:v>141218</x:v>
      </x:c>
      <x:c r="N48" s="166" t="n">
        <x:v>168825</x:v>
      </x:c>
      <x:c r="O48" s="109"/>
      <x:c r="P48" s="109"/>
      <x:c r="Q48" s="109"/>
      <x:c r="R48" s="109"/>
      <x:c r="S48" s="109"/>
      <x:c r="T48" s="103"/>
      <x:c r="U48" s="103"/>
    </x:row>
    <x:row r="49" ht="24" customHeight="1">
      <x:c r="A49" s="103"/>
      <x:c r="B49" s="103"/>
      <x:c r="C49" s="103" t="str">
        <x:v>long debt</x:v>
      </x:c>
      <x:c r="D49" s="103"/>
      <x:c r="E49" s="166" t="n">
        <x:v>76073</x:v>
      </x:c>
      <x:c r="F49" s="166" t="n">
        <x:v>72242</x:v>
      </x:c>
      <x:c r="G49" s="166" t="n">
        <x:v>66662</x:v>
      </x:c>
      <x:c r="H49" s="166" t="n">
        <x:v>59578</x:v>
      </x:c>
      <x:c r="I49" s="166" t="n">
        <x:v>50074</x:v>
      </x:c>
      <x:c r="J49" s="166" t="n">
        <x:v>47032</x:v>
      </x:c>
      <x:c r="K49" s="166" t="n">
        <x:v>41990</x:v>
      </x:c>
      <x:c r="L49" s="166" t="n">
        <x:v>42688</x:v>
      </x:c>
      <x:c r="M49" s="166" t="n">
        <x:v>40152</x:v>
      </x:c>
      <x:c r="N49" s="166" t="n">
        <x:v>31067</x:v>
      </x:c>
      <x:c r="O49" s="109"/>
      <x:c r="P49" s="109"/>
      <x:c r="Q49" s="109"/>
      <x:c r="R49" s="109"/>
      <x:c r="S49" s="109"/>
      <x:c r="T49" s="103"/>
      <x:c r="U49" s="103"/>
    </x:row>
    <x:row r="50" ht="24" customHeight="1">
      <x:c r="A50" s="103"/>
      <x:c r="B50" s="103"/>
      <x:c r="C50" s="103" t="str">
        <x:v>long tax</x:v>
      </x:c>
      <x:c r="D50" s="103"/>
      <x:c r="E50" s="166" t="n">
        <x:v>13485</x:v>
      </x:c>
      <x:c r="F50" s="166" t="n">
        <x:v>30265</x:v>
      </x:c>
      <x:c r="G50" s="166" t="n">
        <x:v>29612</x:v>
      </x:c>
      <x:c r="H50" s="166" t="n">
        <x:v>29432</x:v>
      </x:c>
      <x:c r="I50" s="166" t="n">
        <x:v>27190</x:v>
      </x:c>
      <x:c r="J50" s="166" t="n">
        <x:v>26069</x:v>
      </x:c>
      <x:c r="K50" s="166" t="n">
        <x:v>25560</x:v>
      </x:c>
      <x:c r="L50" s="166" t="n">
        <x:v>27931</x:v>
      </x:c>
      <x:c r="M50" s="166" t="n">
        <x:v>25986</x:v>
      </x:c>
      <x:c r="N50" s="166" t="n">
        <x:v>28647</x:v>
      </x:c>
      <x:c r="O50" s="109"/>
      <x:c r="P50" s="109"/>
      <x:c r="Q50" s="109"/>
      <x:c r="R50" s="109"/>
      <x:c r="S50" s="109"/>
      <x:c r="T50" s="103"/>
      <x:c r="U50" s="103"/>
    </x:row>
    <x:row r="51" ht="24" customHeight="1">
      <x:c r="A51" s="103"/>
      <x:c r="B51" s="103"/>
      <x:c r="C51" s="103" t="str">
        <x:v>long deferred rev</x:v>
      </x:c>
      <x:c r="D51" s="103"/>
      <x:c r="E51" s="166" t="n">
        <x:v>2643</x:v>
      </x:c>
      <x:c r="F51" s="166" t="n">
        <x:v>3815</x:v>
      </x:c>
      <x:c r="G51" s="166" t="n">
        <x:v>4530</x:v>
      </x:c>
      <x:c r="H51" s="166" t="n">
        <x:v>3180</x:v>
      </x:c>
      <x:c r="I51" s="166" t="n">
        <x:v>2616</x:v>
      </x:c>
      <x:c r="J51" s="166" t="n">
        <x:v>2870</x:v>
      </x:c>
      <x:c r="K51" s="166" t="n">
        <x:v>2912</x:v>
      </x:c>
      <x:c r="L51" s="166" t="n">
        <x:v>2602</x:v>
      </x:c>
      <x:c r="M51" s="166" t="n">
        <x:v>2710</x:v>
      </x:c>
      <x:c r="N51" s="166" t="n">
        <x:v>2747</x:v>
      </x:c>
      <x:c r="O51" s="109"/>
      <x:c r="P51" s="109"/>
      <x:c r="Q51" s="109"/>
      <x:c r="R51" s="109"/>
      <x:c r="S51" s="109"/>
      <x:c r="T51" s="103"/>
      <x:c r="U51" s="103"/>
    </x:row>
    <x:row r="52" ht="24" customHeight="1">
      <x:c r="A52" s="103"/>
      <x:c r="B52" s="103"/>
      <x:c r="C52" s="103" t="str">
        <x:v>deferred tax liab</x:v>
      </x:c>
      <x:c r="D52" s="103"/>
      <x:c r="E52" s="166" t="n">
        <x:v>5734</x:v>
      </x:c>
      <x:c r="F52" s="166" t="n">
        <x:v>541</x:v>
      </x:c>
      <x:c r="G52" s="166" t="n">
        <x:v>233</x:v>
      </x:c>
      <x:c r="H52" s="166" t="n">
        <x:v>204</x:v>
      </x:c>
      <x:c r="I52" s="166" t="n">
        <x:v>198</x:v>
      </x:c>
      <x:c r="J52" s="166" t="n">
        <x:v>230</x:v>
      </x:c>
      <x:c r="K52" s="166" t="n">
        <x:v>433</x:v>
      </x:c>
      <x:c r="L52" s="166" t="n">
        <x:v>2618</x:v>
      </x:c>
      <x:c r="M52" s="166" t="n">
        <x:v>2835</x:v>
      </x:c>
      <x:c r="N52" s="166" t="n">
        <x:v>3054</x:v>
      </x:c>
      <x:c r="O52" s="109"/>
      <x:c r="P52" s="109"/>
      <x:c r="Q52" s="109"/>
      <x:c r="R52" s="109"/>
      <x:c r="S52" s="109"/>
      <x:c r="T52" s="103"/>
      <x:c r="U52" s="103"/>
    </x:row>
    <x:row r="53" ht="24" customHeight="1">
      <x:c r="A53" s="103"/>
      <x:c r="B53" s="103"/>
      <x:c r="C53" s="103" t="str">
        <x:v>op lease long</x:v>
      </x:c>
      <x:c r="D53" s="103"/>
      <x:c r="E53" s="166" t="n">
        <x:v>5372</x:v>
      </x:c>
      <x:c r="F53" s="166" t="n">
        <x:v>5568</x:v>
      </x:c>
      <x:c r="G53" s="166" t="n">
        <x:v>6188</x:v>
      </x:c>
      <x:c r="H53" s="166" t="n">
        <x:v>7671</x:v>
      </x:c>
      <x:c r="I53" s="166" t="n">
        <x:v>9629</x:v>
      </x:c>
      <x:c r="J53" s="166" t="n">
        <x:v>11489</x:v>
      </x:c>
      <x:c r="K53" s="166" t="n">
        <x:v>12728</x:v>
      </x:c>
      <x:c r="L53" s="166" t="n">
        <x:v>15497</x:v>
      </x:c>
      <x:c r="M53" s="166" t="n">
        <x:v>17437</x:v>
      </x:c>
      <x:c r="N53" s="166" t="n">
        <x:v>16532</x:v>
      </x:c>
      <x:c r="O53" s="109"/>
      <x:c r="P53" s="109"/>
      <x:c r="Q53" s="109"/>
      <x:c r="R53" s="109"/>
      <x:c r="S53" s="109"/>
      <x:c r="T53" s="103"/>
      <x:c r="U53" s="103"/>
    </x:row>
    <x:row r="54" ht="24" customHeight="1">
      <x:c r="A54" s="103"/>
      <x:c r="B54" s="103"/>
      <x:c r="C54" s="103" t="str">
        <x:v>other lt liab</x:v>
      </x:c>
      <x:c r="D54" s="103"/>
      <x:c r="E54" s="166" t="n">
        <x:v>3549</x:v>
      </x:c>
      <x:c r="F54" s="166" t="n">
        <x:v>5211</x:v>
      </x:c>
      <x:c r="G54" s="166" t="n">
        <x:v>7581</x:v>
      </x:c>
      <x:c r="H54" s="166" t="n">
        <x:v>10632</x:v>
      </x:c>
      <x:c r="I54" s="166" t="n">
        <x:v>13427</x:v>
      </x:c>
      <x:c r="J54" s="166" t="n">
        <x:v>15526</x:v>
      </x:c>
      <x:c r="K54" s="166" t="n">
        <x:v>17981</x:v>
      </x:c>
      <x:c r="L54" s="166" t="n">
        <x:v>27064</x:v>
      </x:c>
      <x:c r="M54" s="166" t="n">
        <x:v>45186</x:v>
      </x:c>
      <x:c r="N54" s="166" t="n">
        <x:v>65117</x:v>
      </x:c>
      <x:c r="O54" s="109"/>
      <x:c r="P54" s="109"/>
      <x:c r="Q54" s="109"/>
      <x:c r="R54" s="109"/>
      <x:c r="S54" s="109"/>
      <x:c r="T54" s="103"/>
      <x:c r="U54" s="103"/>
    </x:row>
    <x:row r="55" ht="24" customHeight="1">
      <x:c r="A55" s="103"/>
      <x:c r="B55" s="103"/>
      <x:c r="C55" s="103" t="str">
        <x:v>total liabilities</x:v>
      </x:c>
      <x:c r="D55" s="103"/>
      <x:c r="E55" s="166" t="n">
        <x:v>162601</x:v>
      </x:c>
      <x:c r="F55" s="166" t="n">
        <x:v>176130</x:v>
      </x:c>
      <x:c r="G55" s="166" t="n">
        <x:v>184226</x:v>
      </x:c>
      <x:c r="H55" s="166" t="n">
        <x:v>183007</x:v>
      </x:c>
      <x:c r="I55" s="166" t="n">
        <x:v>191791</x:v>
      </x:c>
      <x:c r="J55" s="166" t="n">
        <x:v>198298</x:v>
      </x:c>
      <x:c r="K55" s="166" t="n">
        <x:v>205753</x:v>
      </x:c>
      <x:c r="L55" s="166" t="n">
        <x:v>243686</x:v>
      </x:c>
      <x:c r="M55" s="166" t="n">
        <x:v>275524</x:v>
      </x:c>
      <x:c r="N55" s="166" t="n">
        <x:v>315989</x:v>
      </x:c>
      <x:c r="O55" s="109"/>
      <x:c r="P55" s="109"/>
      <x:c r="Q55" s="109"/>
      <x:c r="R55" s="109"/>
      <x:c r="S55" s="109"/>
      <x:c r="T55" s="103"/>
      <x:c r="U55" s="103"/>
    </x:row>
    <x:row r="56" ht="24" customHeight="1">
      <x:c r="A56" s="103"/>
      <x:c r="B56" s="103"/>
      <x:c r="C56" s="103" t="str">
        <x:v>paid in capital</x:v>
      </x:c>
      <x:c r="D56" s="103"/>
      <x:c r="E56" s="166" t="n">
        <x:v>69315</x:v>
      </x:c>
      <x:c r="F56" s="166" t="n">
        <x:v>71223</x:v>
      </x:c>
      <x:c r="G56" s="166" t="n">
        <x:v>78520</x:v>
      </x:c>
      <x:c r="H56" s="166" t="n">
        <x:v>80552</x:v>
      </x:c>
      <x:c r="I56" s="166" t="n">
        <x:v>83111</x:v>
      </x:c>
      <x:c r="J56" s="166" t="n">
        <x:v>86939</x:v>
      </x:c>
      <x:c r="K56" s="166" t="n">
        <x:v>93718</x:v>
      </x:c>
      <x:c r="L56" s="166" t="n">
        <x:v>100923</x:v>
      </x:c>
      <x:c r="M56" s="166" t="n">
        <x:v>109095</x:v>
      </x:c>
      <x:c r="N56" s="166" t="n">
        <x:v>117406</x:v>
      </x:c>
      <x:c r="O56" s="109"/>
      <x:c r="P56" s="109"/>
      <x:c r="Q56" s="109"/>
      <x:c r="R56" s="109"/>
      <x:c r="S56" s="109"/>
      <x:c r="T56" s="103"/>
      <x:c r="U56" s="103"/>
    </x:row>
    <x:row r="57" ht="24" customHeight="1">
      <x:c r="A57" s="103"/>
      <x:c r="B57" s="103"/>
      <x:c r="C57" s="103" t="str">
        <x:v>retained earnings</x:v>
      </x:c>
      <x:c r="D57" s="103"/>
      <x:c r="E57" s="166" t="n">
        <x:v>17769</x:v>
      </x:c>
      <x:c r="F57" s="166" t="n">
        <x:v>13682</x:v>
      </x:c>
      <x:c r="G57" s="166" t="n">
        <x:v>24150</x:v>
      </x:c>
      <x:c r="H57" s="166" t="n">
        <x:v>34566</x:v>
      </x:c>
      <x:c r="I57" s="166" t="n">
        <x:v>57055</x:v>
      </x:c>
      <x:c r="J57" s="166" t="n">
        <x:v>84281</x:v>
      </x:c>
      <x:c r="K57" s="166" t="n">
        <x:v>118848</x:v>
      </x:c>
      <x:c r="L57" s="166" t="n">
        <x:v>173144</x:v>
      </x:c>
      <x:c r="M57" s="166" t="n">
        <x:v>237731</x:v>
      </x:c>
      <x:c r="N57" s="166" t="n">
        <x:v>328265</x:v>
      </x:c>
      <x:c r="O57" s="109"/>
      <x:c r="P57" s="109"/>
      <x:c r="Q57" s="109"/>
      <x:c r="R57" s="109"/>
      <x:c r="S57" s="109"/>
      <x:c r="T57" s="103"/>
      <x:c r="U57" s="103"/>
    </x:row>
    <x:row r="58" ht="24" customHeight="1">
      <x:c r="A58" s="103"/>
      <x:c r="B58" s="103"/>
      <x:c r="C58" s="103" t="str">
        <x:v>aoci</x:v>
      </x:c>
      <x:c r="D58" s="103"/>
      <x:c r="E58" s="166" t="n">
        <x:v>627</x:v>
      </x:c>
      <x:c r="F58" s="166" t="n">
        <x:v>-2187</x:v>
      </x:c>
      <x:c r="G58" s="166" t="n">
        <x:v>-340</x:v>
      </x:c>
      <x:c r="H58" s="166" t="n">
        <x:v>3186</x:v>
      </x:c>
      <x:c r="I58" s="166" t="n">
        <x:v>1822</x:v>
      </x:c>
      <x:c r="J58" s="166" t="n">
        <x:v>-4678</x:v>
      </x:c>
      <x:c r="K58" s="166" t="n">
        <x:v>-6343</x:v>
      </x:c>
      <x:c r="L58" s="166" t="n">
        <x:v>-5590</x:v>
      </x:c>
      <x:c r="M58" s="166" t="n">
        <x:v>-3347</x:v>
      </x:c>
      <x:c r="N58" s="166" t="n">
        <x:v>-3284</x:v>
      </x:c>
      <x:c r="O58" s="109"/>
      <x:c r="P58" s="109"/>
      <x:c r="Q58" s="109"/>
      <x:c r="R58" s="109"/>
      <x:c r="S58" s="109"/>
      <x:c r="T58" s="103"/>
      <x:c r="U58" s="103"/>
    </x:row>
    <x:row r="59" ht="24" customHeight="1">
      <x:c r="A59" s="103"/>
      <x:c r="B59" s="103"/>
      <x:c r="C59" s="103" t="str">
        <x:v>total equity</x:v>
      </x:c>
      <x:c r="D59" s="103"/>
      <x:c r="E59" s="166" t="n">
        <x:v>87711</x:v>
      </x:c>
      <x:c r="F59" s="166" t="n">
        <x:v>82718</x:v>
      </x:c>
      <x:c r="G59" s="166" t="n">
        <x:v>102330</x:v>
      </x:c>
      <x:c r="H59" s="166" t="n">
        <x:v>118304</x:v>
      </x:c>
      <x:c r="I59" s="166" t="n">
        <x:v>141988</x:v>
      </x:c>
      <x:c r="J59" s="166" t="n">
        <x:v>166542</x:v>
      </x:c>
      <x:c r="K59" s="166" t="n">
        <x:v>206223</x:v>
      </x:c>
      <x:c r="L59" s="166" t="n">
        <x:v>268477</x:v>
      </x:c>
      <x:c r="M59" s="166" t="n">
        <x:v>343479</x:v>
      </x:c>
      <x:c r="N59" s="166" t="n">
        <x:v>442387</x:v>
      </x:c>
      <x:c r="O59" s="109"/>
      <x:c r="P59" s="109"/>
      <x:c r="Q59" s="109"/>
      <x:c r="R59" s="109"/>
      <x:c r="S59" s="109"/>
      <x:c r="T59" s="103"/>
      <x:c r="U59" s="103"/>
    </x:row>
    <x:row r="60" ht="24" customHeight="1">
      <x:c r="A60" s="103"/>
      <x:c r="B60" s="103"/>
      <x:c r="C60" s="103" t="str">
        <x:v>total le</x:v>
      </x:c>
      <x:c r="D60" s="103"/>
      <x:c r="E60" s="166" t="n">
        <x:v>250312</x:v>
      </x:c>
      <x:c r="F60" s="166" t="n">
        <x:v>258848</x:v>
      </x:c>
      <x:c r="G60" s="166" t="n">
        <x:v>286556</x:v>
      </x:c>
      <x:c r="H60" s="166" t="n">
        <x:v>301311</x:v>
      </x:c>
      <x:c r="I60" s="166" t="n">
        <x:v>333779</x:v>
      </x:c>
      <x:c r="J60" s="166" t="n">
        <x:v>364840</x:v>
      </x:c>
      <x:c r="K60" s="166" t="n">
        <x:v>411976</x:v>
      </x:c>
      <x:c r="L60" s="166" t="n">
        <x:v>512163</x:v>
      </x:c>
      <x:c r="M60" s="166" t="n">
        <x:v>619003</x:v>
      </x:c>
      <x:c r="N60" s="166" t="n">
        <x:v>758376</x:v>
      </x:c>
      <x:c r="O60" s="109"/>
      <x:c r="P60" s="109"/>
      <x:c r="Q60" s="109"/>
      <x:c r="R60" s="109"/>
      <x:c r="S60" s="109"/>
      <x:c r="T60" s="103"/>
      <x:c r="U60" s="103"/>
    </x:row>
    <x:row r="61" ht="24" customHeight="1">
      <x:c r="A61" s="103"/>
      <x:c r="B61" s="103"/>
      <x:c r="C61" s="103" t="str">
        <x:v>st debt</x:v>
      </x:c>
      <x:c r="D61" s="103"/>
      <x:c r="E61" s="166" t="n">
        <x:v>9072</x:v>
      </x:c>
      <x:c r="F61" s="166" t="n">
        <x:v>0</x:v>
      </x:c>
      <x:c r="G61" s="166" t="n">
        <x:v>0</x:v>
      </x:c>
      <x:c r="H61" s="166" t="n">
        <x:v>0</x:v>
      </x:c>
      <x:c r="I61" s="166" t="n">
        <x:v>0</x:v>
      </x:c>
      <x:c r="J61" s="166" t="n">
        <x:v>0</x:v>
      </x:c>
      <x:c r="K61" s="166" t="n">
        <x:v>0</x:v>
      </x:c>
      <x:c r="L61" s="166" t="n">
        <x:v>6693</x:v>
      </x:c>
      <x:c r="M61" s="166" t="n">
        <x:v>0</x:v>
      </x:c>
      <x:c r="N61" s="166" t="n">
        <x:v>0</x:v>
      </x:c>
      <x:c r="O61" s="109"/>
      <x:c r="P61" s="109"/>
      <x:c r="Q61" s="109"/>
      <x:c r="R61" s="109"/>
      <x:c r="S61" s="109"/>
      <x:c r="T61" s="103"/>
      <x:c r="U61" s="103"/>
    </x:row>
    <x:row r="62" ht="24" customHeight="1">
      <x:c r="A62" s="103"/>
      <x:c r="B62" s="103"/>
      <x:c r="C62" s="103" t="str">
        <x:v>securities lending</x:v>
      </x:c>
      <x:c r="D62" s="103"/>
      <x:c r="E62" s="166" t="n">
        <x:v>0</x:v>
      </x:c>
      <x:c r="F62" s="166" t="n">
        <x:v>0</x:v>
      </x:c>
      <x:c r="G62" s="166" t="n">
        <x:v>0</x:v>
      </x:c>
      <x:c r="H62" s="166" t="n">
        <x:v>0</x:v>
      </x:c>
      <x:c r="I62" s="166" t="n">
        <x:v>0</x:v>
      </x:c>
      <x:c r="J62" s="166" t="n">
        <x:v>0</x:v>
      </x:c>
      <x:c r="K62" s="166" t="n">
        <x:v>0</x:v>
      </x:c>
      <x:c r="L62" s="166" t="n">
        <x:v>0</x:v>
      </x:c>
      <x:c r="M62" s="166" t="n">
        <x:v>0</x:v>
      </x:c>
      <x:c r="N62" s="166" t="n">
        <x:v>0</x:v>
      </x:c>
      <x:c r="O62" s="109"/>
      <x:c r="P62" s="109"/>
      <x:c r="Q62" s="109"/>
      <x:c r="R62" s="109"/>
      <x:c r="S62" s="109"/>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36" t="str">
        <x:v>Audited cash flow statements</x:v>
      </x:c>
      <x:c r="D65" s="136"/>
      <x:c r="E65" s="136"/>
      <x:c r="F65" s="136"/>
      <x:c r="G65" s="136"/>
      <x:c r="H65" s="136"/>
      <x:c r="I65" s="136"/>
      <x:c r="J65" s="136"/>
      <x:c r="K65" s="136"/>
      <x:c r="L65" s="136"/>
      <x:c r="M65" s="136"/>
      <x:c r="N65" s="136"/>
      <x:c r="O65" s="136"/>
      <x:c r="P65" s="136"/>
      <x:c r="Q65" s="136"/>
      <x:c r="R65" s="136"/>
      <x:c r="S65" s="136"/>
      <x:c r="T65" s="103"/>
      <x:c r="U65" s="103"/>
    </x:row>
    <x:row r="66" ht="24" customHeight="1">
      <x:c r="A66" s="103"/>
      <x:c r="B66" s="103"/>
      <x:c r="C66" s="103" t="str">
        <x:v>net income</x:v>
      </x:c>
      <x:c r="D66" s="103"/>
      <x:c r="E66" s="166" t="n">
        <x:v>25489</x:v>
      </x:c>
      <x:c r="F66" s="166" t="n">
        <x:v>16571</x:v>
      </x:c>
      <x:c r="G66" s="166" t="n">
        <x:v>39240</x:v>
      </x:c>
      <x:c r="H66" s="166" t="n">
        <x:v>44281</x:v>
      </x:c>
      <x:c r="I66" s="166" t="n">
        <x:v>61271</x:v>
      </x:c>
      <x:c r="J66" s="166" t="n">
        <x:v>72738</x:v>
      </x:c>
      <x:c r="K66" s="166" t="n">
        <x:v>72361</x:v>
      </x:c>
      <x:c r="L66" s="166" t="n">
        <x:v>88136</x:v>
      </x:c>
      <x:c r="M66" s="166" t="n">
        <x:v>101832</x:v>
      </x:c>
      <x:c r="N66" s="166" t="n">
        <x:v>133749</x:v>
      </x:c>
      <x:c r="O66" s="109"/>
      <x:c r="P66" s="109"/>
      <x:c r="Q66" s="109"/>
      <x:c r="R66" s="109"/>
      <x:c r="S66" s="109"/>
      <x:c r="T66" s="103"/>
      <x:c r="U66" s="103"/>
    </x:row>
    <x:row r="67" ht="24" customHeight="1">
      <x:c r="A67" s="103"/>
      <x:c r="B67" s="103"/>
      <x:c r="C67" s="103" t="str">
        <x:v>da other</x:v>
      </x:c>
      <x:c r="D67" s="103"/>
      <x:c r="E67" s="166" t="n">
        <x:v>8778</x:v>
      </x:c>
      <x:c r="F67" s="166" t="n">
        <x:v>10261</x:v>
      </x:c>
      <x:c r="G67" s="166" t="n">
        <x:v>11682</x:v>
      </x:c>
      <x:c r="H67" s="166" t="n">
        <x:v>12796</x:v>
      </x:c>
      <x:c r="I67" s="166" t="n">
        <x:v>11686</x:v>
      </x:c>
      <x:c r="J67" s="166" t="n">
        <x:v>14460</x:v>
      </x:c>
      <x:c r="K67" s="166" t="n">
        <x:v>13861</x:v>
      </x:c>
      <x:c r="L67" s="166" t="n">
        <x:v>20958</x:v>
      </x:c>
      <x:c r="M67" s="166" t="n">
        <x:v>29433</x:v>
      </x:c>
      <x:c r="N67" s="166" t="n">
        <x:v>38534</x:v>
      </x:c>
      <x:c r="O67" s="109"/>
      <x:c r="P67" s="109"/>
      <x:c r="Q67" s="109"/>
      <x:c r="R67" s="109"/>
      <x:c r="S67" s="109"/>
      <x:c r="T67" s="103"/>
      <x:c r="U67" s="103"/>
    </x:row>
    <x:row r="68" ht="24" customHeight="1">
      <x:c r="A68" s="103"/>
      <x:c r="B68" s="103"/>
      <x:c r="C68" s="103" t="str">
        <x:v>sbc</x:v>
      </x:c>
      <x:c r="D68" s="103"/>
      <x:c r="E68" s="166" t="n">
        <x:v>3266</x:v>
      </x:c>
      <x:c r="F68" s="166" t="n">
        <x:v>3940</x:v>
      </x:c>
      <x:c r="G68" s="166" t="n">
        <x:v>4652</x:v>
      </x:c>
      <x:c r="H68" s="166" t="n">
        <x:v>5289</x:v>
      </x:c>
      <x:c r="I68" s="166" t="n">
        <x:v>6118</x:v>
      </x:c>
      <x:c r="J68" s="166" t="n">
        <x:v>7502</x:v>
      </x:c>
      <x:c r="K68" s="166" t="n">
        <x:v>9611</x:v>
      </x:c>
      <x:c r="L68" s="166" t="n">
        <x:v>10734</x:v>
      </x:c>
      <x:c r="M68" s="166" t="n">
        <x:v>11974</x:v>
      </x:c>
      <x:c r="N68" s="166" t="n">
        <x:v>12405</x:v>
      </x:c>
      <x:c r="O68" s="109"/>
      <x:c r="P68" s="109"/>
      <x:c r="Q68" s="109"/>
      <x:c r="R68" s="109"/>
      <x:c r="S68" s="109"/>
      <x:c r="T68" s="103"/>
      <x:c r="U68" s="103"/>
    </x:row>
    <x:row r="69" ht="24" customHeight="1">
      <x:c r="A69" s="103"/>
      <x:c r="B69" s="103"/>
      <x:c r="C69" s="103" t="str">
        <x:v>investment adjustment</x:v>
      </x:c>
      <x:c r="D69" s="103"/>
      <x:c r="E69" s="166" t="n">
        <x:v>-2073</x:v>
      </x:c>
      <x:c r="F69" s="166" t="n">
        <x:v>-2212</x:v>
      </x:c>
      <x:c r="G69" s="166" t="n">
        <x:v>-792</x:v>
      </x:c>
      <x:c r="H69" s="166" t="n">
        <x:v>-219</x:v>
      </x:c>
      <x:c r="I69" s="166" t="n">
        <x:v>-1249</x:v>
      </x:c>
      <x:c r="J69" s="166" t="n">
        <x:v>-409</x:v>
      </x:c>
      <x:c r="K69" s="166" t="n">
        <x:v>196</x:v>
      </x:c>
      <x:c r="L69" s="166" t="n">
        <x:v>1634</x:v>
      </x:c>
      <x:c r="M69" s="166" t="n">
        <x:v>5329</x:v>
      </x:c>
      <x:c r="N69" s="166" t="n">
        <x:v>-11047</x:v>
      </x:c>
      <x:c r="O69" s="109"/>
      <x:c r="P69" s="109"/>
      <x:c r="Q69" s="109"/>
      <x:c r="R69" s="109"/>
      <x:c r="S69" s="109"/>
      <x:c r="T69" s="103"/>
      <x:c r="U69" s="103"/>
    </x:row>
    <x:row r="70" ht="24" customHeight="1">
      <x:c r="A70" s="103"/>
      <x:c r="B70" s="103"/>
      <x:c r="C70" s="103" t="str">
        <x:v>deferred taxes</x:v>
      </x:c>
      <x:c r="D70" s="103"/>
      <x:c r="E70" s="166" t="n">
        <x:v>-829</x:v>
      </x:c>
      <x:c r="F70" s="166" t="n">
        <x:v>-5143</x:v>
      </x:c>
      <x:c r="G70" s="166" t="n">
        <x:v>-6463</x:v>
      </x:c>
      <x:c r="H70" s="166" t="n">
        <x:v>11</x:v>
      </x:c>
      <x:c r="I70" s="166" t="n">
        <x:v>-150</x:v>
      </x:c>
      <x:c r="J70" s="166" t="n">
        <x:v>-5702</x:v>
      </x:c>
      <x:c r="K70" s="166" t="n">
        <x:v>-6059</x:v>
      </x:c>
      <x:c r="L70" s="166" t="n">
        <x:v>-4738</x:v>
      </x:c>
      <x:c r="M70" s="166" t="n">
        <x:v>-7056</x:v>
      </x:c>
      <x:c r="N70" s="166" t="n">
        <x:v>14189</x:v>
      </x:c>
      <x:c r="O70" s="109"/>
      <x:c r="P70" s="109"/>
      <x:c r="Q70" s="109"/>
      <x:c r="R70" s="109"/>
      <x:c r="S70" s="109"/>
      <x:c r="T70" s="103"/>
      <x:c r="U70" s="103"/>
    </x:row>
    <x:row r="71" ht="24" customHeight="1">
      <x:c r="A71" s="103"/>
      <x:c r="B71" s="103"/>
      <x:c r="C71" s="103" t="str">
        <x:v>ar change</x:v>
      </x:c>
      <x:c r="D71" s="103"/>
      <x:c r="E71" s="166" t="n">
        <x:v>-1216</x:v>
      </x:c>
      <x:c r="F71" s="166" t="n">
        <x:v>-3862</x:v>
      </x:c>
      <x:c r="G71" s="166" t="n">
        <x:v>-2812</x:v>
      </x:c>
      <x:c r="H71" s="166" t="n">
        <x:v>-2577</x:v>
      </x:c>
      <x:c r="I71" s="166" t="n">
        <x:v>-6481</x:v>
      </x:c>
      <x:c r="J71" s="166" t="n">
        <x:v>-6834</x:v>
      </x:c>
      <x:c r="K71" s="166" t="n">
        <x:v>-4087</x:v>
      </x:c>
      <x:c r="L71" s="166" t="n">
        <x:v>-7191</x:v>
      </x:c>
      <x:c r="M71" s="166" t="n">
        <x:v>-10581</x:v>
      </x:c>
      <x:c r="N71" s="166" t="n">
        <x:v>-12737</x:v>
      </x:c>
      <x:c r="O71" s="109"/>
      <x:c r="P71" s="109"/>
      <x:c r="Q71" s="109"/>
      <x:c r="R71" s="109"/>
      <x:c r="S71" s="109"/>
      <x:c r="T71" s="103"/>
      <x:c r="U71" s="103"/>
    </x:row>
    <x:row r="72" ht="24" customHeight="1">
      <x:c r="A72" s="103"/>
      <x:c r="B72" s="103"/>
      <x:c r="C72" s="103" t="str">
        <x:v>inventory change</x:v>
      </x:c>
      <x:c r="D72" s="103"/>
      <x:c r="E72" s="166" t="n">
        <x:v>50</x:v>
      </x:c>
      <x:c r="F72" s="166" t="n">
        <x:v>-465</x:v>
      </x:c>
      <x:c r="G72" s="166" t="n">
        <x:v>597</x:v>
      </x:c>
      <x:c r="H72" s="166" t="n">
        <x:v>168</x:v>
      </x:c>
      <x:c r="I72" s="166" t="n">
        <x:v>-737</x:v>
      </x:c>
      <x:c r="J72" s="166" t="n">
        <x:v>-1123</x:v>
      </x:c>
      <x:c r="K72" s="166" t="n">
        <x:v>1242</x:v>
      </x:c>
      <x:c r="L72" s="166" t="n">
        <x:v>1284</x:v>
      </x:c>
      <x:c r="M72" s="166" t="n">
        <x:v>309</x:v>
      </x:c>
      <x:c r="N72" s="166" t="n">
        <x:v>-461</x:v>
      </x:c>
      <x:c r="O72" s="109"/>
      <x:c r="P72" s="109"/>
      <x:c r="Q72" s="109"/>
      <x:c r="R72" s="109"/>
      <x:c r="S72" s="109"/>
      <x:c r="T72" s="103"/>
      <x:c r="U72" s="103"/>
    </x:row>
    <x:row r="73" ht="24" customHeight="1">
      <x:c r="A73" s="103"/>
      <x:c r="B73" s="103"/>
      <x:c r="C73" s="103" t="str">
        <x:v>other ca change</x:v>
      </x:c>
      <x:c r="D73" s="103"/>
      <x:c r="E73" s="166" t="n">
        <x:v>1028</x:v>
      </x:c>
      <x:c r="F73" s="166" t="n">
        <x:v>-952</x:v>
      </x:c>
      <x:c r="G73" s="166" t="n">
        <x:v>-1718</x:v>
      </x:c>
      <x:c r="H73" s="166" t="n">
        <x:v>-2330</x:v>
      </x:c>
      <x:c r="I73" s="166" t="n">
        <x:v>-932</x:v>
      </x:c>
      <x:c r="J73" s="166" t="n">
        <x:v>-709</x:v>
      </x:c>
      <x:c r="K73" s="166" t="n">
        <x:v>-1991</x:v>
      </x:c>
      <x:c r="L73" s="166" t="n">
        <x:v>-1648</x:v>
      </x:c>
      <x:c r="M73" s="166" t="n">
        <x:v>-3044</x:v>
      </x:c>
      <x:c r="N73" s="166" t="n">
        <x:v>-2627</x:v>
      </x:c>
      <x:c r="O73" s="109"/>
      <x:c r="P73" s="109"/>
      <x:c r="Q73" s="109"/>
      <x:c r="R73" s="109"/>
      <x:c r="S73" s="109"/>
      <x:c r="T73" s="103"/>
      <x:c r="U73" s="103"/>
    </x:row>
    <x:row r="74" ht="24" customHeight="1">
      <x:c r="A74" s="103"/>
      <x:c r="B74" s="103"/>
      <x:c r="C74" s="103" t="str">
        <x:v>other lta change</x:v>
      </x:c>
      <x:c r="D74" s="103"/>
      <x:c r="E74" s="166" t="n">
        <x:v>-917</x:v>
      </x:c>
      <x:c r="F74" s="166" t="n">
        <x:v>-285</x:v>
      </x:c>
      <x:c r="G74" s="166" t="n">
        <x:v>-1834</x:v>
      </x:c>
      <x:c r="H74" s="166" t="n">
        <x:v>-1037</x:v>
      </x:c>
      <x:c r="I74" s="166" t="n">
        <x:v>-3459</x:v>
      </x:c>
      <x:c r="J74" s="166" t="n">
        <x:v>-2805</x:v>
      </x:c>
      <x:c r="K74" s="166" t="n">
        <x:v>-2833</x:v>
      </x:c>
      <x:c r="L74" s="166" t="n">
        <x:v>-6817</x:v>
      </x:c>
      <x:c r="M74" s="166" t="n">
        <x:v>-2950</x:v>
      </x:c>
      <x:c r="N74" s="166" t="n">
        <x:v>-3964</x:v>
      </x:c>
      <x:c r="O74" s="109"/>
      <x:c r="P74" s="109"/>
      <x:c r="Q74" s="109"/>
      <x:c r="R74" s="109"/>
      <x:c r="S74" s="109"/>
      <x:c r="T74" s="103"/>
      <x:c r="U74" s="103"/>
    </x:row>
    <x:row r="75" ht="24" customHeight="1">
      <x:c r="A75" s="103"/>
      <x:c r="B75" s="103"/>
      <x:c r="C75" s="103" t="str">
        <x:v>ap change</x:v>
      </x:c>
      <x:c r="D75" s="103"/>
      <x:c r="E75" s="166" t="n">
        <x:v>81</x:v>
      </x:c>
      <x:c r="F75" s="166" t="n">
        <x:v>1148</x:v>
      </x:c>
      <x:c r="G75" s="166" t="n">
        <x:v>232</x:v>
      </x:c>
      <x:c r="H75" s="166" t="n">
        <x:v>3018</x:v>
      </x:c>
      <x:c r="I75" s="166" t="n">
        <x:v>2798</x:v>
      </x:c>
      <x:c r="J75" s="166" t="n">
        <x:v>2943</x:v>
      </x:c>
      <x:c r="K75" s="166" t="n">
        <x:v>-2721</x:v>
      </x:c>
      <x:c r="L75" s="166" t="n">
        <x:v>3545</x:v>
      </x:c>
      <x:c r="M75" s="166" t="n">
        <x:v>569</x:v>
      </x:c>
      <x:c r="N75" s="166" t="n">
        <x:v>5268</x:v>
      </x:c>
      <x:c r="O75" s="109"/>
      <x:c r="P75" s="109"/>
      <x:c r="Q75" s="109"/>
      <x:c r="R75" s="109"/>
      <x:c r="S75" s="109"/>
      <x:c r="T75" s="103"/>
      <x:c r="U75" s="103"/>
    </x:row>
    <x:row r="76" ht="24" customHeight="1">
      <x:c r="A76" s="103"/>
      <x:c r="B76" s="103"/>
      <x:c r="C76" s="103" t="str">
        <x:v>deferred rev change</x:v>
      </x:c>
      <x:c r="D76" s="103"/>
      <x:c r="E76" s="166" t="n">
        <x:v>3820</x:v>
      </x:c>
      <x:c r="F76" s="166" t="n">
        <x:v>5922</x:v>
      </x:c>
      <x:c r="G76" s="166" t="n">
        <x:v>4462</x:v>
      </x:c>
      <x:c r="H76" s="166" t="n">
        <x:v>2212</x:v>
      </x:c>
      <x:c r="I76" s="166" t="n">
        <x:v>4633</x:v>
      </x:c>
      <x:c r="J76" s="166" t="n">
        <x:v>5109</x:v>
      </x:c>
      <x:c r="K76" s="166" t="n">
        <x:v>5535</x:v>
      </x:c>
      <x:c r="L76" s="166" t="n">
        <x:v>5348</x:v>
      </x:c>
      <x:c r="M76" s="166" t="n">
        <x:v>5438</x:v>
      </x:c>
      <x:c r="N76" s="166" t="n">
        <x:v>9361</x:v>
      </x:c>
      <x:c r="O76" s="109"/>
      <x:c r="P76" s="109"/>
      <x:c r="Q76" s="109"/>
      <x:c r="R76" s="109"/>
      <x:c r="S76" s="109"/>
      <x:c r="T76" s="103"/>
      <x:c r="U76" s="103"/>
    </x:row>
    <x:row r="77" ht="24" customHeight="1">
      <x:c r="A77" s="103"/>
      <x:c r="B77" s="103"/>
      <x:c r="C77" s="103" t="str">
        <x:v>tax change</x:v>
      </x:c>
      <x:c r="D77" s="103"/>
      <x:c r="E77" s="166" t="n">
        <x:v>1792</x:v>
      </x:c>
      <x:c r="F77" s="166" t="n">
        <x:v>18183</x:v>
      </x:c>
      <x:c r="G77" s="166" t="n">
        <x:v>2929</x:v>
      </x:c>
      <x:c r="H77" s="166" t="n">
        <x:v>-3631</x:v>
      </x:c>
      <x:c r="I77" s="166" t="n">
        <x:v>-2309</x:v>
      </x:c>
      <x:c r="J77" s="166" t="n">
        <x:v>696</x:v>
      </x:c>
      <x:c r="K77" s="166" t="n">
        <x:v>-358</x:v>
      </x:c>
      <x:c r="L77" s="166" t="n">
        <x:v>1687</x:v>
      </x:c>
      <x:c r="M77" s="166" t="n">
        <x:v>-38</x:v>
      </x:c>
      <x:c r="N77" s="166" t="n">
        <x:v>-1875</x:v>
      </x:c>
      <x:c r="O77" s="109"/>
      <x:c r="P77" s="109"/>
      <x:c r="Q77" s="109"/>
      <x:c r="R77" s="109"/>
      <x:c r="S77" s="109"/>
      <x:c r="T77" s="103"/>
      <x:c r="U77" s="103"/>
    </x:row>
    <x:row r="78" ht="24" customHeight="1">
      <x:c r="A78" s="103"/>
      <x:c r="B78" s="103"/>
      <x:c r="C78" s="103" t="str">
        <x:v>other cl change</x:v>
      </x:c>
      <x:c r="D78" s="103"/>
      <x:c r="E78" s="166" t="n">
        <x:v>356</x:v>
      </x:c>
      <x:c r="F78" s="166" t="n">
        <x:v>798</x:v>
      </x:c>
      <x:c r="G78" s="166" t="n">
        <x:v>1419</x:v>
      </x:c>
      <x:c r="H78" s="166" t="n">
        <x:v>1346</x:v>
      </x:c>
      <x:c r="I78" s="166" t="n">
        <x:v>4149</x:v>
      </x:c>
      <x:c r="J78" s="166" t="n">
        <x:v>2344</x:v>
      </x:c>
      <x:c r="K78" s="166" t="n">
        <x:v>2272</x:v>
      </x:c>
      <x:c r="L78" s="166" t="n">
        <x:v>4867</x:v>
      </x:c>
      <x:c r="M78" s="166" t="n">
        <x:v>5922</x:v>
      </x:c>
      <x:c r="N78" s="166" t="n">
        <x:v>6847</x:v>
      </x:c>
      <x:c r="O78" s="109"/>
      <x:c r="P78" s="109"/>
      <x:c r="Q78" s="109"/>
      <x:c r="R78" s="109"/>
      <x:c r="S78" s="109"/>
      <x:c r="T78" s="103"/>
      <x:c r="U78" s="103"/>
    </x:row>
    <x:row r="79" ht="24" customHeight="1">
      <x:c r="A79" s="103"/>
      <x:c r="B79" s="103"/>
      <x:c r="C79" s="103" t="str">
        <x:v>other ltl change</x:v>
      </x:c>
      <x:c r="D79" s="103"/>
      <x:c r="E79" s="166" t="n">
        <x:v>-118</x:v>
      </x:c>
      <x:c r="F79" s="166" t="n">
        <x:v>-20</x:v>
      </x:c>
      <x:c r="G79" s="166" t="n">
        <x:v>591</x:v>
      </x:c>
      <x:c r="H79" s="166" t="n">
        <x:v>1348</x:v>
      </x:c>
      <x:c r="I79" s="166" t="n">
        <x:v>1402</x:v>
      </x:c>
      <x:c r="J79" s="166" t="n">
        <x:v>825</x:v>
      </x:c>
      <x:c r="K79" s="166" t="n">
        <x:v>553</x:v>
      </x:c>
      <x:c r="L79" s="166" t="n">
        <x:v>749</x:v>
      </x:c>
      <x:c r="M79" s="166" t="n">
        <x:v>-975</x:v>
      </x:c>
      <x:c r="N79" s="166" t="n">
        <x:v>-4707</x:v>
      </x:c>
      <x:c r="O79" s="109"/>
      <x:c r="P79" s="109"/>
      <x:c r="Q79" s="109"/>
      <x:c r="R79" s="109"/>
      <x:c r="S79" s="109"/>
      <x:c r="T79" s="103"/>
      <x:c r="U79" s="103"/>
    </x:row>
    <x:row r="80" ht="24" customHeight="1">
      <x:c r="A80" s="103"/>
      <x:c r="B80" s="103"/>
      <x:c r="C80" s="103" t="str">
        <x:v>cfo</x:v>
      </x:c>
      <x:c r="D80" s="103"/>
      <x:c r="E80" s="166" t="n">
        <x:v>39507</x:v>
      </x:c>
      <x:c r="F80" s="166" t="n">
        <x:v>43884</x:v>
      </x:c>
      <x:c r="G80" s="166" t="n">
        <x:v>52185</x:v>
      </x:c>
      <x:c r="H80" s="166" t="n">
        <x:v>60675</x:v>
      </x:c>
      <x:c r="I80" s="166" t="n">
        <x:v>76740</x:v>
      </x:c>
      <x:c r="J80" s="166" t="n">
        <x:v>89035</x:v>
      </x:c>
      <x:c r="K80" s="166" t="n">
        <x:v>87582</x:v>
      </x:c>
      <x:c r="L80" s="166" t="n">
        <x:v>118548</x:v>
      </x:c>
      <x:c r="M80" s="166" t="n">
        <x:v>136162</x:v>
      </x:c>
      <x:c r="N80" s="166" t="n">
        <x:v>182935</x:v>
      </x:c>
      <x:c r="O80" s="109"/>
      <x:c r="P80" s="109"/>
      <x:c r="Q80" s="109"/>
      <x:c r="R80" s="109"/>
      <x:c r="S80" s="109"/>
      <x:c r="T80" s="103"/>
      <x:c r="U80" s="103"/>
    </x:row>
    <x:row r="81" ht="24" customHeight="1">
      <x:c r="A81" s="103"/>
      <x:c r="B81" s="103"/>
      <x:c r="C81" s="103" t="str">
        <x:v>net st debt</x:v>
      </x:c>
      <x:c r="D81" s="103"/>
      <x:c r="E81" s="166" t="n">
        <x:v>-4963</x:v>
      </x:c>
      <x:c r="F81" s="166" t="n">
        <x:v>-7324</x:v>
      </x:c>
      <x:c r="G81" s="166" t="n">
        <x:v>0</x:v>
      </x:c>
      <x:c r="H81" s="166" t="n">
        <x:v>0</x:v>
      </x:c>
      <x:c r="I81" s="166" t="n">
        <x:v>0</x:v>
      </x:c>
      <x:c r="J81" s="166" t="n">
        <x:v>0</x:v>
      </x:c>
      <x:c r="K81" s="166" t="n">
        <x:v>0</x:v>
      </x:c>
      <x:c r="L81" s="166" t="n">
        <x:v>5250</x:v>
      </x:c>
      <x:c r="M81" s="166" t="n">
        <x:v>-5746</x:v>
      </x:c>
      <x:c r="N81" s="166" t="n">
        <x:v>0</x:v>
      </x:c>
      <x:c r="O81" s="109"/>
      <x:c r="P81" s="109"/>
      <x:c r="Q81" s="109"/>
      <x:c r="R81" s="109"/>
      <x:c r="S81" s="109"/>
      <x:c r="T81" s="103"/>
      <x:c r="U81" s="103"/>
    </x:row>
    <x:row r="82" ht="24" customHeight="1">
      <x:c r="A82" s="103"/>
      <x:c r="B82" s="103"/>
      <x:c r="C82" s="103" t="str">
        <x:v>debt issued</x:v>
      </x:c>
      <x:c r="D82" s="103"/>
      <x:c r="E82" s="166" t="n">
        <x:v>44344</x:v>
      </x:c>
      <x:c r="F82" s="166" t="n">
        <x:v>7183</x:v>
      </x:c>
      <x:c r="G82" s="166" t="n">
        <x:v>0</x:v>
      </x:c>
      <x:c r="H82" s="166" t="n">
        <x:v>0</x:v>
      </x:c>
      <x:c r="I82" s="166" t="n">
        <x:v>0</x:v>
      </x:c>
      <x:c r="J82" s="166" t="n">
        <x:v>0</x:v>
      </x:c>
      <x:c r="K82" s="166" t="n">
        <x:v>0</x:v>
      </x:c>
      <x:c r="L82" s="166" t="n">
        <x:v>24395</x:v>
      </x:c>
      <x:c r="M82" s="166" t="n">
        <x:v>0</x:v>
      </x:c>
      <x:c r="N82" s="166" t="n">
        <x:v>0</x:v>
      </x:c>
      <x:c r="O82" s="109"/>
      <x:c r="P82" s="109"/>
      <x:c r="Q82" s="109"/>
      <x:c r="R82" s="109"/>
      <x:c r="S82" s="109"/>
      <x:c r="T82" s="103"/>
      <x:c r="U82" s="103"/>
    </x:row>
    <x:row r="83" ht="24" customHeight="1">
      <x:c r="A83" s="103"/>
      <x:c r="B83" s="103"/>
      <x:c r="C83" s="103" t="str">
        <x:v>debt repaid</x:v>
      </x:c>
      <x:c r="D83" s="103"/>
      <x:c r="E83" s="166" t="n">
        <x:v>-7922</x:v>
      </x:c>
      <x:c r="F83" s="166" t="n">
        <x:v>-10060</x:v>
      </x:c>
      <x:c r="G83" s="166" t="n">
        <x:v>-4000</x:v>
      </x:c>
      <x:c r="H83" s="166" t="n">
        <x:v>-5518</x:v>
      </x:c>
      <x:c r="I83" s="166" t="n">
        <x:v>-3750</x:v>
      </x:c>
      <x:c r="J83" s="166" t="n">
        <x:v>-9023</x:v>
      </x:c>
      <x:c r="K83" s="166" t="n">
        <x:v>-2750</x:v>
      </x:c>
      <x:c r="L83" s="166" t="n">
        <x:v>-29070</x:v>
      </x:c>
      <x:c r="M83" s="166" t="n">
        <x:v>-3216</x:v>
      </x:c>
      <x:c r="N83" s="166" t="n">
        <x:v>-3000</x:v>
      </x:c>
      <x:c r="O83" s="109"/>
      <x:c r="P83" s="109"/>
      <x:c r="Q83" s="109"/>
      <x:c r="R83" s="109"/>
      <x:c r="S83" s="109"/>
      <x:c r="T83" s="103"/>
      <x:c r="U83" s="103"/>
    </x:row>
    <x:row r="84" ht="24" customHeight="1">
      <x:c r="A84" s="103"/>
      <x:c r="B84" s="103"/>
      <x:c r="C84" s="103" t="str">
        <x:v>stock issued</x:v>
      </x:c>
      <x:c r="D84" s="103"/>
      <x:c r="E84" s="166" t="n">
        <x:v>772</x:v>
      </x:c>
      <x:c r="F84" s="166" t="n">
        <x:v>1002</x:v>
      </x:c>
      <x:c r="G84" s="166" t="n">
        <x:v>1142</x:v>
      </x:c>
      <x:c r="H84" s="166" t="n">
        <x:v>1343</x:v>
      </x:c>
      <x:c r="I84" s="166" t="n">
        <x:v>1693</x:v>
      </x:c>
      <x:c r="J84" s="166" t="n">
        <x:v>1841</x:v>
      </x:c>
      <x:c r="K84" s="166" t="n">
        <x:v>1866</x:v>
      </x:c>
      <x:c r="L84" s="166" t="n">
        <x:v>2002</x:v>
      </x:c>
      <x:c r="M84" s="166" t="n">
        <x:v>2056</x:v>
      </x:c>
      <x:c r="N84" s="166" t="n">
        <x:v>2009</x:v>
      </x:c>
      <x:c r="O84" s="109"/>
      <x:c r="P84" s="109"/>
      <x:c r="Q84" s="109"/>
      <x:c r="R84" s="109"/>
      <x:c r="S84" s="109"/>
      <x:c r="T84" s="103"/>
      <x:c r="U84" s="103"/>
    </x:row>
    <x:row r="85" ht="24" customHeight="1">
      <x:c r="A85" s="103"/>
      <x:c r="B85" s="103"/>
      <x:c r="C85" s="103" t="str">
        <x:v>buybacks</x:v>
      </x:c>
      <x:c r="D85" s="103"/>
      <x:c r="E85" s="166" t="n">
        <x:v>-11788</x:v>
      </x:c>
      <x:c r="F85" s="166" t="n">
        <x:v>-10721</x:v>
      </x:c>
      <x:c r="G85" s="166" t="n">
        <x:v>-19543</x:v>
      </x:c>
      <x:c r="H85" s="166" t="n">
        <x:v>-22968</x:v>
      </x:c>
      <x:c r="I85" s="166" t="n">
        <x:v>-27385</x:v>
      </x:c>
      <x:c r="J85" s="166" t="n">
        <x:v>-32696</x:v>
      </x:c>
      <x:c r="K85" s="166" t="n">
        <x:v>-22245</x:v>
      </x:c>
      <x:c r="L85" s="166" t="n">
        <x:v>-17254</x:v>
      </x:c>
      <x:c r="M85" s="166" t="n">
        <x:v>-18420</x:v>
      </x:c>
      <x:c r="N85" s="166" t="n">
        <x:v>-22271</x:v>
      </x:c>
      <x:c r="O85" s="109"/>
      <x:c r="P85" s="109"/>
      <x:c r="Q85" s="109"/>
      <x:c r="R85" s="109"/>
      <x:c r="S85" s="109"/>
      <x:c r="T85" s="103"/>
      <x:c r="U85" s="103"/>
    </x:row>
    <x:row r="86" ht="24" customHeight="1">
      <x:c r="A86" s="103"/>
      <x:c r="B86" s="103"/>
      <x:c r="C86" s="103" t="str">
        <x:v>dividends</x:v>
      </x:c>
      <x:c r="D86" s="103"/>
      <x:c r="E86" s="166" t="n">
        <x:v>-11845</x:v>
      </x:c>
      <x:c r="F86" s="166" t="n">
        <x:v>-12699</x:v>
      </x:c>
      <x:c r="G86" s="166" t="n">
        <x:v>-13811</x:v>
      </x:c>
      <x:c r="H86" s="166" t="n">
        <x:v>-15137</x:v>
      </x:c>
      <x:c r="I86" s="166" t="n">
        <x:v>-16521</x:v>
      </x:c>
      <x:c r="J86" s="166" t="n">
        <x:v>-18135</x:v>
      </x:c>
      <x:c r="K86" s="166" t="n">
        <x:v>-19800</x:v>
      </x:c>
      <x:c r="L86" s="166" t="n">
        <x:v>-21771</x:v>
      </x:c>
      <x:c r="M86" s="166" t="n">
        <x:v>-24082</x:v>
      </x:c>
      <x:c r="N86" s="166" t="n">
        <x:v>-26445</x:v>
      </x:c>
      <x:c r="O86" s="109"/>
      <x:c r="P86" s="109"/>
      <x:c r="Q86" s="109"/>
      <x:c r="R86" s="109"/>
      <x:c r="S86" s="109"/>
      <x:c r="T86" s="103"/>
      <x:c r="U86" s="103"/>
    </x:row>
    <x:row r="87" ht="24" customHeight="1">
      <x:c r="A87" s="103"/>
      <x:c r="B87" s="103"/>
      <x:c r="C87" s="103" t="str">
        <x:v>other financing</x:v>
      </x:c>
      <x:c r="D87" s="103"/>
      <x:c r="E87" s="166" t="n">
        <x:v>-190</x:v>
      </x:c>
      <x:c r="F87" s="166" t="n">
        <x:v>-971</x:v>
      </x:c>
      <x:c r="G87" s="166" t="n">
        <x:v>-675</x:v>
      </x:c>
      <x:c r="H87" s="166" t="n">
        <x:v>-3751</x:v>
      </x:c>
      <x:c r="I87" s="166" t="n">
        <x:v>-2523</x:v>
      </x:c>
      <x:c r="J87" s="166" t="n">
        <x:v>-863</x:v>
      </x:c>
      <x:c r="K87" s="166" t="n">
        <x:v>-1006</x:v>
      </x:c>
      <x:c r="L87" s="166" t="n">
        <x:v>-1309</x:v>
      </x:c>
      <x:c r="M87" s="166" t="n">
        <x:v>-2291</x:v>
      </x:c>
      <x:c r="N87" s="166" t="n">
        <x:v>-2839</x:v>
      </x:c>
      <x:c r="O87" s="109"/>
      <x:c r="P87" s="109"/>
      <x:c r="Q87" s="109"/>
      <x:c r="R87" s="109"/>
      <x:c r="S87" s="109"/>
      <x:c r="T87" s="103"/>
      <x:c r="U87" s="103"/>
    </x:row>
    <x:row r="88" ht="24" customHeight="1">
      <x:c r="A88" s="103"/>
      <x:c r="B88" s="103"/>
      <x:c r="C88" s="103" t="str">
        <x:v>cff</x:v>
      </x:c>
      <x:c r="D88" s="103"/>
      <x:c r="E88" s="166" t="n">
        <x:v>8408</x:v>
      </x:c>
      <x:c r="F88" s="166" t="n">
        <x:v>-33590</x:v>
      </x:c>
      <x:c r="G88" s="166" t="n">
        <x:v>-36887</x:v>
      </x:c>
      <x:c r="H88" s="166" t="n">
        <x:v>-46031</x:v>
      </x:c>
      <x:c r="I88" s="166" t="n">
        <x:v>-48486</x:v>
      </x:c>
      <x:c r="J88" s="166" t="n">
        <x:v>-58876</x:v>
      </x:c>
      <x:c r="K88" s="166" t="n">
        <x:v>-43935</x:v>
      </x:c>
      <x:c r="L88" s="166" t="n">
        <x:v>-37757</x:v>
      </x:c>
      <x:c r="M88" s="166" t="n">
        <x:v>-51699</x:v>
      </x:c>
      <x:c r="N88" s="166" t="n">
        <x:v>-52546</x:v>
      </x:c>
      <x:c r="O88" s="109"/>
      <x:c r="P88" s="109"/>
      <x:c r="Q88" s="109"/>
      <x:c r="R88" s="109"/>
      <x:c r="S88" s="109"/>
      <x:c r="T88" s="103"/>
      <x:c r="U88" s="103"/>
    </x:row>
    <x:row r="89" ht="24" customHeight="1">
      <x:c r="A89" s="103"/>
      <x:c r="B89" s="103"/>
      <x:c r="C89" s="103" t="str">
        <x:v>capex</x:v>
      </x:c>
      <x:c r="D89" s="103"/>
      <x:c r="E89" s="166" t="n">
        <x:v>-8129</x:v>
      </x:c>
      <x:c r="F89" s="166" t="n">
        <x:v>-11632</x:v>
      </x:c>
      <x:c r="G89" s="166" t="n">
        <x:v>-13925</x:v>
      </x:c>
      <x:c r="H89" s="166" t="n">
        <x:v>-15441</x:v>
      </x:c>
      <x:c r="I89" s="166" t="n">
        <x:v>-20622</x:v>
      </x:c>
      <x:c r="J89" s="166" t="n">
        <x:v>-23886</x:v>
      </x:c>
      <x:c r="K89" s="166" t="n">
        <x:v>-28107</x:v>
      </x:c>
      <x:c r="L89" s="166" t="n">
        <x:v>-44477</x:v>
      </x:c>
      <x:c r="M89" s="166" t="n">
        <x:v>-64551</x:v>
      </x:c>
      <x:c r="N89" s="166" t="n">
        <x:v>-115948</x:v>
      </x:c>
      <x:c r="O89" s="109"/>
      <x:c r="P89" s="109"/>
      <x:c r="Q89" s="109"/>
      <x:c r="R89" s="109"/>
      <x:c r="S89" s="109"/>
      <x:c r="T89" s="103"/>
      <x:c r="U89" s="103"/>
    </x:row>
    <x:row r="90" ht="24" customHeight="1">
      <x:c r="A90" s="103"/>
      <x:c r="B90" s="103"/>
      <x:c r="C90" s="103" t="str">
        <x:v>acquisitions</x:v>
      </x:c>
      <x:c r="D90" s="103"/>
      <x:c r="E90" s="166" t="n">
        <x:v>-25944</x:v>
      </x:c>
      <x:c r="F90" s="166" t="n">
        <x:v>-888</x:v>
      </x:c>
      <x:c r="G90" s="166" t="n">
        <x:v>-2388</x:v>
      </x:c>
      <x:c r="H90" s="166" t="n">
        <x:v>-2521</x:v>
      </x:c>
      <x:c r="I90" s="166" t="n">
        <x:v>-8909</x:v>
      </x:c>
      <x:c r="J90" s="166" t="n">
        <x:v>-22038</x:v>
      </x:c>
      <x:c r="K90" s="166" t="n">
        <x:v>-1670</x:v>
      </x:c>
      <x:c r="L90" s="166" t="n">
        <x:v>-69132</x:v>
      </x:c>
      <x:c r="M90" s="166" t="n">
        <x:v>-5978</x:v>
      </x:c>
      <x:c r="N90" s="166" t="n">
        <x:v>-1743</x:v>
      </x:c>
      <x:c r="O90" s="109"/>
      <x:c r="P90" s="109"/>
      <x:c r="Q90" s="109"/>
      <x:c r="R90" s="109"/>
      <x:c r="S90" s="109"/>
      <x:c r="T90" s="103"/>
      <x:c r="U90" s="103"/>
    </x:row>
    <x:row r="91" ht="24" customHeight="1">
      <x:c r="A91" s="103"/>
      <x:c r="B91" s="103"/>
      <x:c r="C91" s="103" t="str">
        <x:v>investments purchased</x:v>
      </x:c>
      <x:c r="D91" s="103"/>
      <x:c r="E91" s="166" t="n">
        <x:v>-176905</x:v>
      </x:c>
      <x:c r="F91" s="166" t="n">
        <x:v>-137380</x:v>
      </x:c>
      <x:c r="G91" s="166" t="n">
        <x:v>-57697</x:v>
      </x:c>
      <x:c r="H91" s="166" t="n">
        <x:v>-77190</x:v>
      </x:c>
      <x:c r="I91" s="166" t="n">
        <x:v>-62924</x:v>
      </x:c>
      <x:c r="J91" s="166" t="n">
        <x:v>-26456</x:v>
      </x:c>
      <x:c r="K91" s="166" t="n">
        <x:v>-37651</x:v>
      </x:c>
      <x:c r="L91" s="166" t="n">
        <x:v>-17732</x:v>
      </x:c>
      <x:c r="M91" s="166" t="n">
        <x:v>-29775</x:v>
      </x:c>
      <x:c r="N91" s="166" t="n">
        <x:v>-58351</x:v>
      </x:c>
      <x:c r="O91" s="109"/>
      <x:c r="P91" s="109"/>
      <x:c r="Q91" s="109"/>
      <x:c r="R91" s="109"/>
      <x:c r="S91" s="109"/>
      <x:c r="T91" s="103"/>
      <x:c r="U91" s="103"/>
    </x:row>
    <x:row r="92" ht="24" customHeight="1">
      <x:c r="A92" s="103"/>
      <x:c r="B92" s="103"/>
      <x:c r="C92" s="103" t="str">
        <x:v>investments matured</x:v>
      </x:c>
      <x:c r="D92" s="103"/>
      <x:c r="E92" s="166" t="n">
        <x:v>28044</x:v>
      </x:c>
      <x:c r="F92" s="166" t="n">
        <x:v>26360</x:v>
      </x:c>
      <x:c r="G92" s="166" t="n">
        <x:v>20043</x:v>
      </x:c>
      <x:c r="H92" s="166" t="n">
        <x:v>66449</x:v>
      </x:c>
      <x:c r="I92" s="166" t="n">
        <x:v>51792</x:v>
      </x:c>
      <x:c r="J92" s="166" t="n">
        <x:v>16451</x:v>
      </x:c>
      <x:c r="K92" s="166" t="n">
        <x:v>33510</x:v>
      </x:c>
      <x:c r="L92" s="166" t="n">
        <x:v>24775</x:v>
      </x:c>
      <x:c r="M92" s="166" t="n">
        <x:v>16079</x:v>
      </x:c>
      <x:c r="N92" s="166" t="n">
        <x:v>34605</x:v>
      </x:c>
      <x:c r="O92" s="109"/>
      <x:c r="P92" s="109"/>
      <x:c r="Q92" s="109"/>
      <x:c r="R92" s="109"/>
      <x:c r="S92" s="109"/>
      <x:c r="T92" s="103"/>
      <x:c r="U92" s="103"/>
    </x:row>
    <x:row r="93" ht="24" customHeight="1">
      <x:c r="A93" s="103"/>
      <x:c r="B93" s="103"/>
      <x:c r="C93" s="103" t="str">
        <x:v>investments sold</x:v>
      </x:c>
      <x:c r="D93" s="103"/>
      <x:c r="E93" s="166" t="n">
        <x:v>136350</x:v>
      </x:c>
      <x:c r="F93" s="166" t="n">
        <x:v>117577</x:v>
      </x:c>
      <x:c r="G93" s="166" t="n">
        <x:v>38194</x:v>
      </x:c>
      <x:c r="H93" s="166" t="n">
        <x:v>17721</x:v>
      </x:c>
      <x:c r="I93" s="166" t="n">
        <x:v>14008</x:v>
      </x:c>
      <x:c r="J93" s="166" t="n">
        <x:v>28443</x:v>
      </x:c>
      <x:c r="K93" s="166" t="n">
        <x:v>14354</x:v>
      </x:c>
      <x:c r="L93" s="166" t="n">
        <x:v>10894</x:v>
      </x:c>
      <x:c r="M93" s="166" t="n">
        <x:v>9309</x:v>
      </x:c>
      <x:c r="N93" s="166" t="n">
        <x:v>21798</x:v>
      </x:c>
      <x:c r="O93" s="109"/>
      <x:c r="P93" s="109"/>
      <x:c r="Q93" s="109"/>
      <x:c r="R93" s="109"/>
      <x:c r="S93" s="109"/>
      <x:c r="T93" s="103"/>
      <x:c r="U93" s="103"/>
    </x:row>
    <x:row r="94" ht="24" customHeight="1">
      <x:c r="A94" s="103"/>
      <x:c r="B94" s="103"/>
      <x:c r="C94" s="103" t="str">
        <x:v>other investing</x:v>
      </x:c>
      <x:c r="D94" s="103"/>
      <x:c r="E94" s="166" t="n">
        <x:v>0</x:v>
      </x:c>
      <x:c r="F94" s="166" t="n">
        <x:v>-98</x:v>
      </x:c>
      <x:c r="G94" s="166" t="n">
        <x:v>0</x:v>
      </x:c>
      <x:c r="H94" s="166" t="n">
        <x:v>-1241</x:v>
      </x:c>
      <x:c r="I94" s="166" t="n">
        <x:v>-922</x:v>
      </x:c>
      <x:c r="J94" s="166" t="n">
        <x:v>-2825</x:v>
      </x:c>
      <x:c r="K94" s="166" t="n">
        <x:v>-3116</x:v>
      </x:c>
      <x:c r="L94" s="166" t="n">
        <x:v>-1298</x:v>
      </x:c>
      <x:c r="M94" s="166" t="n">
        <x:v>2317</x:v>
      </x:c>
      <x:c r="N94" s="166" t="n">
        <x:v>-19861</x:v>
      </x:c>
      <x:c r="O94" s="109"/>
      <x:c r="P94" s="109"/>
      <x:c r="Q94" s="109"/>
      <x:c r="R94" s="109"/>
      <x:c r="S94" s="109"/>
      <x:c r="T94" s="103"/>
      <x:c r="U94" s="103"/>
    </x:row>
    <x:row r="95" ht="24" customHeight="1">
      <x:c r="A95" s="103"/>
      <x:c r="B95" s="103"/>
      <x:c r="C95" s="103" t="str">
        <x:v>cfi</x:v>
      </x:c>
      <x:c r="D95" s="103"/>
      <x:c r="E95" s="166" t="n">
        <x:v>-46781</x:v>
      </x:c>
      <x:c r="F95" s="166" t="n">
        <x:v>-6061</x:v>
      </x:c>
      <x:c r="G95" s="166" t="n">
        <x:v>-15773</x:v>
      </x:c>
      <x:c r="H95" s="166" t="n">
        <x:v>-12223</x:v>
      </x:c>
      <x:c r="I95" s="166" t="n">
        <x:v>-27577</x:v>
      </x:c>
      <x:c r="J95" s="166" t="n">
        <x:v>-30311</x:v>
      </x:c>
      <x:c r="K95" s="166" t="n">
        <x:v>-22680</x:v>
      </x:c>
      <x:c r="L95" s="166" t="n">
        <x:v>-96970</x:v>
      </x:c>
      <x:c r="M95" s="166" t="n">
        <x:v>-72599</x:v>
      </x:c>
      <x:c r="N95" s="166" t="n">
        <x:v>-139500</x:v>
      </x:c>
      <x:c r="O95" s="109"/>
      <x:c r="P95" s="109"/>
      <x:c r="Q95" s="109"/>
      <x:c r="R95" s="109"/>
      <x:c r="S95" s="109"/>
      <x:c r="T95" s="103"/>
      <x:c r="U95" s="103"/>
    </x:row>
    <x:row r="96" ht="24" customHeight="1">
      <x:c r="A96" s="103"/>
      <x:c r="B96" s="103"/>
      <x:c r="C96" s="103" t="str">
        <x:v>fx cash</x:v>
      </x:c>
      <x:c r="D96" s="103"/>
      <x:c r="E96" s="166" t="n">
        <x:v>19</x:v>
      </x:c>
      <x:c r="F96" s="166" t="n">
        <x:v>50</x:v>
      </x:c>
      <x:c r="G96" s="166" t="n">
        <x:v>-115</x:v>
      </x:c>
      <x:c r="H96" s="166" t="n">
        <x:v>-201</x:v>
      </x:c>
      <x:c r="I96" s="166" t="n">
        <x:v>-29</x:v>
      </x:c>
      <x:c r="J96" s="166" t="n">
        <x:v>-141</x:v>
      </x:c>
      <x:c r="K96" s="166" t="n">
        <x:v>-194</x:v>
      </x:c>
      <x:c r="L96" s="166" t="n">
        <x:v>-210</x:v>
      </x:c>
      <x:c r="M96" s="166" t="n">
        <x:v>63</x:v>
      </x:c>
      <x:c r="N96" s="166" t="n">
        <x:v>-196</x:v>
      </x:c>
      <x:c r="O96" s="109"/>
      <x:c r="P96" s="109"/>
      <x:c r="Q96" s="109"/>
      <x:c r="R96" s="109"/>
      <x:c r="S96" s="109"/>
      <x:c r="T96" s="103"/>
      <x:c r="U96" s="103"/>
    </x:row>
    <x:row r="97" ht="24" customHeight="1">
      <x:c r="A97" s="103"/>
      <x:c r="B97" s="103"/>
      <x:c r="C97" s="103" t="str">
        <x:v>cash change</x:v>
      </x:c>
      <x:c r="D97" s="103"/>
      <x:c r="E97" s="166" t="n">
        <x:v>1153</x:v>
      </x:c>
      <x:c r="F97" s="166" t="n">
        <x:v>4283</x:v>
      </x:c>
      <x:c r="G97" s="166" t="n">
        <x:v>-590</x:v>
      </x:c>
      <x:c r="H97" s="166" t="n">
        <x:v>2220</x:v>
      </x:c>
      <x:c r="I97" s="166" t="n">
        <x:v>648</x:v>
      </x:c>
      <x:c r="J97" s="166" t="n">
        <x:v>-293</x:v>
      </x:c>
      <x:c r="K97" s="166" t="n">
        <x:v>20773</x:v>
      </x:c>
      <x:c r="L97" s="166" t="n">
        <x:v>-16389</x:v>
      </x:c>
      <x:c r="M97" s="166" t="n">
        <x:v>11927</x:v>
      </x:c>
      <x:c r="N97" s="166" t="n">
        <x:v>-9307</x:v>
      </x:c>
      <x:c r="O97" s="109"/>
      <x:c r="P97" s="109"/>
      <x:c r="Q97" s="109"/>
      <x:c r="R97" s="109"/>
      <x:c r="S97" s="109"/>
      <x:c r="T97" s="103"/>
      <x:c r="U97" s="103"/>
    </x:row>
    <x:row r="98" ht="24" customHeight="1">
      <x:c r="A98" s="103"/>
      <x:c r="B98" s="103"/>
      <x:c r="C98" s="103" t="str">
        <x:v>opening cash</x:v>
      </x:c>
      <x:c r="D98" s="103"/>
      <x:c r="E98" s="166" t="n">
        <x:v>6510</x:v>
      </x:c>
      <x:c r="F98" s="166" t="n">
        <x:v>7663</x:v>
      </x:c>
      <x:c r="G98" s="166" t="n">
        <x:v>11946</x:v>
      </x:c>
      <x:c r="H98" s="166" t="n">
        <x:v>11356</x:v>
      </x:c>
      <x:c r="I98" s="166" t="n">
        <x:v>13576</x:v>
      </x:c>
      <x:c r="J98" s="166" t="n">
        <x:v>14224</x:v>
      </x:c>
      <x:c r="K98" s="166" t="n">
        <x:v>13931</x:v>
      </x:c>
      <x:c r="L98" s="166" t="n">
        <x:v>34704</x:v>
      </x:c>
      <x:c r="M98" s="166" t="n">
        <x:v>18315</x:v>
      </x:c>
      <x:c r="N98" s="166" t="n">
        <x:v>30242</x:v>
      </x:c>
      <x:c r="O98" s="109"/>
      <x:c r="P98" s="109"/>
      <x:c r="Q98" s="109"/>
      <x:c r="R98" s="109"/>
      <x:c r="S98" s="109"/>
      <x:c r="T98" s="103"/>
      <x:c r="U98" s="103"/>
    </x:row>
    <x:row r="99" ht="24" customHeight="1">
      <x:c r="A99" s="103"/>
      <x:c r="B99" s="103"/>
      <x:c r="C99" s="103" t="str">
        <x:v>closing cash</x:v>
      </x:c>
      <x:c r="D99" s="103"/>
      <x:c r="E99" s="166" t="n">
        <x:v>7663</x:v>
      </x:c>
      <x:c r="F99" s="166" t="n">
        <x:v>11946</x:v>
      </x:c>
      <x:c r="G99" s="166" t="n">
        <x:v>11356</x:v>
      </x:c>
      <x:c r="H99" s="166" t="n">
        <x:v>13576</x:v>
      </x:c>
      <x:c r="I99" s="166" t="n">
        <x:v>14224</x:v>
      </x:c>
      <x:c r="J99" s="166" t="n">
        <x:v>13931</x:v>
      </x:c>
      <x:c r="K99" s="166" t="n">
        <x:v>34704</x:v>
      </x:c>
      <x:c r="L99" s="166" t="n">
        <x:v>18315</x:v>
      </x:c>
      <x:c r="M99" s="166" t="n">
        <x:v>30242</x:v>
      </x:c>
      <x:c r="N99" s="166" t="n">
        <x:v>20935</x:v>
      </x:c>
      <x:c r="O99" s="109"/>
      <x:c r="P99" s="109"/>
      <x:c r="Q99" s="109"/>
      <x:c r="R99" s="109"/>
      <x:c r="S99" s="109"/>
      <x:c r="T99" s="103"/>
      <x:c r="U99" s="103"/>
    </x:row>
    <x:row r="100" ht="24" customHeight="1">
      <x:c r="A100" s="103"/>
      <x:c r="B100" s="103"/>
      <x:c r="C100" s="103" t="str">
        <x:v>impairments</x:v>
      </x:c>
      <x:c r="D100" s="103"/>
      <x:c r="E100" s="166" t="n">
        <x:v>0</x:v>
      </x:c>
      <x:c r="F100" s="166" t="n">
        <x:v>0</x:v>
      </x:c>
      <x:c r="G100" s="166" t="n">
        <x:v>0</x:v>
      </x:c>
      <x:c r="H100" s="166" t="n">
        <x:v>0</x:v>
      </x:c>
      <x:c r="I100" s="166" t="n">
        <x:v>0</x:v>
      </x:c>
      <x:c r="J100" s="166" t="n">
        <x:v>0</x:v>
      </x:c>
      <x:c r="K100" s="166" t="n">
        <x:v>0</x:v>
      </x:c>
      <x:c r="L100" s="166" t="n">
        <x:v>0</x:v>
      </x:c>
      <x:c r="M100" s="166" t="n">
        <x:v>0</x:v>
      </x:c>
      <x:c r="N100" s="166" t="n">
        <x:v>0</x:v>
      </x:c>
      <x:c r="O100" s="109"/>
      <x:c r="P100" s="109"/>
      <x:c r="Q100" s="109"/>
      <x:c r="R100" s="109"/>
      <x:c r="S100" s="109"/>
      <x:c r="T100" s="103"/>
      <x:c r="U100" s="103"/>
    </x:row>
    <x:row r="101" ht="24" customHeight="1">
      <x:c r="A101" s="103"/>
      <x:c r="B101" s="103"/>
      <x:c r="C101" s="103" t="str">
        <x:v>securities lending cf</x:v>
      </x:c>
      <x:c r="D101" s="103"/>
      <x:c r="E101" s="166" t="n">
        <x:v>-197</x:v>
      </x:c>
      <x:c r="F101" s="166" t="n">
        <x:v>0</x:v>
      </x:c>
      <x:c r="G101" s="166" t="n">
        <x:v>0</x:v>
      </x:c>
      <x:c r="H101" s="166" t="n">
        <x:v>0</x:v>
      </x:c>
      <x:c r="I101" s="166" t="n">
        <x:v>0</x:v>
      </x:c>
      <x:c r="J101" s="166" t="n">
        <x:v>0</x:v>
      </x:c>
      <x:c r="K101" s="166" t="n">
        <x:v>0</x:v>
      </x:c>
      <x:c r="L101" s="166" t="n">
        <x:v>0</x:v>
      </x:c>
      <x:c r="M101" s="166" t="n">
        <x:v>0</x:v>
      </x:c>
      <x:c r="N101" s="166" t="n">
        <x:v>0</x:v>
      </x:c>
      <x:c r="O101" s="109"/>
      <x:c r="P101" s="109"/>
      <x:c r="Q101" s="109"/>
      <x:c r="R101" s="109"/>
      <x:c r="S101" s="109"/>
      <x:c r="T101" s="103"/>
      <x:c r="U101" s="103"/>
    </x:row>
    <x:row r="102" ht="24" customHeight="1">
      <x:c r="A102" s="103"/>
      <x:c r="B102" s="103"/>
      <x:c r="C102" s="103" t="str">
        <x:v>debt exchange cash premium</x:v>
      </x:c>
      <x:c r="D102" s="103"/>
      <x:c r="E102" s="166" t="n">
        <x:v>0</x:v>
      </x:c>
      <x:c r="F102" s="166" t="n">
        <x:v>0</x:v>
      </x:c>
      <x:c r="G102" s="166" t="n">
        <x:v>0</x:v>
      </x:c>
      <x:c r="H102" s="166" t="n">
        <x:v>-3417</x:v>
      </x:c>
      <x:c r="I102" s="166" t="n">
        <x:v>-1754</x:v>
      </x:c>
      <x:c r="J102" s="166" t="n">
        <x:v>0</x:v>
      </x:c>
      <x:c r="K102" s="166" t="n">
        <x:v>0</x:v>
      </x:c>
      <x:c r="L102" s="166" t="n">
        <x:v>0</x:v>
      </x:c>
      <x:c r="M102" s="166" t="n">
        <x:v>0</x:v>
      </x:c>
      <x:c r="N102" s="166" t="n">
        <x:v>0</x:v>
      </x:c>
      <x:c r="O102" s="109"/>
      <x:c r="P102" s="109"/>
      <x:c r="Q102" s="109"/>
      <x:c r="R102" s="109"/>
      <x:c r="S102" s="109"/>
      <x:c r="T102" s="103"/>
      <x:c r="U102" s="103"/>
    </x:row>
    <x:row r="103" ht="24" customHeight="1">
      <x:c r="A103" s="103"/>
      <x:c r="B103" s="103"/>
      <x:c r="C103" s="103" t="str">
        <x:v>other operating adjustments</x:v>
      </x:c>
      <x:c r="D103" s="103"/>
      <x:c r="E103" s="166" t="n">
        <x:v>0</x:v>
      </x:c>
      <x:c r="F103" s="166" t="n">
        <x:v>0</x:v>
      </x:c>
      <x:c r="G103" s="166" t="n">
        <x:v>0</x:v>
      </x:c>
      <x:c r="H103" s="166" t="n">
        <x:v>0</x:v>
      </x:c>
      <x:c r="I103" s="166" t="n">
        <x:v>0</x:v>
      </x:c>
      <x:c r="J103" s="166" t="n">
        <x:v>0</x:v>
      </x:c>
      <x:c r="K103" s="166" t="n">
        <x:v>0</x:v>
      </x:c>
      <x:c r="L103" s="166" t="n">
        <x:v>0</x:v>
      </x:c>
      <x:c r="M103" s="166" t="n">
        <x:v>0</x:v>
      </x:c>
      <x:c r="N103" s="166" t="n">
        <x:v>0</x:v>
      </x:c>
      <x:c r="O103" s="109"/>
      <x:c r="P103" s="109"/>
      <x:c r="Q103" s="109"/>
      <x:c r="R103" s="109"/>
      <x:c r="S103" s="109"/>
      <x:c r="T103" s="103"/>
      <x:c r="U103" s="103"/>
    </x:row>
    <x:row r="104" ht="24" customHeight="1">
      <x:c r="A104" s="103"/>
      <x:c r="B104" s="103"/>
      <x:c r="C104" s="103"/>
      <x:c r="D104" s="103"/>
      <x:c r="E104" s="103"/>
      <x:c r="F104" s="103"/>
      <x:c r="G104" s="103"/>
      <x:c r="H104" s="103"/>
      <x:c r="I104" s="103"/>
      <x:c r="J104" s="103"/>
      <x:c r="K104" s="103"/>
      <x:c r="L104" s="103"/>
      <x:c r="M104" s="103"/>
      <x:c r="N104" s="103"/>
      <x:c r="O104" s="103"/>
      <x:c r="P104" s="103"/>
      <x:c r="Q104" s="103"/>
      <x:c r="R104" s="103"/>
      <x:c r="S104" s="103"/>
      <x:c r="T104" s="103"/>
      <x:c r="U104" s="103"/>
    </x:row>
    <x:row r="105" ht="24" customHeight="1">
      <x:c r="A105" s="103"/>
      <x:c r="B105" s="103"/>
      <x:c r="C105" s="103"/>
      <x:c r="D105" s="103"/>
      <x:c r="E105" s="103"/>
      <x:c r="F105" s="103"/>
      <x:c r="G105" s="103"/>
      <x:c r="H105" s="103"/>
      <x:c r="I105" s="103"/>
      <x:c r="J105" s="103"/>
      <x:c r="K105" s="103"/>
      <x:c r="L105" s="103"/>
      <x:c r="M105" s="103"/>
      <x:c r="N105" s="103"/>
      <x:c r="O105" s="103"/>
      <x:c r="P105" s="103"/>
      <x:c r="Q105" s="103"/>
      <x:c r="R105" s="103"/>
      <x:c r="S105" s="103"/>
      <x:c r="T105" s="103"/>
      <x:c r="U105" s="103"/>
    </x:row>
    <x:row r="106" ht="24" customHeight="1">
      <x:c r="A106" s="103"/>
      <x:c r="B106" s="103"/>
      <x:c r="C106" s="103" t="str">
        <x:v>income source report year</x:v>
      </x:c>
      <x:c r="D106" s="103"/>
      <x:c r="E106" s="166" t="n">
        <x:v>2019</x:v>
      </x:c>
      <x:c r="F106" s="166" t="n">
        <x:v>2020</x:v>
      </x:c>
      <x:c r="G106" s="166" t="n">
        <x:v>2021</x:v>
      </x:c>
      <x:c r="H106" s="166" t="n">
        <x:v>2022</x:v>
      </x:c>
      <x:c r="I106" s="166" t="n">
        <x:v>2023</x:v>
      </x:c>
      <x:c r="J106" s="166" t="n">
        <x:v>2024</x:v>
      </x:c>
      <x:c r="K106" s="166" t="n">
        <x:v>2025</x:v>
      </x:c>
      <x:c r="L106" s="166" t="n">
        <x:v>2026</x:v>
      </x:c>
      <x:c r="M106" s="166" t="n">
        <x:v>2026</x:v>
      </x:c>
      <x:c r="N106" s="166" t="n">
        <x:v>2026</x:v>
      </x:c>
      <x:c r="O106" s="109"/>
      <x:c r="P106" s="109"/>
      <x:c r="Q106" s="109"/>
      <x:c r="R106" s="109"/>
      <x:c r="S106" s="109"/>
      <x:c r="T106" s="103"/>
      <x:c r="U106" s="103"/>
    </x:row>
    <x:row r="107" ht="24" customHeight="1">
      <x:c r="A107" s="103"/>
      <x:c r="B107" s="103"/>
      <x:c r="C107" s="103" t="str">
        <x:v>balance source report year</x:v>
      </x:c>
      <x:c r="D107" s="103"/>
      <x:c r="E107" s="166" t="n">
        <x:v>2018</x:v>
      </x:c>
      <x:c r="F107" s="166" t="n">
        <x:v>2019</x:v>
      </x:c>
      <x:c r="G107" s="166" t="n">
        <x:v>2020</x:v>
      </x:c>
      <x:c r="H107" s="166" t="n">
        <x:v>2021</x:v>
      </x:c>
      <x:c r="I107" s="166" t="n">
        <x:v>2022</x:v>
      </x:c>
      <x:c r="J107" s="166" t="n">
        <x:v>2023</x:v>
      </x:c>
      <x:c r="K107" s="166" t="n">
        <x:v>2024</x:v>
      </x:c>
      <x:c r="L107" s="166" t="n">
        <x:v>2025</x:v>
      </x:c>
      <x:c r="M107" s="166" t="n">
        <x:v>2026</x:v>
      </x:c>
      <x:c r="N107" s="166" t="n">
        <x:v>2026</x:v>
      </x:c>
      <x:c r="O107" s="109"/>
      <x:c r="P107" s="109"/>
      <x:c r="Q107" s="109"/>
      <x:c r="R107" s="109"/>
      <x:c r="S107" s="109"/>
      <x:c r="T107" s="103"/>
      <x:c r="U107" s="103"/>
    </x:row>
    <x:row r="108" ht="24" customHeight="1">
      <x:c r="A108" s="103"/>
      <x:c r="B108" s="103"/>
      <x:c r="C108" s="103" t="str">
        <x:v>cashflow source report year</x:v>
      </x:c>
      <x:c r="D108" s="103"/>
      <x:c r="E108" s="166" t="n">
        <x:v>2019</x:v>
      </x:c>
      <x:c r="F108" s="166" t="n">
        <x:v>2020</x:v>
      </x:c>
      <x:c r="G108" s="166" t="n">
        <x:v>2021</x:v>
      </x:c>
      <x:c r="H108" s="166" t="n">
        <x:v>2022</x:v>
      </x:c>
      <x:c r="I108" s="166" t="n">
        <x:v>2023</x:v>
      </x:c>
      <x:c r="J108" s="166" t="n">
        <x:v>2024</x:v>
      </x:c>
      <x:c r="K108" s="166" t="n">
        <x:v>2025</x:v>
      </x:c>
      <x:c r="L108" s="166" t="n">
        <x:v>2026</x:v>
      </x:c>
      <x:c r="M108" s="166" t="n">
        <x:v>2026</x:v>
      </x:c>
      <x:c r="N108" s="166" t="n">
        <x:v>2026</x:v>
      </x:c>
      <x:c r="O108" s="109"/>
      <x:c r="P108" s="109"/>
      <x:c r="Q108" s="109"/>
      <x:c r="R108" s="109"/>
      <x:c r="S108" s="109"/>
      <x:c r="T108" s="103"/>
      <x:c r="U108" s="103"/>
    </x:row>
    <x:row r="109" ht="24" customHeight="1">
      <x:c r="A109" s="103"/>
      <x:c r="B109" s="103"/>
      <x:c r="C109" s="103"/>
      <x:c r="D109" s="103"/>
      <x:c r="E109" s="103"/>
      <x:c r="F109" s="103"/>
      <x:c r="G109" s="103"/>
      <x:c r="H109" s="103"/>
      <x:c r="I109" s="103"/>
      <x:c r="J109" s="103"/>
      <x:c r="K109" s="103"/>
      <x:c r="L109" s="103"/>
      <x:c r="M109" s="103"/>
      <x:c r="N109" s="103"/>
      <x:c r="O109" s="103"/>
      <x:c r="P109" s="103"/>
      <x:c r="Q109" s="103"/>
      <x:c r="R109" s="103"/>
      <x:c r="S109" s="103"/>
      <x:c r="T109" s="103"/>
      <x:c r="U109" s="103"/>
    </x:row>
    <x:row r="110" ht="24" customHeight="1">
      <x:c r="A110" s="103"/>
      <x:c r="B110" s="103"/>
      <x:c r="C110" s="103"/>
      <x:c r="D110" s="103"/>
      <x:c r="E110" s="103"/>
      <x:c r="F110" s="103"/>
      <x:c r="G110" s="103"/>
      <x:c r="H110" s="103"/>
      <x:c r="I110" s="103"/>
      <x:c r="J110" s="103"/>
      <x:c r="K110" s="103"/>
      <x:c r="L110" s="103"/>
      <x:c r="M110" s="103"/>
      <x:c r="N110" s="103"/>
      <x:c r="O110" s="103"/>
      <x:c r="P110" s="103"/>
      <x:c r="Q110" s="103"/>
      <x:c r="R110" s="103"/>
      <x:c r="S110" s="103"/>
      <x:c r="T110" s="103"/>
      <x:c r="U110" s="103"/>
    </x:row>
    <x:row r="111" ht="24" customHeight="1">
      <x:c r="A111" s="103"/>
      <x:c r="B111" s="103"/>
      <x:c r="C111" s="136" t="str">
        <x:v>Primary source URLs</x:v>
      </x:c>
      <x:c r="D111" s="136"/>
      <x:c r="E111" s="136"/>
      <x:c r="F111" s="136"/>
      <x:c r="G111" s="136"/>
      <x:c r="H111" s="136"/>
      <x:c r="I111" s="136"/>
      <x:c r="J111" s="136"/>
      <x:c r="K111" s="136"/>
      <x:c r="L111" s="136"/>
      <x:c r="M111" s="136"/>
      <x:c r="N111" s="136"/>
      <x:c r="O111" s="136"/>
      <x:c r="P111" s="136"/>
      <x:c r="Q111" s="136"/>
      <x:c r="R111" s="136"/>
      <x:c r="S111" s="136"/>
      <x:c r="T111" s="103"/>
      <x:c r="U111" s="103"/>
    </x:row>
    <x:row r="112" ht="24" customHeight="1">
      <x:c r="A112" s="103"/>
      <x:c r="B112" s="103"/>
      <x:c r="C112" s="103" t="str">
        <x:v>FY2017 annual report</x:v>
      </x:c>
      <x:c r="D112" s="103"/>
      <x:c r="E112" s="103" t="str">
        <x:v>https://www.microsoft.com/investor/reports/ar19/index.html</x:v>
      </x:c>
      <x:c r="F112" s="103"/>
      <x:c r="G112" s="103"/>
      <x:c r="H112" s="103"/>
      <x:c r="I112" s="103"/>
      <x:c r="J112" s="103"/>
      <x:c r="K112" s="103"/>
      <x:c r="L112" s="103"/>
      <x:c r="M112" s="103"/>
      <x:c r="N112" s="103"/>
      <x:c r="O112" s="103"/>
      <x:c r="P112" s="103"/>
      <x:c r="Q112" s="103"/>
      <x:c r="R112" s="103"/>
      <x:c r="S112" s="103"/>
      <x:c r="T112" s="103"/>
      <x:c r="U112" s="103"/>
    </x:row>
    <x:row r="113" ht="24" customHeight="1">
      <x:c r="A113" s="103"/>
      <x:c r="B113" s="103"/>
      <x:c r="C113" s="103" t="str">
        <x:v>FY2018 annual report</x:v>
      </x:c>
      <x:c r="D113" s="103"/>
      <x:c r="E113" s="103" t="str">
        <x:v>https://www.microsoft.com/investor/reports/ar20/index.html</x:v>
      </x:c>
      <x:c r="F113" s="103"/>
      <x:c r="G113" s="103"/>
      <x:c r="H113" s="103"/>
      <x:c r="I113" s="103"/>
      <x:c r="J113" s="103"/>
      <x:c r="K113" s="103"/>
      <x:c r="L113" s="103"/>
      <x:c r="M113" s="103"/>
      <x:c r="N113" s="103"/>
      <x:c r="O113" s="103"/>
      <x:c r="P113" s="103"/>
      <x:c r="Q113" s="103"/>
      <x:c r="R113" s="103"/>
      <x:c r="S113" s="103"/>
      <x:c r="T113" s="103"/>
      <x:c r="U113" s="103"/>
    </x:row>
    <x:row r="114" ht="24" customHeight="1">
      <x:c r="A114" s="103"/>
      <x:c r="B114" s="103"/>
      <x:c r="C114" s="103" t="str">
        <x:v>FY2019 annual report</x:v>
      </x:c>
      <x:c r="D114" s="103"/>
      <x:c r="E114" s="103" t="str">
        <x:v>https://www.microsoft.com/investor/reports/ar21/index.html</x:v>
      </x:c>
      <x:c r="F114" s="103"/>
      <x:c r="G114" s="103"/>
      <x:c r="H114" s="103"/>
      <x:c r="I114" s="103"/>
      <x:c r="J114" s="103"/>
      <x:c r="K114" s="103"/>
      <x:c r="L114" s="103"/>
      <x:c r="M114" s="103"/>
      <x:c r="N114" s="103"/>
      <x:c r="O114" s="103"/>
      <x:c r="P114" s="103"/>
      <x:c r="Q114" s="103"/>
      <x:c r="R114" s="103"/>
      <x:c r="S114" s="103"/>
      <x:c r="T114" s="103"/>
      <x:c r="U114" s="103"/>
    </x:row>
    <x:row r="115" ht="24" customHeight="1">
      <x:c r="A115" s="103"/>
      <x:c r="B115" s="103"/>
      <x:c r="C115" s="103" t="str">
        <x:v>FY2020 annual report</x:v>
      </x:c>
      <x:c r="D115" s="103"/>
      <x:c r="E115" s="103" t="str">
        <x:v>https://www.microsoft.com/investor/reports/ar22/index.html</x:v>
      </x:c>
      <x:c r="F115" s="103"/>
      <x:c r="G115" s="103"/>
      <x:c r="H115" s="103"/>
      <x:c r="I115" s="103"/>
      <x:c r="J115" s="103"/>
      <x:c r="K115" s="103"/>
      <x:c r="L115" s="103"/>
      <x:c r="M115" s="103"/>
      <x:c r="N115" s="103"/>
      <x:c r="O115" s="103"/>
      <x:c r="P115" s="103"/>
      <x:c r="Q115" s="103"/>
      <x:c r="R115" s="103"/>
      <x:c r="S115" s="103"/>
      <x:c r="T115" s="103"/>
      <x:c r="U115" s="103"/>
    </x:row>
    <x:row r="116" ht="24" customHeight="1">
      <x:c r="A116" s="103"/>
      <x:c r="B116" s="103"/>
      <x:c r="C116" s="103" t="str">
        <x:v>FY2021 annual report</x:v>
      </x:c>
      <x:c r="D116" s="103"/>
      <x:c r="E116" s="103" t="str">
        <x:v>https://www.microsoft.com/investor/reports/ar23/index.html</x:v>
      </x:c>
      <x:c r="F116" s="103"/>
      <x:c r="G116" s="103"/>
      <x:c r="H116" s="103"/>
      <x:c r="I116" s="103"/>
      <x:c r="J116" s="103"/>
      <x:c r="K116" s="103"/>
      <x:c r="L116" s="103"/>
      <x:c r="M116" s="103"/>
      <x:c r="N116" s="103"/>
      <x:c r="O116" s="103"/>
      <x:c r="P116" s="103"/>
      <x:c r="Q116" s="103"/>
      <x:c r="R116" s="103"/>
      <x:c r="S116" s="103"/>
      <x:c r="T116" s="103"/>
      <x:c r="U116" s="103"/>
    </x:row>
    <x:row r="117" ht="24" customHeight="1">
      <x:c r="A117" s="103"/>
      <x:c r="B117" s="103"/>
      <x:c r="C117" s="103" t="str">
        <x:v>FY2022 annual report</x:v>
      </x:c>
      <x:c r="D117" s="103"/>
      <x:c r="E117" s="103" t="str">
        <x:v>https://www.microsoft.com/investor/reports/ar24/index.html</x:v>
      </x:c>
      <x:c r="F117" s="103"/>
      <x:c r="G117" s="103"/>
      <x:c r="H117" s="103"/>
      <x:c r="I117" s="103"/>
      <x:c r="J117" s="103"/>
      <x:c r="K117" s="103"/>
      <x:c r="L117" s="103"/>
      <x:c r="M117" s="103"/>
      <x:c r="N117" s="103"/>
      <x:c r="O117" s="103"/>
      <x:c r="P117" s="103"/>
      <x:c r="Q117" s="103"/>
      <x:c r="R117" s="103"/>
      <x:c r="S117" s="103"/>
      <x:c r="T117" s="103"/>
      <x:c r="U117" s="103"/>
    </x:row>
    <x:row r="118" ht="24" customHeight="1">
      <x:c r="A118" s="103"/>
      <x:c r="B118" s="103"/>
      <x:c r="C118" s="103" t="str">
        <x:v>FY2023 annual report</x:v>
      </x:c>
      <x:c r="D118" s="103"/>
      <x:c r="E118" s="103" t="str">
        <x:v>https://www.microsoft.com/investor/reports/ar25/index.html</x:v>
      </x:c>
      <x:c r="F118" s="103"/>
      <x:c r="G118" s="103"/>
      <x:c r="H118" s="103"/>
      <x:c r="I118" s="103"/>
      <x:c r="J118" s="103"/>
      <x:c r="K118" s="103"/>
      <x:c r="L118" s="103"/>
      <x:c r="M118" s="103"/>
      <x:c r="N118" s="103"/>
      <x:c r="O118" s="103"/>
      <x:c r="P118" s="103"/>
      <x:c r="Q118" s="103"/>
      <x:c r="R118" s="103"/>
      <x:c r="S118" s="103"/>
      <x:c r="T118" s="103"/>
      <x:c r="U118" s="103"/>
    </x:row>
    <x:row r="119" ht="24" customHeight="1">
      <x:c r="A119" s="103"/>
      <x:c r="B119" s="103"/>
      <x:c r="C119" s="103" t="str">
        <x:v>FY2024 annual report</x:v>
      </x:c>
      <x:c r="D119" s="103"/>
      <x:c r="E119" s="103" t="str">
        <x:v>https://www.sec.gov/Archives/edgar/data/789019/000119312526323660/msft-20260630.htm</x:v>
      </x:c>
      <x:c r="F119" s="103"/>
      <x:c r="G119" s="103"/>
      <x:c r="H119" s="103"/>
      <x:c r="I119" s="103"/>
      <x:c r="J119" s="103"/>
      <x:c r="K119" s="103"/>
      <x:c r="L119" s="103"/>
      <x:c r="M119" s="103"/>
      <x:c r="N119" s="103"/>
      <x:c r="O119" s="103"/>
      <x:c r="P119" s="103"/>
      <x:c r="Q119" s="103"/>
      <x:c r="R119" s="103"/>
      <x:c r="S119" s="103"/>
      <x:c r="T119" s="103"/>
      <x:c r="U119" s="103"/>
    </x:row>
    <x:row r="120" ht="24" customHeight="1">
      <x:c r="A120" s="103"/>
      <x:c r="B120" s="103"/>
      <x:c r="C120" s="103" t="str">
        <x:v>FY2025 annual report</x:v>
      </x:c>
      <x:c r="D120" s="103"/>
      <x:c r="E120" s="103" t="str">
        <x:v>https://www.sec.gov/Archives/edgar/data/789019/000119312526323660/msft-20260630.htm</x:v>
      </x:c>
      <x:c r="F120" s="103"/>
      <x:c r="G120" s="103"/>
      <x:c r="H120" s="103"/>
      <x:c r="I120" s="103"/>
      <x:c r="J120" s="103"/>
      <x:c r="K120" s="103"/>
      <x:c r="L120" s="103"/>
      <x:c r="M120" s="103"/>
      <x:c r="N120" s="103"/>
      <x:c r="O120" s="103"/>
      <x:c r="P120" s="103"/>
      <x:c r="Q120" s="103"/>
      <x:c r="R120" s="103"/>
      <x:c r="S120" s="103"/>
      <x:c r="T120" s="103"/>
      <x:c r="U120" s="103"/>
    </x:row>
    <x:row r="121" ht="24" customHeight="1">
      <x:c r="A121" s="103"/>
      <x:c r="B121" s="103"/>
      <x:c r="C121" s="103" t="str">
        <x:v>FY2026 annual report</x:v>
      </x:c>
      <x:c r="D121" s="103"/>
      <x:c r="E121" s="103" t="str">
        <x:v>https://www.sec.gov/Archives/edgar/data/789019/000119312526323660/msft-20260630.htm</x:v>
      </x:c>
      <x:c r="F121" s="103"/>
      <x:c r="G121" s="103"/>
      <x:c r="H121" s="103"/>
      <x:c r="I121" s="103"/>
      <x:c r="J121" s="103"/>
      <x:c r="K121" s="103"/>
      <x:c r="L121" s="103"/>
      <x:c r="M121" s="103"/>
      <x:c r="N121" s="103"/>
      <x:c r="O121" s="103"/>
      <x:c r="P121" s="103"/>
      <x:c r="Q121" s="103"/>
      <x:c r="R121" s="103"/>
      <x:c r="S121" s="103"/>
      <x:c r="T121" s="103"/>
      <x:c r="U121" s="103"/>
    </x:row>
    <x:row r="122" ht="24" customHeight="1">
      <x:c r="A122" s="103"/>
      <x:c r="B122" s="103"/>
      <x:c r="C122" s="103"/>
      <x:c r="D122" s="103"/>
      <x:c r="E122" s="103"/>
      <x:c r="F122" s="103"/>
      <x:c r="G122" s="103"/>
      <x:c r="H122" s="103"/>
      <x:c r="I122" s="103"/>
      <x:c r="J122" s="103"/>
      <x:c r="K122" s="103"/>
      <x:c r="L122" s="103"/>
      <x:c r="M122" s="103"/>
      <x:c r="N122" s="103"/>
      <x:c r="O122" s="103"/>
      <x:c r="P122" s="103"/>
      <x:c r="Q122" s="103"/>
      <x:c r="R122" s="103"/>
      <x:c r="S122" s="103"/>
      <x:c r="T122" s="103"/>
      <x:c r="U122" s="103"/>
    </x:row>
    <x:row r="123" ht="24" customHeight="1">
      <x:c r="A123" s="103"/>
      <x:c r="B123" s="103"/>
      <x:c r="C123" s="103"/>
      <x:c r="D123" s="103"/>
      <x:c r="E123" s="103"/>
      <x:c r="F123" s="103"/>
      <x:c r="G123" s="103"/>
      <x:c r="H123" s="103"/>
      <x:c r="I123" s="103"/>
      <x:c r="J123" s="103"/>
      <x:c r="K123" s="103"/>
      <x:c r="L123" s="103"/>
      <x:c r="M123" s="103"/>
      <x:c r="N123" s="103"/>
      <x:c r="O123" s="103"/>
      <x:c r="P123" s="103"/>
      <x:c r="Q123" s="103"/>
      <x:c r="R123" s="103"/>
      <x:c r="S123" s="103"/>
      <x:c r="T123" s="103"/>
      <x:c r="U123" s="103"/>
    </x:row>
    <x:row r="124" ht="24" customHeight="1">
      <x:c r="A124" s="103"/>
      <x:c r="B124" s="103"/>
      <x:c r="C124" s="103"/>
      <x:c r="D124" s="103"/>
      <x:c r="E124" s="103"/>
      <x:c r="F124" s="103"/>
      <x:c r="G124" s="103"/>
      <x:c r="H124" s="103"/>
      <x:c r="I124" s="103"/>
      <x:c r="J124" s="103"/>
      <x:c r="K124" s="103"/>
      <x:c r="L124" s="103"/>
      <x:c r="M124" s="103"/>
      <x:c r="N124" s="103"/>
      <x:c r="O124" s="103"/>
      <x:c r="P124" s="103"/>
      <x:c r="Q124" s="103"/>
      <x:c r="R124" s="103"/>
      <x:c r="S124" s="103"/>
      <x:c r="T124" s="103"/>
      <x:c r="U124" s="103"/>
    </x:row>
    <x:row r="125" ht="24" customHeight="1">
      <x:c r="A125" s="103"/>
      <x:c r="B125" s="103"/>
      <x:c r="C125" s="103"/>
      <x:c r="D125" s="103"/>
      <x:c r="E125" s="103"/>
      <x:c r="F125" s="103"/>
      <x:c r="G125" s="103"/>
      <x:c r="H125" s="103"/>
      <x:c r="I125" s="103"/>
      <x:c r="J125" s="103"/>
      <x:c r="K125" s="103"/>
      <x:c r="L125" s="103"/>
      <x:c r="M125" s="103"/>
      <x:c r="N125" s="103"/>
      <x:c r="O125" s="103"/>
      <x:c r="P125" s="103"/>
      <x:c r="Q125" s="103"/>
      <x:c r="R125" s="103"/>
      <x:c r="S125" s="103"/>
      <x:c r="T125" s="103"/>
      <x:c r="U125" s="103"/>
    </x:row>
    <x:row r="126" ht="24" customHeight="1">
      <x:c r="A126" s="103"/>
      <x:c r="B126" s="103"/>
      <x:c r="C126" s="103"/>
      <x:c r="D126" s="103"/>
      <x:c r="E126" s="103"/>
      <x:c r="F126" s="103"/>
      <x:c r="G126" s="103"/>
      <x:c r="H126" s="103"/>
      <x:c r="I126" s="103"/>
      <x:c r="J126" s="103"/>
      <x:c r="K126" s="103"/>
      <x:c r="L126" s="103"/>
      <x:c r="M126" s="103"/>
      <x:c r="N126" s="103"/>
      <x:c r="O126" s="103"/>
      <x:c r="P126" s="103"/>
      <x:c r="Q126" s="103"/>
      <x:c r="R126" s="103"/>
      <x:c r="S126" s="103"/>
      <x:c r="T126" s="103"/>
      <x:c r="U126" s="103"/>
    </x:row>
    <x:row r="127" ht="24" customHeight="1">
      <x:c r="A127" s="103"/>
      <x:c r="B127" s="103"/>
      <x:c r="C127" s="103"/>
      <x:c r="D127" s="103"/>
      <x:c r="E127" s="103"/>
      <x:c r="F127" s="103"/>
      <x:c r="G127" s="103"/>
      <x:c r="H127" s="103"/>
      <x:c r="I127" s="103"/>
      <x:c r="J127" s="103"/>
      <x:c r="K127" s="103"/>
      <x:c r="L127" s="103"/>
      <x:c r="M127" s="103"/>
      <x:c r="N127" s="103"/>
      <x:c r="O127" s="103"/>
      <x:c r="P127" s="103"/>
      <x:c r="Q127" s="103"/>
      <x:c r="R127" s="103"/>
      <x:c r="S127" s="103"/>
      <x:c r="T127" s="103"/>
      <x:c r="U127" s="103"/>
    </x:row>
    <x:row r="128" ht="24" customHeight="1">
      <x:c r="A128" s="103"/>
      <x:c r="B128" s="103"/>
      <x:c r="C128" s="103"/>
      <x:c r="D128" s="103"/>
      <x:c r="E128" s="103"/>
      <x:c r="F128" s="103"/>
      <x:c r="G128" s="103"/>
      <x:c r="H128" s="103"/>
      <x:c r="I128" s="103"/>
      <x:c r="J128" s="103"/>
      <x:c r="K128" s="103"/>
      <x:c r="L128" s="103"/>
      <x:c r="M128" s="103"/>
      <x:c r="N128" s="103"/>
      <x:c r="O128" s="103"/>
      <x:c r="P128" s="103"/>
      <x:c r="Q128" s="103"/>
      <x:c r="R128" s="103"/>
      <x:c r="S128" s="103"/>
      <x:c r="T128" s="103"/>
      <x:c r="U128" s="103"/>
    </x:row>
    <x:row r="129" ht="24" customHeight="1">
      <x:c r="A129" s="103"/>
      <x:c r="B129" s="103"/>
      <x:c r="C129" s="103"/>
      <x:c r="D129" s="103"/>
      <x:c r="E129" s="103"/>
      <x:c r="F129" s="103"/>
      <x:c r="G129" s="103"/>
      <x:c r="H129" s="103"/>
      <x:c r="I129" s="103"/>
      <x:c r="J129" s="103"/>
      <x:c r="K129" s="103"/>
      <x:c r="L129" s="103"/>
      <x:c r="M129" s="103"/>
      <x:c r="N129" s="103"/>
      <x:c r="O129" s="103"/>
      <x:c r="P129" s="103"/>
      <x:c r="Q129" s="103"/>
      <x:c r="R129" s="103"/>
      <x:c r="S129" s="103"/>
      <x:c r="T129" s="103"/>
      <x:c r="U129" s="103"/>
    </x:row>
    <x:row r="130" ht="24" customHeight="1">
      <x:c r="A130" s="103"/>
      <x:c r="B130" s="103"/>
      <x:c r="C130" s="103"/>
      <x:c r="D130" s="103"/>
      <x:c r="E130" s="103"/>
      <x:c r="F130" s="103"/>
      <x:c r="G130" s="103"/>
      <x:c r="H130" s="103"/>
      <x:c r="I130" s="103"/>
      <x:c r="J130" s="103"/>
      <x:c r="K130" s="103"/>
      <x:c r="L130" s="103"/>
      <x:c r="M130" s="103"/>
      <x:c r="N130" s="103"/>
      <x:c r="O130" s="103"/>
      <x:c r="P130" s="103"/>
      <x:c r="Q130" s="103"/>
      <x:c r="R130" s="103"/>
      <x:c r="S130" s="103"/>
      <x:c r="T130" s="103"/>
      <x:c r="U130" s="103"/>
    </x:row>
    <x:row r="131" ht="24" customHeight="1">
      <x:c r="A131" s="103"/>
      <x:c r="B131" s="103"/>
      <x:c r="C131" s="103"/>
      <x:c r="D131" s="103"/>
      <x:c r="E131" s="103"/>
      <x:c r="F131" s="103"/>
      <x:c r="G131" s="103"/>
      <x:c r="H131" s="103"/>
      <x:c r="I131" s="103"/>
      <x:c r="J131" s="103"/>
      <x:c r="K131" s="103"/>
      <x:c r="L131" s="103"/>
      <x:c r="M131" s="103"/>
      <x:c r="N131" s="103"/>
      <x:c r="O131" s="103"/>
      <x:c r="P131" s="103"/>
      <x:c r="Q131" s="103"/>
      <x:c r="R131" s="103"/>
      <x:c r="S131" s="103"/>
      <x:c r="T131" s="103"/>
      <x:c r="U131" s="103"/>
    </x:row>
    <x:row r="132" ht="24" customHeight="1">
      <x:c r="A132" s="103"/>
      <x:c r="B132" s="103"/>
      <x:c r="C132" s="103"/>
      <x:c r="D132" s="103"/>
      <x:c r="E132" s="103"/>
      <x:c r="F132" s="103"/>
      <x:c r="G132" s="103"/>
      <x:c r="H132" s="103"/>
      <x:c r="I132" s="103"/>
      <x:c r="J132" s="103"/>
      <x:c r="K132" s="103"/>
      <x:c r="L132" s="103"/>
      <x:c r="M132" s="103"/>
      <x:c r="N132" s="103"/>
      <x:c r="O132" s="103"/>
      <x:c r="P132" s="103"/>
      <x:c r="Q132" s="103"/>
      <x:c r="R132" s="103"/>
      <x:c r="S132" s="103"/>
      <x:c r="T132" s="103"/>
      <x:c r="U132" s="103"/>
    </x:row>
    <x:row r="133" ht="24" customHeight="1">
      <x:c r="A133" s="103"/>
      <x:c r="B133" s="103"/>
      <x:c r="C133" s="103"/>
      <x:c r="D133" s="103"/>
      <x:c r="E133" s="103"/>
      <x:c r="F133" s="103"/>
      <x:c r="G133" s="103"/>
      <x:c r="H133" s="103"/>
      <x:c r="I133" s="103"/>
      <x:c r="J133" s="103"/>
      <x:c r="K133" s="103"/>
      <x:c r="L133" s="103"/>
      <x:c r="M133" s="103"/>
      <x:c r="N133" s="103"/>
      <x:c r="O133" s="103"/>
      <x:c r="P133" s="103"/>
      <x:c r="Q133" s="103"/>
      <x:c r="R133" s="103"/>
      <x:c r="S133" s="103"/>
      <x:c r="T133" s="103"/>
      <x:c r="U133" s="103"/>
    </x:row>
    <x:row r="134" ht="24" customHeight="1">
      <x:c r="A134" s="103"/>
      <x:c r="B134" s="103"/>
      <x:c r="C134" s="103"/>
      <x:c r="D134" s="103"/>
      <x:c r="E134" s="103"/>
      <x:c r="F134" s="103"/>
      <x:c r="G134" s="103"/>
      <x:c r="H134" s="103"/>
      <x:c r="I134" s="103"/>
      <x:c r="J134" s="103"/>
      <x:c r="K134" s="103"/>
      <x:c r="L134" s="103"/>
      <x:c r="M134" s="103"/>
      <x:c r="N134" s="103"/>
      <x:c r="O134" s="103"/>
      <x:c r="P134" s="103"/>
      <x:c r="Q134" s="103"/>
      <x:c r="R134" s="103"/>
      <x:c r="S134" s="103"/>
      <x:c r="T134" s="103"/>
      <x:c r="U134" s="103"/>
    </x:row>
    <x:row r="135" ht="24" customHeight="1">
      <x:c r="A135" s="103"/>
      <x:c r="B135" s="103"/>
      <x:c r="C135" s="103"/>
      <x:c r="D135" s="103"/>
      <x:c r="E135" s="103"/>
      <x:c r="F135" s="103"/>
      <x:c r="G135" s="103"/>
      <x:c r="H135" s="103"/>
      <x:c r="I135" s="103"/>
      <x:c r="J135" s="103"/>
      <x:c r="K135" s="103"/>
      <x:c r="L135" s="103"/>
      <x:c r="M135" s="103"/>
      <x:c r="N135" s="103"/>
      <x:c r="O135" s="103"/>
      <x:c r="P135" s="103"/>
      <x:c r="Q135" s="103"/>
      <x:c r="R135" s="103"/>
      <x:c r="S135" s="103"/>
      <x:c r="T135" s="103"/>
      <x:c r="U135" s="103"/>
    </x:row>
    <x:row r="136" ht="24" customHeight="1">
      <x:c r="A136" s="103"/>
      <x:c r="B136" s="103"/>
      <x:c r="C136" s="103"/>
      <x:c r="D136" s="103"/>
      <x:c r="E136" s="103"/>
      <x:c r="F136" s="103"/>
      <x:c r="G136" s="103"/>
      <x:c r="H136" s="103"/>
      <x:c r="I136" s="103"/>
      <x:c r="J136" s="103"/>
      <x:c r="K136" s="103"/>
      <x:c r="L136" s="103"/>
      <x:c r="M136" s="103"/>
      <x:c r="N136" s="103"/>
      <x:c r="O136" s="103"/>
      <x:c r="P136" s="103"/>
      <x:c r="Q136" s="103"/>
      <x:c r="R136" s="103"/>
      <x:c r="S136" s="103"/>
      <x:c r="T136" s="103"/>
      <x:c r="U136" s="103"/>
    </x:row>
    <x:row r="137" ht="24" customHeight="1">
      <x:c r="A137" s="103"/>
      <x:c r="B137" s="103"/>
      <x:c r="C137" s="104" t="str">
        <x:v>Selected-case observations</x:v>
      </x:c>
      <x:c r="D137" s="104"/>
      <x:c r="E137" s="104"/>
      <x:c r="F137" s="104"/>
      <x:c r="G137" s="104"/>
      <x:c r="H137" s="104"/>
      <x:c r="I137" s="104"/>
      <x:c r="J137" s="104"/>
      <x:c r="K137" s="104"/>
      <x:c r="L137" s="104"/>
      <x:c r="M137" s="104"/>
      <x:c r="N137" s="104"/>
      <x:c r="O137" s="104"/>
      <x:c r="P137" s="104"/>
      <x:c r="Q137" s="104"/>
      <x:c r="R137" s="104"/>
      <x:c r="S137" s="104"/>
      <x:c r="T137" s="103"/>
      <x:c r="U137" s="103"/>
    </x:row>
    <x:row r="138" ht="24" customHeight="1">
      <x:c r="A138" s="103"/>
      <x:c r="B138" s="103"/>
      <x:c r="C138" s="103" t="str">
        <x:f>"FY2026 revenue source report: "&amp;FIXED(N106,0,TRUE)&amp;". Balance sheet source report: "&amp;FIXED(N107,0,TRUE)&amp;". Cash-flow source report: "&amp;FIXED(N108,0,TRUE)&amp;"."</x:f>
        <x:v>FY2026 revenue source report: 2026. Balance sheet source report: 2026. Cash-flow source report: 2026.</x:v>
      </x:c>
      <x:c r="D138" s="103"/>
      <x:c r="E138" s="103"/>
      <x:c r="F138" s="103"/>
      <x:c r="G138" s="103"/>
      <x:c r="H138" s="103"/>
      <x:c r="I138" s="103"/>
      <x:c r="J138" s="103"/>
      <x:c r="K138" s="103"/>
      <x:c r="L138" s="103"/>
      <x:c r="M138" s="103"/>
      <x:c r="N138" s="103"/>
      <x:c r="O138" s="103"/>
      <x:c r="P138" s="103"/>
      <x:c r="Q138" s="103"/>
      <x:c r="R138" s="103"/>
      <x:c r="S138" s="103"/>
      <x:c r="T138" s="103"/>
      <x:c r="U138" s="103"/>
    </x:row>
    <x:row r="139" ht="24" customHeight="1">
      <x:c r="A139" s="103"/>
      <x:c r="B139" s="103"/>
      <x:c r="C139" s="103" t="str">
        <x:f>"FY2026 reported revenue: "&amp;FIXED(N9/1000,1,TRUE)&amp;"bn; operating cash flow: "&amp;FIXED(N80/1000,1,TRUE)&amp;"bn."</x:f>
        <x:v>FY2026 reported revenue: 331.8bn; operating cash flow: 182.9bn.</x:v>
      </x:c>
      <x:c r="D139" s="103"/>
      <x:c r="E139" s="103"/>
      <x:c r="F139" s="103"/>
      <x:c r="G139" s="103"/>
      <x:c r="H139" s="103"/>
      <x:c r="I139" s="103"/>
      <x:c r="J139" s="103"/>
      <x:c r="K139" s="103"/>
      <x:c r="L139" s="103"/>
      <x:c r="M139" s="103"/>
      <x:c r="N139" s="103"/>
      <x:c r="O139" s="103"/>
      <x:c r="P139" s="103"/>
      <x:c r="Q139" s="103"/>
      <x:c r="R139" s="103"/>
      <x:c r="S139" s="103"/>
      <x:c r="T139" s="103"/>
      <x:c r="U139" s="103"/>
    </x:row>
    <x:row r="140" ht="24" customHeight="1">
      <x:c r="A140" s="103"/>
      <x:c r="B140" s="103"/>
      <x:c r="C140" s="103" t="str">
        <x:f>"FY2017 to FY2026 actuals are the regression sample. FY2016 is opening-balance context only."</x:f>
        <x:v>FY2017 to FY2026 actuals are the regression sample. FY2016 is opening-balance context only.</x:v>
      </x:c>
      <x:c r="D140" s="103"/>
      <x:c r="E140" s="103"/>
      <x:c r="F140" s="103"/>
      <x:c r="G140" s="103"/>
      <x:c r="H140" s="103"/>
      <x:c r="I140" s="103"/>
      <x:c r="J140" s="103"/>
      <x:c r="K140" s="103"/>
      <x:c r="L140" s="103"/>
      <x:c r="M140" s="103"/>
      <x:c r="N140" s="103"/>
      <x:c r="O140" s="103"/>
      <x:c r="P140" s="103"/>
      <x:c r="Q140" s="103"/>
      <x:c r="R140" s="103"/>
      <x:c r="S140" s="103"/>
      <x:c r="T140" s="103"/>
      <x:c r="U140" s="103"/>
    </x:row>
    <x:row r="141" ht="24" customHeight="1">
      <x:c r="A141" s="103"/>
      <x:c r="B141" s="103"/>
      <x:c r="C141" s="103"/>
      <x:c r="D141" s="103"/>
      <x:c r="E141" s="103"/>
      <x:c r="F141" s="103"/>
      <x:c r="G141" s="103"/>
      <x:c r="H141" s="103"/>
      <x:c r="I141" s="103"/>
      <x:c r="J141" s="103"/>
      <x:c r="K141" s="103"/>
      <x:c r="L141" s="103"/>
      <x:c r="M141" s="103"/>
      <x:c r="N141" s="103"/>
      <x:c r="O141" s="103"/>
      <x:c r="P141" s="103"/>
      <x:c r="Q141" s="103"/>
      <x:c r="R141" s="103"/>
      <x:c r="S141" s="103"/>
      <x:c r="T141" s="103"/>
      <x:c r="U141" s="103"/>
    </x:row>
    <x:row r="142" ht="24" customHeight="1">
      <x:c r="A142" s="103"/>
      <x:c r="B142" s="103"/>
      <x:c r="C142" s="103"/>
      <x:c r="D142" s="103"/>
      <x:c r="E142" s="103"/>
      <x:c r="F142" s="103"/>
      <x:c r="G142" s="103"/>
      <x:c r="H142" s="103"/>
      <x:c r="I142" s="103"/>
      <x:c r="J142" s="103"/>
      <x:c r="K142" s="103"/>
      <x:c r="L142" s="103"/>
      <x:c r="M142" s="103"/>
      <x:c r="N142" s="103"/>
      <x:c r="O142" s="103"/>
      <x:c r="P142" s="103"/>
      <x:c r="Q142" s="103"/>
      <x:c r="R142" s="103"/>
      <x:c r="S142" s="103"/>
      <x:c r="T142" s="103"/>
      <x:c r="U142" s="103"/>
    </x:row>
    <x:row r="143" ht="24" customHeight="1">
      <x:c r="A143" s="103"/>
      <x:c r="B143" s="103"/>
      <x:c r="C143" s="103"/>
      <x:c r="D143" s="103"/>
      <x:c r="E143" s="103"/>
      <x:c r="F143" s="103"/>
      <x:c r="G143" s="103"/>
      <x:c r="H143" s="103"/>
      <x:c r="I143" s="103"/>
      <x:c r="J143" s="103"/>
      <x:c r="K143" s="103"/>
      <x:c r="L143" s="103"/>
      <x:c r="M143" s="103"/>
      <x:c r="N143" s="103"/>
      <x:c r="O143" s="103"/>
      <x:c r="P143" s="103"/>
      <x:c r="Q143" s="103"/>
      <x:c r="R143" s="103"/>
      <x:c r="S143" s="103"/>
      <x:c r="T143" s="103"/>
      <x:c r="U143" s="103"/>
    </x:row>
    <x:row r="144" ht="24" customHeight="1">
      <x:c r="A144" s="103"/>
      <x:c r="B144" s="103"/>
      <x:c r="C144" s="103"/>
      <x:c r="D144" s="103"/>
      <x:c r="E144" s="103"/>
      <x:c r="F144" s="103"/>
      <x:c r="G144" s="103"/>
      <x:c r="H144" s="103"/>
      <x:c r="I144" s="103"/>
      <x:c r="J144" s="103"/>
      <x:c r="K144" s="103"/>
      <x:c r="L144" s="103"/>
      <x:c r="M144" s="103"/>
      <x:c r="N144" s="103"/>
      <x:c r="O144" s="103"/>
      <x:c r="P144" s="103"/>
      <x:c r="Q144" s="103"/>
      <x:c r="R144" s="103"/>
      <x:c r="S144" s="103"/>
      <x:c r="T144" s="103"/>
      <x:c r="U144" s="103"/>
    </x:row>
    <x:row r="145" ht="24" customHeight="1">
      <x:c r="A145" s="103"/>
      <x:c r="B145" s="103"/>
      <x:c r="C145" s="103"/>
      <x:c r="D145" s="103"/>
      <x:c r="E145" s="103"/>
      <x:c r="F145" s="103"/>
      <x:c r="G145" s="103"/>
      <x:c r="H145" s="103"/>
      <x:c r="I145" s="103"/>
      <x:c r="J145" s="103"/>
      <x:c r="K145" s="103"/>
      <x:c r="L145" s="103"/>
      <x:c r="M145" s="103"/>
      <x:c r="N145" s="103"/>
      <x:c r="O145" s="103"/>
      <x:c r="P145" s="103"/>
      <x:c r="Q145" s="103"/>
      <x:c r="R145" s="103"/>
      <x:c r="S145" s="103"/>
      <x:c r="T145" s="103"/>
      <x:c r="U145" s="103"/>
    </x:row>
    <x:row r="146" ht="24" customHeight="1">
      <x:c r="A146" s="103"/>
      <x:c r="B146" s="103"/>
      <x:c r="C146" s="103"/>
      <x:c r="D146" s="103"/>
      <x:c r="E146" s="103"/>
      <x:c r="F146" s="103"/>
      <x:c r="G146" s="103"/>
      <x:c r="H146" s="103"/>
      <x:c r="I146" s="103"/>
      <x:c r="J146" s="103"/>
      <x:c r="K146" s="103"/>
      <x:c r="L146" s="103"/>
      <x:c r="M146" s="103"/>
      <x:c r="N146" s="103"/>
      <x:c r="O146" s="103"/>
      <x:c r="P146" s="103"/>
      <x:c r="Q146" s="103"/>
      <x:c r="R146" s="103"/>
      <x:c r="S146" s="103"/>
      <x:c r="T146" s="103"/>
      <x:c r="U146" s="103"/>
    </x:row>
    <x:row r="147" ht="24" customHeight="1">
      <x:c r="A147" s="103"/>
      <x:c r="B147" s="103"/>
      <x:c r="C147" s="103"/>
      <x:c r="D147" s="103"/>
      <x:c r="E147" s="103"/>
      <x:c r="F147" s="103"/>
      <x:c r="G147" s="103"/>
      <x:c r="H147" s="103"/>
      <x:c r="I147" s="103"/>
      <x:c r="J147" s="103"/>
      <x:c r="K147" s="103"/>
      <x:c r="L147" s="103"/>
      <x:c r="M147" s="103"/>
      <x:c r="N147" s="103"/>
      <x:c r="O147" s="103"/>
      <x:c r="P147" s="103"/>
      <x:c r="Q147" s="103"/>
      <x:c r="R147" s="103"/>
      <x:c r="S147" s="103"/>
      <x:c r="T147" s="103"/>
      <x:c r="U147" s="103"/>
    </x:row>
    <x:row r="148" ht="24" customHeight="1">
      <x:c r="A148" s="103"/>
      <x:c r="B148" s="103"/>
      <x:c r="C148" s="103"/>
      <x:c r="D148" s="103"/>
      <x:c r="E148" s="103"/>
      <x:c r="F148" s="103"/>
      <x:c r="G148" s="103"/>
      <x:c r="H148" s="103"/>
      <x:c r="I148" s="103"/>
      <x:c r="J148" s="103"/>
      <x:c r="K148" s="103"/>
      <x:c r="L148" s="103"/>
      <x:c r="M148" s="103"/>
      <x:c r="N148" s="103"/>
      <x:c r="O148" s="103"/>
      <x:c r="P148" s="103"/>
      <x:c r="Q148" s="103"/>
      <x:c r="R148" s="103"/>
      <x:c r="S148" s="103"/>
      <x:c r="T148" s="103"/>
      <x:c r="U148" s="103"/>
    </x:row>
    <x:row r="149" ht="24" customHeight="1">
      <x:c r="A149" s="103"/>
      <x:c r="B149" s="103"/>
      <x:c r="C149" s="103"/>
      <x:c r="D149" s="103"/>
      <x:c r="E149" s="103"/>
      <x:c r="F149" s="103"/>
      <x:c r="G149" s="103"/>
      <x:c r="H149" s="103"/>
      <x:c r="I149" s="103"/>
      <x:c r="J149" s="103"/>
      <x:c r="K149" s="103"/>
      <x:c r="L149" s="103"/>
      <x:c r="M149" s="103"/>
      <x:c r="N149" s="103"/>
      <x:c r="O149" s="103"/>
      <x:c r="P149" s="103"/>
      <x:c r="Q149" s="103"/>
      <x:c r="R149" s="103"/>
      <x:c r="S149" s="103"/>
      <x:c r="T149" s="103"/>
      <x:c r="U149" s="103"/>
    </x:row>
    <x:row r="150" ht="24" customHeight="1">
      <x:c r="A150" s="103"/>
      <x:c r="B150" s="103"/>
      <x:c r="C150" s="103"/>
      <x:c r="D150" s="103"/>
      <x:c r="E150" s="103"/>
      <x:c r="F150" s="103"/>
      <x:c r="G150" s="103"/>
      <x:c r="H150" s="103"/>
      <x:c r="I150" s="103"/>
      <x:c r="J150" s="103"/>
      <x:c r="K150" s="103"/>
      <x:c r="L150" s="103"/>
      <x:c r="M150" s="103"/>
      <x:c r="N150" s="103"/>
      <x:c r="O150" s="103"/>
      <x:c r="P150" s="103"/>
      <x:c r="Q150" s="103"/>
      <x:c r="R150" s="103"/>
      <x:c r="S150" s="103"/>
      <x:c r="T150" s="103"/>
      <x:c r="U150" s="103"/>
    </x:row>
    <x:row r="151" ht="24" customHeight="1">
      <x:c r="A151" s="103"/>
      <x:c r="B151" s="103"/>
      <x:c r="C151" s="103"/>
      <x:c r="D151" s="103"/>
      <x:c r="E151" s="103"/>
      <x:c r="F151" s="103"/>
      <x:c r="G151" s="103"/>
      <x:c r="H151" s="103"/>
      <x:c r="I151" s="103"/>
      <x:c r="J151" s="103"/>
      <x:c r="K151" s="103"/>
      <x:c r="L151" s="103"/>
      <x:c r="M151" s="103"/>
      <x:c r="N151" s="103"/>
      <x:c r="O151" s="103"/>
      <x:c r="P151" s="103"/>
      <x:c r="Q151" s="103"/>
      <x:c r="R151" s="103"/>
      <x:c r="S151" s="103"/>
      <x:c r="T151" s="103"/>
      <x:c r="U151" s="103"/>
    </x:row>
    <x:row r="152" ht="24" customHeight="1">
      <x:c r="A152" s="103"/>
      <x:c r="B152" s="103"/>
      <x:c r="C152" s="103"/>
      <x:c r="D152" s="103"/>
      <x:c r="E152" s="103"/>
      <x:c r="F152" s="103"/>
      <x:c r="G152" s="103"/>
      <x:c r="H152" s="103"/>
      <x:c r="I152" s="103"/>
      <x:c r="J152" s="103"/>
      <x:c r="K152" s="103"/>
      <x:c r="L152" s="103"/>
      <x:c r="M152" s="103"/>
      <x:c r="N152" s="103"/>
      <x:c r="O152" s="103"/>
      <x:c r="P152" s="103"/>
      <x:c r="Q152" s="103"/>
      <x:c r="R152" s="103"/>
      <x:c r="S152" s="103"/>
      <x:c r="T152" s="103"/>
      <x:c r="U152" s="103"/>
    </x:row>
    <x:row r="153" ht="24" customHeight="1">
      <x:c r="A153" s="103"/>
      <x:c r="B153" s="103"/>
      <x:c r="C153" s="103"/>
      <x:c r="D153" s="103"/>
      <x:c r="E153" s="103"/>
      <x:c r="F153" s="103"/>
      <x:c r="G153" s="103"/>
      <x:c r="H153" s="103"/>
      <x:c r="I153" s="103"/>
      <x:c r="J153" s="103"/>
      <x:c r="K153" s="103"/>
      <x:c r="L153" s="103"/>
      <x:c r="M153" s="103"/>
      <x:c r="N153" s="103"/>
      <x:c r="O153" s="103"/>
      <x:c r="P153" s="103"/>
      <x:c r="Q153" s="103"/>
      <x:c r="R153" s="103"/>
      <x:c r="S153" s="103"/>
      <x:c r="T153" s="103"/>
      <x:c r="U153" s="103"/>
    </x:row>
    <x:row r="154" ht="24" customHeight="1">
      <x:c r="A154" s="103"/>
      <x:c r="B154" s="103"/>
      <x:c r="C154" s="103"/>
      <x:c r="D154" s="103"/>
      <x:c r="E154" s="103"/>
      <x:c r="F154" s="103"/>
      <x:c r="G154" s="103"/>
      <x:c r="H154" s="103"/>
      <x:c r="I154" s="103"/>
      <x:c r="J154" s="103"/>
      <x:c r="K154" s="103"/>
      <x:c r="L154" s="103"/>
      <x:c r="M154" s="103"/>
      <x:c r="N154" s="103"/>
      <x:c r="O154" s="103"/>
      <x:c r="P154" s="103"/>
      <x:c r="Q154" s="103"/>
      <x:c r="R154" s="103"/>
      <x:c r="S154" s="103"/>
      <x:c r="T154" s="103"/>
      <x:c r="U154" s="103"/>
    </x:row>
    <x:row r="155" ht="24" customHeight="1">
      <x:c r="A155" s="103"/>
      <x:c r="B155" s="103"/>
      <x:c r="C155" s="103"/>
      <x:c r="D155" s="103"/>
      <x:c r="E155" s="103"/>
      <x:c r="F155" s="103"/>
      <x:c r="G155" s="103"/>
      <x:c r="H155" s="103"/>
      <x:c r="I155" s="103"/>
      <x:c r="J155" s="103"/>
      <x:c r="K155" s="103"/>
      <x:c r="L155" s="103"/>
      <x:c r="M155" s="103"/>
      <x:c r="N155" s="103"/>
      <x:c r="O155" s="103"/>
      <x:c r="P155" s="103"/>
      <x:c r="Q155" s="103"/>
      <x:c r="R155" s="103"/>
      <x:c r="S155" s="103"/>
      <x:c r="T155" s="103"/>
      <x:c r="U155" s="103"/>
    </x:row>
    <x:row r="156" ht="24" customHeight="1">
      <x:c r="A156" s="103"/>
      <x:c r="B156" s="103"/>
      <x:c r="C156" s="103"/>
      <x:c r="D156" s="103"/>
      <x:c r="E156" s="103"/>
      <x:c r="F156" s="103"/>
      <x:c r="G156" s="103"/>
      <x:c r="H156" s="103"/>
      <x:c r="I156" s="103"/>
      <x:c r="J156" s="103"/>
      <x:c r="K156" s="103"/>
      <x:c r="L156" s="103"/>
      <x:c r="M156" s="103"/>
      <x:c r="N156" s="103"/>
      <x:c r="O156" s="103"/>
      <x:c r="P156" s="103"/>
      <x:c r="Q156" s="103"/>
      <x:c r="R156" s="103"/>
      <x:c r="S156" s="103"/>
      <x:c r="T156" s="103"/>
      <x:c r="U156" s="103"/>
    </x:row>
    <x:row r="157" ht="24" customHeight="1">
      <x:c r="A157" s="103"/>
      <x:c r="B157" s="103"/>
      <x:c r="C157" s="103"/>
      <x:c r="D157" s="103"/>
      <x:c r="E157" s="103"/>
      <x:c r="F157" s="103"/>
      <x:c r="G157" s="103"/>
      <x:c r="H157" s="103"/>
      <x:c r="I157" s="103"/>
      <x:c r="J157" s="103"/>
      <x:c r="K157" s="103"/>
      <x:c r="L157" s="103"/>
      <x:c r="M157" s="103"/>
      <x:c r="N157" s="103"/>
      <x:c r="O157" s="103"/>
      <x:c r="P157" s="103"/>
      <x:c r="Q157" s="103"/>
      <x:c r="R157" s="103"/>
      <x:c r="S157" s="103"/>
      <x:c r="T157" s="103"/>
      <x:c r="U157" s="103"/>
    </x:row>
    <x:row r="158" ht="24" customHeight="1">
      <x:c r="A158" s="103"/>
      <x:c r="B158" s="103"/>
      <x:c r="C158" s="103"/>
      <x:c r="D158" s="103"/>
      <x:c r="E158" s="103"/>
      <x:c r="F158" s="103"/>
      <x:c r="G158" s="103"/>
      <x:c r="H158" s="103"/>
      <x:c r="I158" s="103"/>
      <x:c r="J158" s="103"/>
      <x:c r="K158" s="103"/>
      <x:c r="L158" s="103"/>
      <x:c r="M158" s="103"/>
      <x:c r="N158" s="103"/>
      <x:c r="O158" s="103"/>
      <x:c r="P158" s="103"/>
      <x:c r="Q158" s="103"/>
      <x:c r="R158" s="103"/>
      <x:c r="S158" s="103"/>
      <x:c r="T158" s="103"/>
      <x:c r="U158" s="103"/>
    </x:row>
    <x:row r="159" ht="24" customHeight="1">
      <x:c r="A159" s="103"/>
      <x:c r="B159" s="103"/>
      <x:c r="C159" s="103"/>
      <x:c r="D159" s="103"/>
      <x:c r="E159" s="103"/>
      <x:c r="F159" s="103"/>
      <x:c r="G159" s="103"/>
      <x:c r="H159" s="103"/>
      <x:c r="I159" s="103"/>
      <x:c r="J159" s="103"/>
      <x:c r="K159" s="103"/>
      <x:c r="L159" s="103"/>
      <x:c r="M159" s="103"/>
      <x:c r="N159" s="103"/>
      <x:c r="O159" s="103"/>
      <x:c r="P159" s="103"/>
      <x:c r="Q159" s="103"/>
      <x:c r="R159" s="103"/>
      <x:c r="S159" s="103"/>
      <x:c r="T159" s="103"/>
      <x:c r="U159" s="103"/>
    </x:row>
    <x:row r="160" ht="24" customHeight="1">
      <x:c r="A160" s="103"/>
      <x:c r="B160" s="103"/>
      <x:c r="C160" s="103"/>
      <x:c r="D160" s="103"/>
      <x:c r="E160" s="103"/>
      <x:c r="F160" s="103"/>
      <x:c r="G160" s="103"/>
      <x:c r="H160" s="103"/>
      <x:c r="I160" s="103"/>
      <x:c r="J160" s="103"/>
      <x:c r="K160" s="103"/>
      <x:c r="L160" s="103"/>
      <x:c r="M160" s="103"/>
      <x:c r="N160" s="103"/>
      <x:c r="O160" s="103"/>
      <x:c r="P160" s="103"/>
      <x:c r="Q160" s="103"/>
      <x:c r="R160" s="103"/>
      <x:c r="S160" s="103"/>
      <x:c r="T160" s="103"/>
      <x:c r="U160" s="103"/>
    </x:row>
    <x:row r="161" ht="24" customHeight="1">
      <x:c r="A161" s="103"/>
      <x:c r="B161" s="103"/>
      <x:c r="C161" s="103"/>
      <x:c r="D161" s="103"/>
      <x:c r="E161" s="103"/>
      <x:c r="F161" s="103"/>
      <x:c r="G161" s="103"/>
      <x:c r="H161" s="103"/>
      <x:c r="I161" s="103"/>
      <x:c r="J161" s="103"/>
      <x:c r="K161" s="103"/>
      <x:c r="L161" s="103"/>
      <x:c r="M161" s="103"/>
      <x:c r="N161" s="103"/>
      <x:c r="O161" s="103"/>
      <x:c r="P161" s="103"/>
      <x:c r="Q161" s="103"/>
      <x:c r="R161" s="103"/>
      <x:c r="S161" s="103"/>
      <x:c r="T161" s="103"/>
      <x:c r="U161" s="103"/>
    </x:row>
    <x:row r="162" ht="24" customHeight="1">
      <x:c r="A162" s="103"/>
      <x:c r="B162" s="103"/>
      <x:c r="C162" s="103"/>
      <x:c r="D162" s="103"/>
      <x:c r="E162" s="103"/>
      <x:c r="F162" s="103"/>
      <x:c r="G162" s="103"/>
      <x:c r="H162" s="103"/>
      <x:c r="I162" s="103"/>
      <x:c r="J162" s="103"/>
      <x:c r="K162" s="103"/>
      <x:c r="L162" s="103"/>
      <x:c r="M162" s="103"/>
      <x:c r="N162" s="103"/>
      <x:c r="O162" s="103"/>
      <x:c r="P162" s="103"/>
      <x:c r="Q162" s="103"/>
      <x:c r="R162" s="103"/>
      <x:c r="S162" s="103"/>
      <x:c r="T162" s="103"/>
      <x:c r="U162" s="103"/>
    </x:row>
    <x:row r="163" ht="24" customHeight="1">
      <x:c r="A163" s="103"/>
      <x:c r="B163" s="103"/>
      <x:c r="C163" s="103"/>
      <x:c r="D163" s="103"/>
      <x:c r="E163" s="103"/>
      <x:c r="F163" s="103"/>
      <x:c r="G163" s="103"/>
      <x:c r="H163" s="103"/>
      <x:c r="I163" s="103"/>
      <x:c r="J163" s="103"/>
      <x:c r="K163" s="103"/>
      <x:c r="L163" s="103"/>
      <x:c r="M163" s="103"/>
      <x:c r="N163" s="103"/>
      <x:c r="O163" s="103"/>
      <x:c r="P163" s="103"/>
      <x:c r="Q163" s="103"/>
      <x:c r="R163" s="103"/>
      <x:c r="S163" s="103"/>
      <x:c r="T163" s="103"/>
      <x:c r="U163" s="103"/>
    </x:row>
    <x:row r="164" ht="24" customHeight="1">
      <x:c r="A164" s="103"/>
      <x:c r="B164" s="103"/>
      <x:c r="C164" s="123" t="str">
        <x:v>Fiscal year</x:v>
      </x:c>
      <x:c r="D164" s="123" t="str">
        <x:v>Revenue</x:v>
      </x:c>
      <x:c r="E164" s="123" t="str">
        <x:v>CFO</x:v>
      </x:c>
      <x:c r="F164" s="123" t="str">
        <x:v>Cash capex</x:v>
      </x:c>
      <x:c r="G164" s="103"/>
      <x:c r="H164" s="103"/>
      <x:c r="I164" s="103"/>
      <x:c r="J164" s="103"/>
      <x:c r="K164" s="103"/>
      <x:c r="L164" s="103"/>
      <x:c r="M164" s="103"/>
      <x:c r="N164" s="103"/>
      <x:c r="O164" s="103"/>
      <x:c r="P164" s="103"/>
      <x:c r="Q164" s="103"/>
      <x:c r="R164" s="103"/>
      <x:c r="S164" s="103"/>
      <x:c r="T164" s="103"/>
      <x:c r="U164" s="103"/>
    </x:row>
    <x:row r="165" ht="24" customHeight="1">
      <x:c r="A165" s="103"/>
      <x:c r="B165" s="103"/>
      <x:c r="C165" s="103" t="str">
        <x:f>"FY2017 A"</x:f>
        <x:v>FY2017 A</x:v>
      </x:c>
      <x:c r="D165" s="125" t="n">
        <x:f>IF(OR(E9="n.a.",ISBLANK(E9)),"",E9)</x:f>
        <x:v>96571</x:v>
      </x:c>
      <x:c r="E165" s="125" t="n">
        <x:f>IF(OR(E80="n.a.",ISBLANK(E80)),"",E80)</x:f>
        <x:v>39507</x:v>
      </x:c>
      <x:c r="F165" s="125" t="n">
        <x:f>IF(OR(E89="n.a.",ISBLANK(E89)),"",-E89)</x:f>
        <x:v>8129</x:v>
      </x:c>
      <x:c r="G165" s="103"/>
      <x:c r="H165" s="103"/>
      <x:c r="I165" s="103"/>
      <x:c r="J165" s="103"/>
      <x:c r="K165" s="103"/>
      <x:c r="L165" s="103"/>
      <x:c r="M165" s="103"/>
      <x:c r="N165" s="103"/>
      <x:c r="O165" s="103"/>
      <x:c r="P165" s="103"/>
      <x:c r="Q165" s="103"/>
      <x:c r="R165" s="103"/>
      <x:c r="S165" s="103"/>
      <x:c r="T165" s="103"/>
      <x:c r="U165" s="103"/>
    </x:row>
    <x:row r="166" ht="24" customHeight="1">
      <x:c r="A166" s="103"/>
      <x:c r="B166" s="103"/>
      <x:c r="C166" s="103" t="str">
        <x:f>"FY2018 A"</x:f>
        <x:v>FY2018 A</x:v>
      </x:c>
      <x:c r="D166" s="125" t="n">
        <x:f>IF(OR(F9="n.a.",ISBLANK(F9)),"",F9)</x:f>
        <x:v>110360</x:v>
      </x:c>
      <x:c r="E166" s="125" t="n">
        <x:f>IF(OR(F80="n.a.",ISBLANK(F80)),"",F80)</x:f>
        <x:v>43884</x:v>
      </x:c>
      <x:c r="F166" s="125" t="n">
        <x:f>IF(OR(F89="n.a.",ISBLANK(F89)),"",-F89)</x:f>
        <x:v>11632</x:v>
      </x:c>
      <x:c r="G166" s="103"/>
      <x:c r="H166" s="103"/>
      <x:c r="I166" s="103"/>
      <x:c r="J166" s="103"/>
      <x:c r="K166" s="103"/>
      <x:c r="L166" s="103"/>
      <x:c r="M166" s="103"/>
      <x:c r="N166" s="103"/>
      <x:c r="O166" s="103"/>
      <x:c r="P166" s="103"/>
      <x:c r="Q166" s="103"/>
      <x:c r="R166" s="103"/>
      <x:c r="S166" s="103"/>
      <x:c r="T166" s="103"/>
      <x:c r="U166" s="103"/>
    </x:row>
    <x:row r="167" ht="24" customHeight="1">
      <x:c r="A167" s="103"/>
      <x:c r="B167" s="103"/>
      <x:c r="C167" s="103" t="str">
        <x:f>"FY2019 A"</x:f>
        <x:v>FY2019 A</x:v>
      </x:c>
      <x:c r="D167" s="125" t="n">
        <x:f>IF(OR(G9="n.a.",ISBLANK(G9)),"",G9)</x:f>
        <x:v>125843</x:v>
      </x:c>
      <x:c r="E167" s="125" t="n">
        <x:f>IF(OR(G80="n.a.",ISBLANK(G80)),"",G80)</x:f>
        <x:v>52185</x:v>
      </x:c>
      <x:c r="F167" s="125" t="n">
        <x:f>IF(OR(G89="n.a.",ISBLANK(G89)),"",-G89)</x:f>
        <x:v>13925</x:v>
      </x:c>
      <x:c r="G167" s="103"/>
      <x:c r="H167" s="103"/>
      <x:c r="I167" s="103"/>
      <x:c r="J167" s="103"/>
      <x:c r="K167" s="103"/>
      <x:c r="L167" s="103"/>
      <x:c r="M167" s="103"/>
      <x:c r="N167" s="103"/>
      <x:c r="O167" s="103"/>
      <x:c r="P167" s="103"/>
      <x:c r="Q167" s="103"/>
      <x:c r="R167" s="103"/>
      <x:c r="S167" s="103"/>
      <x:c r="T167" s="103"/>
      <x:c r="U167" s="103"/>
    </x:row>
    <x:row r="168" ht="24" customHeight="1">
      <x:c r="A168" s="103"/>
      <x:c r="B168" s="103"/>
      <x:c r="C168" s="103" t="str">
        <x:f>"FY2020 A"</x:f>
        <x:v>FY2020 A</x:v>
      </x:c>
      <x:c r="D168" s="125" t="n">
        <x:f>IF(OR(H9="n.a.",ISBLANK(H9)),"",H9)</x:f>
        <x:v>143015</x:v>
      </x:c>
      <x:c r="E168" s="125" t="n">
        <x:f>IF(OR(H80="n.a.",ISBLANK(H80)),"",H80)</x:f>
        <x:v>60675</x:v>
      </x:c>
      <x:c r="F168" s="125" t="n">
        <x:f>IF(OR(H89="n.a.",ISBLANK(H89)),"",-H89)</x:f>
        <x:v>15441</x:v>
      </x:c>
      <x:c r="G168" s="103"/>
      <x:c r="H168" s="103"/>
      <x:c r="I168" s="103"/>
      <x:c r="J168" s="103"/>
      <x:c r="K168" s="103"/>
      <x:c r="L168" s="103"/>
      <x:c r="M168" s="103"/>
      <x:c r="N168" s="103"/>
      <x:c r="O168" s="103"/>
      <x:c r="P168" s="103"/>
      <x:c r="Q168" s="103"/>
      <x:c r="R168" s="103"/>
      <x:c r="S168" s="103"/>
      <x:c r="T168" s="103"/>
      <x:c r="U168" s="103"/>
    </x:row>
    <x:row r="169" ht="24" customHeight="1">
      <x:c r="A169" s="103"/>
      <x:c r="B169" s="103"/>
      <x:c r="C169" s="103" t="str">
        <x:f>"FY2021 A"</x:f>
        <x:v>FY2021 A</x:v>
      </x:c>
      <x:c r="D169" s="125" t="n">
        <x:f>IF(OR(I9="n.a.",ISBLANK(I9)),"",I9)</x:f>
        <x:v>168088</x:v>
      </x:c>
      <x:c r="E169" s="125" t="n">
        <x:f>IF(OR(I80="n.a.",ISBLANK(I80)),"",I80)</x:f>
        <x:v>76740</x:v>
      </x:c>
      <x:c r="F169" s="125" t="n">
        <x:f>IF(OR(I89="n.a.",ISBLANK(I89)),"",-I89)</x:f>
        <x:v>20622</x:v>
      </x:c>
      <x:c r="G169" s="103"/>
      <x:c r="H169" s="103"/>
      <x:c r="I169" s="103"/>
      <x:c r="J169" s="103"/>
      <x:c r="K169" s="103"/>
      <x:c r="L169" s="103"/>
      <x:c r="M169" s="103"/>
      <x:c r="N169" s="103"/>
      <x:c r="O169" s="103"/>
      <x:c r="P169" s="103"/>
      <x:c r="Q169" s="103"/>
      <x:c r="R169" s="103"/>
      <x:c r="S169" s="103"/>
      <x:c r="T169" s="103"/>
      <x:c r="U169" s="103"/>
    </x:row>
    <x:row r="170" ht="24" customHeight="1">
      <x:c r="A170" s="103"/>
      <x:c r="B170" s="103"/>
      <x:c r="C170" s="103" t="str">
        <x:f>"FY2022 A"</x:f>
        <x:v>FY2022 A</x:v>
      </x:c>
      <x:c r="D170" s="125" t="n">
        <x:f>IF(OR(J9="n.a.",ISBLANK(J9)),"",J9)</x:f>
        <x:v>198270</x:v>
      </x:c>
      <x:c r="E170" s="125" t="n">
        <x:f>IF(OR(J80="n.a.",ISBLANK(J80)),"",J80)</x:f>
        <x:v>89035</x:v>
      </x:c>
      <x:c r="F170" s="125" t="n">
        <x:f>IF(OR(J89="n.a.",ISBLANK(J89)),"",-J89)</x:f>
        <x:v>23886</x:v>
      </x:c>
      <x:c r="G170" s="103"/>
      <x:c r="H170" s="103"/>
      <x:c r="I170" s="103"/>
      <x:c r="J170" s="103"/>
      <x:c r="K170" s="103"/>
      <x:c r="L170" s="103"/>
      <x:c r="M170" s="103"/>
      <x:c r="N170" s="103"/>
      <x:c r="O170" s="103"/>
      <x:c r="P170" s="103"/>
      <x:c r="Q170" s="103"/>
      <x:c r="R170" s="103"/>
      <x:c r="S170" s="103"/>
      <x:c r="T170" s="103"/>
      <x:c r="U170" s="103"/>
    </x:row>
    <x:row r="171" ht="24" customHeight="1">
      <x:c r="A171" s="103"/>
      <x:c r="B171" s="103"/>
      <x:c r="C171" s="103" t="str">
        <x:f>"FY2023 A"</x:f>
        <x:v>FY2023 A</x:v>
      </x:c>
      <x:c r="D171" s="125" t="n">
        <x:f>IF(OR(K9="n.a.",ISBLANK(K9)),"",K9)</x:f>
        <x:v>211915</x:v>
      </x:c>
      <x:c r="E171" s="125" t="n">
        <x:f>IF(OR(K80="n.a.",ISBLANK(K80)),"",K80)</x:f>
        <x:v>87582</x:v>
      </x:c>
      <x:c r="F171" s="125" t="n">
        <x:f>IF(OR(K89="n.a.",ISBLANK(K89)),"",-K89)</x:f>
        <x:v>28107</x:v>
      </x:c>
      <x:c r="G171" s="103"/>
      <x:c r="H171" s="103"/>
      <x:c r="I171" s="103"/>
      <x:c r="J171" s="103"/>
      <x:c r="K171" s="103"/>
      <x:c r="L171" s="103"/>
      <x:c r="M171" s="103"/>
      <x:c r="N171" s="103"/>
      <x:c r="O171" s="103"/>
      <x:c r="P171" s="103"/>
      <x:c r="Q171" s="103"/>
      <x:c r="R171" s="103"/>
      <x:c r="S171" s="103"/>
      <x:c r="T171" s="103"/>
      <x:c r="U171" s="103"/>
    </x:row>
    <x:row r="172" ht="24" customHeight="1">
      <x:c r="A172" s="103"/>
      <x:c r="B172" s="103"/>
      <x:c r="C172" s="103" t="str">
        <x:f>"FY2024 A"</x:f>
        <x:v>FY2024 A</x:v>
      </x:c>
      <x:c r="D172" s="125" t="n">
        <x:f>IF(OR(L9="n.a.",ISBLANK(L9)),"",L9)</x:f>
        <x:v>245122</x:v>
      </x:c>
      <x:c r="E172" s="125" t="n">
        <x:f>IF(OR(L80="n.a.",ISBLANK(L80)),"",L80)</x:f>
        <x:v>118548</x:v>
      </x:c>
      <x:c r="F172" s="125" t="n">
        <x:f>IF(OR(L89="n.a.",ISBLANK(L89)),"",-L89)</x:f>
        <x:v>44477</x:v>
      </x:c>
      <x:c r="G172" s="103"/>
      <x:c r="H172" s="103"/>
      <x:c r="I172" s="103"/>
      <x:c r="J172" s="103"/>
      <x:c r="K172" s="103"/>
      <x:c r="L172" s="103"/>
      <x:c r="M172" s="103"/>
      <x:c r="N172" s="103"/>
      <x:c r="O172" s="103"/>
      <x:c r="P172" s="103"/>
      <x:c r="Q172" s="103"/>
      <x:c r="R172" s="103"/>
      <x:c r="S172" s="103"/>
      <x:c r="T172" s="103"/>
      <x:c r="U172" s="103"/>
    </x:row>
    <x:row r="173" ht="24" customHeight="1">
      <x:c r="A173" s="103"/>
      <x:c r="B173" s="103"/>
      <x:c r="C173" s="103" t="str">
        <x:f>"FY2025 A"</x:f>
        <x:v>FY2025 A</x:v>
      </x:c>
      <x:c r="D173" s="125" t="n">
        <x:f>IF(OR(M9="n.a.",ISBLANK(M9)),"",M9)</x:f>
        <x:v>281724</x:v>
      </x:c>
      <x:c r="E173" s="125" t="n">
        <x:f>IF(OR(M80="n.a.",ISBLANK(M80)),"",M80)</x:f>
        <x:v>136162</x:v>
      </x:c>
      <x:c r="F173" s="125" t="n">
        <x:f>IF(OR(M89="n.a.",ISBLANK(M89)),"",-M89)</x:f>
        <x:v>64551</x:v>
      </x:c>
      <x:c r="G173" s="103"/>
      <x:c r="H173" s="103"/>
      <x:c r="I173" s="103"/>
      <x:c r="J173" s="103"/>
      <x:c r="K173" s="103"/>
      <x:c r="L173" s="103"/>
      <x:c r="M173" s="103"/>
      <x:c r="N173" s="103"/>
      <x:c r="O173" s="103"/>
      <x:c r="P173" s="103"/>
      <x:c r="Q173" s="103"/>
      <x:c r="R173" s="103"/>
      <x:c r="S173" s="103"/>
      <x:c r="T173" s="103"/>
      <x:c r="U173" s="103"/>
    </x:row>
    <x:row r="174" ht="24" customHeight="1">
      <x:c r="A174" s="103"/>
      <x:c r="B174" s="103"/>
      <x:c r="C174" s="103" t="str">
        <x:f>"FY2026 A"</x:f>
        <x:v>FY2026 A</x:v>
      </x:c>
      <x:c r="D174" s="125" t="n">
        <x:f>IF(OR(N9="n.a.",ISBLANK(N9)),"",N9)</x:f>
        <x:v>331839</x:v>
      </x:c>
      <x:c r="E174" s="125" t="n">
        <x:f>IF(OR(N80="n.a.",ISBLANK(N80)),"",N80)</x:f>
        <x:v>182935</x:v>
      </x:c>
      <x:c r="F174" s="125" t="n">
        <x:f>IF(OR(N89="n.a.",ISBLANK(N89)),"",-N89)</x:f>
        <x:v>115948</x:v>
      </x:c>
      <x:c r="G174" s="103"/>
      <x:c r="H174" s="103"/>
      <x:c r="I174" s="103"/>
      <x:c r="J174" s="103"/>
      <x:c r="K174" s="103"/>
      <x:c r="L174" s="103"/>
      <x:c r="M174" s="103"/>
      <x:c r="N174" s="103"/>
      <x:c r="O174" s="103"/>
      <x:c r="P174" s="103"/>
      <x:c r="Q174" s="103"/>
      <x:c r="R174" s="103"/>
      <x:c r="S174" s="103"/>
      <x:c r="T174" s="103"/>
      <x:c r="U174" s="103"/>
    </x:row>
    <x:row r="175" ht="24" customHeight="1">
      <x:c r="A175" s="103"/>
      <x:c r="B175" s="103"/>
      <x:c r="C175" s="103"/>
      <x:c r="D175" s="103"/>
      <x:c r="E175" s="103"/>
      <x:c r="F175" s="103"/>
      <x:c r="G175" s="103"/>
      <x:c r="H175" s="103"/>
      <x:c r="I175" s="103"/>
      <x:c r="J175" s="103"/>
      <x:c r="K175" s="103"/>
      <x:c r="L175" s="103"/>
      <x:c r="M175" s="103"/>
      <x:c r="N175" s="103"/>
      <x:c r="O175" s="103"/>
      <x:c r="P175" s="103"/>
      <x:c r="Q175" s="103"/>
      <x:c r="R175" s="103"/>
      <x:c r="S175" s="103"/>
      <x:c r="T175" s="103"/>
      <x:c r="U175" s="103"/>
    </x:row>
  </x:sheetData>
  <x:mergeCells>
    <x:mergeCell ref="C138:S138"/>
    <x:mergeCell ref="C139:S139"/>
    <x:mergeCell ref="C140:S140"/>
  </x:mergeCells>
  <x:pageMargins left="0.7" right="0.7" top="0.75" bottom="0.75" header="0.3" footer="0.3"/>
  <x:drawing xmlns:r="http://schemas.openxmlformats.org/officeDocument/2006/relationships" r:id="R00f4a22c892e438b"/>
  <x:legacyDrawing xmlns:r="http://schemas.openxmlformats.org/officeDocument/2006/relationships" r:id="R124a1c148a8f40a1"/>
</x:worksheet>
</file>

<file path=xl/worksheets/sheet18.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Filing Notes</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x:c r="D4" s="103"/>
      <x:c r="E4" s="103"/>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ppe depreciation</x:v>
      </x:c>
      <x:c r="D8" s="103"/>
      <x:c r="E8" s="166" t="n">
        <x:v>6100</x:v>
      </x:c>
      <x:c r="F8" s="166" t="n">
        <x:v>7700</x:v>
      </x:c>
      <x:c r="G8" s="166" t="n">
        <x:v>9700</x:v>
      </x:c>
      <x:c r="H8" s="166" t="n">
        <x:v>10700</x:v>
      </x:c>
      <x:c r="I8" s="166" t="n">
        <x:v>9300</x:v>
      </x:c>
      <x:c r="J8" s="166" t="n">
        <x:v>12600</x:v>
      </x:c>
      <x:c r="K8" s="166" t="n">
        <x:v>11000</x:v>
      </x:c>
      <x:c r="L8" s="166" t="n">
        <x:v>15200</x:v>
      </x:c>
      <x:c r="M8" s="166" t="n">
        <x:v>22000</x:v>
      </x:c>
      <x:c r="N8" s="166" t="n">
        <x:v>34300</x:v>
      </x:c>
      <x:c r="O8" s="109"/>
      <x:c r="P8" s="109"/>
      <x:c r="Q8" s="109"/>
      <x:c r="R8" s="109"/>
      <x:c r="S8" s="109"/>
      <x:c r="T8" s="103"/>
      <x:c r="U8" s="103"/>
    </x:row>
    <x:row r="9" ht="24" customHeight="1">
      <x:c r="A9" s="103"/>
      <x:c r="B9" s="103"/>
      <x:c r="C9" s="103" t="str">
        <x:v>intangible amortization</x:v>
      </x:c>
      <x:c r="D9" s="103"/>
      <x:c r="E9" s="166" t="n">
        <x:v>1700</x:v>
      </x:c>
      <x:c r="F9" s="166" t="n">
        <x:v>2200</x:v>
      </x:c>
      <x:c r="G9" s="166" t="n">
        <x:v>1900</x:v>
      </x:c>
      <x:c r="H9" s="166" t="n">
        <x:v>1600</x:v>
      </x:c>
      <x:c r="I9" s="166" t="n">
        <x:v>1600</x:v>
      </x:c>
      <x:c r="J9" s="166" t="n">
        <x:v>2000</x:v>
      </x:c>
      <x:c r="K9" s="166" t="n">
        <x:v>2500</x:v>
      </x:c>
      <x:c r="L9" s="166" t="n">
        <x:v>4800</x:v>
      </x:c>
      <x:c r="M9" s="166" t="n">
        <x:v>6000</x:v>
      </x:c>
      <x:c r="N9" s="166" t="n">
        <x:v>4700</x:v>
      </x:c>
      <x:c r="O9" s="109"/>
      <x:c r="P9" s="109"/>
      <x:c r="Q9" s="109"/>
      <x:c r="R9" s="109"/>
      <x:c r="S9" s="109"/>
      <x:c r="T9" s="103"/>
      <x:c r="U9" s="103"/>
    </x:row>
    <x:row r="10" ht="24" customHeight="1">
      <x:c r="A10" s="103"/>
      <x:c r="B10" s="103"/>
      <x:c r="C10" s="103" t="str">
        <x:v>ppe gross</x:v>
      </x:c>
      <x:c r="D10" s="103"/>
      <x:c r="E10" s="166" t="n">
        <x:v>47913</x:v>
      </x:c>
      <x:c r="F10" s="166" t="n">
        <x:v>58683</x:v>
      </x:c>
      <x:c r="G10" s="166" t="n">
        <x:v>71807</x:v>
      </x:c>
      <x:c r="H10" s="166" t="n">
        <x:v>87348</x:v>
      </x:c>
      <x:c r="I10" s="166" t="n">
        <x:v>111066</x:v>
      </x:c>
      <x:c r="J10" s="166" t="n">
        <x:v>134058</x:v>
      </x:c>
      <x:c r="K10" s="166" t="n">
        <x:v>163892</x:v>
      </x:c>
      <x:c r="L10" s="166" t="n">
        <x:v>212012</x:v>
      </x:c>
      <x:c r="M10" s="166" t="n">
        <x:v>298619</x:v>
      </x:c>
      <x:c r="N10" s="166" t="n">
        <x:v>431767</x:v>
      </x:c>
      <x:c r="O10" s="109"/>
      <x:c r="P10" s="109"/>
      <x:c r="Q10" s="109"/>
      <x:c r="R10" s="109"/>
      <x:c r="S10" s="109"/>
      <x:c r="T10" s="103"/>
      <x:c r="U10" s="103"/>
    </x:row>
    <x:row r="11" ht="24" customHeight="1">
      <x:c r="A11" s="103"/>
      <x:c r="B11" s="103"/>
      <x:c r="C11" s="103" t="str">
        <x:v>accumulated depreciation</x:v>
      </x:c>
      <x:c r="D11" s="103"/>
      <x:c r="E11" s="166" t="n">
        <x:v>24179</x:v>
      </x:c>
      <x:c r="F11" s="166" t="n">
        <x:v>29223</x:v>
      </x:c>
      <x:c r="G11" s="166" t="n">
        <x:v>35330</x:v>
      </x:c>
      <x:c r="H11" s="166" t="n">
        <x:v>43197</x:v>
      </x:c>
      <x:c r="I11" s="166" t="n">
        <x:v>51351</x:v>
      </x:c>
      <x:c r="J11" s="166" t="n">
        <x:v>59660</x:v>
      </x:c>
      <x:c r="K11" s="166" t="n">
        <x:v>68251</x:v>
      </x:c>
      <x:c r="L11" s="166" t="n">
        <x:v>76421</x:v>
      </x:c>
      <x:c r="M11" s="166" t="n">
        <x:v>93653</x:v>
      </x:c>
      <x:c r="N11" s="166" t="n">
        <x:v>118691</x:v>
      </x:c>
      <x:c r="O11" s="109"/>
      <x:c r="P11" s="109"/>
      <x:c r="Q11" s="109"/>
      <x:c r="R11" s="109"/>
      <x:c r="S11" s="109"/>
      <x:c r="T11" s="103"/>
      <x:c r="U11" s="103"/>
    </x:row>
    <x:row r="12" ht="24" customHeight="1">
      <x:c r="A12" s="103"/>
      <x:c r="B12" s="103"/>
      <x:c r="C12" s="103" t="str">
        <x:v>finance lease liab</x:v>
      </x:c>
      <x:c r="D12" s="103"/>
      <x:c r="E12" s="166" t="n">
        <x:v>2538</x:v>
      </x:c>
      <x:c r="F12" s="166" t="n">
        <x:v>4301</x:v>
      </x:c>
      <x:c r="G12" s="166" t="n">
        <x:v>6574</x:v>
      </x:c>
      <x:c r="H12" s="166" t="n">
        <x:v>9496</x:v>
      </x:c>
      <x:c r="I12" s="166" t="n">
        <x:v>12541</x:v>
      </x:c>
      <x:c r="J12" s="166" t="n">
        <x:v>14902</x:v>
      </x:c>
      <x:c r="K12" s="166" t="n">
        <x:v>17067</x:v>
      </x:c>
      <x:c r="L12" s="166" t="n">
        <x:v>27145</x:v>
      </x:c>
      <x:c r="M12" s="166" t="n">
        <x:v>46172</x:v>
      </x:c>
      <x:c r="N12" s="166" t="n">
        <x:v>66594</x:v>
      </x:c>
      <x:c r="O12" s="109"/>
      <x:c r="P12" s="109"/>
      <x:c r="Q12" s="109"/>
      <x:c r="R12" s="109"/>
      <x:c r="S12" s="109"/>
      <x:c r="T12" s="103"/>
      <x:c r="U12" s="103"/>
    </x:row>
    <x:row r="13" ht="24" customHeight="1">
      <x:c r="A13" s="103"/>
      <x:c r="B13" s="103"/>
      <x:c r="C13" s="103" t="str">
        <x:v>finance lease principal</x:v>
      </x:c>
      <x:c r="D13" s="103"/>
      <x:c r="E13" s="166" t="n">
        <x:v>46</x:v>
      </x:c>
      <x:c r="F13" s="166" t="n">
        <x:v>144</x:v>
      </x:c>
      <x:c r="G13" s="166" t="n">
        <x:v>221</x:v>
      </x:c>
      <x:c r="H13" s="166" t="n">
        <x:v>409</x:v>
      </x:c>
      <x:c r="I13" s="166" t="n">
        <x:v>648</x:v>
      </x:c>
      <x:c r="J13" s="166" t="n">
        <x:v>896</x:v>
      </x:c>
      <x:c r="K13" s="166" t="n">
        <x:v>1056</x:v>
      </x:c>
      <x:c r="L13" s="166" t="n">
        <x:v>1286</x:v>
      </x:c>
      <x:c r="M13" s="166" t="n">
        <x:v>2283</x:v>
      </x:c>
      <x:c r="N13" s="166" t="n">
        <x:v>3101</x:v>
      </x:c>
      <x:c r="O13" s="109"/>
      <x:c r="P13" s="109"/>
      <x:c r="Q13" s="109"/>
      <x:c r="R13" s="109"/>
      <x:c r="S13" s="109"/>
      <x:c r="T13" s="103"/>
      <x:c r="U13" s="103"/>
    </x:row>
    <x:row r="14" ht="24" customHeight="1">
      <x:c r="A14" s="103"/>
      <x:c r="B14" s="103"/>
      <x:c r="C14" s="103" t="str">
        <x:v>finance lease additions</x:v>
      </x:c>
      <x:c r="D14" s="103"/>
      <x:c r="E14" s="166" t="n">
        <x:v>1773</x:v>
      </x:c>
      <x:c r="F14" s="166" t="n">
        <x:v>1933</x:v>
      </x:c>
      <x:c r="G14" s="166" t="n">
        <x:v>2532</x:v>
      </x:c>
      <x:c r="H14" s="166" t="n">
        <x:v>3467</x:v>
      </x:c>
      <x:c r="I14" s="166" t="n">
        <x:v>3290</x:v>
      </x:c>
      <x:c r="J14" s="166" t="n">
        <x:v>4234</x:v>
      </x:c>
      <x:c r="K14" s="166" t="n">
        <x:v>3128</x:v>
      </x:c>
      <x:c r="L14" s="166" t="n">
        <x:v>11633</x:v>
      </x:c>
      <x:c r="M14" s="166" t="n">
        <x:v>20511</x:v>
      </x:c>
      <x:c r="N14" s="166" t="n">
        <x:v>24608</x:v>
      </x:c>
      <x:c r="O14" s="109"/>
      <x:c r="P14" s="109"/>
      <x:c r="Q14" s="109"/>
      <x:c r="R14" s="109"/>
      <x:c r="S14" s="109"/>
      <x:c r="T14" s="103"/>
      <x:c r="U14" s="103"/>
    </x:row>
    <x:row r="15" ht="24" customHeight="1">
      <x:c r="A15" s="103"/>
      <x:c r="B15" s="103"/>
      <x:c r="C15" s="103" t="str">
        <x:v>operating lease liab</x:v>
      </x:c>
      <x:c r="D15" s="103"/>
      <x:c r="E15" s="166" t="n">
        <x:v>6795</x:v>
      </x:c>
      <x:c r="F15" s="166" t="n">
        <x:v>6967</x:v>
      </x:c>
      <x:c r="G15" s="166" t="n">
        <x:v>7703</x:v>
      </x:c>
      <x:c r="H15" s="166" t="n">
        <x:v>9287</x:v>
      </x:c>
      <x:c r="I15" s="166" t="n">
        <x:v>11591</x:v>
      </x:c>
      <x:c r="J15" s="166" t="n">
        <x:v>13717</x:v>
      </x:c>
      <x:c r="K15" s="166" t="n">
        <x:v>15137</x:v>
      </x:c>
      <x:c r="L15" s="166" t="n">
        <x:v>19077</x:v>
      </x:c>
      <x:c r="M15" s="166" t="n">
        <x:v>22861</x:v>
      </x:c>
      <x:c r="N15" s="166" t="n">
        <x:v>21925</x:v>
      </x:c>
      <x:c r="O15" s="109"/>
      <x:c r="P15" s="109"/>
      <x:c r="Q15" s="109"/>
      <x:c r="R15" s="109"/>
      <x:c r="S15" s="109"/>
      <x:c r="T15" s="103"/>
      <x:c r="U15" s="103"/>
    </x:row>
    <x:row r="16" ht="24" customHeight="1">
      <x:c r="A16" s="103"/>
      <x:c r="B16" s="103"/>
      <x:c r="C16" s="103" t="str">
        <x:v>operating lease additions</x:v>
      </x:c>
      <x:c r="D16" s="103"/>
      <x:c r="E16" s="166" t="n">
        <x:v>1270</x:v>
      </x:c>
      <x:c r="F16" s="166" t="n">
        <x:v>1571</x:v>
      </x:c>
      <x:c r="G16" s="166" t="n">
        <x:v>2303</x:v>
      </x:c>
      <x:c r="H16" s="166" t="n">
        <x:v>3677</x:v>
      </x:c>
      <x:c r="I16" s="166" t="n">
        <x:v>4380</x:v>
      </x:c>
      <x:c r="J16" s="166" t="n">
        <x:v>5268</x:v>
      </x:c>
      <x:c r="K16" s="166" t="n">
        <x:v>3514</x:v>
      </x:c>
      <x:c r="L16" s="166" t="n">
        <x:v>6703</x:v>
      </x:c>
      <x:c r="M16" s="166" t="n">
        <x:v>7826</x:v>
      </x:c>
      <x:c r="N16" s="166" t="n">
        <x:v>4555</x:v>
      </x:c>
      <x:c r="O16" s="109"/>
      <x:c r="P16" s="109"/>
      <x:c r="Q16" s="109"/>
      <x:c r="R16" s="109"/>
      <x:c r="S16" s="109"/>
      <x:c r="T16" s="103"/>
      <x:c r="U16" s="103"/>
    </x:row>
    <x:row r="17" ht="24" customHeight="1">
      <x:c r="A17" s="103"/>
      <x:c r="B17" s="103"/>
      <x:c r="C17" s="103" t="str">
        <x:v>operating lease cost</x:v>
      </x:c>
      <x:c r="D17" s="103"/>
      <x:c r="E17" s="166" t="n">
        <x:v>1412</x:v>
      </x:c>
      <x:c r="F17" s="166" t="n">
        <x:v>1585</x:v>
      </x:c>
      <x:c r="G17" s="166" t="n">
        <x:v>1707</x:v>
      </x:c>
      <x:c r="H17" s="166" t="n">
        <x:v>2043</x:v>
      </x:c>
      <x:c r="I17" s="166" t="n">
        <x:v>2127</x:v>
      </x:c>
      <x:c r="J17" s="166" t="n">
        <x:v>2461</x:v>
      </x:c>
      <x:c r="K17" s="166" t="n">
        <x:v>2875</x:v>
      </x:c>
      <x:c r="L17" s="166" t="n">
        <x:v>3555</x:v>
      </x:c>
      <x:c r="M17" s="166" t="n">
        <x:v>5524</x:v>
      </x:c>
      <x:c r="N17" s="166" t="n">
        <x:v>6968</x:v>
      </x:c>
      <x:c r="O17" s="109"/>
      <x:c r="P17" s="109"/>
      <x:c r="Q17" s="109"/>
      <x:c r="R17" s="109"/>
      <x:c r="S17" s="109"/>
      <x:c r="T17" s="103"/>
      <x:c r="U17" s="103"/>
    </x:row>
    <x:row r="18" ht="24" customHeight="1">
      <x:c r="A18" s="103"/>
      <x:c r="B18" s="103"/>
      <x:c r="C18" s="103" t="str">
        <x:v>interest expense</x:v>
      </x:c>
      <x:c r="D18" s="103"/>
      <x:c r="E18" s="109" t="str">
        <x:v>n.a.</x:v>
      </x:c>
      <x:c r="F18" s="109" t="str">
        <x:v>n.a.</x:v>
      </x:c>
      <x:c r="G18" s="109" t="str">
        <x:v>n.a.</x:v>
      </x:c>
      <x:c r="H18" s="109" t="str">
        <x:v>n.a.</x:v>
      </x:c>
      <x:c r="I18" s="109" t="str">
        <x:v>n.a.</x:v>
      </x:c>
      <x:c r="J18" s="109" t="str">
        <x:v>n.a.</x:v>
      </x:c>
      <x:c r="K18" s="166" t="n">
        <x:v>1968</x:v>
      </x:c>
      <x:c r="L18" s="166" t="n">
        <x:v>2935</x:v>
      </x:c>
      <x:c r="M18" s="166" t="n">
        <x:v>2385</x:v>
      </x:c>
      <x:c r="N18" s="166" t="n">
        <x:v>3051</x:v>
      </x:c>
      <x:c r="O18" s="109"/>
      <x:c r="P18" s="109"/>
      <x:c r="Q18" s="109"/>
      <x:c r="R18" s="109"/>
      <x:c r="S18" s="109"/>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3"/>
      <x:c r="D20" s="103"/>
      <x:c r="E20" s="103"/>
      <x:c r="F20" s="103"/>
      <x:c r="G20" s="103"/>
      <x:c r="H20" s="103"/>
      <x:c r="I20" s="103"/>
      <x:c r="J20" s="103"/>
      <x:c r="K20" s="103"/>
      <x:c r="L20" s="103"/>
      <x:c r="M20" s="103"/>
      <x:c r="N20" s="103"/>
      <x:c r="O20" s="103"/>
      <x:c r="P20" s="103"/>
      <x:c r="Q20" s="103"/>
      <x:c r="R20" s="103"/>
      <x:c r="S20" s="103"/>
      <x:c r="T20" s="103"/>
      <x:c r="U20" s="103"/>
    </x:row>
    <x:row r="21" ht="24" customHeight="1">
      <x:c r="A21" s="103"/>
      <x:c r="B21" s="103"/>
      <x:c r="C21" s="136" t="str">
        <x:v>FY2026 additional disclosures</x:v>
      </x:c>
      <x:c r="D21" s="136"/>
      <x:c r="E21" s="136"/>
      <x:c r="F21" s="136"/>
      <x:c r="G21" s="136"/>
      <x:c r="H21" s="136"/>
      <x:c r="I21" s="136"/>
      <x:c r="J21" s="136"/>
      <x:c r="K21" s="136"/>
      <x:c r="L21" s="136"/>
      <x:c r="M21" s="136"/>
      <x:c r="N21" s="136"/>
      <x:c r="O21" s="136"/>
      <x:c r="P21" s="136"/>
      <x:c r="Q21" s="136"/>
      <x:c r="R21" s="136"/>
      <x:c r="S21" s="136"/>
      <x:c r="T21" s="103"/>
      <x:c r="U21" s="103"/>
    </x:row>
    <x:row r="22" ht="24" customHeight="1">
      <x:c r="A22" s="103"/>
      <x:c r="B22" s="103"/>
      <x:c r="C22" s="103" t="str">
        <x:v>land</x:v>
      </x:c>
      <x:c r="D22" s="103"/>
      <x:c r="E22" s="109"/>
      <x:c r="F22" s="109"/>
      <x:c r="G22" s="109"/>
      <x:c r="H22" s="109"/>
      <x:c r="I22" s="109"/>
      <x:c r="J22" s="109"/>
      <x:c r="K22" s="109"/>
      <x:c r="L22" s="109"/>
      <x:c r="M22" s="109"/>
      <x:c r="N22" s="166" t="n">
        <x:v>10546</x:v>
      </x:c>
      <x:c r="O22" s="109"/>
      <x:c r="P22" s="109"/>
      <x:c r="Q22" s="109"/>
      <x:c r="R22" s="109"/>
      <x:c r="S22" s="109"/>
      <x:c r="T22" s="103"/>
      <x:c r="U22" s="103"/>
    </x:row>
    <x:row r="23" ht="24" customHeight="1">
      <x:c r="A23" s="103"/>
      <x:c r="B23" s="103"/>
      <x:c r="C23" s="103" t="str">
        <x:v>capex payables</x:v>
      </x:c>
      <x:c r="D23" s="103"/>
      <x:c r="E23" s="109"/>
      <x:c r="F23" s="109"/>
      <x:c r="G23" s="109"/>
      <x:c r="H23" s="109"/>
      <x:c r="I23" s="109"/>
      <x:c r="J23" s="109"/>
      <x:c r="K23" s="109"/>
      <x:c r="L23" s="109"/>
      <x:c r="M23" s="109"/>
      <x:c r="N23" s="166" t="n">
        <x:v>26700</x:v>
      </x:c>
      <x:c r="O23" s="109"/>
      <x:c r="P23" s="109"/>
      <x:c r="Q23" s="109"/>
      <x:c r="R23" s="109"/>
      <x:c r="S23" s="109"/>
      <x:c r="T23" s="103"/>
      <x:c r="U23" s="103"/>
    </x:row>
    <x:row r="24" ht="24" customHeight="1">
      <x:c r="A24" s="103"/>
      <x:c r="B24" s="103"/>
      <x:c r="C24" s="103" t="str">
        <x:v>debt face</x:v>
      </x:c>
      <x:c r="D24" s="103"/>
      <x:c r="E24" s="109"/>
      <x:c r="F24" s="109"/>
      <x:c r="G24" s="109"/>
      <x:c r="H24" s="109"/>
      <x:c r="I24" s="109"/>
      <x:c r="J24" s="109"/>
      <x:c r="K24" s="109"/>
      <x:c r="L24" s="109"/>
      <x:c r="M24" s="109"/>
      <x:c r="N24" s="166" t="n">
        <x:v>46136</x:v>
      </x:c>
      <x:c r="O24" s="109"/>
      <x:c r="P24" s="109"/>
      <x:c r="Q24" s="109"/>
      <x:c r="R24" s="109"/>
      <x:c r="S24" s="109"/>
      <x:c r="T24" s="103"/>
      <x:c r="U24" s="103"/>
    </x:row>
    <x:row r="25" ht="24" customHeight="1">
      <x:c r="A25" s="103"/>
      <x:c r="B25" s="103"/>
      <x:c r="C25" s="103" t="str">
        <x:v>debt discount</x:v>
      </x:c>
      <x:c r="D25" s="103"/>
      <x:c r="E25" s="109"/>
      <x:c r="F25" s="109"/>
      <x:c r="G25" s="109"/>
      <x:c r="H25" s="109"/>
      <x:c r="I25" s="109"/>
      <x:c r="J25" s="109"/>
      <x:c r="K25" s="109"/>
      <x:c r="L25" s="109"/>
      <x:c r="M25" s="109"/>
      <x:c r="N25" s="166" t="n">
        <x:v>1081</x:v>
      </x:c>
      <x:c r="O25" s="109"/>
      <x:c r="P25" s="109"/>
      <x:c r="Q25" s="109"/>
      <x:c r="R25" s="109"/>
      <x:c r="S25" s="109"/>
      <x:c r="T25" s="103"/>
      <x:c r="U25" s="103"/>
    </x:row>
    <x:row r="26" ht="24" customHeight="1">
      <x:c r="A26" s="103"/>
      <x:c r="B26" s="103"/>
      <x:c r="C26" s="103" t="str">
        <x:v>debt hedge adjustment</x:v>
      </x:c>
      <x:c r="D26" s="103"/>
      <x:c r="E26" s="109"/>
      <x:c r="F26" s="109"/>
      <x:c r="G26" s="109"/>
      <x:c r="H26" s="109"/>
      <x:c r="I26" s="109"/>
      <x:c r="J26" s="109"/>
      <x:c r="K26" s="109"/>
      <x:c r="L26" s="109"/>
      <x:c r="M26" s="109"/>
      <x:c r="N26" s="166" t="n">
        <x:v>11</x:v>
      </x:c>
      <x:c r="O26" s="109"/>
      <x:c r="P26" s="109"/>
      <x:c r="Q26" s="109"/>
      <x:c r="R26" s="109"/>
      <x:c r="S26" s="109"/>
      <x:c r="T26" s="103"/>
      <x:c r="U26" s="103"/>
    </x:row>
    <x:row r="27" ht="24" customHeight="1">
      <x:c r="A27" s="103"/>
      <x:c r="B27" s="103"/>
      <x:c r="C27" s="103" t="str">
        <x:v>debt exchange premium</x:v>
      </x:c>
      <x:c r="D27" s="103"/>
      <x:c r="E27" s="109"/>
      <x:c r="F27" s="109"/>
      <x:c r="G27" s="109"/>
      <x:c r="H27" s="109"/>
      <x:c r="I27" s="109"/>
      <x:c r="J27" s="109"/>
      <x:c r="K27" s="109"/>
      <x:c r="L27" s="109"/>
      <x:c r="M27" s="109"/>
      <x:c r="N27" s="166" t="n">
        <x:v>4750</x:v>
      </x:c>
      <x:c r="O27" s="109"/>
      <x:c r="P27" s="109"/>
      <x:c r="Q27" s="109"/>
      <x:c r="R27" s="109"/>
      <x:c r="S27" s="109"/>
      <x:c r="T27" s="103"/>
      <x:c r="U27" s="103"/>
    </x:row>
    <x:row r="28" ht="24" customHeight="1">
      <x:c r="A28" s="103"/>
      <x:c r="B28" s="103"/>
      <x:c r="C28" s="103" t="str">
        <x:v>op lease current</x:v>
      </x:c>
      <x:c r="D28" s="103"/>
      <x:c r="E28" s="109"/>
      <x:c r="F28" s="109"/>
      <x:c r="G28" s="109"/>
      <x:c r="H28" s="109"/>
      <x:c r="I28" s="109"/>
      <x:c r="J28" s="109"/>
      <x:c r="K28" s="109"/>
      <x:c r="L28" s="109"/>
      <x:c r="M28" s="109"/>
      <x:c r="N28" s="166" t="n">
        <x:v>5393</x:v>
      </x:c>
      <x:c r="O28" s="109"/>
      <x:c r="P28" s="109"/>
      <x:c r="Q28" s="109"/>
      <x:c r="R28" s="109"/>
      <x:c r="S28" s="109"/>
      <x:c r="T28" s="103"/>
      <x:c r="U28" s="103"/>
    </x:row>
    <x:row r="29" ht="24" customHeight="1">
      <x:c r="A29" s="103"/>
      <x:c r="B29" s="103"/>
      <x:c r="C29" s="103" t="str">
        <x:v>finance lease current</x:v>
      </x:c>
      <x:c r="D29" s="103"/>
      <x:c r="E29" s="109"/>
      <x:c r="F29" s="109"/>
      <x:c r="G29" s="109"/>
      <x:c r="H29" s="109"/>
      <x:c r="I29" s="109"/>
      <x:c r="J29" s="109"/>
      <x:c r="K29" s="109"/>
      <x:c r="L29" s="109"/>
      <x:c r="M29" s="109"/>
      <x:c r="N29" s="166" t="n">
        <x:v>4290</x:v>
      </x:c>
      <x:c r="O29" s="109"/>
      <x:c r="P29" s="109"/>
      <x:c r="Q29" s="109"/>
      <x:c r="R29" s="109"/>
      <x:c r="S29" s="109"/>
      <x:c r="T29" s="103"/>
      <x:c r="U29" s="103"/>
    </x:row>
    <x:row r="30" ht="24" customHeight="1">
      <x:c r="A30" s="103"/>
      <x:c r="B30" s="103"/>
      <x:c r="C30" s="103" t="str">
        <x:v>finance lease long</x:v>
      </x:c>
      <x:c r="D30" s="103"/>
      <x:c r="E30" s="109"/>
      <x:c r="F30" s="109"/>
      <x:c r="G30" s="109"/>
      <x:c r="H30" s="109"/>
      <x:c r="I30" s="109"/>
      <x:c r="J30" s="109"/>
      <x:c r="K30" s="109"/>
      <x:c r="L30" s="109"/>
      <x:c r="M30" s="109"/>
      <x:c r="N30" s="166" t="n">
        <x:v>62304</x:v>
      </x:c>
      <x:c r="O30" s="109"/>
      <x:c r="P30" s="109"/>
      <x:c r="Q30" s="109"/>
      <x:c r="R30" s="109"/>
      <x:c r="S30" s="109"/>
      <x:c r="T30" s="103"/>
      <x:c r="U30" s="103"/>
    </x:row>
    <x:row r="31" ht="24" customHeight="1">
      <x:c r="A31" s="103"/>
      <x:c r="B31" s="103"/>
      <x:c r="C31" s="103" t="str">
        <x:v>construction commitments</x:v>
      </x:c>
      <x:c r="D31" s="103"/>
      <x:c r="E31" s="109"/>
      <x:c r="F31" s="109"/>
      <x:c r="G31" s="109"/>
      <x:c r="H31" s="109"/>
      <x:c r="I31" s="109"/>
      <x:c r="J31" s="109"/>
      <x:c r="K31" s="109"/>
      <x:c r="L31" s="109"/>
      <x:c r="M31" s="109"/>
      <x:c r="N31" s="166" t="n">
        <x:v>34566</x:v>
      </x:c>
      <x:c r="O31" s="109"/>
      <x:c r="P31" s="109"/>
      <x:c r="Q31" s="109"/>
      <x:c r="R31" s="109"/>
      <x:c r="S31" s="109"/>
      <x:c r="T31" s="103"/>
      <x:c r="U31" s="103"/>
    </x:row>
    <x:row r="32" ht="24" customHeight="1">
      <x:c r="A32" s="103"/>
      <x:c r="B32" s="103"/>
      <x:c r="C32" s="103" t="str">
        <x:v>cash debt interest</x:v>
      </x:c>
      <x:c r="D32" s="103"/>
      <x:c r="E32" s="109"/>
      <x:c r="F32" s="109"/>
      <x:c r="G32" s="109"/>
      <x:c r="H32" s="109"/>
      <x:c r="I32" s="109"/>
      <x:c r="J32" s="109"/>
      <x:c r="K32" s="109"/>
      <x:c r="L32" s="109"/>
      <x:c r="M32" s="109"/>
      <x:c r="N32" s="166" t="n">
        <x:v>1500</x:v>
      </x:c>
      <x:c r="O32" s="109"/>
      <x:c r="P32" s="109"/>
      <x:c r="Q32" s="109"/>
      <x:c r="R32" s="109"/>
      <x:c r="S32" s="109"/>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36" t="str">
        <x:v>Contractual and disclosed expected payments</x:v>
      </x:c>
      <x:c r="D35" s="136"/>
      <x:c r="E35" s="136"/>
      <x:c r="F35" s="136"/>
      <x:c r="G35" s="136"/>
      <x:c r="H35" s="136"/>
      <x:c r="I35" s="136"/>
      <x:c r="J35" s="136"/>
      <x:c r="K35" s="136"/>
      <x:c r="L35" s="136"/>
      <x:c r="M35" s="136"/>
      <x:c r="N35" s="136"/>
      <x:c r="O35" s="136"/>
      <x:c r="P35" s="136"/>
      <x:c r="Q35" s="136"/>
      <x:c r="R35" s="136"/>
      <x:c r="S35" s="136"/>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t="str">
        <x:v>debt maturities</x:v>
      </x:c>
      <x:c r="D37" s="103"/>
      <x:c r="E37" s="109"/>
      <x:c r="F37" s="109"/>
      <x:c r="G37" s="109"/>
      <x:c r="H37" s="109"/>
      <x:c r="I37" s="109"/>
      <x:c r="J37" s="109"/>
      <x:c r="K37" s="109"/>
      <x:c r="L37" s="109"/>
      <x:c r="M37" s="109"/>
      <x:c r="N37" s="109"/>
      <x:c r="O37" s="166" t="n">
        <x:v>9250</x:v>
      </x:c>
      <x:c r="P37" s="166" t="n">
        <x:v>0</x:v>
      </x:c>
      <x:c r="Q37" s="166" t="n">
        <x:v>2001</x:v>
      </x:c>
      <x:c r="R37" s="166" t="n">
        <x:v>0</x:v>
      </x:c>
      <x:c r="S37" s="166" t="n">
        <x:v>500</x:v>
      </x:c>
      <x:c r="T37" s="103"/>
      <x:c r="U37" s="103"/>
    </x:row>
    <x:row r="38" ht="24" customHeight="1">
      <x:c r="A38" s="103"/>
      <x:c r="B38" s="103"/>
      <x:c r="C38" s="103" t="str">
        <x:v>intangible amortization schedule</x:v>
      </x:c>
      <x:c r="D38" s="103"/>
      <x:c r="E38" s="109"/>
      <x:c r="F38" s="109"/>
      <x:c r="G38" s="109"/>
      <x:c r="H38" s="109"/>
      <x:c r="I38" s="109"/>
      <x:c r="J38" s="109"/>
      <x:c r="K38" s="109"/>
      <x:c r="L38" s="109"/>
      <x:c r="M38" s="109"/>
      <x:c r="N38" s="109"/>
      <x:c r="O38" s="166" t="n">
        <x:v>3097</x:v>
      </x:c>
      <x:c r="P38" s="166" t="n">
        <x:v>2141</x:v>
      </x:c>
      <x:c r="Q38" s="166" t="n">
        <x:v>1944</x:v>
      </x:c>
      <x:c r="R38" s="166" t="n">
        <x:v>1477</x:v>
      </x:c>
      <x:c r="S38" s="166" t="n">
        <x:v>1128</x:v>
      </x:c>
      <x:c r="T38" s="103"/>
      <x:c r="U38" s="103"/>
    </x:row>
    <x:row r="39" ht="24" customHeight="1">
      <x:c r="A39" s="103"/>
      <x:c r="B39" s="103"/>
      <x:c r="C39" s="103" t="str">
        <x:v>op lease payments</x:v>
      </x:c>
      <x:c r="D39" s="103"/>
      <x:c r="E39" s="109"/>
      <x:c r="F39" s="109"/>
      <x:c r="G39" s="109"/>
      <x:c r="H39" s="109"/>
      <x:c r="I39" s="109"/>
      <x:c r="J39" s="109"/>
      <x:c r="K39" s="109"/>
      <x:c r="L39" s="109"/>
      <x:c r="M39" s="109"/>
      <x:c r="N39" s="109"/>
      <x:c r="O39" s="166" t="n">
        <x:v>6082</x:v>
      </x:c>
      <x:c r="P39" s="166" t="n">
        <x:v>4334</x:v>
      </x:c>
      <x:c r="Q39" s="166" t="n">
        <x:v>3146</x:v>
      </x:c>
      <x:c r="R39" s="166" t="n">
        <x:v>2612</x:v>
      </x:c>
      <x:c r="S39" s="166" t="n">
        <x:v>2316</x:v>
      </x:c>
      <x:c r="T39" s="103"/>
      <x:c r="U39" s="103"/>
    </x:row>
    <x:row r="40" ht="24" customHeight="1">
      <x:c r="A40" s="103"/>
      <x:c r="B40" s="103"/>
      <x:c r="C40" s="103" t="str">
        <x:v>finance lease payments</x:v>
      </x:c>
      <x:c r="D40" s="103"/>
      <x:c r="E40" s="109"/>
      <x:c r="F40" s="109"/>
      <x:c r="G40" s="109"/>
      <x:c r="H40" s="109"/>
      <x:c r="I40" s="109"/>
      <x:c r="J40" s="109"/>
      <x:c r="K40" s="109"/>
      <x:c r="L40" s="109"/>
      <x:c r="M40" s="109"/>
      <x:c r="N40" s="109"/>
      <x:c r="O40" s="166" t="n">
        <x:v>7121</x:v>
      </x:c>
      <x:c r="P40" s="166" t="n">
        <x:v>7294</x:v>
      </x:c>
      <x:c r="Q40" s="166" t="n">
        <x:v>6668</x:v>
      </x:c>
      <x:c r="R40" s="166" t="n">
        <x:v>6570</x:v>
      </x:c>
      <x:c r="S40" s="166" t="n">
        <x:v>6543</x:v>
      </x:c>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t="str">
        <x:v>Debt thereafter face principal</x:v>
      </x:c>
      <x:c r="D42" s="103"/>
      <x:c r="E42" s="109"/>
      <x:c r="F42" s="109"/>
      <x:c r="G42" s="109"/>
      <x:c r="H42" s="109"/>
      <x:c r="I42" s="109"/>
      <x:c r="J42" s="109"/>
      <x:c r="K42" s="109"/>
      <x:c r="L42" s="109"/>
      <x:c r="M42" s="109"/>
      <x:c r="N42" s="166" t="n">
        <x:v>34385</x:v>
      </x:c>
      <x:c r="O42" s="109"/>
      <x:c r="P42" s="109"/>
      <x:c r="Q42" s="109"/>
      <x:c r="R42" s="109"/>
      <x:c r="S42" s="109"/>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5" t="str">
        <x:v>Current debt accounting adjustment ratio</x:v>
      </x:c>
      <x:c r="D44" s="105"/>
      <x:c r="E44" s="119"/>
      <x:c r="F44" s="119"/>
      <x:c r="G44" s="119"/>
      <x:c r="H44" s="119"/>
      <x:c r="I44" s="119"/>
      <x:c r="J44" s="119"/>
      <x:c r="K44" s="119"/>
      <x:c r="L44" s="119"/>
      <x:c r="M44" s="119"/>
      <x:c r="N44" s="119" t="n">
        <x:f>('Filing Notes'!O37-'Historical Inputs'!N43)/'Filing Notes'!O37</x:f>
        <x:v>0.0024864864864864865</x:v>
      </x:c>
      <x:c r="O44" s="119"/>
      <x:c r="P44" s="119"/>
      <x:c r="Q44" s="119"/>
      <x:c r="R44" s="119"/>
      <x:c r="S44" s="119"/>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t="str">
        <x:v>FY2026 notes 6, 9, 10 and 13</x:v>
      </x:c>
      <x:c r="D47" s="103"/>
      <x:c r="E47" s="103" t="str">
        <x:v>https://www.sec.gov/Archives/edgar/data/789019/000119312526323660/msft-20260630.htm</x:v>
      </x:c>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4" t="str">
        <x:v>Selected-case observations</x:v>
      </x:c>
      <x:c r="D76" s="104"/>
      <x:c r="E76" s="104"/>
      <x:c r="F76" s="104"/>
      <x:c r="G76" s="104"/>
      <x:c r="H76" s="104"/>
      <x:c r="I76" s="104"/>
      <x:c r="J76" s="104"/>
      <x:c r="K76" s="104"/>
      <x:c r="L76" s="104"/>
      <x:c r="M76" s="104"/>
      <x:c r="N76" s="104"/>
      <x:c r="O76" s="104"/>
      <x:c r="P76" s="104"/>
      <x:c r="Q76" s="104"/>
      <x:c r="R76" s="104"/>
      <x:c r="S76" s="104"/>
      <x:c r="T76" s="103"/>
      <x:c r="U76" s="103"/>
    </x:row>
    <x:row r="77" ht="24" customHeight="1">
      <x:c r="A77" s="103"/>
      <x:c r="B77" s="103"/>
      <x:c r="C77" s="103" t="str">
        <x:f>"FY2026 debt face value: "&amp;FIXED(N24/1000,1,TRUE)&amp;"bn. Discount and issuance costs: "&amp;FIXED(N25/1000,1,TRUE)&amp;"bn."</x:f>
        <x:v>FY2026 debt face value: 46.1bn. Discount and issuance costs: 1.1bn.</x:v>
      </x:c>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t="str">
        <x:f>"FY2026 finance lease liabilities: "&amp;FIXED(N12/1000,1,TRUE)&amp;"bn; operating lease liabilities: "&amp;FIXED(N15/1000,1,TRUE)&amp;"bn."</x:f>
        <x:v>FY2026 finance lease liabilities: 66.6bn; operating lease liabilities: 21.9bn.</x:v>
      </x:c>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t="str">
        <x:f>"FY2026 capital expenditure payables: "&amp;FIXED(N23/1000,1,TRUE)&amp;"bn. These are separate from operating payables in the forecast."</x:f>
        <x:v>FY2026 capital expenditure payables: 26.7bn. These are separate from operating payables in the forecast.</x:v>
      </x:c>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row r="96" ht="24" customHeight="1"/>
    <x:row r="97" ht="24" customHeight="1"/>
    <x:row r="98" ht="24" customHeight="1"/>
    <x:row r="99" ht="24" customHeight="1"/>
    <x:row r="100" ht="24" customHeight="1"/>
    <x:row r="101" ht="24" customHeight="1"/>
    <x:row r="102" ht="24" customHeight="1"/>
    <x:row r="103" ht="24" customHeight="1">
      <x:c r="C103" s="138" t="str">
        <x:v>Fiscal year</x:v>
      </x:c>
      <x:c r="D103" s="138" t="str">
        <x:v>Finance leases</x:v>
      </x:c>
      <x:c r="E103" s="138" t="str">
        <x:v>Operating leases</x:v>
      </x:c>
    </x:row>
    <x:row r="104" ht="24" customHeight="1">
      <x:c r="C104" s="128" t="str">
        <x:f>"FY2023 A"</x:f>
        <x:v>FY2023 A</x:v>
      </x:c>
      <x:c r="D104" s="134" t="n">
        <x:f>IF(OR(K12="n.a.",ISBLANK(K12)),"",K12)</x:f>
        <x:v>17067</x:v>
      </x:c>
      <x:c r="E104" s="134" t="n">
        <x:f>IF(OR(K15="n.a.",ISBLANK(K15)),"",K15)</x:f>
        <x:v>15137</x:v>
      </x:c>
    </x:row>
    <x:row r="105" ht="24" customHeight="1">
      <x:c r="C105" s="128" t="str">
        <x:f>"FY2024 A"</x:f>
        <x:v>FY2024 A</x:v>
      </x:c>
      <x:c r="D105" s="134" t="n">
        <x:f>IF(OR(L12="n.a.",ISBLANK(L12)),"",L12)</x:f>
        <x:v>27145</x:v>
      </x:c>
      <x:c r="E105" s="134" t="n">
        <x:f>IF(OR(L15="n.a.",ISBLANK(L15)),"",L15)</x:f>
        <x:v>19077</x:v>
      </x:c>
    </x:row>
    <x:row r="106" ht="24" customHeight="1">
      <x:c r="C106" s="128" t="str">
        <x:f>"FY2025 A"</x:f>
        <x:v>FY2025 A</x:v>
      </x:c>
      <x:c r="D106" s="134" t="n">
        <x:f>IF(OR(M12="n.a.",ISBLANK(M12)),"",M12)</x:f>
        <x:v>46172</x:v>
      </x:c>
      <x:c r="E106" s="134" t="n">
        <x:f>IF(OR(M15="n.a.",ISBLANK(M15)),"",M15)</x:f>
        <x:v>22861</x:v>
      </x:c>
    </x:row>
    <x:row r="107" ht="24" customHeight="1">
      <x:c r="C107" s="128" t="str">
        <x:f>"FY2026 A"</x:f>
        <x:v>FY2026 A</x:v>
      </x:c>
      <x:c r="D107" s="134" t="n">
        <x:f>IF(OR(N12="n.a.",ISBLANK(N12)),"",N12)</x:f>
        <x:v>66594</x:v>
      </x:c>
      <x:c r="E107" s="134" t="n">
        <x:f>IF(OR(N15="n.a.",ISBLANK(N15)),"",N15)</x:f>
        <x:v>21925</x:v>
      </x:c>
    </x:row>
    <x:row r="108" ht="24" customHeight="1"/>
    <x:row r="109" ht="24" customHeight="1"/>
    <x:row r="110" ht="24" customHeight="1"/>
    <x:row r="111" ht="24" customHeight="1"/>
    <x:row r="112" ht="24" customHeight="1"/>
    <x:row r="113" ht="24" customHeight="1"/>
    <x:row r="114" ht="24" customHeight="1"/>
    <x:row r="115" ht="24" customHeight="1"/>
    <x:row r="116" ht="24" customHeight="1"/>
    <x:row r="117" ht="24" customHeight="1"/>
    <x:row r="118" ht="24" customHeight="1"/>
    <x:row r="119" ht="24" customHeight="1"/>
    <x:row r="120" ht="24" customHeight="1"/>
    <x:row r="121" ht="24" customHeight="1"/>
    <x:row r="122" ht="24" customHeight="1">
      <x:c r="C122" s="138" t="str">
        <x:v>Fiscal year</x:v>
      </x:c>
      <x:c r="D122" s="138" t="str">
        <x:v>PPE depreciation</x:v>
      </x:c>
      <x:c r="E122" s="138" t="str">
        <x:v>Intangible amortization</x:v>
      </x:c>
    </x:row>
    <x:row r="123" ht="24" customHeight="1">
      <x:c r="C123" s="128" t="str">
        <x:f>"FY2023 A"</x:f>
        <x:v>FY2023 A</x:v>
      </x:c>
      <x:c r="D123" s="134" t="n">
        <x:f>IF(OR(K8="n.a.",ISBLANK(K8)),"",K8)</x:f>
        <x:v>11000</x:v>
      </x:c>
      <x:c r="E123" s="134" t="n">
        <x:f>IF(OR(K9="n.a.",ISBLANK(K9)),"",K9)</x:f>
        <x:v>2500</x:v>
      </x:c>
    </x:row>
    <x:row r="124" ht="24" customHeight="1">
      <x:c r="C124" s="128" t="str">
        <x:f>"FY2024 A"</x:f>
        <x:v>FY2024 A</x:v>
      </x:c>
      <x:c r="D124" s="134" t="n">
        <x:f>IF(OR(L8="n.a.",ISBLANK(L8)),"",L8)</x:f>
        <x:v>15200</x:v>
      </x:c>
      <x:c r="E124" s="134" t="n">
        <x:f>IF(OR(L9="n.a.",ISBLANK(L9)),"",L9)</x:f>
        <x:v>4800</x:v>
      </x:c>
    </x:row>
    <x:row r="125" ht="24" customHeight="1">
      <x:c r="C125" s="128" t="str">
        <x:f>"FY2025 A"</x:f>
        <x:v>FY2025 A</x:v>
      </x:c>
      <x:c r="D125" s="134" t="n">
        <x:f>IF(OR(M8="n.a.",ISBLANK(M8)),"",M8)</x:f>
        <x:v>22000</x:v>
      </x:c>
      <x:c r="E125" s="134" t="n">
        <x:f>IF(OR(M9="n.a.",ISBLANK(M9)),"",M9)</x:f>
        <x:v>6000</x:v>
      </x:c>
    </x:row>
    <x:row r="126" ht="24" customHeight="1">
      <x:c r="C126" s="128" t="str">
        <x:f>"FY2026 A"</x:f>
        <x:v>FY2026 A</x:v>
      </x:c>
      <x:c r="D126" s="134" t="n">
        <x:f>IF(OR(N8="n.a.",ISBLANK(N8)),"",N8)</x:f>
        <x:v>34300</x:v>
      </x:c>
      <x:c r="E126" s="134" t="n">
        <x:f>IF(OR(N9="n.a.",ISBLANK(N9)),"",N9)</x:f>
        <x:v>4700</x:v>
      </x:c>
    </x:row>
  </x:sheetData>
  <x:mergeCells>
    <x:mergeCell ref="C77:S77"/>
    <x:mergeCell ref="C78:S78"/>
    <x:mergeCell ref="C79:S79"/>
  </x:mergeCells>
  <x:pageMargins left="0.7" right="0.7" top="0.75" bottom="0.75" header="0.3" footer="0.3"/>
  <x:drawing xmlns:r="http://schemas.openxmlformats.org/officeDocument/2006/relationships" r:id="Raedeff9775274ecd"/>
  <x:legacyDrawing xmlns:r="http://schemas.openxmlformats.org/officeDocument/2006/relationships" r:id="Rece7151e0ae3490c"/>
</x:worksheet>
</file>

<file path=xl/worksheets/sheet19.xml><?xml version="1.0" encoding="utf-8"?>
<x:worksheet xmlns:x="http://schemas.openxmlformats.org/spreadsheetml/2006/main">
  <x:sheetPr>
    <x:tabColor rgb="FFBFBFBF"/>
  </x:sheetPr>
  <x:sheetViews>
    <x:sheetView showGridLines="0" workbookViewId="0">
      <x:pane xSplit="4" ySplit="7" topLeftCell="E8" activePane="bottomRight" state="frozen"/>
    </x:sheetView>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Audit</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t="str">
        <x:v>Case Selected:</x:v>
      </x:c>
      <x:c r="D4" s="103"/>
      <x:c r="E4" s="104" t="str">
        <x:f>'Assumptions'!$G$4</x:f>
        <x:v>Base</x:v>
      </x:c>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7" t="str">
        <x:v>Metric</x:v>
      </x:c>
      <x:c r="D7" s="107"/>
      <x:c r="E7" s="117" t="str">
        <x:v>FY:17 A</x:v>
      </x:c>
      <x:c r="F7" s="117" t="str">
        <x:v>FY:18 A</x:v>
      </x:c>
      <x:c r="G7" s="117" t="str">
        <x:v>FY:19 A</x:v>
      </x:c>
      <x:c r="H7" s="117" t="str">
        <x:v>FY:20 A</x:v>
      </x:c>
      <x:c r="I7" s="117" t="str">
        <x:v>FY:21 A</x:v>
      </x:c>
      <x:c r="J7" s="117" t="str">
        <x:v>FY:22 A</x:v>
      </x:c>
      <x:c r="K7" s="117" t="str">
        <x:v>FY:23 A</x:v>
      </x:c>
      <x:c r="L7" s="117" t="str">
        <x:v>FY:24 A</x:v>
      </x:c>
      <x:c r="M7" s="117" t="str">
        <x:v>FY:25 A</x:v>
      </x:c>
      <x:c r="N7" s="117" t="str">
        <x:v>FY:26 A</x:v>
      </x:c>
      <x:c r="O7" s="117" t="str">
        <x:v>FY:27 E</x:v>
      </x:c>
      <x:c r="P7" s="117" t="str">
        <x:v>FY:28 E</x:v>
      </x:c>
      <x:c r="Q7" s="117" t="str">
        <x:v>FY:29 E</x:v>
      </x:c>
      <x:c r="R7" s="117" t="str">
        <x:v>FY:30 E</x:v>
      </x:c>
      <x:c r="S7" s="117" t="str">
        <x:v>FY:31 E</x:v>
      </x:c>
      <x:c r="T7" s="103"/>
      <x:c r="U7" s="103"/>
    </x:row>
    <x:row r="8" ht="24" customHeight="1">
      <x:c r="A8" s="103"/>
      <x:c r="B8" s="103"/>
      <x:c r="C8" s="103" t="str">
        <x:v>Assets less liabilities and equity</x:v>
      </x:c>
      <x:c r="D8" s="103"/>
      <x:c r="E8" s="187" t="n">
        <x:f>ROUND('Balance Sheet'!E22-'Balance Sheet'!E47,6)</x:f>
        <x:v>0</x:v>
      </x:c>
      <x:c r="F8" s="187" t="n">
        <x:f>ROUND('Balance Sheet'!F22-'Balance Sheet'!F47,6)</x:f>
        <x:v>0</x:v>
      </x:c>
      <x:c r="G8" s="187" t="n">
        <x:f>ROUND('Balance Sheet'!G22-'Balance Sheet'!G47,6)</x:f>
        <x:v>0</x:v>
      </x:c>
      <x:c r="H8" s="187" t="n">
        <x:f>ROUND('Balance Sheet'!H22-'Balance Sheet'!H47,6)</x:f>
        <x:v>0</x:v>
      </x:c>
      <x:c r="I8" s="187" t="n">
        <x:f>ROUND('Balance Sheet'!I22-'Balance Sheet'!I47,6)</x:f>
        <x:v>0</x:v>
      </x:c>
      <x:c r="J8" s="187" t="n">
        <x:f>ROUND('Balance Sheet'!J22-'Balance Sheet'!J47,6)</x:f>
        <x:v>0</x:v>
      </x:c>
      <x:c r="K8" s="187" t="n">
        <x:f>ROUND('Balance Sheet'!K22-'Balance Sheet'!K47,6)</x:f>
        <x:v>0</x:v>
      </x:c>
      <x:c r="L8" s="187" t="n">
        <x:f>ROUND('Balance Sheet'!L22-'Balance Sheet'!L47,6)</x:f>
        <x:v>0</x:v>
      </x:c>
      <x:c r="M8" s="187" t="n">
        <x:f>ROUND('Balance Sheet'!M22-'Balance Sheet'!M47,6)</x:f>
        <x:v>0</x:v>
      </x:c>
      <x:c r="N8" s="187" t="n">
        <x:f>ROUND('Balance Sheet'!N22-'Balance Sheet'!N47,6)</x:f>
        <x:v>0</x:v>
      </x:c>
      <x:c r="O8" s="187" t="n">
        <x:f>ROUND('Balance Sheet'!O22-'Balance Sheet'!O47,6)</x:f>
        <x:v>0</x:v>
      </x:c>
      <x:c r="P8" s="187" t="n">
        <x:f>ROUND('Balance Sheet'!P22-'Balance Sheet'!P47,6)</x:f>
        <x:v>0</x:v>
      </x:c>
      <x:c r="Q8" s="187" t="n">
        <x:f>ROUND('Balance Sheet'!Q22-'Balance Sheet'!Q47,6)</x:f>
        <x:v>0</x:v>
      </x:c>
      <x:c r="R8" s="187" t="n">
        <x:f>ROUND('Balance Sheet'!R22-'Balance Sheet'!R47,6)</x:f>
        <x:v>0</x:v>
      </x:c>
      <x:c r="S8" s="187" t="n">
        <x:f>ROUND('Balance Sheet'!S22-'Balance Sheet'!S47,6)</x:f>
        <x:v>0</x:v>
      </x:c>
      <x:c r="T8" s="103"/>
      <x:c r="U8" s="103"/>
    </x:row>
    <x:row r="9" ht="24" customHeight="1">
      <x:c r="A9" s="103"/>
      <x:c r="B9" s="103"/>
      <x:c r="C9" s="103" t="str">
        <x:v>Cash flow ending cash less balance sheet cash</x:v>
      </x:c>
      <x:c r="D9" s="103"/>
      <x:c r="E9" s="187" t="n">
        <x:f>ROUND('Cash Flow'!E54-'Balance Sheet'!E8,6)</x:f>
        <x:v>0</x:v>
      </x:c>
      <x:c r="F9" s="187" t="n">
        <x:f>ROUND('Cash Flow'!F54-'Balance Sheet'!F8,6)</x:f>
        <x:v>0</x:v>
      </x:c>
      <x:c r="G9" s="187" t="n">
        <x:f>ROUND('Cash Flow'!G54-'Balance Sheet'!G8,6)</x:f>
        <x:v>0</x:v>
      </x:c>
      <x:c r="H9" s="187" t="n">
        <x:f>ROUND('Cash Flow'!H54-'Balance Sheet'!H8,6)</x:f>
        <x:v>0</x:v>
      </x:c>
      <x:c r="I9" s="187" t="n">
        <x:f>ROUND('Cash Flow'!I54-'Balance Sheet'!I8,6)</x:f>
        <x:v>0</x:v>
      </x:c>
      <x:c r="J9" s="187" t="n">
        <x:f>ROUND('Cash Flow'!J54-'Balance Sheet'!J8,6)</x:f>
        <x:v>0</x:v>
      </x:c>
      <x:c r="K9" s="187" t="n">
        <x:f>ROUND('Cash Flow'!K54-'Balance Sheet'!K8,6)</x:f>
        <x:v>0</x:v>
      </x:c>
      <x:c r="L9" s="187" t="n">
        <x:f>ROUND('Cash Flow'!L54-'Balance Sheet'!L8,6)</x:f>
        <x:v>0</x:v>
      </x:c>
      <x:c r="M9" s="187" t="n">
        <x:f>ROUND('Cash Flow'!M54-'Balance Sheet'!M8,6)</x:f>
        <x:v>0</x:v>
      </x:c>
      <x:c r="N9" s="187" t="n">
        <x:f>ROUND('Cash Flow'!N54-'Balance Sheet'!N8,6)</x:f>
        <x:v>0</x:v>
      </x:c>
      <x:c r="O9" s="187" t="n">
        <x:f>ROUND('Cash Flow'!O54-'Balance Sheet'!O8,6)</x:f>
        <x:v>0</x:v>
      </x:c>
      <x:c r="P9" s="187" t="n">
        <x:f>ROUND('Cash Flow'!P54-'Balance Sheet'!P8,6)</x:f>
        <x:v>0</x:v>
      </x:c>
      <x:c r="Q9" s="187" t="n">
        <x:f>ROUND('Cash Flow'!Q54-'Balance Sheet'!Q8,6)</x:f>
        <x:v>0</x:v>
      </x:c>
      <x:c r="R9" s="187" t="n">
        <x:f>ROUND('Cash Flow'!R54-'Balance Sheet'!R8,6)</x:f>
        <x:v>0</x:v>
      </x:c>
      <x:c r="S9" s="187" t="n">
        <x:f>ROUND('Cash Flow'!S54-'Balance Sheet'!S8,6)</x:f>
        <x:v>0</x:v>
      </x:c>
      <x:c r="T9" s="103"/>
      <x:c r="U9" s="103"/>
    </x:row>
    <x:row r="10" ht="24" customHeight="1">
      <x:c r="A10" s="103"/>
      <x:c r="B10" s="103"/>
      <x:c r="C10" s="103" t="str">
        <x:v>Segment revenue less income statement revenue</x:v>
      </x:c>
      <x:c r="D10" s="103"/>
      <x:c r="E10" s="187" t="n">
        <x:f>ROUND('Segments'!E51-'Income Statement'!E8,6)</x:f>
        <x:v>0</x:v>
      </x:c>
      <x:c r="F10" s="187" t="n">
        <x:f>ROUND('Segments'!F51-'Income Statement'!F8,6)</x:f>
        <x:v>0</x:v>
      </x:c>
      <x:c r="G10" s="187" t="n">
        <x:f>ROUND('Segments'!G51-'Income Statement'!G8,6)</x:f>
        <x:v>0</x:v>
      </x:c>
      <x:c r="H10" s="187" t="n">
        <x:f>ROUND('Segments'!H51-'Income Statement'!H8,6)</x:f>
        <x:v>0</x:v>
      </x:c>
      <x:c r="I10" s="187" t="n">
        <x:f>ROUND('Segments'!I51-'Income Statement'!I8,6)</x:f>
        <x:v>0</x:v>
      </x:c>
      <x:c r="J10" s="187" t="n">
        <x:f>ROUND('Segments'!J51-'Income Statement'!J8,6)</x:f>
        <x:v>0</x:v>
      </x:c>
      <x:c r="K10" s="187" t="n">
        <x:f>ROUND('Segments'!K51-'Income Statement'!K8,6)</x:f>
        <x:v>0</x:v>
      </x:c>
      <x:c r="L10" s="187" t="n">
        <x:f>ROUND('Segments'!L51-'Income Statement'!L8,6)</x:f>
        <x:v>0</x:v>
      </x:c>
      <x:c r="M10" s="187" t="n">
        <x:f>ROUND('Segments'!M51-'Income Statement'!M8,6)</x:f>
        <x:v>0</x:v>
      </x:c>
      <x:c r="N10" s="187" t="n">
        <x:f>ROUND('Segments'!N51-'Income Statement'!N8,6)</x:f>
        <x:v>0</x:v>
      </x:c>
      <x:c r="O10" s="187" t="n">
        <x:f>ROUND('Segments'!O51-'Income Statement'!O8,6)</x:f>
        <x:v>0</x:v>
      </x:c>
      <x:c r="P10" s="187" t="n">
        <x:f>ROUND('Segments'!P51-'Income Statement'!P8,6)</x:f>
        <x:v>0</x:v>
      </x:c>
      <x:c r="Q10" s="187" t="n">
        <x:f>ROUND('Segments'!Q51-'Income Statement'!Q8,6)</x:f>
        <x:v>0</x:v>
      </x:c>
      <x:c r="R10" s="187" t="n">
        <x:f>ROUND('Segments'!R51-'Income Statement'!R8,6)</x:f>
        <x:v>0</x:v>
      </x:c>
      <x:c r="S10" s="187" t="n">
        <x:f>ROUND('Segments'!S51-'Income Statement'!S8,6)</x:f>
        <x:v>0</x:v>
      </x:c>
      <x:c r="T10" s="103"/>
      <x:c r="U10" s="103"/>
    </x:row>
    <x:row r="11" ht="24" customHeight="1">
      <x:c r="A11" s="103"/>
      <x:c r="B11" s="103"/>
      <x:c r="C11" s="180" t="str">
        <x:v>Segment income after corporate expense less total income</x:v>
      </x:c>
      <x:c r="D11" s="103"/>
      <x:c r="E11" s="187" t="n">
        <x:f>ROUND('Segments'!E55-'Income Statement'!E19,6)</x:f>
        <x:v>0</x:v>
      </x:c>
      <x:c r="F11" s="187" t="n">
        <x:f>ROUND('Segments'!F55-'Income Statement'!F19,6)</x:f>
        <x:v>0</x:v>
      </x:c>
      <x:c r="G11" s="187" t="n">
        <x:f>ROUND('Segments'!G55-'Income Statement'!G19,6)</x:f>
        <x:v>0</x:v>
      </x:c>
      <x:c r="H11" s="187" t="n">
        <x:f>ROUND('Segments'!H55-'Income Statement'!H19,6)</x:f>
        <x:v>0</x:v>
      </x:c>
      <x:c r="I11" s="187" t="n">
        <x:f>ROUND('Segments'!I55-'Income Statement'!I19,6)</x:f>
        <x:v>0</x:v>
      </x:c>
      <x:c r="J11" s="187" t="n">
        <x:f>ROUND('Segments'!J55-'Income Statement'!J19,6)</x:f>
        <x:v>0</x:v>
      </x:c>
      <x:c r="K11" s="187" t="n">
        <x:f>ROUND('Segments'!K55-'Income Statement'!K19,6)</x:f>
        <x:v>0</x:v>
      </x:c>
      <x:c r="L11" s="187" t="n">
        <x:f>ROUND('Segments'!L55-'Income Statement'!L19,6)</x:f>
        <x:v>0</x:v>
      </x:c>
      <x:c r="M11" s="187" t="n">
        <x:f>ROUND('Segments'!M55-'Income Statement'!M19,6)</x:f>
        <x:v>0</x:v>
      </x:c>
      <x:c r="N11" s="187" t="n">
        <x:f>ROUND('Segments'!N55-'Income Statement'!N19,6)</x:f>
        <x:v>0</x:v>
      </x:c>
      <x:c r="O11" s="187" t="n">
        <x:f>ROUND('Segments'!O55-'Income Statement'!O19,6)</x:f>
        <x:v>0</x:v>
      </x:c>
      <x:c r="P11" s="187" t="n">
        <x:f>ROUND('Segments'!P55-'Income Statement'!P19,6)</x:f>
        <x:v>0</x:v>
      </x:c>
      <x:c r="Q11" s="187" t="n">
        <x:f>ROUND('Segments'!Q55-'Income Statement'!Q19,6)</x:f>
        <x:v>0</x:v>
      </x:c>
      <x:c r="R11" s="187" t="n">
        <x:f>ROUND('Segments'!R55-'Income Statement'!R19,6)</x:f>
        <x:v>0</x:v>
      </x:c>
      <x:c r="S11" s="187" t="n">
        <x:f>ROUND('Segments'!S55-'Income Statement'!S19,6)</x:f>
        <x:v>0</x:v>
      </x:c>
      <x:c r="T11" s="103"/>
      <x:c r="U11" s="103"/>
    </x:row>
    <x:row r="12" ht="24" customHeight="1">
      <x:c r="A12" s="103"/>
      <x:c r="B12" s="103"/>
      <x:c r="C12" s="103" t="str">
        <x:v>Income statement operating income reconciliation</x:v>
      </x:c>
      <x:c r="D12" s="103"/>
      <x:c r="E12" s="187" t="n">
        <x:f>ROUND('Income Statement'!E8-'Income Statement'!E10-'Income Statement'!E18-'Income Statement'!E19,6)</x:f>
        <x:v>0</x:v>
      </x:c>
      <x:c r="F12" s="187" t="n">
        <x:f>ROUND('Income Statement'!F8-'Income Statement'!F10-'Income Statement'!F18-'Income Statement'!F19,6)</x:f>
        <x:v>0</x:v>
      </x:c>
      <x:c r="G12" s="187" t="n">
        <x:f>ROUND('Income Statement'!G8-'Income Statement'!G10-'Income Statement'!G18-'Income Statement'!G19,6)</x:f>
        <x:v>0</x:v>
      </x:c>
      <x:c r="H12" s="187" t="n">
        <x:f>ROUND('Income Statement'!H8-'Income Statement'!H10-'Income Statement'!H18-'Income Statement'!H19,6)</x:f>
        <x:v>0</x:v>
      </x:c>
      <x:c r="I12" s="187" t="n">
        <x:f>ROUND('Income Statement'!I8-'Income Statement'!I10-'Income Statement'!I18-'Income Statement'!I19,6)</x:f>
        <x:v>0</x:v>
      </x:c>
      <x:c r="J12" s="187" t="n">
        <x:f>ROUND('Income Statement'!J8-'Income Statement'!J10-'Income Statement'!J18-'Income Statement'!J19,6)</x:f>
        <x:v>0</x:v>
      </x:c>
      <x:c r="K12" s="187" t="n">
        <x:f>ROUND('Income Statement'!K8-'Income Statement'!K10-'Income Statement'!K18-'Income Statement'!K19,6)</x:f>
        <x:v>0</x:v>
      </x:c>
      <x:c r="L12" s="187" t="n">
        <x:f>ROUND('Income Statement'!L8-'Income Statement'!L10-'Income Statement'!L18-'Income Statement'!L19,6)</x:f>
        <x:v>0</x:v>
      </x:c>
      <x:c r="M12" s="187" t="n">
        <x:f>ROUND('Income Statement'!M8-'Income Statement'!M10-'Income Statement'!M18-'Income Statement'!M19,6)</x:f>
        <x:v>0</x:v>
      </x:c>
      <x:c r="N12" s="187" t="n">
        <x:f>ROUND('Income Statement'!N8-'Income Statement'!N10-'Income Statement'!N18-'Income Statement'!N19,6)</x:f>
        <x:v>0</x:v>
      </x:c>
      <x:c r="O12" s="187" t="n">
        <x:f>ROUND('Income Statement'!O8-'Income Statement'!O10-'Income Statement'!O18-'Income Statement'!O19,6)</x:f>
        <x:v>0</x:v>
      </x:c>
      <x:c r="P12" s="187" t="n">
        <x:f>ROUND('Income Statement'!P8-'Income Statement'!P10-'Income Statement'!P18-'Income Statement'!P19,6)</x:f>
        <x:v>0</x:v>
      </x:c>
      <x:c r="Q12" s="187" t="n">
        <x:f>ROUND('Income Statement'!Q8-'Income Statement'!Q10-'Income Statement'!Q18-'Income Statement'!Q19,6)</x:f>
        <x:v>0</x:v>
      </x:c>
      <x:c r="R12" s="187" t="n">
        <x:f>ROUND('Income Statement'!R8-'Income Statement'!R10-'Income Statement'!R18-'Income Statement'!R19,6)</x:f>
        <x:v>0</x:v>
      </x:c>
      <x:c r="S12" s="187" t="n">
        <x:f>ROUND('Income Statement'!S8-'Income Statement'!S10-'Income Statement'!S18-'Income Statement'!S19,6)</x:f>
        <x:v>0</x:v>
      </x:c>
      <x:c r="T12" s="103"/>
      <x:c r="U12" s="103"/>
    </x:row>
    <x:row r="13" ht="24" customHeight="1">
      <x:c r="A13" s="103"/>
      <x:c r="B13" s="103"/>
      <x:c r="C13" s="103" t="str">
        <x:v>Historical revenue source control</x:v>
      </x:c>
      <x:c r="D13" s="103"/>
      <x:c r="E13" s="187" t="n">
        <x:f>ROUND('Income Statement'!E8-'Historical Inputs'!E9,6)</x:f>
        <x:v>0</x:v>
      </x:c>
      <x:c r="F13" s="187" t="n">
        <x:f>ROUND('Income Statement'!F8-'Historical Inputs'!F9,6)</x:f>
        <x:v>0</x:v>
      </x:c>
      <x:c r="G13" s="187" t="n">
        <x:f>ROUND('Income Statement'!G8-'Historical Inputs'!G9,6)</x:f>
        <x:v>0</x:v>
      </x:c>
      <x:c r="H13" s="187" t="n">
        <x:f>ROUND('Income Statement'!H8-'Historical Inputs'!H9,6)</x:f>
        <x:v>0</x:v>
      </x:c>
      <x:c r="I13" s="187" t="n">
        <x:f>ROUND('Income Statement'!I8-'Historical Inputs'!I9,6)</x:f>
        <x:v>0</x:v>
      </x:c>
      <x:c r="J13" s="187" t="n">
        <x:f>ROUND('Income Statement'!J8-'Historical Inputs'!J9,6)</x:f>
        <x:v>0</x:v>
      </x:c>
      <x:c r="K13" s="187" t="n">
        <x:f>ROUND('Income Statement'!K8-'Historical Inputs'!K9,6)</x:f>
        <x:v>0</x:v>
      </x:c>
      <x:c r="L13" s="187" t="n">
        <x:f>ROUND('Income Statement'!L8-'Historical Inputs'!L9,6)</x:f>
        <x:v>0</x:v>
      </x:c>
      <x:c r="M13" s="187" t="n">
        <x:f>ROUND('Income Statement'!M8-'Historical Inputs'!M9,6)</x:f>
        <x:v>0</x:v>
      </x:c>
      <x:c r="N13" s="187" t="n">
        <x:f>ROUND('Income Statement'!N8-'Historical Inputs'!N9,6)</x:f>
        <x:v>0</x:v>
      </x:c>
      <x:c r="O13" s="187" t="str">
        <x:f>"n.a."</x:f>
        <x:v>n.a.</x:v>
      </x:c>
      <x:c r="P13" s="187" t="str">
        <x:f>"n.a."</x:f>
        <x:v>n.a.</x:v>
      </x:c>
      <x:c r="Q13" s="187" t="str">
        <x:f>"n.a."</x:f>
        <x:v>n.a.</x:v>
      </x:c>
      <x:c r="R13" s="187" t="str">
        <x:f>"n.a."</x:f>
        <x:v>n.a.</x:v>
      </x:c>
      <x:c r="S13" s="187" t="str">
        <x:f>"n.a."</x:f>
        <x:v>n.a.</x:v>
      </x:c>
      <x:c r="T13" s="103"/>
      <x:c r="U13" s="103"/>
    </x:row>
    <x:row r="14" ht="24" customHeight="1">
      <x:c r="A14" s="103"/>
      <x:c r="B14" s="103"/>
      <x:c r="C14" s="103" t="str">
        <x:v>Historical net income source control</x:v>
      </x:c>
      <x:c r="D14" s="103"/>
      <x:c r="E14" s="187" t="n">
        <x:f>ROUND('Income Statement'!E28-'Historical Inputs'!E19,6)</x:f>
        <x:v>0</x:v>
      </x:c>
      <x:c r="F14" s="187" t="n">
        <x:f>ROUND('Income Statement'!F28-'Historical Inputs'!F19,6)</x:f>
        <x:v>0</x:v>
      </x:c>
      <x:c r="G14" s="187" t="n">
        <x:f>ROUND('Income Statement'!G28-'Historical Inputs'!G19,6)</x:f>
        <x:v>0</x:v>
      </x:c>
      <x:c r="H14" s="187" t="n">
        <x:f>ROUND('Income Statement'!H28-'Historical Inputs'!H19,6)</x:f>
        <x:v>0</x:v>
      </x:c>
      <x:c r="I14" s="187" t="n">
        <x:f>ROUND('Income Statement'!I28-'Historical Inputs'!I19,6)</x:f>
        <x:v>0</x:v>
      </x:c>
      <x:c r="J14" s="187" t="n">
        <x:f>ROUND('Income Statement'!J28-'Historical Inputs'!J19,6)</x:f>
        <x:v>0</x:v>
      </x:c>
      <x:c r="K14" s="187" t="n">
        <x:f>ROUND('Income Statement'!K28-'Historical Inputs'!K19,6)</x:f>
        <x:v>0</x:v>
      </x:c>
      <x:c r="L14" s="187" t="n">
        <x:f>ROUND('Income Statement'!L28-'Historical Inputs'!L19,6)</x:f>
        <x:v>0</x:v>
      </x:c>
      <x:c r="M14" s="187" t="n">
        <x:f>ROUND('Income Statement'!M28-'Historical Inputs'!M19,6)</x:f>
        <x:v>0</x:v>
      </x:c>
      <x:c r="N14" s="187" t="n">
        <x:f>ROUND('Income Statement'!N28-'Historical Inputs'!N19,6)</x:f>
        <x:v>0</x:v>
      </x:c>
      <x:c r="O14" s="187" t="str">
        <x:f>"n.a."</x:f>
        <x:v>n.a.</x:v>
      </x:c>
      <x:c r="P14" s="187" t="str">
        <x:f>"n.a."</x:f>
        <x:v>n.a.</x:v>
      </x:c>
      <x:c r="Q14" s="187" t="str">
        <x:f>"n.a."</x:f>
        <x:v>n.a.</x:v>
      </x:c>
      <x:c r="R14" s="187" t="str">
        <x:f>"n.a."</x:f>
        <x:v>n.a.</x:v>
      </x:c>
      <x:c r="S14" s="187" t="str">
        <x:f>"n.a."</x:f>
        <x:v>n.a.</x:v>
      </x:c>
      <x:c r="T14" s="103"/>
      <x:c r="U14" s="103"/>
    </x:row>
    <x:row r="15" ht="24" customHeight="1">
      <x:c r="A15" s="103"/>
      <x:c r="B15" s="103"/>
      <x:c r="C15" s="103" t="str">
        <x:v>Historical CFO source control</x:v>
      </x:c>
      <x:c r="D15" s="103"/>
      <x:c r="E15" s="187" t="n">
        <x:f>ROUND('Cash Flow'!E28-'Historical Inputs'!E80,6)</x:f>
        <x:v>0</x:v>
      </x:c>
      <x:c r="F15" s="187" t="n">
        <x:f>ROUND('Cash Flow'!F28-'Historical Inputs'!F80,6)</x:f>
        <x:v>0</x:v>
      </x:c>
      <x:c r="G15" s="187" t="n">
        <x:f>ROUND('Cash Flow'!G28-'Historical Inputs'!G80,6)</x:f>
        <x:v>0</x:v>
      </x:c>
      <x:c r="H15" s="187" t="n">
        <x:f>ROUND('Cash Flow'!H28-'Historical Inputs'!H80,6)</x:f>
        <x:v>0</x:v>
      </x:c>
      <x:c r="I15" s="187" t="n">
        <x:f>ROUND('Cash Flow'!I28-'Historical Inputs'!I80,6)</x:f>
        <x:v>0</x:v>
      </x:c>
      <x:c r="J15" s="187" t="n">
        <x:f>ROUND('Cash Flow'!J28-'Historical Inputs'!J80,6)</x:f>
        <x:v>0</x:v>
      </x:c>
      <x:c r="K15" s="187" t="n">
        <x:f>ROUND('Cash Flow'!K28-'Historical Inputs'!K80,6)</x:f>
        <x:v>0</x:v>
      </x:c>
      <x:c r="L15" s="187" t="n">
        <x:f>ROUND('Cash Flow'!L28-'Historical Inputs'!L80,6)</x:f>
        <x:v>0</x:v>
      </x:c>
      <x:c r="M15" s="187" t="n">
        <x:f>ROUND('Cash Flow'!M28-'Historical Inputs'!M80,6)</x:f>
        <x:v>0</x:v>
      </x:c>
      <x:c r="N15" s="187" t="n">
        <x:f>ROUND('Cash Flow'!N28-'Historical Inputs'!N80,6)</x:f>
        <x:v>0</x:v>
      </x:c>
      <x:c r="O15" s="187" t="str">
        <x:f>"n.a."</x:f>
        <x:v>n.a.</x:v>
      </x:c>
      <x:c r="P15" s="187" t="str">
        <x:f>"n.a."</x:f>
        <x:v>n.a.</x:v>
      </x:c>
      <x:c r="Q15" s="187" t="str">
        <x:f>"n.a."</x:f>
        <x:v>n.a.</x:v>
      </x:c>
      <x:c r="R15" s="187" t="str">
        <x:f>"n.a."</x:f>
        <x:v>n.a.</x:v>
      </x:c>
      <x:c r="S15" s="187" t="str">
        <x:f>"n.a."</x:f>
        <x:v>n.a.</x:v>
      </x:c>
      <x:c r="T15" s="103"/>
      <x:c r="U15" s="103"/>
    </x:row>
    <x:row r="16" ht="24" customHeight="1">
      <x:c r="A16" s="103"/>
      <x:c r="B16" s="103"/>
      <x:c r="C16" s="103" t="str">
        <x:v>PPE cohort carrying value reconciliation</x:v>
      </x:c>
      <x:c r="D16" s="103"/>
      <x:c r="E16" s="187" t="str">
        <x:f>"n.a."</x:f>
        <x:v>n.a.</x:v>
      </x:c>
      <x:c r="F16" s="187" t="str">
        <x:f>"n.a."</x:f>
        <x:v>n.a.</x:v>
      </x:c>
      <x:c r="G16" s="187" t="str">
        <x:f>"n.a."</x:f>
        <x:v>n.a.</x:v>
      </x:c>
      <x:c r="H16" s="187" t="str">
        <x:f>"n.a."</x:f>
        <x:v>n.a.</x:v>
      </x:c>
      <x:c r="I16" s="187" t="str">
        <x:f>"n.a."</x:f>
        <x:v>n.a.</x:v>
      </x:c>
      <x:c r="J16" s="187" t="str">
        <x:f>"n.a."</x:f>
        <x:v>n.a.</x:v>
      </x:c>
      <x:c r="K16" s="187" t="str">
        <x:f>"n.a."</x:f>
        <x:v>n.a.</x:v>
      </x:c>
      <x:c r="L16" s="187" t="str">
        <x:f>"n.a."</x:f>
        <x:v>n.a.</x:v>
      </x:c>
      <x:c r="M16" s="187" t="str">
        <x:f>"n.a."</x:f>
        <x:v>n.a.</x:v>
      </x:c>
      <x:c r="N16" s="187" t="str">
        <x:f>"n.a."</x:f>
        <x:v>n.a.</x:v>
      </x:c>
      <x:c r="O16" s="187" t="n">
        <x:f>ROUND('PPE and Intangibles'!O28+'PPE and Intangibles'!O30+SUM('PPE and Intangibles'!O32:O36)-'Balance Sheet'!O16,6)</x:f>
        <x:v>0</x:v>
      </x:c>
      <x:c r="P16" s="187" t="n">
        <x:f>ROUND('PPE and Intangibles'!P28+'PPE and Intangibles'!P30+SUM('PPE and Intangibles'!P32:P36)-'Balance Sheet'!P16,6)</x:f>
        <x:v>0</x:v>
      </x:c>
      <x:c r="Q16" s="187" t="n">
        <x:f>ROUND('PPE and Intangibles'!Q28+'PPE and Intangibles'!Q30+SUM('PPE and Intangibles'!Q32:Q36)-'Balance Sheet'!Q16,6)</x:f>
        <x:v>0</x:v>
      </x:c>
      <x:c r="R16" s="187" t="n">
        <x:f>ROUND('PPE and Intangibles'!R28+'PPE and Intangibles'!R30+SUM('PPE and Intangibles'!R32:R36)-'Balance Sheet'!R16,6)</x:f>
        <x:v>0</x:v>
      </x:c>
      <x:c r="S16" s="187" t="n">
        <x:f>ROUND('PPE and Intangibles'!S28+'PPE and Intangibles'!S30+SUM('PPE and Intangibles'!S32:S36)-'Balance Sheet'!S16,6)</x:f>
        <x:v>0</x:v>
      </x:c>
      <x:c r="T16" s="103"/>
      <x:c r="U16" s="103"/>
    </x:row>
    <x:row r="17" ht="24" customHeight="1">
      <x:c r="A17" s="103"/>
      <x:c r="B17" s="103"/>
      <x:c r="C17" s="103" t="str">
        <x:v>Debt face-to-book reconciliation</x:v>
      </x:c>
      <x:c r="D17" s="103"/>
      <x:c r="E17" s="187" t="str">
        <x:f>"n.a."</x:f>
        <x:v>n.a.</x:v>
      </x:c>
      <x:c r="F17" s="187" t="str">
        <x:f>"n.a."</x:f>
        <x:v>n.a.</x:v>
      </x:c>
      <x:c r="G17" s="187" t="str">
        <x:f>"n.a."</x:f>
        <x:v>n.a.</x:v>
      </x:c>
      <x:c r="H17" s="187" t="str">
        <x:f>"n.a."</x:f>
        <x:v>n.a.</x:v>
      </x:c>
      <x:c r="I17" s="187" t="str">
        <x:f>"n.a."</x:f>
        <x:v>n.a.</x:v>
      </x:c>
      <x:c r="J17" s="187" t="str">
        <x:f>"n.a."</x:f>
        <x:v>n.a.</x:v>
      </x:c>
      <x:c r="K17" s="187" t="str">
        <x:f>"n.a."</x:f>
        <x:v>n.a.</x:v>
      </x:c>
      <x:c r="L17" s="187" t="str">
        <x:f>"n.a."</x:f>
        <x:v>n.a.</x:v>
      </x:c>
      <x:c r="M17" s="187" t="str">
        <x:f>"n.a."</x:f>
        <x:v>n.a.</x:v>
      </x:c>
      <x:c r="N17" s="187" t="str">
        <x:f>"n.a."</x:f>
        <x:v>n.a.</x:v>
      </x:c>
      <x:c r="O17" s="187" t="n">
        <x:f>ROUND('Debt and Leases'!O12-'Debt and Leases'!O16-'Debt and Leases'!O18,6)</x:f>
        <x:v>0</x:v>
      </x:c>
      <x:c r="P17" s="187" t="n">
        <x:f>ROUND('Debt and Leases'!P12-'Debt and Leases'!P16-'Debt and Leases'!P18,6)</x:f>
        <x:v>0</x:v>
      </x:c>
      <x:c r="Q17" s="187" t="n">
        <x:f>ROUND('Debt and Leases'!Q12-'Debt and Leases'!Q16-'Debt and Leases'!Q18,6)</x:f>
        <x:v>0</x:v>
      </x:c>
      <x:c r="R17" s="187" t="n">
        <x:f>ROUND('Debt and Leases'!R12-'Debt and Leases'!R16-'Debt and Leases'!R18,6)</x:f>
        <x:v>0</x:v>
      </x:c>
      <x:c r="S17" s="187" t="n">
        <x:f>ROUND('Debt and Leases'!S12-'Debt and Leases'!S16-'Debt and Leases'!S18,6)</x:f>
        <x:v>0</x:v>
      </x:c>
      <x:c r="T17" s="103"/>
      <x:c r="U17" s="103"/>
    </x:row>
    <x:row r="18" ht="24" customHeight="1">
      <x:c r="A18" s="103"/>
      <x:c r="B18" s="103"/>
      <x:c r="C18" s="103" t="str">
        <x:v>Equity rollforward reconciliation</x:v>
      </x:c>
      <x:c r="D18" s="103"/>
      <x:c r="E18" s="187" t="str">
        <x:f>"n.a."</x:f>
        <x:v>n.a.</x:v>
      </x:c>
      <x:c r="F18" s="187" t="str">
        <x:f>"n.a."</x:f>
        <x:v>n.a.</x:v>
      </x:c>
      <x:c r="G18" s="187" t="str">
        <x:f>"n.a."</x:f>
        <x:v>n.a.</x:v>
      </x:c>
      <x:c r="H18" s="187" t="str">
        <x:f>"n.a."</x:f>
        <x:v>n.a.</x:v>
      </x:c>
      <x:c r="I18" s="187" t="str">
        <x:f>"n.a."</x:f>
        <x:v>n.a.</x:v>
      </x:c>
      <x:c r="J18" s="187" t="str">
        <x:f>"n.a."</x:f>
        <x:v>n.a.</x:v>
      </x:c>
      <x:c r="K18" s="187" t="str">
        <x:f>"n.a."</x:f>
        <x:v>n.a.</x:v>
      </x:c>
      <x:c r="L18" s="187" t="str">
        <x:f>"n.a."</x:f>
        <x:v>n.a.</x:v>
      </x:c>
      <x:c r="M18" s="187" t="str">
        <x:f>"n.a."</x:f>
        <x:v>n.a.</x:v>
      </x:c>
      <x:c r="N18" s="187" t="str">
        <x:f>"n.a."</x:f>
        <x:v>n.a.</x:v>
      </x:c>
      <x:c r="O18" s="187" t="n">
        <x:f>ROUND('Balance Sheet'!N45+'Income Statement'!O28+'Tax and Equity'!O16+'Tax and Equity'!O17-'Tax and Equity'!O18-'Tax and Equity'!O19-'Balance Sheet'!O45,6)</x:f>
        <x:v>0</x:v>
      </x:c>
      <x:c r="P18" s="187" t="n">
        <x:f>ROUND('Balance Sheet'!O45+'Income Statement'!P28+'Tax and Equity'!P16+'Tax and Equity'!P17-'Tax and Equity'!P18-'Tax and Equity'!P19-'Balance Sheet'!P45,6)</x:f>
        <x:v>0</x:v>
      </x:c>
      <x:c r="Q18" s="187" t="n">
        <x:f>ROUND('Balance Sheet'!P45+'Income Statement'!Q28+'Tax and Equity'!Q16+'Tax and Equity'!Q17-'Tax and Equity'!Q18-'Tax and Equity'!Q19-'Balance Sheet'!Q45,6)</x:f>
        <x:v>0</x:v>
      </x:c>
      <x:c r="R18" s="187" t="n">
        <x:f>ROUND('Balance Sheet'!Q45+'Income Statement'!R28+'Tax and Equity'!R16+'Tax and Equity'!R17-'Tax and Equity'!R18-'Tax and Equity'!R19-'Balance Sheet'!R45,6)</x:f>
        <x:v>0</x:v>
      </x:c>
      <x:c r="S18" s="187" t="n">
        <x:f>ROUND('Balance Sheet'!R45+'Income Statement'!S28+'Tax and Equity'!S16+'Tax and Equity'!S17-'Tax and Equity'!S18-'Tax and Equity'!S19-'Balance Sheet'!S45,6)</x:f>
        <x:v>0</x:v>
      </x:c>
      <x:c r="T18" s="103"/>
      <x:c r="U18" s="103"/>
    </x:row>
    <x:row r="19" ht="24" customHeight="1">
      <x:c r="A19" s="103"/>
      <x:c r="B19" s="103"/>
      <x:c r="C19" s="103" t="str">
        <x:v>Cash rollforward reconciliation</x:v>
      </x:c>
      <x:c r="D19" s="103"/>
      <x:c r="E19" s="187" t="n">
        <x:f>ROUND('Cash Flow'!E53+'Cash Flow'!E28+'Cash Flow'!E37+'Cash Flow'!E48+'Cash Flow'!E50-'Balance Sheet'!E8,6)</x:f>
        <x:v>0</x:v>
      </x:c>
      <x:c r="F19" s="187" t="n">
        <x:f>ROUND('Cash Flow'!F53+'Cash Flow'!F28+'Cash Flow'!F37+'Cash Flow'!F48+'Cash Flow'!F50-'Balance Sheet'!F8,6)</x:f>
        <x:v>0</x:v>
      </x:c>
      <x:c r="G19" s="187" t="n">
        <x:f>ROUND('Cash Flow'!G53+'Cash Flow'!G28+'Cash Flow'!G37+'Cash Flow'!G48+'Cash Flow'!G50-'Balance Sheet'!G8,6)</x:f>
        <x:v>0</x:v>
      </x:c>
      <x:c r="H19" s="187" t="n">
        <x:f>ROUND('Cash Flow'!H53+'Cash Flow'!H28+'Cash Flow'!H37+'Cash Flow'!H48+'Cash Flow'!H50-'Balance Sheet'!H8,6)</x:f>
        <x:v>0</x:v>
      </x:c>
      <x:c r="I19" s="187" t="n">
        <x:f>ROUND('Cash Flow'!I53+'Cash Flow'!I28+'Cash Flow'!I37+'Cash Flow'!I48+'Cash Flow'!I50-'Balance Sheet'!I8,6)</x:f>
        <x:v>0</x:v>
      </x:c>
      <x:c r="J19" s="187" t="n">
        <x:f>ROUND('Cash Flow'!J53+'Cash Flow'!J28+'Cash Flow'!J37+'Cash Flow'!J48+'Cash Flow'!J50-'Balance Sheet'!J8,6)</x:f>
        <x:v>0</x:v>
      </x:c>
      <x:c r="K19" s="187" t="n">
        <x:f>ROUND('Cash Flow'!K53+'Cash Flow'!K28+'Cash Flow'!K37+'Cash Flow'!K48+'Cash Flow'!K50-'Balance Sheet'!K8,6)</x:f>
        <x:v>0</x:v>
      </x:c>
      <x:c r="L19" s="187" t="n">
        <x:f>ROUND('Cash Flow'!L53+'Cash Flow'!L28+'Cash Flow'!L37+'Cash Flow'!L48+'Cash Flow'!L50-'Balance Sheet'!L8,6)</x:f>
        <x:v>0</x:v>
      </x:c>
      <x:c r="M19" s="187" t="n">
        <x:f>ROUND('Cash Flow'!M53+'Cash Flow'!M28+'Cash Flow'!M37+'Cash Flow'!M48+'Cash Flow'!M50-'Balance Sheet'!M8,6)</x:f>
        <x:v>0</x:v>
      </x:c>
      <x:c r="N19" s="187" t="n">
        <x:f>ROUND('Cash Flow'!N53+'Cash Flow'!N28+'Cash Flow'!N37+'Cash Flow'!N48+'Cash Flow'!N50-'Balance Sheet'!N8,6)</x:f>
        <x:v>0</x:v>
      </x:c>
      <x:c r="O19" s="187" t="n">
        <x:f>ROUND('Cash Flow'!O53+'Cash Flow'!O28+'Cash Flow'!O37+'Cash Flow'!O48+'Cash Flow'!O50-'Balance Sheet'!O8,6)</x:f>
        <x:v>0</x:v>
      </x:c>
      <x:c r="P19" s="187" t="n">
        <x:f>ROUND('Cash Flow'!P53+'Cash Flow'!P28+'Cash Flow'!P37+'Cash Flow'!P48+'Cash Flow'!P50-'Balance Sheet'!P8,6)</x:f>
        <x:v>0</x:v>
      </x:c>
      <x:c r="Q19" s="187" t="n">
        <x:f>ROUND('Cash Flow'!Q53+'Cash Flow'!Q28+'Cash Flow'!Q37+'Cash Flow'!Q48+'Cash Flow'!Q50-'Balance Sheet'!Q8,6)</x:f>
        <x:v>0</x:v>
      </x:c>
      <x:c r="R19" s="187" t="n">
        <x:f>ROUND('Cash Flow'!R53+'Cash Flow'!R28+'Cash Flow'!R37+'Cash Flow'!R48+'Cash Flow'!R50-'Balance Sheet'!R8,6)</x:f>
        <x:v>0</x:v>
      </x:c>
      <x:c r="S19" s="187" t="n">
        <x:f>ROUND('Cash Flow'!S53+'Cash Flow'!S28+'Cash Flow'!S37+'Cash Flow'!S48+'Cash Flow'!S50-'Balance Sheet'!S8,6)</x:f>
        <x:v>0</x:v>
      </x:c>
      <x:c r="T19" s="103"/>
      <x:c r="U19" s="103"/>
    </x:row>
    <x:row r="20" ht="24" customHeight="1">
      <x:c r="A20" s="103"/>
      <x:c r="B20" s="103"/>
      <x:c r="C20" s="103" t="str">
        <x:v>Cash balance below policy minimum</x:v>
      </x:c>
      <x:c r="D20" s="103"/>
      <x:c r="E20" s="187" t="str">
        <x:f>"n.a."</x:f>
        <x:v>n.a.</x:v>
      </x:c>
      <x:c r="F20" s="187" t="str">
        <x:f>"n.a."</x:f>
        <x:v>n.a.</x:v>
      </x:c>
      <x:c r="G20" s="187" t="str">
        <x:f>"n.a."</x:f>
        <x:v>n.a.</x:v>
      </x:c>
      <x:c r="H20" s="187" t="str">
        <x:f>"n.a."</x:f>
        <x:v>n.a.</x:v>
      </x:c>
      <x:c r="I20" s="187" t="str">
        <x:f>"n.a."</x:f>
        <x:v>n.a.</x:v>
      </x:c>
      <x:c r="J20" s="187" t="str">
        <x:f>"n.a."</x:f>
        <x:v>n.a.</x:v>
      </x:c>
      <x:c r="K20" s="187" t="str">
        <x:f>"n.a."</x:f>
        <x:v>n.a.</x:v>
      </x:c>
      <x:c r="L20" s="187" t="str">
        <x:f>"n.a."</x:f>
        <x:v>n.a.</x:v>
      </x:c>
      <x:c r="M20" s="187" t="str">
        <x:f>"n.a."</x:f>
        <x:v>n.a.</x:v>
      </x:c>
      <x:c r="N20" s="187" t="str">
        <x:f>"n.a."</x:f>
        <x:v>n.a.</x:v>
      </x:c>
      <x:c r="O20" s="187" t="n">
        <x:f>ROUND(MIN(0,'Balance Sheet'!O8-'Assumptions'!O117),6)</x:f>
        <x:v>0</x:v>
      </x:c>
      <x:c r="P20" s="187" t="n">
        <x:f>ROUND(MIN(0,'Balance Sheet'!P8-'Assumptions'!P117),6)</x:f>
        <x:v>0</x:v>
      </x:c>
      <x:c r="Q20" s="187" t="n">
        <x:f>ROUND(MIN(0,'Balance Sheet'!Q8-'Assumptions'!Q117),6)</x:f>
        <x:v>0</x:v>
      </x:c>
      <x:c r="R20" s="187" t="n">
        <x:f>ROUND(MIN(0,'Balance Sheet'!R8-'Assumptions'!R117),6)</x:f>
        <x:v>0</x:v>
      </x:c>
      <x:c r="S20" s="187" t="n">
        <x:f>ROUND(MIN(0,'Balance Sheet'!S8-'Assumptions'!S117),6)</x:f>
        <x:v>0</x:v>
      </x:c>
      <x:c r="T20" s="103"/>
      <x:c r="U20" s="103"/>
    </x:row>
    <x:row r="21" ht="24" customHeight="1">
      <x:c r="A21" s="103"/>
      <x:c r="B21" s="103"/>
      <x:c r="C21" s="103" t="str">
        <x:v>Investment reserve below minimum</x:v>
      </x:c>
      <x:c r="D21" s="103"/>
      <x:c r="E21" s="187" t="str">
        <x:f>"n.a."</x:f>
        <x:v>n.a.</x:v>
      </x:c>
      <x:c r="F21" s="187" t="str">
        <x:f>"n.a."</x:f>
        <x:v>n.a.</x:v>
      </x:c>
      <x:c r="G21" s="187" t="str">
        <x:f>"n.a."</x:f>
        <x:v>n.a.</x:v>
      </x:c>
      <x:c r="H21" s="187" t="str">
        <x:f>"n.a."</x:f>
        <x:v>n.a.</x:v>
      </x:c>
      <x:c r="I21" s="187" t="str">
        <x:f>"n.a."</x:f>
        <x:v>n.a.</x:v>
      </x:c>
      <x:c r="J21" s="187" t="str">
        <x:f>"n.a."</x:f>
        <x:v>n.a.</x:v>
      </x:c>
      <x:c r="K21" s="187" t="str">
        <x:f>"n.a."</x:f>
        <x:v>n.a.</x:v>
      </x:c>
      <x:c r="L21" s="187" t="str">
        <x:f>"n.a."</x:f>
        <x:v>n.a.</x:v>
      </x:c>
      <x:c r="M21" s="187" t="str">
        <x:f>"n.a."</x:f>
        <x:v>n.a.</x:v>
      </x:c>
      <x:c r="N21" s="187" t="str">
        <x:f>"n.a."</x:f>
        <x:v>n.a.</x:v>
      </x:c>
      <x:c r="O21" s="187" t="n">
        <x:f>ROUND(MIN(0,'Balance Sheet'!O9-'Assumptions'!O121),6)</x:f>
        <x:v>0</x:v>
      </x:c>
      <x:c r="P21" s="187" t="n">
        <x:f>ROUND(MIN(0,'Balance Sheet'!P9-'Assumptions'!P121),6)</x:f>
        <x:v>0</x:v>
      </x:c>
      <x:c r="Q21" s="187" t="n">
        <x:f>ROUND(MIN(0,'Balance Sheet'!Q9-'Assumptions'!Q121),6)</x:f>
        <x:v>0</x:v>
      </x:c>
      <x:c r="R21" s="187" t="n">
        <x:f>ROUND(MIN(0,'Balance Sheet'!R9-'Assumptions'!R121),6)</x:f>
        <x:v>0</x:v>
      </x:c>
      <x:c r="S21" s="187" t="n">
        <x:f>ROUND(MIN(0,'Balance Sheet'!S9-'Assumptions'!S121),6)</x:f>
        <x:v>0</x:v>
      </x:c>
      <x:c r="T21" s="103"/>
      <x:c r="U21" s="103"/>
    </x:row>
    <x:row r="22" ht="24" customHeight="1">
      <x:c r="A22" s="103"/>
      <x:c r="B22" s="103"/>
      <x:c r="C22" s="103" t="str">
        <x:v>FP&amp;A operating income bridge</x:v>
      </x:c>
      <x:c r="D22" s="103"/>
      <x:c r="E22" s="187" t="str">
        <x:f>"n.a."</x:f>
        <x:v>n.a.</x:v>
      </x:c>
      <x:c r="F22" s="187" t="str">
        <x:f>"n.a."</x:f>
        <x:v>n.a.</x:v>
      </x:c>
      <x:c r="G22" s="187" t="str">
        <x:f>"n.a."</x:f>
        <x:v>n.a.</x:v>
      </x:c>
      <x:c r="H22" s="187" t="str">
        <x:f>"n.a."</x:f>
        <x:v>n.a.</x:v>
      </x:c>
      <x:c r="I22" s="187" t="str">
        <x:f>"n.a."</x:f>
        <x:v>n.a.</x:v>
      </x:c>
      <x:c r="J22" s="187" t="str">
        <x:f>"n.a."</x:f>
        <x:v>n.a.</x:v>
      </x:c>
      <x:c r="K22" s="187" t="str">
        <x:f>"n.a."</x:f>
        <x:v>n.a.</x:v>
      </x:c>
      <x:c r="L22" s="187" t="str">
        <x:f>"n.a."</x:f>
        <x:v>n.a.</x:v>
      </x:c>
      <x:c r="M22" s="187" t="str">
        <x:f>"n.a."</x:f>
        <x:v>n.a.</x:v>
      </x:c>
      <x:c r="N22" s="187" t="str">
        <x:f>"n.a."</x:f>
        <x:v>n.a.</x:v>
      </x:c>
      <x:c r="O22" s="187" t="n">
        <x:f>ROUND('FP&amp;A'!F39-'Income Statement'!O19,6)</x:f>
        <x:v>0</x:v>
      </x:c>
      <x:c r="P22" s="187" t="str">
        <x:f>"n.a."</x:f>
        <x:v>n.a.</x:v>
      </x:c>
      <x:c r="Q22" s="187" t="str">
        <x:f>"n.a."</x:f>
        <x:v>n.a.</x:v>
      </x:c>
      <x:c r="R22" s="187" t="str">
        <x:f>"n.a."</x:f>
        <x:v>n.a.</x:v>
      </x:c>
      <x:c r="S22" s="187" t="str">
        <x:f>"n.a."</x:f>
        <x:v>n.a.</x:v>
      </x:c>
      <x:c r="T22" s="103"/>
      <x:c r="U22" s="103"/>
    </x:row>
    <x:row r="23" ht="24" customHeight="1">
      <x:c r="A23" s="103"/>
      <x:c r="B23" s="103"/>
      <x:c r="C23" s="103"/>
      <x:c r="D23" s="103"/>
      <x:c r="E23" s="187"/>
      <x:c r="F23" s="187"/>
      <x:c r="G23" s="187"/>
      <x:c r="H23" s="187"/>
      <x:c r="I23" s="187"/>
      <x:c r="J23" s="187"/>
      <x:c r="K23" s="187"/>
      <x:c r="L23" s="187"/>
      <x:c r="M23" s="187"/>
      <x:c r="N23" s="187"/>
      <x:c r="O23" s="187"/>
      <x:c r="P23" s="187"/>
      <x:c r="Q23" s="187"/>
      <x:c r="R23" s="187"/>
      <x:c r="S23" s="187"/>
      <x:c r="T23" s="103"/>
      <x:c r="U23" s="103"/>
    </x:row>
    <x:row r="24" ht="24" customHeight="1">
      <x:c r="A24" s="103"/>
      <x:c r="B24" s="103"/>
      <x:c r="C24" s="103"/>
      <x:c r="D24" s="103"/>
      <x:c r="E24" s="187"/>
      <x:c r="F24" s="187"/>
      <x:c r="G24" s="187"/>
      <x:c r="H24" s="187"/>
      <x:c r="I24" s="187"/>
      <x:c r="J24" s="187"/>
      <x:c r="K24" s="187"/>
      <x:c r="L24" s="187"/>
      <x:c r="M24" s="187"/>
      <x:c r="N24" s="187"/>
      <x:c r="O24" s="187"/>
      <x:c r="P24" s="187"/>
      <x:c r="Q24" s="187"/>
      <x:c r="R24" s="187"/>
      <x:c r="S24" s="187"/>
      <x:c r="T24" s="103"/>
      <x:c r="U24" s="103"/>
    </x:row>
    <x:row r="25" ht="24" customHeight="1">
      <x:c r="A25" s="103"/>
      <x:c r="B25" s="103"/>
      <x:c r="C25" s="103"/>
      <x:c r="D25" s="103"/>
      <x:c r="E25" s="187"/>
      <x:c r="F25" s="187"/>
      <x:c r="G25" s="187"/>
      <x:c r="H25" s="187"/>
      <x:c r="I25" s="187"/>
      <x:c r="J25" s="187"/>
      <x:c r="K25" s="187"/>
      <x:c r="L25" s="187"/>
      <x:c r="M25" s="187"/>
      <x:c r="N25" s="187"/>
      <x:c r="O25" s="187"/>
      <x:c r="P25" s="187"/>
      <x:c r="Q25" s="187"/>
      <x:c r="R25" s="187"/>
      <x:c r="S25" s="187"/>
      <x:c r="T25" s="103"/>
      <x:c r="U25" s="103"/>
    </x:row>
    <x:row r="26" ht="24" customHeight="1">
      <x:c r="A26" s="103"/>
      <x:c r="B26" s="103"/>
      <x:c r="C26" s="103" t="str">
        <x:v>ppe allocation sum less 100%</x:v>
      </x:c>
      <x:c r="D26" s="103"/>
      <x:c r="E26" s="187" t="n">
        <x:f>SUM('Assumptions'!E205:H205)-1</x:f>
        <x:v>0</x:v>
      </x:c>
      <x:c r="F26" s="187"/>
      <x:c r="G26" s="187"/>
      <x:c r="H26" s="187"/>
      <x:c r="I26" s="187"/>
      <x:c r="J26" s="187"/>
      <x:c r="K26" s="187"/>
      <x:c r="L26" s="187"/>
      <x:c r="M26" s="187"/>
      <x:c r="N26" s="187"/>
      <x:c r="O26" s="187"/>
      <x:c r="P26" s="187"/>
      <x:c r="Q26" s="187"/>
      <x:c r="R26" s="187"/>
      <x:c r="S26" s="187"/>
      <x:c r="T26" s="103"/>
      <x:c r="U26" s="103"/>
    </x:row>
    <x:row r="27" ht="24" customHeight="1">
      <x:c r="A27" s="103"/>
      <x:c r="B27" s="103"/>
      <x:c r="C27" s="103" t="str">
        <x:v>intangibles allocation sum less 100%</x:v>
      </x:c>
      <x:c r="D27" s="103"/>
      <x:c r="E27" s="187" t="n">
        <x:f>SUM('Assumptions'!E206:H206)-1</x:f>
        <x:v>0</x:v>
      </x:c>
      <x:c r="F27" s="187"/>
      <x:c r="G27" s="187"/>
      <x:c r="H27" s="187"/>
      <x:c r="I27" s="187"/>
      <x:c r="J27" s="187"/>
      <x:c r="K27" s="187"/>
      <x:c r="L27" s="187"/>
      <x:c r="M27" s="187"/>
      <x:c r="N27" s="187"/>
      <x:c r="O27" s="187"/>
      <x:c r="P27" s="187"/>
      <x:c r="Q27" s="187"/>
      <x:c r="R27" s="187"/>
      <x:c r="S27" s="187"/>
      <x:c r="T27" s="103"/>
      <x:c r="U27" s="103"/>
    </x:row>
    <x:row r="28" ht="24" customHeight="1">
      <x:c r="A28" s="103"/>
      <x:c r="B28" s="103"/>
      <x:c r="C28" s="103" t="str">
        <x:v>operating_leases allocation sum less 100%</x:v>
      </x:c>
      <x:c r="D28" s="103"/>
      <x:c r="E28" s="187" t="n">
        <x:f>SUM('Assumptions'!E207:H207)-1</x:f>
        <x:v>0</x:v>
      </x:c>
      <x:c r="F28" s="187"/>
      <x:c r="G28" s="187"/>
      <x:c r="H28" s="187"/>
      <x:c r="I28" s="187"/>
      <x:c r="J28" s="187"/>
      <x:c r="K28" s="187"/>
      <x:c r="L28" s="187"/>
      <x:c r="M28" s="187"/>
      <x:c r="N28" s="187"/>
      <x:c r="O28" s="187"/>
      <x:c r="P28" s="187"/>
      <x:c r="Q28" s="187"/>
      <x:c r="R28" s="187"/>
      <x:c r="S28" s="187"/>
      <x:c r="T28" s="103"/>
      <x:c r="U28" s="103"/>
    </x:row>
    <x:row r="29" ht="24" customHeight="1">
      <x:c r="A29" s="103"/>
      <x:c r="B29" s="103"/>
      <x:c r="C29" s="103" t="str">
        <x:v>opex allocation sum less 100%</x:v>
      </x:c>
      <x:c r="D29" s="103"/>
      <x:c r="E29" s="187" t="n">
        <x:f>SUM('Assumptions'!E208:H208)-1</x:f>
        <x:v>0</x:v>
      </x:c>
      <x:c r="F29" s="187"/>
      <x:c r="G29" s="187"/>
      <x:c r="H29" s="187"/>
      <x:c r="I29" s="187"/>
      <x:c r="J29" s="187"/>
      <x:c r="K29" s="187"/>
      <x:c r="L29" s="187"/>
      <x:c r="M29" s="187"/>
      <x:c r="N29" s="187"/>
      <x:c r="O29" s="187"/>
      <x:c r="P29" s="187"/>
      <x:c r="Q29" s="187"/>
      <x:c r="R29" s="187"/>
      <x:c r="S29" s="187"/>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4" t="str">
        <x:v>Selected-case observations</x:v>
      </x:c>
      <x:c r="D47" s="104"/>
      <x:c r="E47" s="104"/>
      <x:c r="F47" s="104"/>
      <x:c r="G47" s="104"/>
      <x:c r="H47" s="104"/>
      <x:c r="I47" s="104"/>
      <x:c r="J47" s="104"/>
      <x:c r="K47" s="104"/>
      <x:c r="L47" s="104"/>
      <x:c r="M47" s="104"/>
      <x:c r="N47" s="104"/>
      <x:c r="O47" s="104"/>
      <x:c r="P47" s="104"/>
      <x:c r="Q47" s="104"/>
      <x:c r="R47" s="104"/>
      <x:c r="S47" s="104"/>
      <x:c r="T47" s="103"/>
      <x:c r="U47" s="103"/>
    </x:row>
    <x:row r="48" ht="24" customHeight="1">
      <x:c r="A48" s="103"/>
      <x:c r="B48" s="103"/>
      <x:c r="C48" s="103" t="str">
        <x:f>"Largest absolute forecast balance-sheet difference: "&amp;FIXED(MAX(MAX(O8:S8),-MIN(O8:S8)),6,TRUE)&amp;" USD millions."</x:f>
        <x:v>Largest absolute forecast balance-sheet difference: 0.000000 USD millions.</x:v>
      </x:c>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t="str">
        <x:f>"Largest absolute forecast ending-cash difference: "&amp;FIXED(MAX(MAX(O9:S9),-MIN(O9:S9)),6,TRUE)&amp;" USD millions."</x:f>
        <x:v>Largest absolute forecast ending-cash difference: 0.000000 USD millions.</x:v>
      </x:c>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t="str">
        <x:f>"Checks are terminal diagnostics. An unavailable check is not a passed check, and no business calculation reads this sheet."</x:f>
        <x:v>Checks are terminal diagnostics. An unavailable check is not a passed check, and no business calculation reads this sheet.</x:v>
      </x:c>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row r="77" ht="24" customHeight="1">
      <x:c r="A77" s="103"/>
      <x:c r="B77" s="103"/>
      <x:c r="C77" s="103"/>
      <x:c r="D77" s="103"/>
      <x:c r="E77" s="103"/>
      <x:c r="F77" s="103"/>
      <x:c r="G77" s="103"/>
      <x:c r="H77" s="103"/>
      <x:c r="I77" s="103"/>
      <x:c r="J77" s="103"/>
      <x:c r="K77" s="103"/>
      <x:c r="L77" s="103"/>
      <x:c r="M77" s="103"/>
      <x:c r="N77" s="103"/>
      <x:c r="O77" s="103"/>
      <x:c r="P77" s="103"/>
      <x:c r="Q77" s="103"/>
      <x:c r="R77" s="103"/>
      <x:c r="S77" s="103"/>
      <x:c r="T77" s="103"/>
      <x:c r="U77" s="103"/>
    </x:row>
    <x:row r="78" ht="24" customHeight="1">
      <x:c r="A78" s="103"/>
      <x:c r="B78" s="103"/>
      <x:c r="C78" s="103"/>
      <x:c r="D78" s="103"/>
      <x:c r="E78" s="103"/>
      <x:c r="F78" s="103"/>
      <x:c r="G78" s="103"/>
      <x:c r="H78" s="103"/>
      <x:c r="I78" s="103"/>
      <x:c r="J78" s="103"/>
      <x:c r="K78" s="103"/>
      <x:c r="L78" s="103"/>
      <x:c r="M78" s="103"/>
      <x:c r="N78" s="103"/>
      <x:c r="O78" s="103"/>
      <x:c r="P78" s="103"/>
      <x:c r="Q78" s="103"/>
      <x:c r="R78" s="103"/>
      <x:c r="S78" s="103"/>
      <x:c r="T78" s="103"/>
      <x:c r="U78" s="103"/>
    </x:row>
    <x:row r="79" ht="24" customHeight="1">
      <x:c r="A79" s="103"/>
      <x:c r="B79" s="103"/>
      <x:c r="C79" s="103"/>
      <x:c r="D79" s="103"/>
      <x:c r="E79" s="103"/>
      <x:c r="F79" s="103"/>
      <x:c r="G79" s="103"/>
      <x:c r="H79" s="103"/>
      <x:c r="I79" s="103"/>
      <x:c r="J79" s="103"/>
      <x:c r="K79" s="103"/>
      <x:c r="L79" s="103"/>
      <x:c r="M79" s="103"/>
      <x:c r="N79" s="103"/>
      <x:c r="O79" s="103"/>
      <x:c r="P79" s="103"/>
      <x:c r="Q79" s="103"/>
      <x:c r="R79" s="103"/>
      <x:c r="S79" s="103"/>
      <x:c r="T79" s="103"/>
      <x:c r="U79" s="103"/>
    </x:row>
    <x:row r="80" ht="24" customHeight="1">
      <x:c r="A80" s="103"/>
      <x:c r="B80" s="103"/>
      <x:c r="C80" s="103"/>
      <x:c r="D80" s="103"/>
      <x:c r="E80" s="103"/>
      <x:c r="F80" s="103"/>
      <x:c r="G80" s="103"/>
      <x:c r="H80" s="103"/>
      <x:c r="I80" s="103"/>
      <x:c r="J80" s="103"/>
      <x:c r="K80" s="103"/>
      <x:c r="L80" s="103"/>
      <x:c r="M80" s="103"/>
      <x:c r="N80" s="103"/>
      <x:c r="O80" s="103"/>
      <x:c r="P80" s="103"/>
      <x:c r="Q80" s="103"/>
      <x:c r="R80" s="103"/>
      <x:c r="S80" s="103"/>
      <x:c r="T80" s="103"/>
      <x:c r="U80" s="103"/>
    </x:row>
    <x:row r="81" ht="24" customHeight="1">
      <x:c r="A81" s="103"/>
      <x:c r="B81" s="103"/>
      <x:c r="C81" s="103"/>
      <x:c r="D81" s="103"/>
      <x:c r="E81" s="103"/>
      <x:c r="F81" s="103"/>
      <x:c r="G81" s="103"/>
      <x:c r="H81" s="103"/>
      <x:c r="I81" s="103"/>
      <x:c r="J81" s="103"/>
      <x:c r="K81" s="103"/>
      <x:c r="L81" s="103"/>
      <x:c r="M81" s="103"/>
      <x:c r="N81" s="103"/>
      <x:c r="O81" s="103"/>
      <x:c r="P81" s="103"/>
      <x:c r="Q81" s="103"/>
      <x:c r="R81" s="103"/>
      <x:c r="S81" s="103"/>
      <x:c r="T81" s="103"/>
      <x:c r="U81" s="103"/>
    </x:row>
    <x:row r="82" ht="24" customHeight="1">
      <x:c r="A82" s="103"/>
      <x:c r="B82" s="103"/>
      <x:c r="C82" s="103"/>
      <x:c r="D82" s="103"/>
      <x:c r="E82" s="103"/>
      <x:c r="F82" s="103"/>
      <x:c r="G82" s="103"/>
      <x:c r="H82" s="103"/>
      <x:c r="I82" s="103"/>
      <x:c r="J82" s="103"/>
      <x:c r="K82" s="103"/>
      <x:c r="L82" s="103"/>
      <x:c r="M82" s="103"/>
      <x:c r="N82" s="103"/>
      <x:c r="O82" s="103"/>
      <x:c r="P82" s="103"/>
      <x:c r="Q82" s="103"/>
      <x:c r="R82" s="103"/>
      <x:c r="S82" s="103"/>
      <x:c r="T82" s="103"/>
      <x:c r="U82" s="103"/>
    </x:row>
    <x:row r="83" ht="24" customHeight="1">
      <x:c r="A83" s="103"/>
      <x:c r="B83" s="103"/>
      <x:c r="C83" s="103"/>
      <x:c r="D83" s="103"/>
      <x:c r="E83" s="103"/>
      <x:c r="F83" s="103"/>
      <x:c r="G83" s="103"/>
      <x:c r="H83" s="103"/>
      <x:c r="I83" s="103"/>
      <x:c r="J83" s="103"/>
      <x:c r="K83" s="103"/>
      <x:c r="L83" s="103"/>
      <x:c r="M83" s="103"/>
      <x:c r="N83" s="103"/>
      <x:c r="O83" s="103"/>
      <x:c r="P83" s="103"/>
      <x:c r="Q83" s="103"/>
      <x:c r="R83" s="103"/>
      <x:c r="S83" s="103"/>
      <x:c r="T83" s="103"/>
      <x:c r="U83" s="103"/>
    </x:row>
    <x:row r="84" ht="24" customHeight="1">
      <x:c r="A84" s="103"/>
      <x:c r="B84" s="103"/>
      <x:c r="C84" s="103"/>
      <x:c r="D84" s="103"/>
      <x:c r="E84" s="103"/>
      <x:c r="F84" s="103"/>
      <x:c r="G84" s="103"/>
      <x:c r="H84" s="103"/>
      <x:c r="I84" s="103"/>
      <x:c r="J84" s="103"/>
      <x:c r="K84" s="103"/>
      <x:c r="L84" s="103"/>
      <x:c r="M84" s="103"/>
      <x:c r="N84" s="103"/>
      <x:c r="O84" s="103"/>
      <x:c r="P84" s="103"/>
      <x:c r="Q84" s="103"/>
      <x:c r="R84" s="103"/>
      <x:c r="S84" s="103"/>
      <x:c r="T84" s="103"/>
      <x:c r="U84" s="103"/>
    </x:row>
    <x:row r="85" ht="24" customHeight="1">
      <x:c r="A85" s="103"/>
      <x:c r="B85" s="103"/>
      <x:c r="C85" s="103"/>
      <x:c r="D85" s="103"/>
      <x:c r="E85" s="103"/>
      <x:c r="F85" s="103"/>
      <x:c r="G85" s="103"/>
      <x:c r="H85" s="103"/>
      <x:c r="I85" s="103"/>
      <x:c r="J85" s="103"/>
      <x:c r="K85" s="103"/>
      <x:c r="L85" s="103"/>
      <x:c r="M85" s="103"/>
      <x:c r="N85" s="103"/>
      <x:c r="O85" s="103"/>
      <x:c r="P85" s="103"/>
      <x:c r="Q85" s="103"/>
      <x:c r="R85" s="103"/>
      <x:c r="S85" s="103"/>
      <x:c r="T85" s="103"/>
      <x:c r="U85" s="103"/>
    </x:row>
    <x:row r="86" ht="24" customHeight="1">
      <x:c r="A86" s="103"/>
      <x:c r="B86" s="103"/>
      <x:c r="C86" s="103"/>
      <x:c r="D86" s="103"/>
      <x:c r="E86" s="103"/>
      <x:c r="F86" s="103"/>
      <x:c r="G86" s="103"/>
      <x:c r="H86" s="103"/>
      <x:c r="I86" s="103"/>
      <x:c r="J86" s="103"/>
      <x:c r="K86" s="103"/>
      <x:c r="L86" s="103"/>
      <x:c r="M86" s="103"/>
      <x:c r="N86" s="103"/>
      <x:c r="O86" s="103"/>
      <x:c r="P86" s="103"/>
      <x:c r="Q86" s="103"/>
      <x:c r="R86" s="103"/>
      <x:c r="S86" s="103"/>
      <x:c r="T86" s="103"/>
      <x:c r="U86" s="103"/>
    </x:row>
    <x:row r="87" ht="24" customHeight="1">
      <x:c r="A87" s="103"/>
      <x:c r="B87" s="103"/>
      <x:c r="C87" s="103"/>
      <x:c r="D87" s="103"/>
      <x:c r="E87" s="103"/>
      <x:c r="F87" s="103"/>
      <x:c r="G87" s="103"/>
      <x:c r="H87" s="103"/>
      <x:c r="I87" s="103"/>
      <x:c r="J87" s="103"/>
      <x:c r="K87" s="103"/>
      <x:c r="L87" s="103"/>
      <x:c r="M87" s="103"/>
      <x:c r="N87" s="103"/>
      <x:c r="O87" s="103"/>
      <x:c r="P87" s="103"/>
      <x:c r="Q87" s="103"/>
      <x:c r="R87" s="103"/>
      <x:c r="S87" s="103"/>
      <x:c r="T87" s="103"/>
      <x:c r="U87" s="103"/>
    </x:row>
    <x:row r="88" ht="24" customHeight="1">
      <x:c r="A88" s="103"/>
      <x:c r="B88" s="103"/>
      <x:c r="C88" s="103"/>
      <x:c r="D88" s="103"/>
      <x:c r="E88" s="103"/>
      <x:c r="F88" s="103"/>
      <x:c r="G88" s="103"/>
      <x:c r="H88" s="103"/>
      <x:c r="I88" s="103"/>
      <x:c r="J88" s="103"/>
      <x:c r="K88" s="103"/>
      <x:c r="L88" s="103"/>
      <x:c r="M88" s="103"/>
      <x:c r="N88" s="103"/>
      <x:c r="O88" s="103"/>
      <x:c r="P88" s="103"/>
      <x:c r="Q88" s="103"/>
      <x:c r="R88" s="103"/>
      <x:c r="S88" s="103"/>
      <x:c r="T88" s="103"/>
      <x:c r="U88" s="103"/>
    </x:row>
    <x:row r="89" ht="24" customHeight="1">
      <x:c r="A89" s="103"/>
      <x:c r="B89" s="103"/>
      <x:c r="C89" s="103"/>
      <x:c r="D89" s="103"/>
      <x:c r="E89" s="103"/>
      <x:c r="F89" s="103"/>
      <x:c r="G89" s="103"/>
      <x:c r="H89" s="103"/>
      <x:c r="I89" s="103"/>
      <x:c r="J89" s="103"/>
      <x:c r="K89" s="103"/>
      <x:c r="L89" s="103"/>
      <x:c r="M89" s="103"/>
      <x:c r="N89" s="103"/>
      <x:c r="O89" s="103"/>
      <x:c r="P89" s="103"/>
      <x:c r="Q89" s="103"/>
      <x:c r="R89" s="103"/>
      <x:c r="S89" s="103"/>
      <x:c r="T89" s="103"/>
      <x:c r="U89" s="103"/>
    </x:row>
    <x:row r="90" ht="24" customHeight="1">
      <x:c r="A90" s="103"/>
      <x:c r="B90" s="103"/>
      <x:c r="C90" s="103"/>
      <x:c r="D90" s="103"/>
      <x:c r="E90" s="103"/>
      <x:c r="F90" s="103"/>
      <x:c r="G90" s="103"/>
      <x:c r="H90" s="103"/>
      <x:c r="I90" s="103"/>
      <x:c r="J90" s="103"/>
      <x:c r="K90" s="103"/>
      <x:c r="L90" s="103"/>
      <x:c r="M90" s="103"/>
      <x:c r="N90" s="103"/>
      <x:c r="O90" s="103"/>
      <x:c r="P90" s="103"/>
      <x:c r="Q90" s="103"/>
      <x:c r="R90" s="103"/>
      <x:c r="S90" s="103"/>
      <x:c r="T90" s="103"/>
      <x:c r="U90" s="103"/>
    </x:row>
    <x:row r="91" ht="24" customHeight="1">
      <x:c r="A91" s="103"/>
      <x:c r="B91" s="103"/>
      <x:c r="C91" s="103"/>
      <x:c r="D91" s="103"/>
      <x:c r="E91" s="103"/>
      <x:c r="F91" s="103"/>
      <x:c r="G91" s="103"/>
      <x:c r="H91" s="103"/>
      <x:c r="I91" s="103"/>
      <x:c r="J91" s="103"/>
      <x:c r="K91" s="103"/>
      <x:c r="L91" s="103"/>
      <x:c r="M91" s="103"/>
      <x:c r="N91" s="103"/>
      <x:c r="O91" s="103"/>
      <x:c r="P91" s="103"/>
      <x:c r="Q91" s="103"/>
      <x:c r="R91" s="103"/>
      <x:c r="S91" s="103"/>
      <x:c r="T91" s="103"/>
      <x:c r="U91" s="103"/>
    </x:row>
    <x:row r="92" ht="24" customHeight="1">
      <x:c r="A92" s="103"/>
      <x:c r="B92" s="103"/>
      <x:c r="C92" s="103"/>
      <x:c r="D92" s="103"/>
      <x:c r="E92" s="103"/>
      <x:c r="F92" s="103"/>
      <x:c r="G92" s="103"/>
      <x:c r="H92" s="103"/>
      <x:c r="I92" s="103"/>
      <x:c r="J92" s="103"/>
      <x:c r="K92" s="103"/>
      <x:c r="L92" s="103"/>
      <x:c r="M92" s="103"/>
      <x:c r="N92" s="103"/>
      <x:c r="O92" s="103"/>
      <x:c r="P92" s="103"/>
      <x:c r="Q92" s="103"/>
      <x:c r="R92" s="103"/>
      <x:c r="S92" s="103"/>
      <x:c r="T92" s="103"/>
      <x:c r="U92" s="103"/>
    </x:row>
    <x:row r="93" ht="24" customHeight="1">
      <x:c r="A93" s="103"/>
      <x:c r="B93" s="103"/>
      <x:c r="C93" s="103"/>
      <x:c r="D93" s="103"/>
      <x:c r="E93" s="103"/>
      <x:c r="F93" s="103"/>
      <x:c r="G93" s="103"/>
      <x:c r="H93" s="103"/>
      <x:c r="I93" s="103"/>
      <x:c r="J93" s="103"/>
      <x:c r="K93" s="103"/>
      <x:c r="L93" s="103"/>
      <x:c r="M93" s="103"/>
      <x:c r="N93" s="103"/>
      <x:c r="O93" s="103"/>
      <x:c r="P93" s="103"/>
      <x:c r="Q93" s="103"/>
      <x:c r="R93" s="103"/>
      <x:c r="S93" s="103"/>
      <x:c r="T93" s="103"/>
      <x:c r="U93" s="103"/>
    </x:row>
    <x:row r="94" ht="24" customHeight="1">
      <x:c r="A94" s="103"/>
      <x:c r="B94" s="103"/>
      <x:c r="C94" s="103"/>
      <x:c r="D94" s="103"/>
      <x:c r="E94" s="103"/>
      <x:c r="F94" s="103"/>
      <x:c r="G94" s="103"/>
      <x:c r="H94" s="103"/>
      <x:c r="I94" s="103"/>
      <x:c r="J94" s="103"/>
      <x:c r="K94" s="103"/>
      <x:c r="L94" s="103"/>
      <x:c r="M94" s="103"/>
      <x:c r="N94" s="103"/>
      <x:c r="O94" s="103"/>
      <x:c r="P94" s="103"/>
      <x:c r="Q94" s="103"/>
      <x:c r="R94" s="103"/>
      <x:c r="S94" s="103"/>
      <x:c r="T94" s="103"/>
      <x:c r="U94" s="103"/>
    </x:row>
    <x:row r="95" ht="24" customHeight="1">
      <x:c r="A95" s="103"/>
      <x:c r="B95" s="103"/>
      <x:c r="C95" s="103"/>
      <x:c r="D95" s="103"/>
      <x:c r="E95" s="103"/>
      <x:c r="F95" s="103"/>
      <x:c r="G95" s="103"/>
      <x:c r="H95" s="103"/>
      <x:c r="I95" s="103"/>
      <x:c r="J95" s="103"/>
      <x:c r="K95" s="103"/>
      <x:c r="L95" s="103"/>
      <x:c r="M95" s="103"/>
      <x:c r="N95" s="103"/>
      <x:c r="O95" s="103"/>
      <x:c r="P95" s="103"/>
      <x:c r="Q95" s="103"/>
      <x:c r="R95" s="103"/>
      <x:c r="S95" s="103"/>
      <x:c r="T95" s="103"/>
      <x:c r="U95" s="103"/>
    </x:row>
  </x:sheetData>
  <x:mergeCells>
    <x:mergeCell ref="C48:S48"/>
    <x:mergeCell ref="C49:S49"/>
    <x:mergeCell ref="C50:S50"/>
  </x:mergeCells>
  <x:conditionalFormatting sqref="E8:S29">
    <x:cfRule type="expression" dxfId="0" priority="1">
      <x:formula>AND(ISNUMBER(E8),ABS(E8)&gt;0.01)</x:formula>
    </x:cfRule>
  </x:conditionalFormatting>
  <x:pageMargins left="0.7" right="0.7" top="0.75" bottom="0.75" header="0.3" footer="0.3"/>
  <x:drawing xmlns:r="http://schemas.openxmlformats.org/officeDocument/2006/relationships" r:id="R145bc15c0404462b"/>
  <x:legacyDrawing xmlns:r="http://schemas.openxmlformats.org/officeDocument/2006/relationships" r:id="Rc27a431abeff4ae8"/>
</x:worksheet>
</file>

<file path=xl/worksheets/sheet20.xml><?xml version="1.0" encoding="utf-8"?>
<x:worksheet xmlns:x="http://schemas.openxmlformats.org/spreadsheetml/2006/main">
  <x:sheetPr>
    <x:tabColor rgb="FFBFBFBF"/>
  </x:sheetPr>
  <x:sheetViews>
    <x:sheetView showGridLines="0" workbookViewId="0"/>
  </x:sheetViews>
  <x:sheetFormatPr defaultRowHeight="15"/>
  <x:cols>
    <x:col min="1" max="1" width="2" hidden="0" customWidth="1"/>
    <x:col min="2" max="2" width="2" hidden="0" customWidth="1"/>
    <x:col min="3" max="3" width="54" hidden="0" customWidth="1"/>
    <x:col min="4" max="4" width="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s>
  <x:sheetData>
    <x:row r="1" ht="21" customHeight="1">
      <x:c r="A1" s="103"/>
      <x:c r="B1" s="103"/>
      <x:c r="C1" s="103"/>
      <x:c r="D1" s="103"/>
      <x:c r="E1" s="103"/>
      <x:c r="F1" s="103"/>
      <x:c r="G1" s="103"/>
      <x:c r="H1" s="103"/>
      <x:c r="I1" s="103"/>
      <x:c r="J1" s="103"/>
      <x:c r="K1" s="103"/>
      <x:c r="L1" s="103"/>
      <x:c r="M1" s="103"/>
      <x:c r="N1" s="103"/>
      <x:c r="O1" s="103"/>
      <x:c r="P1" s="103"/>
      <x:c r="Q1" s="103"/>
      <x:c r="R1" s="103"/>
      <x:c r="S1" s="103"/>
      <x:c r="T1" s="103"/>
      <x:c r="U1" s="103"/>
    </x:row>
    <x:row r="2" ht="30" customHeight="1">
      <x:c r="A2" s="103"/>
      <x:c r="B2" s="103"/>
      <x:c r="C2" s="114" t="str">
        <x:v>Model Guide</x:v>
      </x:c>
      <x:c r="D2" s="115"/>
      <x:c r="E2" s="115"/>
      <x:c r="F2" s="115"/>
      <x:c r="G2" s="115"/>
      <x:c r="H2" s="115"/>
      <x:c r="I2" s="115"/>
      <x:c r="J2" s="115"/>
      <x:c r="K2" s="115"/>
      <x:c r="L2" s="115"/>
      <x:c r="M2" s="115"/>
      <x:c r="N2" s="115"/>
      <x:c r="O2" s="103"/>
      <x:c r="P2" s="103"/>
      <x:c r="Q2" s="103"/>
      <x:c r="R2" s="103"/>
      <x:c r="S2" s="103"/>
      <x:c r="T2" s="103"/>
      <x:c r="U2" s="103"/>
    </x:row>
    <x:row r="3" ht="21" customHeight="1">
      <x:c r="A3" s="103"/>
      <x:c r="B3" s="103"/>
      <x:c r="C3" s="105" t="str">
        <x:v>USD millions except per-share data and ratios. Fiscal year ends 30 June.</x:v>
      </x:c>
      <x:c r="D3" s="103"/>
      <x:c r="E3" s="103"/>
      <x:c r="F3" s="103"/>
      <x:c r="G3" s="103"/>
      <x:c r="H3" s="103"/>
      <x:c r="I3" s="103"/>
      <x:c r="J3" s="103"/>
      <x:c r="K3" s="103"/>
      <x:c r="L3" s="103"/>
      <x:c r="M3" s="103"/>
      <x:c r="N3" s="103"/>
      <x:c r="O3" s="103"/>
      <x:c r="P3" s="103"/>
      <x:c r="Q3" s="103"/>
      <x:c r="R3" s="103"/>
      <x:c r="S3" s="103"/>
      <x:c r="T3" s="103"/>
      <x:c r="U3" s="103"/>
    </x:row>
    <x:row r="4" ht="24" customHeight="1">
      <x:c r="A4" s="103"/>
      <x:c r="B4" s="103"/>
      <x:c r="C4" s="103"/>
      <x:c r="D4" s="103"/>
      <x:c r="E4" s="103"/>
      <x:c r="F4" s="103"/>
      <x:c r="G4" s="103"/>
      <x:c r="H4" s="103"/>
      <x:c r="I4" s="103"/>
      <x:c r="J4" s="103"/>
      <x:c r="K4" s="103"/>
      <x:c r="L4" s="103"/>
      <x:c r="M4" s="103"/>
      <x:c r="N4" s="103"/>
      <x:c r="O4" s="103"/>
      <x:c r="P4" s="103"/>
      <x:c r="Q4" s="103"/>
      <x:c r="R4" s="103"/>
      <x:c r="S4" s="103"/>
      <x:c r="T4" s="103"/>
      <x:c r="U4" s="103"/>
    </x:row>
    <x:row r="5" ht="24" customHeight="1">
      <x:c r="A5" s="103"/>
      <x:c r="B5" s="103"/>
      <x:c r="C5" s="103"/>
      <x:c r="D5" s="103"/>
      <x:c r="E5" s="103"/>
      <x:c r="F5" s="103"/>
      <x:c r="G5" s="103"/>
      <x:c r="H5" s="103"/>
      <x:c r="I5" s="103"/>
      <x:c r="J5" s="103"/>
      <x:c r="K5" s="103"/>
      <x:c r="L5" s="103"/>
      <x:c r="M5" s="103"/>
      <x:c r="N5" s="103"/>
      <x:c r="O5" s="103"/>
      <x:c r="P5" s="103"/>
      <x:c r="Q5" s="103"/>
      <x:c r="R5" s="103"/>
      <x:c r="S5" s="103"/>
      <x:c r="T5" s="103"/>
      <x:c r="U5" s="103"/>
    </x:row>
    <x:row r="6" ht="24" customHeight="1">
      <x:c r="A6" s="103"/>
      <x:c r="B6" s="103"/>
      <x:c r="C6" s="103"/>
      <x:c r="D6" s="103"/>
      <x:c r="E6" s="103"/>
      <x:c r="F6" s="103"/>
      <x:c r="G6" s="103"/>
      <x:c r="H6" s="103"/>
      <x:c r="I6" s="103"/>
      <x:c r="J6" s="103"/>
      <x:c r="K6" s="103"/>
      <x:c r="L6" s="103"/>
      <x:c r="M6" s="103"/>
      <x:c r="N6" s="103"/>
      <x:c r="O6" s="103"/>
      <x:c r="P6" s="103"/>
      <x:c r="Q6" s="103"/>
      <x:c r="R6" s="103"/>
      <x:c r="S6" s="103"/>
      <x:c r="T6" s="103"/>
      <x:c r="U6" s="103"/>
    </x:row>
    <x:row r="7" ht="24" customHeight="1">
      <x:c r="A7" s="103"/>
      <x:c r="B7" s="103"/>
      <x:c r="C7" s="103"/>
      <x:c r="D7" s="103"/>
      <x:c r="E7" s="103"/>
      <x:c r="F7" s="103"/>
      <x:c r="G7" s="103"/>
      <x:c r="H7" s="103"/>
      <x:c r="I7" s="103"/>
      <x:c r="J7" s="103"/>
      <x:c r="K7" s="103"/>
      <x:c r="L7" s="103"/>
      <x:c r="M7" s="103"/>
      <x:c r="N7" s="103"/>
      <x:c r="O7" s="103"/>
      <x:c r="P7" s="103"/>
      <x:c r="Q7" s="103"/>
      <x:c r="R7" s="103"/>
      <x:c r="S7" s="103"/>
      <x:c r="T7" s="103"/>
      <x:c r="U7" s="103"/>
    </x:row>
    <x:row r="8" ht="24" customHeight="1">
      <x:c r="A8" s="103"/>
      <x:c r="B8" s="103"/>
      <x:c r="C8" s="103"/>
      <x:c r="D8" s="103"/>
      <x:c r="E8" s="103"/>
      <x:c r="F8" s="103"/>
      <x:c r="G8" s="103"/>
      <x:c r="H8" s="103"/>
      <x:c r="I8" s="103"/>
      <x:c r="J8" s="103"/>
      <x:c r="K8" s="103"/>
      <x:c r="L8" s="103"/>
      <x:c r="M8" s="103"/>
      <x:c r="N8" s="103"/>
      <x:c r="O8" s="103"/>
      <x:c r="P8" s="103"/>
      <x:c r="Q8" s="103"/>
      <x:c r="R8" s="103"/>
      <x:c r="S8" s="103"/>
      <x:c r="T8" s="103"/>
      <x:c r="U8" s="103"/>
    </x:row>
    <x:row r="9" ht="24" customHeight="1">
      <x:c r="A9" s="103"/>
      <x:c r="B9" s="103"/>
      <x:c r="C9" s="103"/>
      <x:c r="D9" s="103"/>
      <x:c r="E9" s="103"/>
      <x:c r="F9" s="103"/>
      <x:c r="G9" s="103"/>
      <x:c r="H9" s="103"/>
      <x:c r="I9" s="103"/>
      <x:c r="J9" s="103"/>
      <x:c r="K9" s="103"/>
      <x:c r="L9" s="103"/>
      <x:c r="M9" s="103"/>
      <x:c r="N9" s="103"/>
      <x:c r="O9" s="103"/>
      <x:c r="P9" s="103"/>
      <x:c r="Q9" s="103"/>
      <x:c r="R9" s="103"/>
      <x:c r="S9" s="103"/>
      <x:c r="T9" s="103"/>
      <x:c r="U9" s="103"/>
    </x:row>
    <x:row r="10" ht="24" customHeight="1">
      <x:c r="A10" s="103"/>
      <x:c r="B10" s="103"/>
      <x:c r="C10" s="103"/>
      <x:c r="D10" s="103"/>
      <x:c r="E10" s="103"/>
      <x:c r="F10" s="103"/>
      <x:c r="G10" s="103"/>
      <x:c r="H10" s="103"/>
      <x:c r="I10" s="103"/>
      <x:c r="J10" s="103"/>
      <x:c r="K10" s="103"/>
      <x:c r="L10" s="103"/>
      <x:c r="M10" s="103"/>
      <x:c r="N10" s="103"/>
      <x:c r="O10" s="103"/>
      <x:c r="P10" s="103"/>
      <x:c r="Q10" s="103"/>
      <x:c r="R10" s="103"/>
      <x:c r="S10" s="103"/>
      <x:c r="T10" s="103"/>
      <x:c r="U10" s="103"/>
    </x:row>
    <x:row r="11" ht="24" customHeight="1">
      <x:c r="A11" s="103"/>
      <x:c r="B11" s="103"/>
      <x:c r="C11" s="103"/>
      <x:c r="D11" s="103"/>
      <x:c r="E11" s="103"/>
      <x:c r="F11" s="103"/>
      <x:c r="G11" s="103"/>
      <x:c r="H11" s="103"/>
      <x:c r="I11" s="103"/>
      <x:c r="J11" s="103"/>
      <x:c r="K11" s="103"/>
      <x:c r="L11" s="103"/>
      <x:c r="M11" s="103"/>
      <x:c r="N11" s="103"/>
      <x:c r="O11" s="103"/>
      <x:c r="P11" s="103"/>
      <x:c r="Q11" s="103"/>
      <x:c r="R11" s="103"/>
      <x:c r="S11" s="103"/>
      <x:c r="T11" s="103"/>
      <x:c r="U11" s="103"/>
    </x:row>
    <x:row r="12" ht="24" customHeight="1">
      <x:c r="A12" s="103"/>
      <x:c r="B12" s="103"/>
      <x:c r="C12" s="103"/>
      <x:c r="D12" s="103"/>
      <x:c r="E12" s="103"/>
      <x:c r="F12" s="103"/>
      <x:c r="G12" s="103"/>
      <x:c r="H12" s="103"/>
      <x:c r="I12" s="103"/>
      <x:c r="J12" s="103"/>
      <x:c r="K12" s="103"/>
      <x:c r="L12" s="103"/>
      <x:c r="M12" s="103"/>
      <x:c r="N12" s="103"/>
      <x:c r="O12" s="103"/>
      <x:c r="P12" s="103"/>
      <x:c r="Q12" s="103"/>
      <x:c r="R12" s="103"/>
      <x:c r="S12" s="103"/>
      <x:c r="T12" s="103"/>
      <x:c r="U12" s="103"/>
    </x:row>
    <x:row r="13" ht="24" customHeight="1">
      <x:c r="A13" s="103"/>
      <x:c r="B13" s="103"/>
      <x:c r="C13" s="103"/>
      <x:c r="D13" s="103"/>
      <x:c r="E13" s="103"/>
      <x:c r="F13" s="103"/>
      <x:c r="G13" s="103"/>
      <x:c r="H13" s="103"/>
      <x:c r="I13" s="103"/>
      <x:c r="J13" s="103"/>
      <x:c r="K13" s="103"/>
      <x:c r="L13" s="103"/>
      <x:c r="M13" s="103"/>
      <x:c r="N13" s="103"/>
      <x:c r="O13" s="103"/>
      <x:c r="P13" s="103"/>
      <x:c r="Q13" s="103"/>
      <x:c r="R13" s="103"/>
      <x:c r="S13" s="103"/>
      <x:c r="T13" s="103"/>
      <x:c r="U13" s="103"/>
    </x:row>
    <x:row r="14" ht="24" customHeight="1">
      <x:c r="A14" s="103"/>
      <x:c r="B14" s="103"/>
      <x:c r="C14" s="103"/>
      <x:c r="D14" s="103"/>
      <x:c r="E14" s="103"/>
      <x:c r="F14" s="103"/>
      <x:c r="G14" s="103"/>
      <x:c r="H14" s="103"/>
      <x:c r="I14" s="103"/>
      <x:c r="J14" s="103"/>
      <x:c r="K14" s="103"/>
      <x:c r="L14" s="103"/>
      <x:c r="M14" s="103"/>
      <x:c r="N14" s="103"/>
      <x:c r="O14" s="103"/>
      <x:c r="P14" s="103"/>
      <x:c r="Q14" s="103"/>
      <x:c r="R14" s="103"/>
      <x:c r="S14" s="103"/>
      <x:c r="T14" s="103"/>
      <x:c r="U14" s="103"/>
    </x:row>
    <x:row r="15" ht="24" customHeight="1">
      <x:c r="A15" s="103"/>
      <x:c r="B15" s="103"/>
      <x:c r="C15" s="103"/>
      <x:c r="D15" s="103"/>
      <x:c r="E15" s="103"/>
      <x:c r="F15" s="103"/>
      <x:c r="G15" s="103"/>
      <x:c r="H15" s="103"/>
      <x:c r="I15" s="103"/>
      <x:c r="J15" s="103"/>
      <x:c r="K15" s="103"/>
      <x:c r="L15" s="103"/>
      <x:c r="M15" s="103"/>
      <x:c r="N15" s="103"/>
      <x:c r="O15" s="103"/>
      <x:c r="P15" s="103"/>
      <x:c r="Q15" s="103"/>
      <x:c r="R15" s="103"/>
      <x:c r="S15" s="103"/>
      <x:c r="T15" s="103"/>
      <x:c r="U15" s="103"/>
    </x:row>
    <x:row r="16" ht="24" customHeight="1">
      <x:c r="A16" s="103"/>
      <x:c r="B16" s="103"/>
      <x:c r="C16" s="103"/>
      <x:c r="D16" s="103"/>
      <x:c r="E16" s="103"/>
      <x:c r="F16" s="103"/>
      <x:c r="G16" s="103"/>
      <x:c r="H16" s="103"/>
      <x:c r="I16" s="103"/>
      <x:c r="J16" s="103"/>
      <x:c r="K16" s="103"/>
      <x:c r="L16" s="103"/>
      <x:c r="M16" s="103"/>
      <x:c r="N16" s="103"/>
      <x:c r="O16" s="103"/>
      <x:c r="P16" s="103"/>
      <x:c r="Q16" s="103"/>
      <x:c r="R16" s="103"/>
      <x:c r="S16" s="103"/>
      <x:c r="T16" s="103"/>
      <x:c r="U16" s="103"/>
    </x:row>
    <x:row r="17" ht="24" customHeight="1">
      <x:c r="A17" s="103"/>
      <x:c r="B17" s="103"/>
      <x:c r="C17" s="103"/>
      <x:c r="D17" s="103"/>
      <x:c r="E17" s="103"/>
      <x:c r="F17" s="103"/>
      <x:c r="G17" s="103"/>
      <x:c r="H17" s="103"/>
      <x:c r="I17" s="103"/>
      <x:c r="J17" s="103"/>
      <x:c r="K17" s="103"/>
      <x:c r="L17" s="103"/>
      <x:c r="M17" s="103"/>
      <x:c r="N17" s="103"/>
      <x:c r="O17" s="103"/>
      <x:c r="P17" s="103"/>
      <x:c r="Q17" s="103"/>
      <x:c r="R17" s="103"/>
      <x:c r="S17" s="103"/>
      <x:c r="T17" s="103"/>
      <x:c r="U17" s="103"/>
    </x:row>
    <x:row r="18" ht="24" customHeight="1">
      <x:c r="A18" s="103"/>
      <x:c r="B18" s="103"/>
      <x:c r="C18" s="103"/>
      <x:c r="D18" s="103"/>
      <x:c r="E18" s="103"/>
      <x:c r="F18" s="103"/>
      <x:c r="G18" s="103"/>
      <x:c r="H18" s="103"/>
      <x:c r="I18" s="103"/>
      <x:c r="J18" s="103"/>
      <x:c r="K18" s="103"/>
      <x:c r="L18" s="103"/>
      <x:c r="M18" s="103"/>
      <x:c r="N18" s="103"/>
      <x:c r="O18" s="103"/>
      <x:c r="P18" s="103"/>
      <x:c r="Q18" s="103"/>
      <x:c r="R18" s="103"/>
      <x:c r="S18" s="103"/>
      <x:c r="T18" s="103"/>
      <x:c r="U18" s="103"/>
    </x:row>
    <x:row r="19" ht="24" customHeight="1">
      <x:c r="A19" s="103"/>
      <x:c r="B19" s="103"/>
      <x:c r="C19" s="103"/>
      <x:c r="D19" s="103"/>
      <x:c r="E19" s="103"/>
      <x:c r="F19" s="103"/>
      <x:c r="G19" s="103"/>
      <x:c r="H19" s="103"/>
      <x:c r="I19" s="103"/>
      <x:c r="J19" s="103"/>
      <x:c r="K19" s="103"/>
      <x:c r="L19" s="103"/>
      <x:c r="M19" s="103"/>
      <x:c r="N19" s="103"/>
      <x:c r="O19" s="103"/>
      <x:c r="P19" s="103"/>
      <x:c r="Q19" s="103"/>
      <x:c r="R19" s="103"/>
      <x:c r="S19" s="103"/>
      <x:c r="T19" s="103"/>
      <x:c r="U19" s="103"/>
    </x:row>
    <x:row r="20" ht="24" customHeight="1">
      <x:c r="A20" s="103"/>
      <x:c r="B20" s="103"/>
      <x:c r="C20" s="103"/>
      <x:c r="D20" s="103"/>
      <x:c r="E20" s="103"/>
      <x:c r="F20" s="103"/>
      <x:c r="G20" s="103"/>
      <x:c r="H20" s="103"/>
      <x:c r="I20" s="103"/>
      <x:c r="J20" s="103"/>
      <x:c r="K20" s="103"/>
      <x:c r="L20" s="103"/>
      <x:c r="M20" s="103"/>
      <x:c r="N20" s="103"/>
      <x:c r="O20" s="103"/>
      <x:c r="P20" s="103"/>
      <x:c r="Q20" s="103"/>
      <x:c r="R20" s="103"/>
      <x:c r="S20" s="103"/>
      <x:c r="T20" s="103"/>
      <x:c r="U20" s="103"/>
    </x:row>
    <x:row r="21" ht="24" customHeight="1">
      <x:c r="A21" s="103"/>
      <x:c r="B21" s="103"/>
      <x:c r="C21" s="103"/>
      <x:c r="D21" s="103"/>
      <x:c r="E21" s="103"/>
      <x:c r="F21" s="103"/>
      <x:c r="G21" s="103"/>
      <x:c r="H21" s="103"/>
      <x:c r="I21" s="103"/>
      <x:c r="J21" s="103"/>
      <x:c r="K21" s="103"/>
      <x:c r="L21" s="103"/>
      <x:c r="M21" s="103"/>
      <x:c r="N21" s="103"/>
      <x:c r="O21" s="103"/>
      <x:c r="P21" s="103"/>
      <x:c r="Q21" s="103"/>
      <x:c r="R21" s="103"/>
      <x:c r="S21" s="103"/>
      <x:c r="T21" s="103"/>
      <x:c r="U21" s="103"/>
    </x:row>
    <x:row r="22" ht="24" customHeight="1">
      <x:c r="A22" s="103"/>
      <x:c r="B22" s="103"/>
      <x:c r="C22" s="103"/>
      <x:c r="D22" s="103"/>
      <x:c r="E22" s="103"/>
      <x:c r="F22" s="103"/>
      <x:c r="G22" s="103"/>
      <x:c r="H22" s="103"/>
      <x:c r="I22" s="103"/>
      <x:c r="J22" s="103"/>
      <x:c r="K22" s="103"/>
      <x:c r="L22" s="103"/>
      <x:c r="M22" s="103"/>
      <x:c r="N22" s="103"/>
      <x:c r="O22" s="103"/>
      <x:c r="P22" s="103"/>
      <x:c r="Q22" s="103"/>
      <x:c r="R22" s="103"/>
      <x:c r="S22" s="103"/>
      <x:c r="T22" s="103"/>
      <x:c r="U22" s="103"/>
    </x:row>
    <x:row r="23" ht="24" customHeight="1">
      <x:c r="A23" s="103"/>
      <x:c r="B23" s="103"/>
      <x:c r="C23" s="103"/>
      <x:c r="D23" s="103"/>
      <x:c r="E23" s="103"/>
      <x:c r="F23" s="103"/>
      <x:c r="G23" s="103"/>
      <x:c r="H23" s="103"/>
      <x:c r="I23" s="103"/>
      <x:c r="J23" s="103"/>
      <x:c r="K23" s="103"/>
      <x:c r="L23" s="103"/>
      <x:c r="M23" s="103"/>
      <x:c r="N23" s="103"/>
      <x:c r="O23" s="103"/>
      <x:c r="P23" s="103"/>
      <x:c r="Q23" s="103"/>
      <x:c r="R23" s="103"/>
      <x:c r="S23" s="103"/>
      <x:c r="T23" s="103"/>
      <x:c r="U23" s="103"/>
    </x:row>
    <x:row r="24" ht="24" customHeight="1">
      <x:c r="A24" s="103"/>
      <x:c r="B24" s="103"/>
      <x:c r="C24" s="103"/>
      <x:c r="D24" s="103"/>
      <x:c r="E24" s="103"/>
      <x:c r="F24" s="103"/>
      <x:c r="G24" s="103"/>
      <x:c r="H24" s="103"/>
      <x:c r="I24" s="103"/>
      <x:c r="J24" s="103"/>
      <x:c r="K24" s="103"/>
      <x:c r="L24" s="103"/>
      <x:c r="M24" s="103"/>
      <x:c r="N24" s="103"/>
      <x:c r="O24" s="103"/>
      <x:c r="P24" s="103"/>
      <x:c r="Q24" s="103"/>
      <x:c r="R24" s="103"/>
      <x:c r="S24" s="103"/>
      <x:c r="T24" s="103"/>
      <x:c r="U24" s="103"/>
    </x:row>
    <x:row r="25" ht="24" customHeight="1">
      <x:c r="A25" s="103"/>
      <x:c r="B25" s="103"/>
      <x:c r="C25" s="103"/>
      <x:c r="D25" s="103"/>
      <x:c r="E25" s="103"/>
      <x:c r="F25" s="103"/>
      <x:c r="G25" s="103"/>
      <x:c r="H25" s="103"/>
      <x:c r="I25" s="103"/>
      <x:c r="J25" s="103"/>
      <x:c r="K25" s="103"/>
      <x:c r="L25" s="103"/>
      <x:c r="M25" s="103"/>
      <x:c r="N25" s="103"/>
      <x:c r="O25" s="103"/>
      <x:c r="P25" s="103"/>
      <x:c r="Q25" s="103"/>
      <x:c r="R25" s="103"/>
      <x:c r="S25" s="103"/>
      <x:c r="T25" s="103"/>
      <x:c r="U25" s="103"/>
    </x:row>
    <x:row r="26" ht="24" customHeight="1">
      <x:c r="A26" s="103"/>
      <x:c r="B26" s="103"/>
      <x:c r="C26" s="103"/>
      <x:c r="D26" s="103"/>
      <x:c r="E26" s="103"/>
      <x:c r="F26" s="103"/>
      <x:c r="G26" s="103"/>
      <x:c r="H26" s="103"/>
      <x:c r="I26" s="103"/>
      <x:c r="J26" s="103"/>
      <x:c r="K26" s="103"/>
      <x:c r="L26" s="103"/>
      <x:c r="M26" s="103"/>
      <x:c r="N26" s="103"/>
      <x:c r="O26" s="103"/>
      <x:c r="P26" s="103"/>
      <x:c r="Q26" s="103"/>
      <x:c r="R26" s="103"/>
      <x:c r="S26" s="103"/>
      <x:c r="T26" s="103"/>
      <x:c r="U26" s="103"/>
    </x:row>
    <x:row r="27" ht="24" customHeight="1">
      <x:c r="A27" s="103"/>
      <x:c r="B27" s="103"/>
      <x:c r="C27" s="103"/>
      <x:c r="D27" s="103"/>
      <x:c r="E27" s="103"/>
      <x:c r="F27" s="103"/>
      <x:c r="G27" s="103"/>
      <x:c r="H27" s="103"/>
      <x:c r="I27" s="103"/>
      <x:c r="J27" s="103"/>
      <x:c r="K27" s="103"/>
      <x:c r="L27" s="103"/>
      <x:c r="M27" s="103"/>
      <x:c r="N27" s="103"/>
      <x:c r="O27" s="103"/>
      <x:c r="P27" s="103"/>
      <x:c r="Q27" s="103"/>
      <x:c r="R27" s="103"/>
      <x:c r="S27" s="103"/>
      <x:c r="T27" s="103"/>
      <x:c r="U27" s="103"/>
    </x:row>
    <x:row r="28" ht="24" customHeight="1">
      <x:c r="A28" s="103"/>
      <x:c r="B28" s="103"/>
      <x:c r="C28" s="103"/>
      <x:c r="D28" s="103"/>
      <x:c r="E28" s="103"/>
      <x:c r="F28" s="103"/>
      <x:c r="G28" s="103"/>
      <x:c r="H28" s="103"/>
      <x:c r="I28" s="103"/>
      <x:c r="J28" s="103"/>
      <x:c r="K28" s="103"/>
      <x:c r="L28" s="103"/>
      <x:c r="M28" s="103"/>
      <x:c r="N28" s="103"/>
      <x:c r="O28" s="103"/>
      <x:c r="P28" s="103"/>
      <x:c r="Q28" s="103"/>
      <x:c r="R28" s="103"/>
      <x:c r="S28" s="103"/>
      <x:c r="T28" s="103"/>
      <x:c r="U28" s="103"/>
    </x:row>
    <x:row r="29" ht="24" customHeight="1">
      <x:c r="A29" s="103"/>
      <x:c r="B29" s="103"/>
      <x:c r="C29" s="103"/>
      <x:c r="D29" s="103"/>
      <x:c r="E29" s="103"/>
      <x:c r="F29" s="103"/>
      <x:c r="G29" s="103"/>
      <x:c r="H29" s="103"/>
      <x:c r="I29" s="103"/>
      <x:c r="J29" s="103"/>
      <x:c r="K29" s="103"/>
      <x:c r="L29" s="103"/>
      <x:c r="M29" s="103"/>
      <x:c r="N29" s="103"/>
      <x:c r="O29" s="103"/>
      <x:c r="P29" s="103"/>
      <x:c r="Q29" s="103"/>
      <x:c r="R29" s="103"/>
      <x:c r="S29" s="103"/>
      <x:c r="T29" s="103"/>
      <x:c r="U29" s="103"/>
    </x:row>
    <x:row r="30" ht="24" customHeight="1">
      <x:c r="A30" s="103"/>
      <x:c r="B30" s="103"/>
      <x:c r="C30" s="103"/>
      <x:c r="D30" s="103"/>
      <x:c r="E30" s="103"/>
      <x:c r="F30" s="103"/>
      <x:c r="G30" s="103"/>
      <x:c r="H30" s="103"/>
      <x:c r="I30" s="103"/>
      <x:c r="J30" s="103"/>
      <x:c r="K30" s="103"/>
      <x:c r="L30" s="103"/>
      <x:c r="M30" s="103"/>
      <x:c r="N30" s="103"/>
      <x:c r="O30" s="103"/>
      <x:c r="P30" s="103"/>
      <x:c r="Q30" s="103"/>
      <x:c r="R30" s="103"/>
      <x:c r="S30" s="103"/>
      <x:c r="T30" s="103"/>
      <x:c r="U30" s="103"/>
    </x:row>
    <x:row r="31" ht="24" customHeight="1">
      <x:c r="A31" s="103"/>
      <x:c r="B31" s="103"/>
      <x:c r="C31" s="103"/>
      <x:c r="D31" s="103"/>
      <x:c r="E31" s="103"/>
      <x:c r="F31" s="103"/>
      <x:c r="G31" s="103"/>
      <x:c r="H31" s="103"/>
      <x:c r="I31" s="103"/>
      <x:c r="J31" s="103"/>
      <x:c r="K31" s="103"/>
      <x:c r="L31" s="103"/>
      <x:c r="M31" s="103"/>
      <x:c r="N31" s="103"/>
      <x:c r="O31" s="103"/>
      <x:c r="P31" s="103"/>
      <x:c r="Q31" s="103"/>
      <x:c r="R31" s="103"/>
      <x:c r="S31" s="103"/>
      <x:c r="T31" s="103"/>
      <x:c r="U31" s="103"/>
    </x:row>
    <x:row r="32" ht="24" customHeight="1">
      <x:c r="A32" s="103"/>
      <x:c r="B32" s="103"/>
      <x:c r="C32" s="103"/>
      <x:c r="D32" s="103"/>
      <x:c r="E32" s="103"/>
      <x:c r="F32" s="103"/>
      <x:c r="G32" s="103"/>
      <x:c r="H32" s="103"/>
      <x:c r="I32" s="103"/>
      <x:c r="J32" s="103"/>
      <x:c r="K32" s="103"/>
      <x:c r="L32" s="103"/>
      <x:c r="M32" s="103"/>
      <x:c r="N32" s="103"/>
      <x:c r="O32" s="103"/>
      <x:c r="P32" s="103"/>
      <x:c r="Q32" s="103"/>
      <x:c r="R32" s="103"/>
      <x:c r="S32" s="103"/>
      <x:c r="T32" s="103"/>
      <x:c r="U32" s="103"/>
    </x:row>
    <x:row r="33" ht="24" customHeight="1">
      <x:c r="A33" s="103"/>
      <x:c r="B33" s="103"/>
      <x:c r="C33" s="103"/>
      <x:c r="D33" s="103"/>
      <x:c r="E33" s="103"/>
      <x:c r="F33" s="103"/>
      <x:c r="G33" s="103"/>
      <x:c r="H33" s="103"/>
      <x:c r="I33" s="103"/>
      <x:c r="J33" s="103"/>
      <x:c r="K33" s="103"/>
      <x:c r="L33" s="103"/>
      <x:c r="M33" s="103"/>
      <x:c r="N33" s="103"/>
      <x:c r="O33" s="103"/>
      <x:c r="P33" s="103"/>
      <x:c r="Q33" s="103"/>
      <x:c r="R33" s="103"/>
      <x:c r="S33" s="103"/>
      <x:c r="T33" s="103"/>
      <x:c r="U33" s="103"/>
    </x:row>
    <x:row r="34" ht="24" customHeight="1">
      <x:c r="A34" s="103"/>
      <x:c r="B34" s="103"/>
      <x:c r="C34" s="103"/>
      <x:c r="D34" s="103"/>
      <x:c r="E34" s="103"/>
      <x:c r="F34" s="103"/>
      <x:c r="G34" s="103"/>
      <x:c r="H34" s="103"/>
      <x:c r="I34" s="103"/>
      <x:c r="J34" s="103"/>
      <x:c r="K34" s="103"/>
      <x:c r="L34" s="103"/>
      <x:c r="M34" s="103"/>
      <x:c r="N34" s="103"/>
      <x:c r="O34" s="103"/>
      <x:c r="P34" s="103"/>
      <x:c r="Q34" s="103"/>
      <x:c r="R34" s="103"/>
      <x:c r="S34" s="103"/>
      <x:c r="T34" s="103"/>
      <x:c r="U34" s="103"/>
    </x:row>
    <x:row r="35" ht="24" customHeight="1">
      <x:c r="A35" s="103"/>
      <x:c r="B35" s="103"/>
      <x:c r="C35" s="103"/>
      <x:c r="D35" s="103"/>
      <x:c r="E35" s="103"/>
      <x:c r="F35" s="103"/>
      <x:c r="G35" s="103"/>
      <x:c r="H35" s="103"/>
      <x:c r="I35" s="103"/>
      <x:c r="J35" s="103"/>
      <x:c r="K35" s="103"/>
      <x:c r="L35" s="103"/>
      <x:c r="M35" s="103"/>
      <x:c r="N35" s="103"/>
      <x:c r="O35" s="103"/>
      <x:c r="P35" s="103"/>
      <x:c r="Q35" s="103"/>
      <x:c r="R35" s="103"/>
      <x:c r="S35" s="103"/>
      <x:c r="T35" s="103"/>
      <x:c r="U35" s="103"/>
    </x:row>
    <x:row r="36" ht="24" customHeight="1">
      <x:c r="A36" s="103"/>
      <x:c r="B36" s="103"/>
      <x:c r="C36" s="103"/>
      <x:c r="D36" s="103"/>
      <x:c r="E36" s="103"/>
      <x:c r="F36" s="103"/>
      <x:c r="G36" s="103"/>
      <x:c r="H36" s="103"/>
      <x:c r="I36" s="103"/>
      <x:c r="J36" s="103"/>
      <x:c r="K36" s="103"/>
      <x:c r="L36" s="103"/>
      <x:c r="M36" s="103"/>
      <x:c r="N36" s="103"/>
      <x:c r="O36" s="103"/>
      <x:c r="P36" s="103"/>
      <x:c r="Q36" s="103"/>
      <x:c r="R36" s="103"/>
      <x:c r="S36" s="103"/>
      <x:c r="T36" s="103"/>
      <x:c r="U36" s="103"/>
    </x:row>
    <x:row r="37" ht="24" customHeight="1">
      <x:c r="A37" s="103"/>
      <x:c r="B37" s="103"/>
      <x:c r="C37" s="103"/>
      <x:c r="D37" s="103"/>
      <x:c r="E37" s="103"/>
      <x:c r="F37" s="103"/>
      <x:c r="G37" s="103"/>
      <x:c r="H37" s="103"/>
      <x:c r="I37" s="103"/>
      <x:c r="J37" s="103"/>
      <x:c r="K37" s="103"/>
      <x:c r="L37" s="103"/>
      <x:c r="M37" s="103"/>
      <x:c r="N37" s="103"/>
      <x:c r="O37" s="103"/>
      <x:c r="P37" s="103"/>
      <x:c r="Q37" s="103"/>
      <x:c r="R37" s="103"/>
      <x:c r="S37" s="103"/>
      <x:c r="T37" s="103"/>
      <x:c r="U37" s="103"/>
    </x:row>
    <x:row r="38" ht="24" customHeight="1">
      <x:c r="A38" s="103"/>
      <x:c r="B38" s="103"/>
      <x:c r="C38" s="103"/>
      <x:c r="D38" s="103"/>
      <x:c r="E38" s="103"/>
      <x:c r="F38" s="103"/>
      <x:c r="G38" s="103"/>
      <x:c r="H38" s="103"/>
      <x:c r="I38" s="103"/>
      <x:c r="J38" s="103"/>
      <x:c r="K38" s="103"/>
      <x:c r="L38" s="103"/>
      <x:c r="M38" s="103"/>
      <x:c r="N38" s="103"/>
      <x:c r="O38" s="103"/>
      <x:c r="P38" s="103"/>
      <x:c r="Q38" s="103"/>
      <x:c r="R38" s="103"/>
      <x:c r="S38" s="103"/>
      <x:c r="T38" s="103"/>
      <x:c r="U38" s="103"/>
    </x:row>
    <x:row r="39" ht="24" customHeight="1">
      <x:c r="A39" s="103"/>
      <x:c r="B39" s="103"/>
      <x:c r="C39" s="103"/>
      <x:c r="D39" s="103"/>
      <x:c r="E39" s="103"/>
      <x:c r="F39" s="103"/>
      <x:c r="G39" s="103"/>
      <x:c r="H39" s="103"/>
      <x:c r="I39" s="103"/>
      <x:c r="J39" s="103"/>
      <x:c r="K39" s="103"/>
      <x:c r="L39" s="103"/>
      <x:c r="M39" s="103"/>
      <x:c r="N39" s="103"/>
      <x:c r="O39" s="103"/>
      <x:c r="P39" s="103"/>
      <x:c r="Q39" s="103"/>
      <x:c r="R39" s="103"/>
      <x:c r="S39" s="103"/>
      <x:c r="T39" s="103"/>
      <x:c r="U39" s="103"/>
    </x:row>
    <x:row r="40" ht="24" customHeight="1">
      <x:c r="A40" s="103"/>
      <x:c r="B40" s="103"/>
      <x:c r="C40" s="103"/>
      <x:c r="D40" s="103"/>
      <x:c r="E40" s="103"/>
      <x:c r="F40" s="103"/>
      <x:c r="G40" s="103"/>
      <x:c r="H40" s="103"/>
      <x:c r="I40" s="103"/>
      <x:c r="J40" s="103"/>
      <x:c r="K40" s="103"/>
      <x:c r="L40" s="103"/>
      <x:c r="M40" s="103"/>
      <x:c r="N40" s="103"/>
      <x:c r="O40" s="103"/>
      <x:c r="P40" s="103"/>
      <x:c r="Q40" s="103"/>
      <x:c r="R40" s="103"/>
      <x:c r="S40" s="103"/>
      <x:c r="T40" s="103"/>
      <x:c r="U40" s="103"/>
    </x:row>
    <x:row r="41" ht="24" customHeight="1">
      <x:c r="A41" s="103"/>
      <x:c r="B41" s="103"/>
      <x:c r="C41" s="103"/>
      <x:c r="D41" s="103"/>
      <x:c r="E41" s="103"/>
      <x:c r="F41" s="103"/>
      <x:c r="G41" s="103"/>
      <x:c r="H41" s="103"/>
      <x:c r="I41" s="103"/>
      <x:c r="J41" s="103"/>
      <x:c r="K41" s="103"/>
      <x:c r="L41" s="103"/>
      <x:c r="M41" s="103"/>
      <x:c r="N41" s="103"/>
      <x:c r="O41" s="103"/>
      <x:c r="P41" s="103"/>
      <x:c r="Q41" s="103"/>
      <x:c r="R41" s="103"/>
      <x:c r="S41" s="103"/>
      <x:c r="T41" s="103"/>
      <x:c r="U41" s="103"/>
    </x:row>
    <x:row r="42" ht="24" customHeight="1">
      <x:c r="A42" s="103"/>
      <x:c r="B42" s="103"/>
      <x:c r="C42" s="103"/>
      <x:c r="D42" s="103"/>
      <x:c r="E42" s="103"/>
      <x:c r="F42" s="103"/>
      <x:c r="G42" s="103"/>
      <x:c r="H42" s="103"/>
      <x:c r="I42" s="103"/>
      <x:c r="J42" s="103"/>
      <x:c r="K42" s="103"/>
      <x:c r="L42" s="103"/>
      <x:c r="M42" s="103"/>
      <x:c r="N42" s="103"/>
      <x:c r="O42" s="103"/>
      <x:c r="P42" s="103"/>
      <x:c r="Q42" s="103"/>
      <x:c r="R42" s="103"/>
      <x:c r="S42" s="103"/>
      <x:c r="T42" s="103"/>
      <x:c r="U42" s="103"/>
    </x:row>
    <x:row r="43" ht="24" customHeight="1">
      <x:c r="A43" s="103"/>
      <x:c r="B43" s="103"/>
      <x:c r="C43" s="103"/>
      <x:c r="D43" s="103"/>
      <x:c r="E43" s="103"/>
      <x:c r="F43" s="103"/>
      <x:c r="G43" s="103"/>
      <x:c r="H43" s="103"/>
      <x:c r="I43" s="103"/>
      <x:c r="J43" s="103"/>
      <x:c r="K43" s="103"/>
      <x:c r="L43" s="103"/>
      <x:c r="M43" s="103"/>
      <x:c r="N43" s="103"/>
      <x:c r="O43" s="103"/>
      <x:c r="P43" s="103"/>
      <x:c r="Q43" s="103"/>
      <x:c r="R43" s="103"/>
      <x:c r="S43" s="103"/>
      <x:c r="T43" s="103"/>
      <x:c r="U43" s="103"/>
    </x:row>
    <x:row r="44" ht="24" customHeight="1">
      <x:c r="A44" s="103"/>
      <x:c r="B44" s="103"/>
      <x:c r="C44" s="103"/>
      <x:c r="D44" s="103"/>
      <x:c r="E44" s="103"/>
      <x:c r="F44" s="103"/>
      <x:c r="G44" s="103"/>
      <x:c r="H44" s="103"/>
      <x:c r="I44" s="103"/>
      <x:c r="J44" s="103"/>
      <x:c r="K44" s="103"/>
      <x:c r="L44" s="103"/>
      <x:c r="M44" s="103"/>
      <x:c r="N44" s="103"/>
      <x:c r="O44" s="103"/>
      <x:c r="P44" s="103"/>
      <x:c r="Q44" s="103"/>
      <x:c r="R44" s="103"/>
      <x:c r="S44" s="103"/>
      <x:c r="T44" s="103"/>
      <x:c r="U44" s="103"/>
    </x:row>
    <x:row r="45" ht="24" customHeight="1">
      <x:c r="A45" s="103"/>
      <x:c r="B45" s="103"/>
      <x:c r="C45" s="103"/>
      <x:c r="D45" s="103"/>
      <x:c r="E45" s="103"/>
      <x:c r="F45" s="103"/>
      <x:c r="G45" s="103"/>
      <x:c r="H45" s="103"/>
      <x:c r="I45" s="103"/>
      <x:c r="J45" s="103"/>
      <x:c r="K45" s="103"/>
      <x:c r="L45" s="103"/>
      <x:c r="M45" s="103"/>
      <x:c r="N45" s="103"/>
      <x:c r="O45" s="103"/>
      <x:c r="P45" s="103"/>
      <x:c r="Q45" s="103"/>
      <x:c r="R45" s="103"/>
      <x:c r="S45" s="103"/>
      <x:c r="T45" s="103"/>
      <x:c r="U45" s="103"/>
    </x:row>
    <x:row r="46" ht="24" customHeight="1">
      <x:c r="A46" s="103"/>
      <x:c r="B46" s="103"/>
      <x:c r="C46" s="103"/>
      <x:c r="D46" s="103"/>
      <x:c r="E46" s="103"/>
      <x:c r="F46" s="103"/>
      <x:c r="G46" s="103"/>
      <x:c r="H46" s="103"/>
      <x:c r="I46" s="103"/>
      <x:c r="J46" s="103"/>
      <x:c r="K46" s="103"/>
      <x:c r="L46" s="103"/>
      <x:c r="M46" s="103"/>
      <x:c r="N46" s="103"/>
      <x:c r="O46" s="103"/>
      <x:c r="P46" s="103"/>
      <x:c r="Q46" s="103"/>
      <x:c r="R46" s="103"/>
      <x:c r="S46" s="103"/>
      <x:c r="T46" s="103"/>
      <x:c r="U46" s="103"/>
    </x:row>
    <x:row r="47" ht="24" customHeight="1">
      <x:c r="A47" s="103"/>
      <x:c r="B47" s="103"/>
      <x:c r="C47" s="103"/>
      <x:c r="D47" s="103"/>
      <x:c r="E47" s="103"/>
      <x:c r="F47" s="103"/>
      <x:c r="G47" s="103"/>
      <x:c r="H47" s="103"/>
      <x:c r="I47" s="103"/>
      <x:c r="J47" s="103"/>
      <x:c r="K47" s="103"/>
      <x:c r="L47" s="103"/>
      <x:c r="M47" s="103"/>
      <x:c r="N47" s="103"/>
      <x:c r="O47" s="103"/>
      <x:c r="P47" s="103"/>
      <x:c r="Q47" s="103"/>
      <x:c r="R47" s="103"/>
      <x:c r="S47" s="103"/>
      <x:c r="T47" s="103"/>
      <x:c r="U47" s="103"/>
    </x:row>
    <x:row r="48" ht="24" customHeight="1">
      <x:c r="A48" s="103"/>
      <x:c r="B48" s="103"/>
      <x:c r="C48" s="103"/>
      <x:c r="D48" s="103"/>
      <x:c r="E48" s="103"/>
      <x:c r="F48" s="103"/>
      <x:c r="G48" s="103"/>
      <x:c r="H48" s="103"/>
      <x:c r="I48" s="103"/>
      <x:c r="J48" s="103"/>
      <x:c r="K48" s="103"/>
      <x:c r="L48" s="103"/>
      <x:c r="M48" s="103"/>
      <x:c r="N48" s="103"/>
      <x:c r="O48" s="103"/>
      <x:c r="P48" s="103"/>
      <x:c r="Q48" s="103"/>
      <x:c r="R48" s="103"/>
      <x:c r="S48" s="103"/>
      <x:c r="T48" s="103"/>
      <x:c r="U48" s="103"/>
    </x:row>
    <x:row r="49" ht="24" customHeight="1">
      <x:c r="A49" s="103"/>
      <x:c r="B49" s="103"/>
      <x:c r="C49" s="103"/>
      <x:c r="D49" s="103"/>
      <x:c r="E49" s="103"/>
      <x:c r="F49" s="103"/>
      <x:c r="G49" s="103"/>
      <x:c r="H49" s="103"/>
      <x:c r="I49" s="103"/>
      <x:c r="J49" s="103"/>
      <x:c r="K49" s="103"/>
      <x:c r="L49" s="103"/>
      <x:c r="M49" s="103"/>
      <x:c r="N49" s="103"/>
      <x:c r="O49" s="103"/>
      <x:c r="P49" s="103"/>
      <x:c r="Q49" s="103"/>
      <x:c r="R49" s="103"/>
      <x:c r="S49" s="103"/>
      <x:c r="T49" s="103"/>
      <x:c r="U49" s="103"/>
    </x:row>
    <x:row r="50" ht="24" customHeight="1">
      <x:c r="A50" s="103"/>
      <x:c r="B50" s="103"/>
      <x:c r="C50" s="103"/>
      <x:c r="D50" s="103"/>
      <x:c r="E50" s="103"/>
      <x:c r="F50" s="103"/>
      <x:c r="G50" s="103"/>
      <x:c r="H50" s="103"/>
      <x:c r="I50" s="103"/>
      <x:c r="J50" s="103"/>
      <x:c r="K50" s="103"/>
      <x:c r="L50" s="103"/>
      <x:c r="M50" s="103"/>
      <x:c r="N50" s="103"/>
      <x:c r="O50" s="103"/>
      <x:c r="P50" s="103"/>
      <x:c r="Q50" s="103"/>
      <x:c r="R50" s="103"/>
      <x:c r="S50" s="103"/>
      <x:c r="T50" s="103"/>
      <x:c r="U50" s="103"/>
    </x:row>
    <x:row r="51" ht="24" customHeight="1">
      <x:c r="A51" s="103"/>
      <x:c r="B51" s="103"/>
      <x:c r="C51" s="103"/>
      <x:c r="D51" s="103"/>
      <x:c r="E51" s="103"/>
      <x:c r="F51" s="103"/>
      <x:c r="G51" s="103"/>
      <x:c r="H51" s="103"/>
      <x:c r="I51" s="103"/>
      <x:c r="J51" s="103"/>
      <x:c r="K51" s="103"/>
      <x:c r="L51" s="103"/>
      <x:c r="M51" s="103"/>
      <x:c r="N51" s="103"/>
      <x:c r="O51" s="103"/>
      <x:c r="P51" s="103"/>
      <x:c r="Q51" s="103"/>
      <x:c r="R51" s="103"/>
      <x:c r="S51" s="103"/>
      <x:c r="T51" s="103"/>
      <x:c r="U51" s="103"/>
    </x:row>
    <x:row r="52" ht="24" customHeight="1">
      <x:c r="A52" s="103"/>
      <x:c r="B52" s="103"/>
      <x:c r="C52" s="103"/>
      <x:c r="D52" s="103"/>
      <x:c r="E52" s="103"/>
      <x:c r="F52" s="103"/>
      <x:c r="G52" s="103"/>
      <x:c r="H52" s="103"/>
      <x:c r="I52" s="103"/>
      <x:c r="J52" s="103"/>
      <x:c r="K52" s="103"/>
      <x:c r="L52" s="103"/>
      <x:c r="M52" s="103"/>
      <x:c r="N52" s="103"/>
      <x:c r="O52" s="103"/>
      <x:c r="P52" s="103"/>
      <x:c r="Q52" s="103"/>
      <x:c r="R52" s="103"/>
      <x:c r="S52" s="103"/>
      <x:c r="T52" s="103"/>
      <x:c r="U52" s="103"/>
    </x:row>
    <x:row r="53" ht="24" customHeight="1">
      <x:c r="A53" s="103"/>
      <x:c r="B53" s="103"/>
      <x:c r="C53" s="103"/>
      <x:c r="D53" s="103"/>
      <x:c r="E53" s="103"/>
      <x:c r="F53" s="103"/>
      <x:c r="G53" s="103"/>
      <x:c r="H53" s="103"/>
      <x:c r="I53" s="103"/>
      <x:c r="J53" s="103"/>
      <x:c r="K53" s="103"/>
      <x:c r="L53" s="103"/>
      <x:c r="M53" s="103"/>
      <x:c r="N53" s="103"/>
      <x:c r="O53" s="103"/>
      <x:c r="P53" s="103"/>
      <x:c r="Q53" s="103"/>
      <x:c r="R53" s="103"/>
      <x:c r="S53" s="103"/>
      <x:c r="T53" s="103"/>
      <x:c r="U53" s="103"/>
    </x:row>
    <x:row r="54" ht="24" customHeight="1">
      <x:c r="A54" s="103"/>
      <x:c r="B54" s="103"/>
      <x:c r="C54" s="103"/>
      <x:c r="D54" s="103"/>
      <x:c r="E54" s="103"/>
      <x:c r="F54" s="103"/>
      <x:c r="G54" s="103"/>
      <x:c r="H54" s="103"/>
      <x:c r="I54" s="103"/>
      <x:c r="J54" s="103"/>
      <x:c r="K54" s="103"/>
      <x:c r="L54" s="103"/>
      <x:c r="M54" s="103"/>
      <x:c r="N54" s="103"/>
      <x:c r="O54" s="103"/>
      <x:c r="P54" s="103"/>
      <x:c r="Q54" s="103"/>
      <x:c r="R54" s="103"/>
      <x:c r="S54" s="103"/>
      <x:c r="T54" s="103"/>
      <x:c r="U54" s="103"/>
    </x:row>
    <x:row r="55" ht="24" customHeight="1">
      <x:c r="A55" s="103"/>
      <x:c r="B55" s="103"/>
      <x:c r="C55" s="103"/>
      <x:c r="D55" s="103"/>
      <x:c r="E55" s="103"/>
      <x:c r="F55" s="103"/>
      <x:c r="G55" s="103"/>
      <x:c r="H55" s="103"/>
      <x:c r="I55" s="103"/>
      <x:c r="J55" s="103"/>
      <x:c r="K55" s="103"/>
      <x:c r="L55" s="103"/>
      <x:c r="M55" s="103"/>
      <x:c r="N55" s="103"/>
      <x:c r="O55" s="103"/>
      <x:c r="P55" s="103"/>
      <x:c r="Q55" s="103"/>
      <x:c r="R55" s="103"/>
      <x:c r="S55" s="103"/>
      <x:c r="T55" s="103"/>
      <x:c r="U55" s="103"/>
    </x:row>
    <x:row r="56" ht="24" customHeight="1">
      <x:c r="A56" s="103"/>
      <x:c r="B56" s="103"/>
      <x:c r="C56" s="103"/>
      <x:c r="D56" s="103"/>
      <x:c r="E56" s="103"/>
      <x:c r="F56" s="103"/>
      <x:c r="G56" s="103"/>
      <x:c r="H56" s="103"/>
      <x:c r="I56" s="103"/>
      <x:c r="J56" s="103"/>
      <x:c r="K56" s="103"/>
      <x:c r="L56" s="103"/>
      <x:c r="M56" s="103"/>
      <x:c r="N56" s="103"/>
      <x:c r="O56" s="103"/>
      <x:c r="P56" s="103"/>
      <x:c r="Q56" s="103"/>
      <x:c r="R56" s="103"/>
      <x:c r="S56" s="103"/>
      <x:c r="T56" s="103"/>
      <x:c r="U56" s="103"/>
    </x:row>
    <x:row r="57" ht="24" customHeight="1">
      <x:c r="A57" s="103"/>
      <x:c r="B57" s="103"/>
      <x:c r="C57" s="103"/>
      <x:c r="D57" s="103"/>
      <x:c r="E57" s="103"/>
      <x:c r="F57" s="103"/>
      <x:c r="G57" s="103"/>
      <x:c r="H57" s="103"/>
      <x:c r="I57" s="103"/>
      <x:c r="J57" s="103"/>
      <x:c r="K57" s="103"/>
      <x:c r="L57" s="103"/>
      <x:c r="M57" s="103"/>
      <x:c r="N57" s="103"/>
      <x:c r="O57" s="103"/>
      <x:c r="P57" s="103"/>
      <x:c r="Q57" s="103"/>
      <x:c r="R57" s="103"/>
      <x:c r="S57" s="103"/>
      <x:c r="T57" s="103"/>
      <x:c r="U57" s="103"/>
    </x:row>
    <x:row r="58" ht="24" customHeight="1">
      <x:c r="A58" s="103"/>
      <x:c r="B58" s="103"/>
      <x:c r="C58" s="103"/>
      <x:c r="D58" s="103"/>
      <x:c r="E58" s="103"/>
      <x:c r="F58" s="103"/>
      <x:c r="G58" s="103"/>
      <x:c r="H58" s="103"/>
      <x:c r="I58" s="103"/>
      <x:c r="J58" s="103"/>
      <x:c r="K58" s="103"/>
      <x:c r="L58" s="103"/>
      <x:c r="M58" s="103"/>
      <x:c r="N58" s="103"/>
      <x:c r="O58" s="103"/>
      <x:c r="P58" s="103"/>
      <x:c r="Q58" s="103"/>
      <x:c r="R58" s="103"/>
      <x:c r="S58" s="103"/>
      <x:c r="T58" s="103"/>
      <x:c r="U58" s="103"/>
    </x:row>
    <x:row r="59" ht="24" customHeight="1">
      <x:c r="A59" s="103"/>
      <x:c r="B59" s="103"/>
      <x:c r="C59" s="103"/>
      <x:c r="D59" s="103"/>
      <x:c r="E59" s="103"/>
      <x:c r="F59" s="103"/>
      <x:c r="G59" s="103"/>
      <x:c r="H59" s="103"/>
      <x:c r="I59" s="103"/>
      <x:c r="J59" s="103"/>
      <x:c r="K59" s="103"/>
      <x:c r="L59" s="103"/>
      <x:c r="M59" s="103"/>
      <x:c r="N59" s="103"/>
      <x:c r="O59" s="103"/>
      <x:c r="P59" s="103"/>
      <x:c r="Q59" s="103"/>
      <x:c r="R59" s="103"/>
      <x:c r="S59" s="103"/>
      <x:c r="T59" s="103"/>
      <x:c r="U59" s="103"/>
    </x:row>
    <x:row r="60" ht="24" customHeight="1">
      <x:c r="A60" s="103"/>
      <x:c r="B60" s="103"/>
      <x:c r="C60" s="103"/>
      <x:c r="D60" s="103"/>
      <x:c r="E60" s="103"/>
      <x:c r="F60" s="103"/>
      <x:c r="G60" s="103"/>
      <x:c r="H60" s="103"/>
      <x:c r="I60" s="103"/>
      <x:c r="J60" s="103"/>
      <x:c r="K60" s="103"/>
      <x:c r="L60" s="103"/>
      <x:c r="M60" s="103"/>
      <x:c r="N60" s="103"/>
      <x:c r="O60" s="103"/>
      <x:c r="P60" s="103"/>
      <x:c r="Q60" s="103"/>
      <x:c r="R60" s="103"/>
      <x:c r="S60" s="103"/>
      <x:c r="T60" s="103"/>
      <x:c r="U60" s="103"/>
    </x:row>
    <x:row r="61" ht="24" customHeight="1">
      <x:c r="A61" s="103"/>
      <x:c r="B61" s="103"/>
      <x:c r="C61" s="103"/>
      <x:c r="D61" s="103"/>
      <x:c r="E61" s="103"/>
      <x:c r="F61" s="103"/>
      <x:c r="G61" s="103"/>
      <x:c r="H61" s="103"/>
      <x:c r="I61" s="103"/>
      <x:c r="J61" s="103"/>
      <x:c r="K61" s="103"/>
      <x:c r="L61" s="103"/>
      <x:c r="M61" s="103"/>
      <x:c r="N61" s="103"/>
      <x:c r="O61" s="103"/>
      <x:c r="P61" s="103"/>
      <x:c r="Q61" s="103"/>
      <x:c r="R61" s="103"/>
      <x:c r="S61" s="103"/>
      <x:c r="T61" s="103"/>
      <x:c r="U61" s="103"/>
    </x:row>
    <x:row r="62" ht="24" customHeight="1">
      <x:c r="A62" s="103"/>
      <x:c r="B62" s="103"/>
      <x:c r="C62" s="103"/>
      <x:c r="D62" s="103"/>
      <x:c r="E62" s="103"/>
      <x:c r="F62" s="103"/>
      <x:c r="G62" s="103"/>
      <x:c r="H62" s="103"/>
      <x:c r="I62" s="103"/>
      <x:c r="J62" s="103"/>
      <x:c r="K62" s="103"/>
      <x:c r="L62" s="103"/>
      <x:c r="M62" s="103"/>
      <x:c r="N62" s="103"/>
      <x:c r="O62" s="103"/>
      <x:c r="P62" s="103"/>
      <x:c r="Q62" s="103"/>
      <x:c r="R62" s="103"/>
      <x:c r="S62" s="103"/>
      <x:c r="T62" s="103"/>
      <x:c r="U62" s="103"/>
    </x:row>
    <x:row r="63" ht="24" customHeight="1">
      <x:c r="A63" s="103"/>
      <x:c r="B63" s="103"/>
      <x:c r="C63" s="103"/>
      <x:c r="D63" s="103"/>
      <x:c r="E63" s="103"/>
      <x:c r="F63" s="103"/>
      <x:c r="G63" s="103"/>
      <x:c r="H63" s="103"/>
      <x:c r="I63" s="103"/>
      <x:c r="J63" s="103"/>
      <x:c r="K63" s="103"/>
      <x:c r="L63" s="103"/>
      <x:c r="M63" s="103"/>
      <x:c r="N63" s="103"/>
      <x:c r="O63" s="103"/>
      <x:c r="P63" s="103"/>
      <x:c r="Q63" s="103"/>
      <x:c r="R63" s="103"/>
      <x:c r="S63" s="103"/>
      <x:c r="T63" s="103"/>
      <x:c r="U63" s="103"/>
    </x:row>
    <x:row r="64" ht="24" customHeight="1">
      <x:c r="A64" s="103"/>
      <x:c r="B64" s="103"/>
      <x:c r="C64" s="103"/>
      <x:c r="D64" s="103"/>
      <x:c r="E64" s="103"/>
      <x:c r="F64" s="103"/>
      <x:c r="G64" s="103"/>
      <x:c r="H64" s="103"/>
      <x:c r="I64" s="103"/>
      <x:c r="J64" s="103"/>
      <x:c r="K64" s="103"/>
      <x:c r="L64" s="103"/>
      <x:c r="M64" s="103"/>
      <x:c r="N64" s="103"/>
      <x:c r="O64" s="103"/>
      <x:c r="P64" s="103"/>
      <x:c r="Q64" s="103"/>
      <x:c r="R64" s="103"/>
      <x:c r="S64" s="103"/>
      <x:c r="T64" s="103"/>
      <x:c r="U64" s="103"/>
    </x:row>
    <x:row r="65" ht="24" customHeight="1">
      <x:c r="A65" s="103"/>
      <x:c r="B65" s="103"/>
      <x:c r="C65" s="103"/>
      <x:c r="D65" s="103"/>
      <x:c r="E65" s="103"/>
      <x:c r="F65" s="103"/>
      <x:c r="G65" s="103"/>
      <x:c r="H65" s="103"/>
      <x:c r="I65" s="103"/>
      <x:c r="J65" s="103"/>
      <x:c r="K65" s="103"/>
      <x:c r="L65" s="103"/>
      <x:c r="M65" s="103"/>
      <x:c r="N65" s="103"/>
      <x:c r="O65" s="103"/>
      <x:c r="P65" s="103"/>
      <x:c r="Q65" s="103"/>
      <x:c r="R65" s="103"/>
      <x:c r="S65" s="103"/>
      <x:c r="T65" s="103"/>
      <x:c r="U65" s="103"/>
    </x:row>
    <x:row r="66" ht="24" customHeight="1">
      <x:c r="A66" s="103"/>
      <x:c r="B66" s="103"/>
      <x:c r="C66" s="103"/>
      <x:c r="D66" s="103"/>
      <x:c r="E66" s="103"/>
      <x:c r="F66" s="103"/>
      <x:c r="G66" s="103"/>
      <x:c r="H66" s="103"/>
      <x:c r="I66" s="103"/>
      <x:c r="J66" s="103"/>
      <x:c r="K66" s="103"/>
      <x:c r="L66" s="103"/>
      <x:c r="M66" s="103"/>
      <x:c r="N66" s="103"/>
      <x:c r="O66" s="103"/>
      <x:c r="P66" s="103"/>
      <x:c r="Q66" s="103"/>
      <x:c r="R66" s="103"/>
      <x:c r="S66" s="103"/>
      <x:c r="T66" s="103"/>
      <x:c r="U66" s="103"/>
    </x:row>
    <x:row r="67" ht="24" customHeight="1">
      <x:c r="A67" s="103"/>
      <x:c r="B67" s="103"/>
      <x:c r="C67" s="103"/>
      <x:c r="D67" s="103"/>
      <x:c r="E67" s="103"/>
      <x:c r="F67" s="103"/>
      <x:c r="G67" s="103"/>
      <x:c r="H67" s="103"/>
      <x:c r="I67" s="103"/>
      <x:c r="J67" s="103"/>
      <x:c r="K67" s="103"/>
      <x:c r="L67" s="103"/>
      <x:c r="M67" s="103"/>
      <x:c r="N67" s="103"/>
      <x:c r="O67" s="103"/>
      <x:c r="P67" s="103"/>
      <x:c r="Q67" s="103"/>
      <x:c r="R67" s="103"/>
      <x:c r="S67" s="103"/>
      <x:c r="T67" s="103"/>
      <x:c r="U67" s="103"/>
    </x:row>
    <x:row r="68" ht="24" customHeight="1">
      <x:c r="A68" s="103"/>
      <x:c r="B68" s="103"/>
      <x:c r="C68" s="103"/>
      <x:c r="D68" s="103"/>
      <x:c r="E68" s="103"/>
      <x:c r="F68" s="103"/>
      <x:c r="G68" s="103"/>
      <x:c r="H68" s="103"/>
      <x:c r="I68" s="103"/>
      <x:c r="J68" s="103"/>
      <x:c r="K68" s="103"/>
      <x:c r="L68" s="103"/>
      <x:c r="M68" s="103"/>
      <x:c r="N68" s="103"/>
      <x:c r="O68" s="103"/>
      <x:c r="P68" s="103"/>
      <x:c r="Q68" s="103"/>
      <x:c r="R68" s="103"/>
      <x:c r="S68" s="103"/>
      <x:c r="T68" s="103"/>
      <x:c r="U68" s="103"/>
    </x:row>
    <x:row r="69" ht="24" customHeight="1">
      <x:c r="A69" s="103"/>
      <x:c r="B69" s="103"/>
      <x:c r="C69" s="103"/>
      <x:c r="D69" s="103"/>
      <x:c r="E69" s="103"/>
      <x:c r="F69" s="103"/>
      <x:c r="G69" s="103"/>
      <x:c r="H69" s="103"/>
      <x:c r="I69" s="103"/>
      <x:c r="J69" s="103"/>
      <x:c r="K69" s="103"/>
      <x:c r="L69" s="103"/>
      <x:c r="M69" s="103"/>
      <x:c r="N69" s="103"/>
      <x:c r="O69" s="103"/>
      <x:c r="P69" s="103"/>
      <x:c r="Q69" s="103"/>
      <x:c r="R69" s="103"/>
      <x:c r="S69" s="103"/>
      <x:c r="T69" s="103"/>
      <x:c r="U69" s="103"/>
    </x:row>
    <x:row r="70" ht="24" customHeight="1">
      <x:c r="A70" s="103"/>
      <x:c r="B70" s="103"/>
      <x:c r="C70" s="103"/>
      <x:c r="D70" s="103"/>
      <x:c r="E70" s="103"/>
      <x:c r="F70" s="103"/>
      <x:c r="G70" s="103"/>
      <x:c r="H70" s="103"/>
      <x:c r="I70" s="103"/>
      <x:c r="J70" s="103"/>
      <x:c r="K70" s="103"/>
      <x:c r="L70" s="103"/>
      <x:c r="M70" s="103"/>
      <x:c r="N70" s="103"/>
      <x:c r="O70" s="103"/>
      <x:c r="P70" s="103"/>
      <x:c r="Q70" s="103"/>
      <x:c r="R70" s="103"/>
      <x:c r="S70" s="103"/>
      <x:c r="T70" s="103"/>
      <x:c r="U70" s="103"/>
    </x:row>
    <x:row r="71" ht="24" customHeight="1">
      <x:c r="A71" s="103"/>
      <x:c r="B71" s="103"/>
      <x:c r="C71" s="103"/>
      <x:c r="D71" s="103"/>
      <x:c r="E71" s="103"/>
      <x:c r="F71" s="103"/>
      <x:c r="G71" s="103"/>
      <x:c r="H71" s="103"/>
      <x:c r="I71" s="103"/>
      <x:c r="J71" s="103"/>
      <x:c r="K71" s="103"/>
      <x:c r="L71" s="103"/>
      <x:c r="M71" s="103"/>
      <x:c r="N71" s="103"/>
      <x:c r="O71" s="103"/>
      <x:c r="P71" s="103"/>
      <x:c r="Q71" s="103"/>
      <x:c r="R71" s="103"/>
      <x:c r="S71" s="103"/>
      <x:c r="T71" s="103"/>
      <x:c r="U71" s="103"/>
    </x:row>
    <x:row r="72" ht="24" customHeight="1">
      <x:c r="A72" s="103"/>
      <x:c r="B72" s="103"/>
      <x:c r="C72" s="103"/>
      <x:c r="D72" s="103"/>
      <x:c r="E72" s="103"/>
      <x:c r="F72" s="103"/>
      <x:c r="G72" s="103"/>
      <x:c r="H72" s="103"/>
      <x:c r="I72" s="103"/>
      <x:c r="J72" s="103"/>
      <x:c r="K72" s="103"/>
      <x:c r="L72" s="103"/>
      <x:c r="M72" s="103"/>
      <x:c r="N72" s="103"/>
      <x:c r="O72" s="103"/>
      <x:c r="P72" s="103"/>
      <x:c r="Q72" s="103"/>
      <x:c r="R72" s="103"/>
      <x:c r="S72" s="103"/>
      <x:c r="T72" s="103"/>
      <x:c r="U72" s="103"/>
    </x:row>
    <x:row r="73" ht="24" customHeight="1">
      <x:c r="A73" s="103"/>
      <x:c r="B73" s="103"/>
      <x:c r="C73" s="103"/>
      <x:c r="D73" s="103"/>
      <x:c r="E73" s="103"/>
      <x:c r="F73" s="103"/>
      <x:c r="G73" s="103"/>
      <x:c r="H73" s="103"/>
      <x:c r="I73" s="103"/>
      <x:c r="J73" s="103"/>
      <x:c r="K73" s="103"/>
      <x:c r="L73" s="103"/>
      <x:c r="M73" s="103"/>
      <x:c r="N73" s="103"/>
      <x:c r="O73" s="103"/>
      <x:c r="P73" s="103"/>
      <x:c r="Q73" s="103"/>
      <x:c r="R73" s="103"/>
      <x:c r="S73" s="103"/>
      <x:c r="T73" s="103"/>
      <x:c r="U73" s="103"/>
    </x:row>
    <x:row r="74" ht="24" customHeight="1">
      <x:c r="A74" s="103"/>
      <x:c r="B74" s="103"/>
      <x:c r="C74" s="103"/>
      <x:c r="D74" s="103"/>
      <x:c r="E74" s="103"/>
      <x:c r="F74" s="103"/>
      <x:c r="G74" s="103"/>
      <x:c r="H74" s="103"/>
      <x:c r="I74" s="103"/>
      <x:c r="J74" s="103"/>
      <x:c r="K74" s="103"/>
      <x:c r="L74" s="103"/>
      <x:c r="M74" s="103"/>
      <x:c r="N74" s="103"/>
      <x:c r="O74" s="103"/>
      <x:c r="P74" s="103"/>
      <x:c r="Q74" s="103"/>
      <x:c r="R74" s="103"/>
      <x:c r="S74" s="103"/>
      <x:c r="T74" s="103"/>
      <x:c r="U74" s="103"/>
    </x:row>
    <x:row r="75" ht="24" customHeight="1">
      <x:c r="A75" s="103"/>
      <x:c r="B75" s="103"/>
      <x:c r="C75" s="103"/>
      <x:c r="D75" s="103"/>
      <x:c r="E75" s="103"/>
      <x:c r="F75" s="103"/>
      <x:c r="G75" s="103"/>
      <x:c r="H75" s="103"/>
      <x:c r="I75" s="103"/>
      <x:c r="J75" s="103"/>
      <x:c r="K75" s="103"/>
      <x:c r="L75" s="103"/>
      <x:c r="M75" s="103"/>
      <x:c r="N75" s="103"/>
      <x:c r="O75" s="103"/>
      <x:c r="P75" s="103"/>
      <x:c r="Q75" s="103"/>
      <x:c r="R75" s="103"/>
      <x:c r="S75" s="103"/>
      <x:c r="T75" s="103"/>
      <x:c r="U75" s="103"/>
    </x:row>
    <x:row r="76" ht="24" customHeight="1">
      <x:c r="A76" s="103"/>
      <x:c r="B76" s="103"/>
      <x:c r="C76" s="103"/>
      <x:c r="D76" s="103"/>
      <x:c r="E76" s="103"/>
      <x:c r="F76" s="103"/>
      <x:c r="G76" s="103"/>
      <x:c r="H76" s="103"/>
      <x:c r="I76" s="103"/>
      <x:c r="J76" s="103"/>
      <x:c r="K76" s="103"/>
      <x:c r="L76" s="103"/>
      <x:c r="M76" s="103"/>
      <x:c r="N76" s="103"/>
      <x:c r="O76" s="103"/>
      <x:c r="P76" s="103"/>
      <x:c r="Q76" s="103"/>
      <x:c r="R76" s="103"/>
      <x:c r="S76" s="103"/>
      <x:c r="T76" s="103"/>
      <x:c r="U76" s="103"/>
    </x:row>
  </x:sheetData>
  <x:pageMargins left="0.7" right="0.7" top="0.75" bottom="0.75" header="0.3" footer="0.3"/>
  <x:drawing xmlns:r="http://schemas.openxmlformats.org/officeDocument/2006/relationships" r:id="R7b443fa3cd644d1f"/>
  <x:legacyDrawing xmlns:r="http://schemas.openxmlformats.org/officeDocument/2006/relationships" r:id="R82eca47a93434d24"/>
</x:worksheet>
</file>

<file path=xl/worksheets/sheet21.xml><?xml version="1.0" encoding="utf-8"?>
<x:worksheet xmlns:x="http://schemas.openxmlformats.org/spreadsheetml/2006/main">
  <x:sheetPr>
    <x:tabColor rgb="FFBFBFBF"/>
  </x:sheetPr>
  <x:sheetViews>
    <x:sheetView showGridLines="0" workbookViewId="0">
      <x:pane xSplit="3" ySplit="11" topLeftCell="D12" activePane="bottomRight" state="frozen"/>
    </x:sheetView>
  </x:sheetViews>
  <x:sheetFormatPr defaultRowHeight="15"/>
  <x:cols>
    <x:col min="1" max="1" width="2" hidden="0" customWidth="1"/>
    <x:col min="2" max="2" width="2" hidden="0" customWidth="1"/>
    <x:col min="3" max="3" width="11" hidden="0" customWidth="1"/>
    <x:col min="4" max="4" width="16" hidden="0" customWidth="1"/>
    <x:col min="5" max="5" width="16"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2" max="22" width="18" hidden="0" customWidth="1"/>
    <x:col min="23" max="23" width="18" hidden="0" customWidth="1"/>
  </x:cols>
  <x:sheetData>
    <x:row r="1" ht="20" customHeight="1">
      <x:c r="C1" s="128"/>
      <x:c r="D1" s="128"/>
      <x:c r="E1" s="128"/>
      <x:c r="F1" s="128"/>
      <x:c r="G1" s="128"/>
      <x:c r="H1" s="128"/>
      <x:c r="I1" s="128"/>
      <x:c r="J1" s="128"/>
      <x:c r="K1" s="128"/>
      <x:c r="L1" s="128"/>
      <x:c r="M1" s="128"/>
      <x:c r="N1" s="128"/>
      <x:c r="O1" s="128"/>
      <x:c r="P1" s="128"/>
      <x:c r="Q1" s="128"/>
      <x:c r="R1" s="128"/>
      <x:c r="S1" s="128"/>
      <x:c r="T1" s="128"/>
    </x:row>
    <x:row r="2" ht="20" customHeight="1">
      <x:c r="C2" s="203" t="str">
        <x:v>Financial Modeling</x:v>
      </x:c>
      <x:c r="D2" s="204"/>
      <x:c r="E2" s="204"/>
      <x:c r="F2" s="204"/>
      <x:c r="G2" s="204"/>
      <x:c r="H2" s="204"/>
      <x:c r="I2" s="204"/>
      <x:c r="J2" s="204"/>
      <x:c r="K2" s="204"/>
      <x:c r="L2" s="204"/>
      <x:c r="M2" s="204"/>
      <x:c r="N2" s="204"/>
      <x:c r="O2" s="128"/>
      <x:c r="P2" s="128"/>
      <x:c r="Q2" s="128"/>
      <x:c r="R2" s="128"/>
      <x:c r="S2" s="128"/>
      <x:c r="T2" s="128"/>
    </x:row>
    <x:row r="3" ht="20" customHeight="1">
      <x:c r="C3" s="128" t="str">
        <x:v>Historical FY2017–FY2026. OLS of ln(CFO) on ln(revenue), with HC3 robust standard errors. USD millions.</x:v>
      </x:c>
      <x:c r="D3" s="128"/>
      <x:c r="E3" s="128"/>
      <x:c r="F3" s="128"/>
      <x:c r="G3" s="128"/>
      <x:c r="H3" s="128"/>
      <x:c r="I3" s="128"/>
      <x:c r="J3" s="128"/>
      <x:c r="K3" s="128"/>
      <x:c r="L3" s="128"/>
      <x:c r="M3" s="128"/>
      <x:c r="N3" s="128"/>
      <x:c r="O3" s="128"/>
      <x:c r="P3" s="128"/>
      <x:c r="Q3" s="128"/>
      <x:c r="R3" s="128"/>
      <x:c r="S3" s="128"/>
      <x:c r="T3" s="128"/>
    </x:row>
    <x:row r="4" ht="24" customHeight="1">
      <x:c r="C4" s="128" t="str">
        <x:v>Case Selected:</x:v>
      </x:c>
      <x:c r="D4" s="128"/>
      <x:c r="E4" s="128" t="str">
        <x:f>Assumptions!G4</x:f>
        <x:v>Base</x:v>
      </x:c>
      <x:c r="F4" s="128"/>
      <x:c r="G4" s="128"/>
      <x:c r="H4" s="128"/>
      <x:c r="I4" s="128"/>
      <x:c r="J4" s="128"/>
      <x:c r="K4" s="128"/>
      <x:c r="L4" s="128"/>
      <x:c r="M4" s="128"/>
      <x:c r="N4" s="128"/>
      <x:c r="O4" s="128"/>
      <x:c r="P4" s="128"/>
      <x:c r="Q4" s="128"/>
      <x:c r="R4" s="128"/>
      <x:c r="S4" s="128"/>
      <x:c r="T4" s="128"/>
    </x:row>
    <x:row r="5" ht="24" customHeight="1">
      <x:c r="C5" s="128"/>
      <x:c r="D5" s="128"/>
      <x:c r="E5" s="128"/>
      <x:c r="F5" s="128"/>
      <x:c r="G5" s="128"/>
      <x:c r="H5" s="128"/>
      <x:c r="I5" s="128"/>
      <x:c r="J5" s="128"/>
      <x:c r="K5" s="128"/>
      <x:c r="L5" s="128"/>
      <x:c r="M5" s="128"/>
      <x:c r="N5" s="128"/>
      <x:c r="O5" s="128"/>
      <x:c r="P5" s="128"/>
      <x:c r="Q5" s="128"/>
      <x:c r="R5" s="128"/>
      <x:c r="S5" s="128"/>
      <x:c r="T5" s="128"/>
    </x:row>
    <x:row r="6" ht="24" customHeight="1">
      <x:c r="C6" s="128" t="str">
        <x:v>Historical regressions do not change with the forecast case and do not feed the three-statement forecasts.</x:v>
      </x:c>
      <x:c r="D6" s="128"/>
      <x:c r="E6" s="128"/>
      <x:c r="F6" s="128"/>
      <x:c r="G6" s="128"/>
      <x:c r="H6" s="128"/>
      <x:c r="I6" s="128"/>
      <x:c r="J6" s="128"/>
      <x:c r="K6" s="128"/>
      <x:c r="L6" s="128"/>
      <x:c r="M6" s="128"/>
      <x:c r="N6" s="128"/>
      <x:c r="O6" s="128"/>
      <x:c r="P6" s="128"/>
      <x:c r="Q6" s="128"/>
      <x:c r="R6" s="128"/>
      <x:c r="S6" s="128"/>
      <x:c r="T6" s="128"/>
    </x:row>
    <x:row r="7" ht="24" customHeight="1">
      <x:c r="C7" s="128"/>
      <x:c r="D7" s="128"/>
      <x:c r="E7" s="128"/>
      <x:c r="F7" s="128"/>
      <x:c r="G7" s="128"/>
      <x:c r="H7" s="128"/>
      <x:c r="I7" s="128"/>
      <x:c r="J7" s="128"/>
      <x:c r="K7" s="128"/>
      <x:c r="L7" s="128"/>
      <x:c r="M7" s="128"/>
      <x:c r="N7" s="128"/>
      <x:c r="O7" s="128"/>
      <x:c r="P7" s="128"/>
      <x:c r="Q7" s="128"/>
      <x:c r="R7" s="128"/>
      <x:c r="S7" s="128"/>
      <x:c r="T7" s="128"/>
    </x:row>
    <x:row r="8" ht="24" customHeight="1">
      <x:c r="C8" s="128"/>
      <x:c r="D8" s="128"/>
      <x:c r="E8" s="128"/>
      <x:c r="F8" s="128"/>
      <x:c r="G8" s="128"/>
      <x:c r="H8" s="128"/>
      <x:c r="I8" s="128"/>
      <x:c r="J8" s="128"/>
      <x:c r="K8" s="128"/>
      <x:c r="L8" s="128"/>
      <x:c r="M8" s="128"/>
      <x:c r="N8" s="128"/>
      <x:c r="O8" s="128"/>
      <x:c r="P8" s="128"/>
      <x:c r="Q8" s="128"/>
      <x:c r="R8" s="128"/>
      <x:c r="S8" s="128"/>
      <x:c r="T8" s="128"/>
    </x:row>
    <x:row r="9" ht="24" customHeight="1">
      <x:c r="C9" s="181" t="str">
        <x:v>Log levels regression</x:v>
      </x:c>
      <x:c r="D9" s="128"/>
      <x:c r="E9" s="128"/>
      <x:c r="F9" s="128"/>
      <x:c r="G9" s="128"/>
      <x:c r="H9" s="128"/>
      <x:c r="I9" s="128"/>
      <x:c r="J9" s="128"/>
      <x:c r="K9" s="128"/>
      <x:c r="L9" s="128"/>
      <x:c r="M9" s="128"/>
      <x:c r="N9" s="128"/>
      <x:c r="O9" s="128"/>
      <x:c r="P9" s="128"/>
      <x:c r="Q9" s="128"/>
      <x:c r="R9" s="128"/>
      <x:c r="S9" s="128"/>
      <x:c r="T9" s="128"/>
    </x:row>
    <x:row r="10" ht="24" customHeight="1">
      <x:c r="C10" s="128"/>
      <x:c r="D10" s="128"/>
      <x:c r="E10" s="128"/>
      <x:c r="F10" s="128"/>
      <x:c r="G10" s="128"/>
      <x:c r="H10" s="128"/>
      <x:c r="I10" s="128"/>
      <x:c r="J10" s="128"/>
      <x:c r="K10" s="128"/>
      <x:c r="L10" s="128"/>
      <x:c r="M10" s="128"/>
      <x:c r="N10" s="128"/>
      <x:c r="O10" s="128"/>
      <x:c r="P10" s="128"/>
      <x:c r="Q10" s="128"/>
      <x:c r="R10" s="128"/>
      <x:c r="S10" s="128"/>
      <x:c r="T10" s="128"/>
      <x:c r="V10" s="189" t="str">
        <x:v>Degrees of freedom</x:v>
      </x:c>
      <x:c r="W10" s="189" t="str">
        <x:v>95% two-sided t critical</x:v>
      </x:c>
    </x:row>
    <x:row r="11" ht="24" customHeight="1">
      <x:c r="C11" s="191" t="str">
        <x:v>Fiscal year</x:v>
      </x:c>
      <x:c r="D11" s="191" t="str">
        <x:v>Revenue</x:v>
      </x:c>
      <x:c r="E11" s="191" t="str">
        <x:v>CFO</x:v>
      </x:c>
      <x:c r="F11" s="191" t="str">
        <x:v>ln revenue</x:v>
      </x:c>
      <x:c r="G11" s="191" t="str">
        <x:v>ln CFO</x:v>
      </x:c>
      <x:c r="H11" s="191" t="str">
        <x:v>Centered x</x:v>
      </x:c>
      <x:c r="I11" s="191" t="str">
        <x:v>Centered x squared</x:v>
      </x:c>
      <x:c r="J11" s="191" t="str">
        <x:v>Centered x times y</x:v>
      </x:c>
      <x:c r="K11" s="191" t="str">
        <x:v>Fitted y</x:v>
      </x:c>
      <x:c r="L11" s="191" t="str">
        <x:v>Residual</x:v>
      </x:c>
      <x:c r="M11" s="191" t="str">
        <x:v>Leverage h</x:v>
      </x:c>
      <x:c r="N11" s="191" t="str">
        <x:v>HC3 weight</x:v>
      </x:c>
      <x:c r="O11" s="191" t="str">
        <x:v>Fitted median CFO</x:v>
      </x:c>
      <x:c r="P11" s="191" t="str">
        <x:v>Residual squared</x:v>
      </x:c>
      <x:c r="Q11" s="191" t="str">
        <x:v>Centered y squared</x:v>
      </x:c>
      <x:c r="R11" s="191" t="str">
        <x:v>Centered x times weight</x:v>
      </x:c>
      <x:c r="S11" s="191" t="str">
        <x:v>x squared times weight</x:v>
      </x:c>
      <x:c r="T11" s="191" t="str">
        <x:v>Residual change squared</x:v>
      </x:c>
      <x:c r="V11" s="193" t="n">
        <x:v>1</x:v>
      </x:c>
      <x:c r="W11" s="195" t="n">
        <x:v>12.706204736174694</x:v>
      </x:c>
    </x:row>
    <x:row r="12" ht="24" customHeight="1">
      <x:c r="C12" s="197" t="n">
        <x:f>2017</x:f>
        <x:v>2017</x:v>
      </x:c>
      <x:c r="D12" s="199" t="n">
        <x:f>'Historical Inputs'!E9</x:f>
        <x:v>96571</x:v>
      </x:c>
      <x:c r="E12" s="199" t="n">
        <x:f>'Historical Inputs'!E80</x:f>
        <x:v>39507</x:v>
      </x:c>
      <x:c r="F12" s="195" t="n">
        <x:f>LN(D12)</x:f>
        <x:v>11.478033768090118</x:v>
      </x:c>
      <x:c r="G12" s="195" t="n">
        <x:f>LN(E12)</x:f>
        <x:v>10.58423315037833</x:v>
      </x:c>
      <x:c r="H12" s="195" t="n">
        <x:f>F12-$E$30</x:f>
        <x:v>-0.608686243191249</x:v>
      </x:c>
      <x:c r="I12" s="195" t="n">
        <x:f>H12^2</x:f>
        <x:v>0.3704989426502763</x:v>
      </x:c>
      <x:c r="J12" s="195" t="n">
        <x:f>H12*G12</x:f>
        <x:v>-6.442477113364063</x:v>
      </x:c>
      <x:c r="K12" s="195" t="n">
        <x:f>$E$34+$E$33*F12</x:f>
        <x:v>10.540617902081857</x:v>
      </x:c>
      <x:c r="L12" s="195" t="n">
        <x:f>G12-K12</x:f>
        <x:v>0.04361524829647223</x:v>
      </x:c>
      <x:c r="M12" s="195" t="n">
        <x:f>1/$E$28+I12/$E$32</x:f>
        <x:v>0.34423327006402765</x:v>
      </x:c>
      <x:c r="N12" s="195" t="n">
        <x:f>L12^2/(1-M12)^2</x:f>
        <x:v>0.0044236212958776115</x:v>
      </x:c>
      <x:c r="O12" s="199" t="n">
        <x:f>EXP(K12)</x:f>
        <x:v>37820.9288656674</x:v>
      </x:c>
      <x:c r="P12" s="195" t="n">
        <x:f>L12^2</x:f>
        <x:v>0.0019022898839629238</x:v>
      </x:c>
      <x:c r="Q12" s="195" t="n">
        <x:f>(G12-$E$31)^2</x:f>
        <x:v>0.4835669909089328</x:v>
      </x:c>
      <x:c r="R12" s="195" t="n">
        <x:f>H12*N12</x:f>
        <x:v>-0.0026925974278885476</x:v>
      </x:c>
      <x:c r="S12" s="195" t="n">
        <x:f>I12*N12</x:f>
        <x:v>0.0016389470128079</x:v>
      </x:c>
      <x:c r="T12" s="195" t="n">
        <x:f>0</x:f>
        <x:v>0</x:v>
      </x:c>
      <x:c r="V12" s="193" t="n">
        <x:v>2</x:v>
      </x:c>
      <x:c r="W12" s="195" t="n">
        <x:v>4.302652729749462</x:v>
      </x:c>
    </x:row>
    <x:row r="13" ht="24" customHeight="1">
      <x:c r="C13" s="197" t="n">
        <x:f>2018</x:f>
        <x:v>2018</x:v>
      </x:c>
      <x:c r="D13" s="199" t="n">
        <x:f>'Historical Inputs'!F9</x:f>
        <x:v>110360</x:v>
      </x:c>
      <x:c r="E13" s="199" t="n">
        <x:f>'Historical Inputs'!F80</x:f>
        <x:v>43884</x:v>
      </x:c>
      <x:c r="F13" s="195" t="n">
        <x:f>LN(D13)</x:f>
        <x:v>11.611503028331223</x:v>
      </x:c>
      <x:c r="G13" s="195" t="n">
        <x:f>LN(E13)</x:f>
        <x:v>10.689305067937381</x:v>
      </x:c>
      <x:c r="H13" s="195" t="n">
        <x:f>F13-$E$30</x:f>
        <x:v>-0.47521698295014403</x:v>
      </x:c>
      <x:c r="I13" s="195" t="n">
        <x:f>H13^2</x:f>
        <x:v>0.22583118088423748</x:v>
      </x:c>
      <x:c r="J13" s="195" t="n">
        <x:f>H13*G13</x:f>
        <x:v>-5.0797393042188865</x:v>
      </x:c>
      <x:c r="K13" s="195" t="n">
        <x:f>$E$34+$E$33*F13</x:f>
        <x:v>10.702662731978982</x:v>
      </x:c>
      <x:c r="L13" s="195" t="n">
        <x:f>G13-K13</x:f>
        <x:v>-0.013357664041601325</x:v>
      </x:c>
      <x:c r="M13" s="195" t="n">
        <x:f>1/$E$28+I13/$E$32</x:f>
        <x:v>0.2488681381793874</x:v>
      </x:c>
      <x:c r="N13" s="195" t="n">
        <x:f>L13^2/(1-M13)^2</x:f>
        <x:v>0.0003162486379731717</x:v>
      </x:c>
      <x:c r="O13" s="199" t="n">
        <x:f>EXP(K13)</x:f>
        <x:v>44474.12026851482</x:v>
      </x:c>
      <x:c r="P13" s="195" t="n">
        <x:f>L13^2</x:f>
        <x:v>0.00017842718864828904</x:v>
      </x:c>
      <x:c r="Q13" s="195" t="n">
        <x:f>(G13-$E$31)^2</x:f>
        <x:v>0.34847521673109905</x:v>
      </x:c>
      <x:c r="R13" s="195" t="n">
        <x:f>H13*N13</x:f>
        <x:v>-0.00015028672359970301</x:v>
      </x:c>
      <x:c r="S13" s="195" t="n">
        <x:f>I13*N13</x:f>
        <x:v>0.00007141880336651308</x:v>
      </x:c>
      <x:c r="T13" s="195" t="n">
        <x:f>(L13-L12)^2</x:f>
        <x:v>0.003245912740281814</x:v>
      </x:c>
      <x:c r="V13" s="193" t="n">
        <x:v>3</x:v>
      </x:c>
      <x:c r="W13" s="195" t="n">
        <x:v>3.1824463052837078</x:v>
      </x:c>
    </x:row>
    <x:row r="14" ht="24" customHeight="1">
      <x:c r="C14" s="197" t="n">
        <x:f>2019</x:f>
        <x:v>2019</x:v>
      </x:c>
      <x:c r="D14" s="199" t="n">
        <x:f>'Historical Inputs'!G9</x:f>
        <x:v>125843</x:v>
      </x:c>
      <x:c r="E14" s="199" t="n">
        <x:f>'Historical Inputs'!G80</x:f>
        <x:v>52185</x:v>
      </x:c>
      <x:c r="F14" s="195" t="n">
        <x:f>LN(D14)</x:f>
        <x:v>11.742790377244564</x:v>
      </x:c>
      <x:c r="G14" s="195" t="n">
        <x:f>LN(E14)</x:f>
        <x:v>10.862550376254152</x:v>
      </x:c>
      <x:c r="H14" s="195" t="n">
        <x:f>F14-$E$30</x:f>
        <x:v>-0.34392963403680277</x:v>
      </x:c>
      <x:c r="I14" s="195" t="n">
        <x:f>H14^2</x:f>
        <x:v>0.11828759316868909</x:v>
      </x:c>
      <x:c r="J14" s="195" t="n">
        <x:f>H14*G14</x:f>
        <x:v>-3.7359529756114247</x:v>
      </x:c>
      <x:c r="K14" s="195" t="n">
        <x:f>$E$34+$E$33*F14</x:f>
        <x:v>10.862058506585628</x:v>
      </x:c>
      <x:c r="L14" s="195" t="n">
        <x:f>G14-K14</x:f>
        <x:v>0.0004918696685241031</x:v>
      </x:c>
      <x:c r="M14" s="195" t="n">
        <x:f>1/$E$28+I14/$E$32</x:f>
        <x:v>0.1779752986093191</x:v>
      </x:c>
      <x:c r="N14" s="195" t="n">
        <x:f>L14^2/(1-M14)^2</x:f>
        <x:v>3.580390107779232e-7</x:v>
      </x:c>
      <x:c r="O14" s="199" t="n">
        <x:f>EXP(K14)</x:f>
        <x:v>52159.33809302228</x:v>
      </x:c>
      <x:c r="P14" s="195" t="n">
        <x:f>L14^2</x:f>
        <x:v>2.41935770814011e-7</x:v>
      </x:c>
      <x:c r="Q14" s="195" t="n">
        <x:f>(G14-$E$31)^2</x:f>
        <x:v>0.17394954226156806</x:v>
      </x:c>
      <x:c r="R14" s="195" t="n">
        <x:f>H14*N14</x:f>
        <x:v>-1.2314022594775e-7</x:v>
      </x:c>
      <x:c r="S14" s="195" t="n">
        <x:f>I14*N14</x:f>
        <x:v>4.235157284541887e-8</x:v>
      </x:c>
      <x:c r="T14" s="195" t="n">
        <x:f>(L14-L13)^2</x:f>
        <x:v>0.0001918095839879006</x:v>
      </x:c>
      <x:c r="V14" s="193" t="n">
        <x:v>4</x:v>
      </x:c>
      <x:c r="W14" s="195" t="n">
        <x:v>2.7764451051977934</x:v>
      </x:c>
    </x:row>
    <x:row r="15" ht="24" customHeight="1">
      <x:c r="C15" s="197" t="n">
        <x:f>2020</x:f>
        <x:v>2020</x:v>
      </x:c>
      <x:c r="D15" s="199" t="n">
        <x:f>'Historical Inputs'!H9</x:f>
        <x:v>143015</x:v>
      </x:c>
      <x:c r="E15" s="199" t="n">
        <x:f>'Historical Inputs'!H80</x:f>
        <x:v>60675</x:v>
      </x:c>
      <x:c r="F15" s="195" t="n">
        <x:f>LN(D15)</x:f>
        <x:v>11.870704798845832</x:v>
      </x:c>
      <x:c r="G15" s="195" t="n">
        <x:f>LN(E15)</x:f>
        <x:v>11.013287030594801</x:v>
      </x:c>
      <x:c r="H15" s="195" t="n">
        <x:f>F15-$E$30</x:f>
        <x:v>-0.21601521243553456</x:v>
      </x:c>
      <x:c r="I15" s="195" t="n">
        <x:f>H15^2</x:f>
        <x:v>0.046662572003569124</x:v>
      </x:c>
      <x:c r="J15" s="195" t="n">
        <x:f>H15*G15</x:f>
        <x:v>-2.3790375375274535</x:v>
      </x:c>
      <x:c r="K15" s="195" t="n">
        <x:f>$E$34+$E$33*F15</x:f>
        <x:v>11.017359215170682</x:v>
      </x:c>
      <x:c r="L15" s="195" t="n">
        <x:f>G15-K15</x:f>
        <x:v>-0.004072184575880655</x:v>
      </x:c>
      <x:c r="M15" s="195" t="n">
        <x:f>1/$E$28+I15/$E$32</x:f>
        <x:v>0.13076001369533555</x:v>
      </x:c>
      <x:c r="N15" s="195" t="n">
        <x:f>L15^2/(1-M15)^2</x:f>
        <x:v>0.00002194701783904237</x:v>
      </x:c>
      <x:c r="O15" s="199" t="n">
        <x:f>EXP(K15)</x:f>
        <x:v>60922.58355998532</x:v>
      </x:c>
      <x:c r="P15" s="195" t="n">
        <x:f>L15^2</x:f>
        <x:v>0.000016582687220040312</x:v>
      </x:c>
      <x:c r="Q15" s="195" t="n">
        <x:f>(G15-$E$31)^2</x:f>
        <x:v>0.07093482866453164</x:v>
      </x:c>
      <x:c r="R15" s="195" t="n">
        <x:f>H15*N15</x:f>
        <x:v>-0.000004740889720827204</x:v>
      </x:c>
      <x:c r="S15" s="195" t="n">
        <x:f>I15*N15</x:f>
        <x:v>0.0000010241043001779305</x:v>
      </x:c>
      <x:c r="T15" s="195" t="n">
        <x:f>(L15-L14)^2</x:f>
        <x:v>0.000020830591145869088</x:v>
      </x:c>
      <x:c r="V15" s="193" t="n">
        <x:v>5</x:v>
      </x:c>
      <x:c r="W15" s="195" t="n">
        <x:v>2.5705818356363146</x:v>
      </x:c>
    </x:row>
    <x:row r="16" ht="24" customHeight="1">
      <x:c r="C16" s="197" t="n">
        <x:f>2021</x:f>
        <x:v>2021</x:v>
      </x:c>
      <x:c r="D16" s="199" t="n">
        <x:f>'Historical Inputs'!I9</x:f>
        <x:v>168088</x:v>
      </x:c>
      <x:c r="E16" s="199" t="n">
        <x:f>'Historical Inputs'!I80</x:f>
        <x:v>76740</x:v>
      </x:c>
      <x:c r="F16" s="195" t="n">
        <x:f>LN(D16)</x:f>
        <x:v>12.032242930768884</x:v>
      </x:c>
      <x:c r="G16" s="195" t="n">
        <x:f>LN(E16)</x:f>
        <x:v>11.248178363800942</x:v>
      </x:c>
      <x:c r="H16" s="195" t="n">
        <x:f>F16-$E$30</x:f>
        <x:v>-0.054477080512482345</x:v>
      </x:c>
      <x:c r="I16" s="195" t="n">
        <x:f>H16^2</x:f>
        <x:v>0.0029677523011634836</x:v>
      </x:c>
      <x:c r="J16" s="195" t="n">
        <x:f>H16*G16</x:f>
        <x:v>-0.6127679183435458</x:v>
      </x:c>
      <x:c r="K16" s="195" t="n">
        <x:f>$E$34+$E$33*F16</x:f>
        <x:v>11.213482420334808</x:v>
      </x:c>
      <x:c r="L16" s="195" t="n">
        <x:f>G16-K16</x:f>
        <x:v>0.03469594346613469</x:v>
      </x:c>
      <x:c r="M16" s="195" t="n">
        <x:f>1/$E$28+I16/$E$32</x:f>
        <x:v>0.10195634525720464</x:v>
      </x:c>
      <x:c r="N16" s="195" t="n">
        <x:f>L16^2/(1-M16)^2</x:f>
        <x:v>0.0014926655365476464</x:v>
      </x:c>
      <x:c r="O16" s="199" t="n">
        <x:f>EXP(K16)</x:f>
        <x:v>74123.09382858778</x:v>
      </x:c>
      <x:c r="P16" s="195" t="n">
        <x:f>L16^2</x:f>
        <x:v>0.0012038084930052148</x:v>
      </x:c>
      <x:c r="Q16" s="195" t="n">
        <x:f>(G16-$E$31)^2</x:f>
        <x:v>0.0009887627921524476</x:v>
      </x:c>
      <x:c r="R16" s="195" t="n">
        <x:f>H16*N16</x:f>
        <x:v>-0.00008131606061271379</x:v>
      </x:c>
      <x:c r="S16" s="195" t="n">
        <x:f>I16*N16</x:f>
        <x:v>0.000004429861580956704</x:v>
      </x:c>
      <x:c r="T16" s="195" t="n">
        <x:f>(L16-L15)^2</x:f>
        <x:v>0.0015029677518820967</x:v>
      </x:c>
      <x:c r="V16" s="193" t="n">
        <x:v>6</x:v>
      </x:c>
      <x:c r="W16" s="195" t="n">
        <x:v>2.4469118511449786</x:v>
      </x:c>
    </x:row>
    <x:row r="17" ht="24" customHeight="1">
      <x:c r="C17" s="197" t="n">
        <x:f>2022</x:f>
        <x:v>2022</x:v>
      </x:c>
      <x:c r="D17" s="199" t="n">
        <x:f>'Historical Inputs'!J9</x:f>
        <x:v>198270</x:v>
      </x:c>
      <x:c r="E17" s="199" t="n">
        <x:f>'Historical Inputs'!J80</x:f>
        <x:v>89035</x:v>
      </x:c>
      <x:c r="F17" s="195" t="n">
        <x:f>LN(D17)</x:f>
        <x:v>12.197385017132609</x:v>
      </x:c>
      <x:c r="G17" s="195" t="n">
        <x:f>LN(E17)</x:f>
        <x:v>11.396784829835415</x:v>
      </x:c>
      <x:c r="H17" s="195" t="n">
        <x:f>F17-$E$30</x:f>
        <x:v>0.11066500585124217</x:v>
      </x:c>
      <x:c r="I17" s="195" t="n">
        <x:f>H17^2</x:f>
        <x:v>0.012246743520055463</x:v>
      </x:c>
      <x:c r="J17" s="195" t="n">
        <x:f>H17*G17</x:f>
        <x:v>1.2612252598790843</x:v>
      </x:c>
      <x:c r="K17" s="195" t="n">
        <x:f>$E$34+$E$33*F17</x:f>
        <x:v>11.413981181212966</x:v>
      </x:c>
      <x:c r="L17" s="195" t="n">
        <x:f>G17-K17</x:f>
        <x:v>-0.017196351377551267</x:v>
      </x:c>
      <x:c r="M17" s="195" t="n">
        <x:f>1/$E$28+I17/$E$32</x:f>
        <x:v>0.1080730654617871</x:v>
      </x:c>
      <x:c r="N17" s="195" t="n">
        <x:f>L17^2/(1-M17)^2</x:f>
        <x:v>0.0003717184034436435</x:v>
      </x:c>
      <x:c r="O17" s="199" t="n">
        <x:f>EXP(K17)</x:f>
        <x:v>90579.31740100012</x:v>
      </x:c>
      <x:c r="P17" s="195" t="n">
        <x:f>L17^2</x:f>
        <x:v>0.00029571450070020936</x:v>
      </x:c>
      <x:c r="Q17" s="195" t="n">
        <x:f>(G17-$E$31)^2</x:f>
        <x:v>0.013726903139608048</x:v>
      </x:c>
      <x:c r="R17" s="195" t="n">
        <x:f>H17*N17</x:f>
        <x:v>0.00004113621929210521</x:v>
      </x:c>
      <x:c r="S17" s="195" t="n">
        <x:f>I17*N17</x:f>
        <x:v>0.000004552339948658804</x:v>
      </x:c>
      <x:c r="T17" s="195" t="n">
        <x:f>(L17-L16)^2</x:f>
        <x:v>0.0026928102641440364</x:v>
      </x:c>
      <x:c r="V17" s="193" t="n">
        <x:v>7</x:v>
      </x:c>
      <x:c r="W17" s="195" t="n">
        <x:v>2.364624251592784</x:v>
      </x:c>
    </x:row>
    <x:row r="18" ht="24" customHeight="1">
      <x:c r="C18" s="197" t="n">
        <x:f>2023</x:f>
        <x:v>2023</x:v>
      </x:c>
      <x:c r="D18" s="199" t="n">
        <x:f>'Historical Inputs'!K9</x:f>
        <x:v>211915</x:v>
      </x:c>
      <x:c r="E18" s="199" t="n">
        <x:f>'Historical Inputs'!K80</x:f>
        <x:v>87582</x:v>
      </x:c>
      <x:c r="F18" s="195" t="n">
        <x:f>LN(D18)</x:f>
        <x:v>12.263940529858628</x:v>
      </x:c>
      <x:c r="G18" s="195" t="n">
        <x:f>LN(E18)</x:f>
        <x:v>11.380330776358633</x:v>
      </x:c>
      <x:c r="H18" s="195" t="n">
        <x:f>F18-$E$30</x:f>
        <x:v>0.1772205185772613</x:v>
      </x:c>
      <x:c r="I18" s="195" t="n">
        <x:f>H18^2</x:f>
        <x:v>0.03140711220479341</x:v>
      </x:c>
      <x:c r="J18" s="195" t="n">
        <x:f>H18*G18</x:f>
        <x:v>2.0168281217670434</x:v>
      </x:c>
      <x:c r="K18" s="195" t="n">
        <x:f>$E$34+$E$33*F18</x:f>
        <x:v>11.494786129999834</x:v>
      </x:c>
      <x:c r="L18" s="195" t="n">
        <x:f>G18-K18</x:f>
        <x:v>-0.11445535364120119</x:v>
      </x:c>
      <x:c r="M18" s="195" t="n">
        <x:f>1/$E$28+I18/$E$32</x:f>
        <x:v>0.12070359948175363</x:v>
      </x:c>
      <x:c r="N18" s="195" t="n">
        <x:f>L18^2/(1-M18)^2</x:f>
        <x:v>0.016943441693701815</x:v>
      </x:c>
      <x:c r="O18" s="199" t="n">
        <x:f>EXP(K18)</x:f>
        <x:v>98202.41925134441</x:v>
      </x:c>
      <x:c r="P18" s="195" t="n">
        <x:f>L18^2</x:f>
        <x:v>0.013100027977132426</x:v>
      </x:c>
      <x:c r="Q18" s="195" t="n">
        <x:f>(G18-$E$31)^2</x:f>
        <x:v>0.010142063756787533</x:v>
      </x:c>
      <x:c r="R18" s="195" t="n">
        <x:f>H18*N18</x:f>
        <x:v>0.003002725523441426</x:v>
      </x:c>
      <x:c r="S18" s="195" t="n">
        <x:f>I18*N18</x:f>
        <x:v>0.0005321445744094678</x:v>
      </x:c>
      <x:c r="T18" s="195" t="n">
        <x:f>(L18-L17)^2</x:f>
        <x:v>0.00945931352132066</x:v>
      </x:c>
      <x:c r="V18" s="193" t="n">
        <x:v>8</x:v>
      </x:c>
      <x:c r="W18" s="195" t="n">
        <x:v>2.306004135204166</x:v>
      </x:c>
    </x:row>
    <x:row r="19" ht="24" customHeight="1">
      <x:c r="C19" s="197" t="n">
        <x:f>2024</x:f>
        <x:v>2024</x:v>
      </x:c>
      <x:c r="D19" s="199" t="n">
        <x:f>'Historical Inputs'!L9</x:f>
        <x:v>245122</x:v>
      </x:c>
      <x:c r="E19" s="199" t="n">
        <x:f>'Historical Inputs'!L80</x:f>
        <x:v>118548</x:v>
      </x:c>
      <x:c r="F19" s="195" t="n">
        <x:f>LN(D19)</x:f>
        <x:v>12.409511324770007</x:v>
      </x:c>
      <x:c r="G19" s="195" t="n">
        <x:f>LN(E19)</x:f>
        <x:v>11.683073220832474</x:v>
      </x:c>
      <x:c r="H19" s="195" t="n">
        <x:f>F19-$E$30</x:f>
        <x:v>0.32279131348864</x:v>
      </x:c>
      <x:c r="I19" s="195" t="n">
        <x:f>H19^2</x:f>
        <x:v>0.10419423206372146</x:v>
      </x:c>
      <x:c r="J19" s="195" t="n">
        <x:f>H19*G19</x:f>
        <x:v>3.77119455053647</x:v>
      </x:c>
      <x:c r="K19" s="195" t="n">
        <x:f>$E$34+$E$33*F19</x:f>
        <x:v>11.671523415100474</x:v>
      </x:c>
      <x:c r="L19" s="195" t="n">
        <x:f>G19-K19</x:f>
        <x:v>0.011549805732000706</x:v>
      </x:c>
      <x:c r="M19" s="195" t="n">
        <x:f>1/$E$28+I19/$E$32</x:f>
        <x:v>0.16868494100603576</x:v>
      </x:c>
      <x:c r="N19" s="195" t="n">
        <x:f>L19^2/(1-M19)^2</x:f>
        <x:v>0.00019302700114090545</x:v>
      </x:c>
      <x:c r="O19" s="199" t="n">
        <x:f>EXP(K19)</x:f>
        <x:v>117186.67031000041</x:v>
      </x:c>
      <x:c r="P19" s="195" t="n">
        <x:f>L19^2</x:f>
        <x:v>0.00013339801244695637</x:v>
      </x:c>
      <x:c r="Q19" s="195" t="n">
        <x:f>(G19-$E$31)^2</x:f>
        <x:v>0.1627721108868553</x:v>
      </x:c>
      <x:c r="R19" s="195" t="n">
        <x:f>H19*N19</x:f>
        <x:v>0.00006230743923704608</x:v>
      </x:c>
      <x:c r="S19" s="195" t="n">
        <x:f>I19*N19</x:f>
        <x:v>0.00002011230015143973</x:v>
      </x:c>
      <x:c r="T19" s="195" t="n">
        <x:f>(L19-L18)^2</x:f>
        <x:v>0.015877300188666007</x:v>
      </x:c>
      <x:c r="V19" s="193" t="n">
        <x:v>9</x:v>
      </x:c>
      <x:c r="W19" s="195" t="n">
        <x:v>2.262157162798205</x:v>
      </x:c>
    </x:row>
    <x:row r="20" ht="24" customHeight="1">
      <x:c r="C20" s="197" t="n">
        <x:f>2025</x:f>
        <x:v>2025</x:v>
      </x:c>
      <x:c r="D20" s="199" t="n">
        <x:f>'Historical Inputs'!M9</x:f>
        <x:v>281724</x:v>
      </x:c>
      <x:c r="E20" s="199" t="n">
        <x:f>'Historical Inputs'!M80</x:f>
        <x:v>136162</x:v>
      </x:c>
      <x:c r="F20" s="195" t="n">
        <x:f>LN(D20)</x:f>
        <x:v>12.548683147253508</x:v>
      </x:c>
      <x:c r="G20" s="195" t="n">
        <x:f>LN(E20)</x:f>
        <x:v>11.821600632300969</x:v>
      </x:c>
      <x:c r="H20" s="195" t="n">
        <x:f>F20-$E$30</x:f>
        <x:v>0.461963135972141</x:v>
      </x:c>
      <x:c r="I20" s="195" t="n">
        <x:f>H20^2</x:f>
        <x:v>0.21340993899721483</x:v>
      </x:c>
      <x:c r="J20" s="195" t="n">
        <x:f>H20*G20</x:f>
        <x:v>5.461143700308001</x:v>
      </x:c>
      <x:c r="K20" s="195" t="n">
        <x:f>$E$34+$E$33*F20</x:f>
        <x:v>11.840491717315325</x:v>
      </x:c>
      <x:c r="L20" s="195" t="n">
        <x:f>G20-K20</x:f>
        <x:v>-0.018891085014356435</x:v>
      </x:c>
      <x:c r="M20" s="195" t="n">
        <x:f>1/$E$28+I20/$E$32</x:f>
        <x:v>0.24068004322121261</x:v>
      </x:c>
      <x:c r="N20" s="195" t="n">
        <x:f>L20^2/(1-M20)^2</x:f>
        <x:v>0.0006189622694603784</x:v>
      </x:c>
      <x:c r="O20" s="199" t="n">
        <x:f>EXP(K20)</x:f>
        <x:v>138758.69791441155</x:v>
      </x:c>
      <x:c r="P20" s="195" t="n">
        <x:f>L20^2</x:f>
        <x:v>0.00035687309301964224</x:v>
      </x:c>
      <x:c r="Q20" s="195" t="n">
        <x:f>(G20-$E$31)^2</x:f>
        <x:v>0.2937397944800233</x:v>
      </x:c>
      <x:c r="R20" s="195" t="n">
        <x:f>H20*N20</x:f>
        <x:v>0.00028593775104834976</x:v>
      </x:c>
      <x:c r="S20" s="195" t="n">
        <x:f>I20*N20</x:f>
        <x:v>0.00013209270016711702</x:v>
      </x:c>
      <x:c r="T20" s="195" t="n">
        <x:f>(L20-L19)^2</x:f>
        <x:v>0.0009266478294316518</x:v>
      </x:c>
      <x:c r="V20" s="193" t="n">
        <x:v>10</x:v>
      </x:c>
      <x:c r="W20" s="195" t="n">
        <x:v>2.228138851986274</x:v>
      </x:c>
    </x:row>
    <x:row r="21" ht="24" customHeight="1">
      <x:c r="C21" s="197" t="n">
        <x:f>2026</x:f>
        <x:v>2026</x:v>
      </x:c>
      <x:c r="D21" s="199" t="n">
        <x:f>'Historical Inputs'!N9</x:f>
        <x:v>331839</x:v>
      </x:c>
      <x:c r="E21" s="199" t="n">
        <x:f>'Historical Inputs'!N80</x:f>
        <x:v>182935</x:v>
      </x:c>
      <x:c r="F21" s="195" t="n">
        <x:f>LN(D21)</x:f>
        <x:v>12.712405190518277</x:v>
      </x:c>
      <x:c r="G21" s="195" t="n">
        <x:f>LN(E21)</x:f>
        <x:v>12.116886177471372</x:v>
      </x:c>
      <x:c r="H21" s="195" t="n">
        <x:f>F21-$E$30</x:f>
        <x:v>0.6256851792369105</x:v>
      </x:c>
      <x:c r="I21" s="195" t="n">
        <x:f>H21^2</x:f>
        <x:v>0.3914819435167248</x:v>
      </x:c>
      <x:c r="J21" s="195" t="n">
        <x:f>H21*G21</x:f>
        <x:v>7.5813560997444185</x:v>
      </x:c>
      <x:c r="K21" s="195" t="n">
        <x:f>$E$34+$E$33*F21</x:f>
        <x:v>12.039266405983891</x:v>
      </x:c>
      <x:c r="L21" s="195" t="n">
        <x:f>G21-K21</x:f>
        <x:v>0.07761977148748045</x:v>
      </x:c>
      <x:c r="M21" s="195" t="n">
        <x:f>1/$E$28+I21/$E$32</x:f>
        <x:v>0.35806528502393653</x:v>
      </x:c>
      <x:c r="N21" s="195" t="n">
        <x:f>L21^2/(1-M21)^2</x:f>
        <x:v>0.01462052591500352</x:v>
      </x:c>
      <x:c r="O21" s="199" t="n">
        <x:f>EXP(K21)</x:f>
        <x:v>169272.71744866532</x:v>
      </x:c>
      <x:c r="P21" s="195" t="n">
        <x:f>L21^2</x:f>
        <x:v>0.0060248289257686825</x:v>
      </x:c>
      <x:c r="Q21" s="195" t="n">
        <x:f>(G21-$E$31)^2</x:f>
        <x:v>0.7010096910161855</x:v>
      </x:c>
      <x:c r="R21" s="195" t="n">
        <x:f>H21*N21</x:f>
        <x:v>0.009147846377666871</x:v>
      </x:c>
      <x:c r="S21" s="195" t="n">
        <x:f>I21*N21</x:f>
        <x:v>0.005723671900442219</x:v>
      </x:c>
      <x:c r="T21" s="195" t="n">
        <x:f>(L21-L20)^2</x:f>
        <x:v>0.00931434542271815</x:v>
      </x:c>
      <x:c r="V21" s="193" t="n">
        <x:v>11</x:v>
      </x:c>
      <x:c r="W21" s="195" t="n">
        <x:v>2.200985160091639</x:v>
      </x:c>
    </x:row>
    <x:row r="22" ht="24" customHeight="1">
      <x:c r="C22" s="128"/>
      <x:c r="D22" s="128"/>
      <x:c r="E22" s="128"/>
      <x:c r="F22" s="128"/>
      <x:c r="G22" s="128"/>
      <x:c r="H22" s="128"/>
      <x:c r="I22" s="128"/>
      <x:c r="J22" s="128"/>
      <x:c r="K22" s="128"/>
      <x:c r="L22" s="128"/>
      <x:c r="M22" s="128"/>
      <x:c r="N22" s="128"/>
      <x:c r="O22" s="128"/>
      <x:c r="P22" s="128"/>
      <x:c r="Q22" s="128"/>
      <x:c r="R22" s="128"/>
      <x:c r="S22" s="128"/>
      <x:c r="T22" s="128"/>
      <x:c r="V22" s="193" t="n">
        <x:v>12</x:v>
      </x:c>
      <x:c r="W22" s="195" t="n">
        <x:v>2.1788128296672284</x:v>
      </x:c>
    </x:row>
    <x:row r="23" ht="24" customHeight="1">
      <x:c r="C23" s="128"/>
      <x:c r="D23" s="128"/>
      <x:c r="E23" s="128"/>
      <x:c r="F23" s="128"/>
      <x:c r="G23" s="128"/>
      <x:c r="H23" s="128"/>
      <x:c r="I23" s="128"/>
      <x:c r="J23" s="128"/>
      <x:c r="K23" s="128"/>
      <x:c r="L23" s="128"/>
      <x:c r="M23" s="128"/>
      <x:c r="N23" s="128"/>
      <x:c r="O23" s="128"/>
      <x:c r="P23" s="128"/>
      <x:c r="Q23" s="128"/>
      <x:c r="R23" s="128"/>
      <x:c r="S23" s="128"/>
      <x:c r="T23" s="128"/>
      <x:c r="V23" s="193" t="n">
        <x:v>13</x:v>
      </x:c>
      <x:c r="W23" s="195" t="n">
        <x:v>2.1603686564627913</x:v>
      </x:c>
    </x:row>
    <x:row r="24" ht="24" customHeight="1">
      <x:c r="C24" s="128"/>
      <x:c r="D24" s="128"/>
      <x:c r="E24" s="128"/>
      <x:c r="F24" s="128"/>
      <x:c r="G24" s="128"/>
      <x:c r="H24" s="128"/>
      <x:c r="I24" s="128"/>
      <x:c r="J24" s="128"/>
      <x:c r="K24" s="128"/>
      <x:c r="L24" s="128"/>
      <x:c r="M24" s="128"/>
      <x:c r="N24" s="128"/>
      <x:c r="O24" s="128"/>
      <x:c r="P24" s="128"/>
      <x:c r="Q24" s="128"/>
      <x:c r="R24" s="128"/>
      <x:c r="S24" s="128"/>
      <x:c r="T24" s="128"/>
      <x:c r="V24" s="193" t="n">
        <x:v>14</x:v>
      </x:c>
      <x:c r="W24" s="195" t="n">
        <x:v>2.144786687917804</x:v>
      </x:c>
    </x:row>
    <x:row r="25" ht="24" customHeight="1">
      <x:c r="C25" s="128"/>
      <x:c r="D25" s="128"/>
      <x:c r="E25" s="128"/>
      <x:c r="F25" s="128"/>
      <x:c r="G25" s="128"/>
      <x:c r="H25" s="128"/>
      <x:c r="I25" s="128"/>
      <x:c r="J25" s="128"/>
      <x:c r="K25" s="128"/>
      <x:c r="L25" s="128"/>
      <x:c r="M25" s="128"/>
      <x:c r="N25" s="128"/>
      <x:c r="O25" s="128"/>
      <x:c r="P25" s="128"/>
      <x:c r="Q25" s="128"/>
      <x:c r="R25" s="128"/>
      <x:c r="S25" s="128"/>
      <x:c r="T25" s="128"/>
      <x:c r="V25" s="193" t="n">
        <x:v>15</x:v>
      </x:c>
      <x:c r="W25" s="195" t="n">
        <x:v>2.131449545559776</x:v>
      </x:c>
    </x:row>
    <x:row r="26" ht="24" customHeight="1">
      <x:c r="C26" s="128"/>
      <x:c r="D26" s="128"/>
      <x:c r="E26" s="128"/>
      <x:c r="F26" s="128"/>
      <x:c r="G26" s="128"/>
      <x:c r="H26" s="128"/>
      <x:c r="I26" s="128"/>
      <x:c r="J26" s="128"/>
      <x:c r="K26" s="128"/>
      <x:c r="L26" s="128"/>
      <x:c r="M26" s="128"/>
      <x:c r="N26" s="128"/>
      <x:c r="O26" s="128"/>
      <x:c r="P26" s="128"/>
      <x:c r="Q26" s="128"/>
      <x:c r="R26" s="128"/>
      <x:c r="S26" s="128"/>
      <x:c r="T26" s="128"/>
      <x:c r="V26" s="193" t="n">
        <x:v>16</x:v>
      </x:c>
      <x:c r="W26" s="195" t="n">
        <x:v>2.1199052992212546</x:v>
      </x:c>
    </x:row>
    <x:row r="27" ht="24" customHeight="1">
      <x:c r="C27" s="128"/>
      <x:c r="D27" s="128"/>
      <x:c r="E27" s="128"/>
      <x:c r="F27" s="128"/>
      <x:c r="G27" s="128"/>
      <x:c r="H27" s="128"/>
      <x:c r="I27" s="128"/>
      <x:c r="J27" s="128"/>
      <x:c r="K27" s="128"/>
      <x:c r="L27" s="128"/>
      <x:c r="M27" s="128"/>
      <x:c r="N27" s="128"/>
      <x:c r="O27" s="128"/>
      <x:c r="P27" s="128"/>
      <x:c r="Q27" s="128"/>
      <x:c r="R27" s="128"/>
      <x:c r="S27" s="128"/>
      <x:c r="T27" s="128"/>
      <x:c r="V27" s="193" t="n">
        <x:v>17</x:v>
      </x:c>
      <x:c r="W27" s="195" t="n">
        <x:v>2.1098155778333156</x:v>
      </x:c>
    </x:row>
    <x:row r="28" ht="24" customHeight="1">
      <x:c r="C28" s="128" t="str">
        <x:v>Observations</x:v>
      </x:c>
      <x:c r="D28" s="128"/>
      <x:c r="E28" s="195" t="n">
        <x:f>COUNT(F12:F21)</x:f>
        <x:v>10</x:v>
      </x:c>
      <x:c r="F28" s="128"/>
      <x:c r="G28" s="128"/>
      <x:c r="H28" s="128"/>
      <x:c r="I28" s="128"/>
      <x:c r="J28" s="128"/>
      <x:c r="K28" s="128"/>
      <x:c r="L28" s="128"/>
      <x:c r="M28" s="128"/>
      <x:c r="N28" s="128"/>
      <x:c r="O28" s="128"/>
      <x:c r="P28" s="128"/>
      <x:c r="Q28" s="128"/>
      <x:c r="R28" s="128"/>
      <x:c r="S28" s="128"/>
      <x:c r="T28" s="128"/>
      <x:c r="V28" s="193" t="n">
        <x:v>18</x:v>
      </x:c>
      <x:c r="W28" s="195" t="n">
        <x:v>2.1009220402410382</x:v>
      </x:c>
    </x:row>
    <x:row r="29" ht="24" customHeight="1">
      <x:c r="C29" s="128" t="str">
        <x:v>Residual degrees of freedom</x:v>
      </x:c>
      <x:c r="D29" s="128"/>
      <x:c r="E29" s="195" t="n">
        <x:f>$E$28-2</x:f>
        <x:v>8</x:v>
      </x:c>
      <x:c r="F29" s="128"/>
      <x:c r="G29" s="128"/>
      <x:c r="H29" s="128"/>
      <x:c r="I29" s="128"/>
      <x:c r="J29" s="128"/>
      <x:c r="K29" s="128"/>
      <x:c r="L29" s="128"/>
      <x:c r="M29" s="128"/>
      <x:c r="N29" s="128"/>
      <x:c r="O29" s="128"/>
      <x:c r="P29" s="128"/>
      <x:c r="Q29" s="128"/>
      <x:c r="R29" s="128"/>
      <x:c r="S29" s="128"/>
      <x:c r="T29" s="128"/>
      <x:c r="V29" s="193" t="n">
        <x:v>19</x:v>
      </x:c>
      <x:c r="W29" s="195" t="n">
        <x:v>2.0930240544083087</x:v>
      </x:c>
    </x:row>
    <x:row r="30" ht="24" customHeight="1">
      <x:c r="C30" s="128" t="str">
        <x:v>Mean x</x:v>
      </x:c>
      <x:c r="D30" s="128"/>
      <x:c r="E30" s="195" t="n">
        <x:f>AVERAGE(F12:F21)</x:f>
        <x:v>12.086720011281367</x:v>
      </x:c>
      <x:c r="F30" s="128"/>
      <x:c r="G30" s="128"/>
      <x:c r="H30" s="128"/>
      <x:c r="I30" s="128"/>
      <x:c r="J30" s="128"/>
      <x:c r="K30" s="128"/>
      <x:c r="L30" s="128"/>
      <x:c r="M30" s="128"/>
      <x:c r="N30" s="128"/>
      <x:c r="O30" s="128"/>
      <x:c r="P30" s="128"/>
      <x:c r="Q30" s="128"/>
      <x:c r="R30" s="128"/>
      <x:c r="S30" s="128"/>
      <x:c r="T30" s="128"/>
      <x:c r="V30" s="193" t="n">
        <x:v>20</x:v>
      </x:c>
      <x:c r="W30" s="195" t="n">
        <x:v>2.085963447265864</x:v>
      </x:c>
    </x:row>
    <x:row r="31" ht="24" customHeight="1">
      <x:c r="C31" s="128" t="str">
        <x:v>Mean y</x:v>
      </x:c>
      <x:c r="D31" s="128"/>
      <x:c r="E31" s="195" t="n">
        <x:f>AVERAGE(G12:G21)</x:f>
        <x:v>11.279622962576447</x:v>
      </x:c>
      <x:c r="F31" s="128"/>
      <x:c r="G31" s="128"/>
      <x:c r="H31" s="128"/>
      <x:c r="I31" s="128"/>
      <x:c r="J31" s="128"/>
      <x:c r="K31" s="128"/>
      <x:c r="L31" s="128"/>
      <x:c r="M31" s="128"/>
      <x:c r="N31" s="128"/>
      <x:c r="O31" s="128"/>
      <x:c r="P31" s="128"/>
      <x:c r="Q31" s="128"/>
      <x:c r="R31" s="128"/>
      <x:c r="S31" s="128"/>
      <x:c r="T31" s="128"/>
      <x:c r="V31" s="193" t="n">
        <x:v>21</x:v>
      </x:c>
      <x:c r="W31" s="195" t="n">
        <x:v>2.0796138447276795</x:v>
      </x:c>
    </x:row>
    <x:row r="32" ht="24" customHeight="1">
      <x:c r="C32" s="128" t="str">
        <x:v>Sxx</x:v>
      </x:c>
      <x:c r="D32" s="128"/>
      <x:c r="E32" s="195" t="n">
        <x:f>SUM(I12:I21)</x:f>
        <x:v>1.5169880113104455</x:v>
      </x:c>
      <x:c r="F32" s="128"/>
      <x:c r="G32" s="128"/>
      <x:c r="H32" s="128"/>
      <x:c r="I32" s="128"/>
      <x:c r="J32" s="128"/>
      <x:c r="K32" s="128"/>
      <x:c r="L32" s="128"/>
      <x:c r="M32" s="128"/>
      <x:c r="N32" s="128"/>
      <x:c r="O32" s="128"/>
      <x:c r="P32" s="128"/>
      <x:c r="Q32" s="128"/>
      <x:c r="R32" s="128"/>
      <x:c r="S32" s="128"/>
      <x:c r="T32" s="128"/>
      <x:c r="V32" s="193" t="n">
        <x:v>22</x:v>
      </x:c>
      <x:c r="W32" s="195" t="n">
        <x:v>2.0738730679040254</x:v>
      </x:c>
    </x:row>
    <x:row r="33" ht="24" customHeight="1">
      <x:c r="C33" s="128" t="str">
        <x:v>Slope</x:v>
      </x:c>
      <x:c r="D33" s="128"/>
      <x:c r="E33" s="195" t="n">
        <x:f>SUM(J12:J21)/$E$32</x:f>
        <x:v>1.2140985093076841</x:v>
      </x:c>
      <x:c r="F33" s="128"/>
      <x:c r="G33" s="128"/>
      <x:c r="H33" s="128"/>
      <x:c r="I33" s="128"/>
      <x:c r="J33" s="128"/>
      <x:c r="K33" s="128"/>
      <x:c r="L33" s="128"/>
      <x:c r="M33" s="128"/>
      <x:c r="N33" s="128"/>
      <x:c r="O33" s="128"/>
      <x:c r="P33" s="128"/>
      <x:c r="Q33" s="128"/>
      <x:c r="R33" s="128"/>
      <x:c r="S33" s="128"/>
      <x:c r="T33" s="128"/>
      <x:c r="V33" s="193" t="n">
        <x:v>23</x:v>
      </x:c>
      <x:c r="W33" s="195" t="n">
        <x:v>2.0686576104190486</x:v>
      </x:c>
    </x:row>
    <x:row r="34" ht="24" customHeight="1">
      <x:c r="C34" s="128" t="str">
        <x:v>Intercept</x:v>
      </x:c>
      <x:c r="D34" s="128"/>
      <x:c r="E34" s="195" t="n">
        <x:f>$E$31-$E$33*$E$30</x:f>
        <x:v>-3.3948457855396157</x:v>
      </x:c>
      <x:c r="F34" s="128"/>
      <x:c r="G34" s="128"/>
      <x:c r="H34" s="128"/>
      <x:c r="I34" s="128"/>
      <x:c r="J34" s="128"/>
      <x:c r="K34" s="128"/>
      <x:c r="L34" s="128"/>
      <x:c r="M34" s="128"/>
      <x:c r="N34" s="128"/>
      <x:c r="O34" s="128"/>
      <x:c r="P34" s="128"/>
      <x:c r="Q34" s="128"/>
      <x:c r="R34" s="128"/>
      <x:c r="S34" s="128"/>
      <x:c r="T34" s="128"/>
      <x:c r="V34" s="193" t="n">
        <x:v>24</x:v>
      </x:c>
      <x:c r="W34" s="195" t="n">
        <x:v>2.0638985616280245</x:v>
      </x:c>
    </x:row>
    <x:row r="35" ht="24" customHeight="1">
      <x:c r="C35" s="128" t="str">
        <x:v>Residual sum of squares</x:v>
      </x:c>
      <x:c r="D35" s="128"/>
      <x:c r="E35" s="195" t="n">
        <x:f>SUM(P12:P21)</x:f>
        <x:v>0.0232121926976752</x:v>
      </x:c>
      <x:c r="F35" s="128"/>
      <x:c r="G35" s="128"/>
      <x:c r="H35" s="128"/>
      <x:c r="I35" s="128"/>
      <x:c r="J35" s="128"/>
      <x:c r="K35" s="128"/>
      <x:c r="L35" s="128"/>
      <x:c r="M35" s="128"/>
      <x:c r="N35" s="128"/>
      <x:c r="O35" s="128"/>
      <x:c r="P35" s="128"/>
      <x:c r="Q35" s="128"/>
      <x:c r="R35" s="128"/>
      <x:c r="S35" s="128"/>
      <x:c r="T35" s="128"/>
      <x:c r="V35" s="193" t="n">
        <x:v>25</x:v>
      </x:c>
      <x:c r="W35" s="195" t="n">
        <x:v>2.0595385527532972</x:v>
      </x:c>
    </x:row>
    <x:row r="36" ht="24" customHeight="1">
      <x:c r="C36" s="128" t="str">
        <x:v>Total sum of squares</x:v>
      </x:c>
      <x:c r="D36" s="128"/>
      <x:c r="E36" s="195" t="n">
        <x:f>SUM(Q12:Q21)</x:f>
        <x:v>2.2593059046377437</x:v>
      </x:c>
      <x:c r="F36" s="128"/>
      <x:c r="G36" s="128"/>
      <x:c r="H36" s="128"/>
      <x:c r="I36" s="128"/>
      <x:c r="J36" s="128"/>
      <x:c r="K36" s="128"/>
      <x:c r="L36" s="128"/>
      <x:c r="M36" s="128"/>
      <x:c r="N36" s="128"/>
      <x:c r="O36" s="128"/>
      <x:c r="P36" s="128"/>
      <x:c r="Q36" s="128"/>
      <x:c r="R36" s="128"/>
      <x:c r="S36" s="128"/>
      <x:c r="T36" s="128"/>
      <x:c r="V36" s="193" t="n">
        <x:v>26</x:v>
      </x:c>
      <x:c r="W36" s="195" t="n">
        <x:v>2.0555294386428735</x:v>
      </x:c>
    </x:row>
    <x:row r="37" ht="24" customHeight="1">
      <x:c r="C37" s="128" t="str">
        <x:v>R squared</x:v>
      </x:c>
      <x:c r="D37" s="128"/>
      <x:c r="E37" s="195" t="n">
        <x:f>1-$E$35/$E$36</x:f>
        <x:v>0.9897259628941673</x:v>
      </x:c>
      <x:c r="F37" s="128"/>
      <x:c r="G37" s="128"/>
      <x:c r="H37" s="128"/>
      <x:c r="I37" s="128"/>
      <x:c r="J37" s="128"/>
      <x:c r="K37" s="128"/>
      <x:c r="L37" s="128"/>
      <x:c r="M37" s="128"/>
      <x:c r="N37" s="128"/>
      <x:c r="O37" s="128"/>
      <x:c r="P37" s="128"/>
      <x:c r="Q37" s="128"/>
      <x:c r="R37" s="128"/>
      <x:c r="S37" s="128"/>
      <x:c r="T37" s="128"/>
      <x:c r="V37" s="193" t="n">
        <x:v>27</x:v>
      </x:c>
      <x:c r="W37" s="195" t="n">
        <x:v>2.0518305164802846</x:v>
      </x:c>
    </x:row>
    <x:row r="38" ht="24" customHeight="1">
      <x:c r="C38" s="128" t="str">
        <x:v>Adjusted R squared</x:v>
      </x:c>
      <x:c r="D38" s="128"/>
      <x:c r="E38" s="195" t="n">
        <x:f>1-($E$35/$E$29)/($E$36/($E$28-1))</x:f>
        <x:v>0.9884417082559381</x:v>
      </x:c>
      <x:c r="F38" s="128"/>
      <x:c r="G38" s="128"/>
      <x:c r="H38" s="128"/>
      <x:c r="I38" s="128"/>
      <x:c r="J38" s="128"/>
      <x:c r="K38" s="128"/>
      <x:c r="L38" s="128"/>
      <x:c r="M38" s="128"/>
      <x:c r="N38" s="128"/>
      <x:c r="O38" s="128"/>
      <x:c r="P38" s="128"/>
      <x:c r="Q38" s="128"/>
      <x:c r="R38" s="128"/>
      <x:c r="S38" s="128"/>
      <x:c r="T38" s="128"/>
      <x:c r="V38" s="193" t="n">
        <x:v>28</x:v>
      </x:c>
      <x:c r="W38" s="195" t="n">
        <x:v>2.0484071417952454</x:v>
      </x:c>
    </x:row>
    <x:row r="39" ht="24" customHeight="1">
      <x:c r="C39" s="128" t="str">
        <x:v>OLS residual standard error</x:v>
      </x:c>
      <x:c r="D39" s="128"/>
      <x:c r="E39" s="195" t="n">
        <x:f>SQRT($E$35/$E$29)</x:f>
        <x:v>0.05386579700709347</x:v>
      </x:c>
      <x:c r="F39" s="128"/>
      <x:c r="G39" s="128"/>
      <x:c r="H39" s="128"/>
      <x:c r="I39" s="128"/>
      <x:c r="J39" s="128"/>
      <x:c r="K39" s="128"/>
      <x:c r="L39" s="128"/>
      <x:c r="M39" s="128"/>
      <x:c r="N39" s="128"/>
      <x:c r="O39" s="128"/>
      <x:c r="P39" s="128"/>
      <x:c r="Q39" s="128"/>
      <x:c r="R39" s="128"/>
      <x:c r="S39" s="128"/>
      <x:c r="T39" s="128"/>
      <x:c r="V39" s="193" t="n">
        <x:v>29</x:v>
      </x:c>
      <x:c r="W39" s="195" t="n">
        <x:v>2.045229642132703</x:v>
      </x:c>
    </x:row>
    <x:row r="40" ht="24" customHeight="1">
      <x:c r="C40" s="128" t="str">
        <x:v>OLS slope standard error</x:v>
      </x:c>
      <x:c r="D40" s="128"/>
      <x:c r="E40" s="195" t="n">
        <x:f>$E$39/SQRT($E$32)</x:f>
        <x:v>0.04373428349648606</x:v>
      </x:c>
      <x:c r="F40" s="128"/>
      <x:c r="G40" s="128"/>
      <x:c r="H40" s="128"/>
      <x:c r="I40" s="128"/>
      <x:c r="J40" s="128"/>
      <x:c r="K40" s="128"/>
      <x:c r="L40" s="128"/>
      <x:c r="M40" s="128"/>
      <x:c r="N40" s="128"/>
      <x:c r="O40" s="128"/>
      <x:c r="P40" s="128"/>
      <x:c r="Q40" s="128"/>
      <x:c r="R40" s="128"/>
      <x:c r="S40" s="128"/>
      <x:c r="T40" s="128"/>
      <x:c r="V40" s="193" t="n">
        <x:v>30</x:v>
      </x:c>
      <x:c r="W40" s="195" t="n">
        <x:v>2.0422724563012378</x:v>
      </x:c>
    </x:row>
    <x:row r="41" ht="24" customHeight="1">
      <x:c r="C41" s="128" t="str">
        <x:v>OLS intercept standard error</x:v>
      </x:c>
      <x:c r="D41" s="128"/>
      <x:c r="E41" s="195" t="n">
        <x:f>$E$39*SQRT(1/$E$28+$E$30^2/$E$32)</x:f>
        <x:v>0.5288784198673511</x:v>
      </x:c>
      <x:c r="F41" s="128"/>
      <x:c r="G41" s="128"/>
      <x:c r="H41" s="128"/>
      <x:c r="I41" s="128"/>
      <x:c r="J41" s="128"/>
      <x:c r="K41" s="128"/>
      <x:c r="L41" s="128"/>
      <x:c r="M41" s="128"/>
      <x:c r="N41" s="128"/>
      <x:c r="O41" s="128"/>
      <x:c r="P41" s="128"/>
      <x:c r="Q41" s="128"/>
      <x:c r="R41" s="128"/>
      <x:c r="S41" s="128"/>
      <x:c r="T41" s="128"/>
    </x:row>
    <x:row r="42" ht="24" customHeight="1">
      <x:c r="C42" s="128" t="str">
        <x:v>HC3 slope standard error</x:v>
      </x:c>
      <x:c r="D42" s="128"/>
      <x:c r="E42" s="195" t="n">
        <x:f>SQRT(SUM(S12:S21))/$E$32</x:f>
        <x:v>0.05943213684900371</x:v>
      </x:c>
      <x:c r="F42" s="128"/>
      <x:c r="G42" s="128"/>
      <x:c r="H42" s="128"/>
      <x:c r="I42" s="128"/>
      <x:c r="J42" s="128"/>
      <x:c r="K42" s="128"/>
      <x:c r="L42" s="128"/>
      <x:c r="M42" s="128"/>
      <x:c r="N42" s="128"/>
      <x:c r="O42" s="128"/>
      <x:c r="P42" s="128"/>
      <x:c r="Q42" s="128"/>
      <x:c r="R42" s="128"/>
      <x:c r="S42" s="128"/>
      <x:c r="T42" s="128"/>
    </x:row>
    <x:row r="43" ht="24" customHeight="1">
      <x:c r="C43" s="128" t="str">
        <x:v>HC3 intercept standard error</x:v>
      </x:c>
      <x:c r="D43" s="128"/>
      <x:c r="E43" s="195" t="n">
        <x:f>SQRT(SUM(N12:N21)/$E$28^2+$E$30^2*$E$42^2-2*$E$30*SUM(R12:R21)/($E$28*$E$32))</x:f>
        <x:v>0.707874778183592</x:v>
      </x:c>
      <x:c r="F43" s="128"/>
      <x:c r="G43" s="128"/>
      <x:c r="H43" s="128"/>
      <x:c r="I43" s="128"/>
      <x:c r="J43" s="128"/>
      <x:c r="K43" s="128"/>
      <x:c r="L43" s="128"/>
      <x:c r="M43" s="128"/>
      <x:c r="N43" s="128"/>
      <x:c r="O43" s="128"/>
      <x:c r="P43" s="128"/>
      <x:c r="Q43" s="128"/>
      <x:c r="R43" s="128"/>
      <x:c r="S43" s="128"/>
      <x:c r="T43" s="128"/>
    </x:row>
    <x:row r="44" ht="24" customHeight="1">
      <x:c r="C44" s="128" t="str">
        <x:v>HC3 slope t statistic</x:v>
      </x:c>
      <x:c r="D44" s="128"/>
      <x:c r="E44" s="195" t="n">
        <x:f>$E$33/$E$42</x:f>
        <x:v>20.428316625940678</x:v>
      </x:c>
      <x:c r="F44" s="128"/>
      <x:c r="G44" s="128"/>
      <x:c r="H44" s="128"/>
      <x:c r="I44" s="128"/>
      <x:c r="J44" s="128"/>
      <x:c r="K44" s="128"/>
      <x:c r="L44" s="128"/>
      <x:c r="M44" s="128"/>
      <x:c r="N44" s="128"/>
      <x:c r="O44" s="128"/>
      <x:c r="P44" s="128"/>
      <x:c r="Q44" s="128"/>
      <x:c r="R44" s="128"/>
      <x:c r="S44" s="128"/>
      <x:c r="T44" s="128"/>
    </x:row>
    <x:row r="45" ht="24" customHeight="1">
      <x:c r="C45" s="128" t="str">
        <x:v>HC3 slope p value</x:v>
      </x:c>
      <x:c r="D45" s="128"/>
      <x:c r="E45" s="201" t="n">
        <x:f>TDIST(ABS($E$44),$E$29,2)</x:f>
        <x:v>3.448773022718399e-8</x:v>
      </x:c>
      <x:c r="F45" s="128"/>
      <x:c r="G45" s="128"/>
      <x:c r="H45" s="128"/>
      <x:c r="I45" s="128"/>
      <x:c r="J45" s="128"/>
      <x:c r="K45" s="128"/>
      <x:c r="L45" s="128"/>
      <x:c r="M45" s="128"/>
      <x:c r="N45" s="128"/>
      <x:c r="O45" s="128"/>
      <x:c r="P45" s="128"/>
      <x:c r="Q45" s="128"/>
      <x:c r="R45" s="128"/>
      <x:c r="S45" s="128"/>
      <x:c r="T45" s="128"/>
    </x:row>
    <x:row r="46" ht="24" customHeight="1">
      <x:c r="C46" s="128" t="str">
        <x:v>95% t critical value</x:v>
      </x:c>
      <x:c r="D46" s="128"/>
      <x:c r="E46" s="195" t="n">
        <x:f>VLOOKUP($E$29,$V$11:$W$40,2,FALSE)</x:f>
        <x:v>2.306004135204166</x:v>
      </x:c>
      <x:c r="F46" s="128"/>
      <x:c r="G46" s="128"/>
      <x:c r="H46" s="128"/>
      <x:c r="I46" s="128"/>
      <x:c r="J46" s="128"/>
      <x:c r="K46" s="128"/>
      <x:c r="L46" s="128"/>
      <x:c r="M46" s="128"/>
      <x:c r="N46" s="128"/>
      <x:c r="O46" s="128"/>
      <x:c r="P46" s="128"/>
      <x:c r="Q46" s="128"/>
      <x:c r="R46" s="128"/>
      <x:c r="S46" s="128"/>
      <x:c r="T46" s="128"/>
    </x:row>
    <x:row r="47" ht="24" customHeight="1">
      <x:c r="C47" s="128" t="str">
        <x:v>HC3 slope CI lower</x:v>
      </x:c>
      <x:c r="D47" s="128"/>
      <x:c r="E47" s="195" t="n">
        <x:f>$E$33-$E$46*$E$42</x:f>
        <x:v>1.0770477559698617</x:v>
      </x:c>
      <x:c r="F47" s="128"/>
      <x:c r="G47" s="128"/>
      <x:c r="H47" s="128"/>
      <x:c r="I47" s="128"/>
      <x:c r="J47" s="128"/>
      <x:c r="K47" s="128"/>
      <x:c r="L47" s="128"/>
      <x:c r="M47" s="128"/>
      <x:c r="N47" s="128"/>
      <x:c r="O47" s="128"/>
      <x:c r="P47" s="128"/>
      <x:c r="Q47" s="128"/>
      <x:c r="R47" s="128"/>
      <x:c r="S47" s="128"/>
      <x:c r="T47" s="128"/>
    </x:row>
    <x:row r="48" ht="24" customHeight="1">
      <x:c r="C48" s="128" t="str">
        <x:v>HC3 slope CI upper</x:v>
      </x:c>
      <x:c r="D48" s="128"/>
      <x:c r="E48" s="195" t="n">
        <x:f>$E$33+$E$46*$E$42</x:f>
        <x:v>1.3511492626455066</x:v>
      </x:c>
      <x:c r="F48" s="128"/>
      <x:c r="G48" s="128"/>
      <x:c r="H48" s="128"/>
      <x:c r="I48" s="128"/>
      <x:c r="J48" s="128"/>
      <x:c r="K48" s="128"/>
      <x:c r="L48" s="128"/>
      <x:c r="M48" s="128"/>
      <x:c r="N48" s="128"/>
      <x:c r="O48" s="128"/>
      <x:c r="P48" s="128"/>
      <x:c r="Q48" s="128"/>
      <x:c r="R48" s="128"/>
      <x:c r="S48" s="128"/>
      <x:c r="T48" s="128"/>
    </x:row>
    <x:row r="49" ht="24" customHeight="1">
      <x:c r="C49" s="128" t="str">
        <x:v>Durbin Watson</x:v>
      </x:c>
      <x:c r="D49" s="128"/>
      <x:c r="E49" s="195" t="n">
        <x:f>SUM(T12:T21)/$E$35</x:f>
        <x:v>1.8624667844459195</x:v>
      </x:c>
      <x:c r="F49" s="128"/>
      <x:c r="G49" s="128"/>
      <x:c r="H49" s="128"/>
      <x:c r="I49" s="128"/>
      <x:c r="J49" s="128"/>
      <x:c r="K49" s="128"/>
      <x:c r="L49" s="128"/>
      <x:c r="M49" s="128"/>
      <x:c r="N49" s="128"/>
      <x:c r="O49" s="128"/>
      <x:c r="P49" s="128"/>
      <x:c r="Q49" s="128"/>
      <x:c r="R49" s="128"/>
      <x:c r="S49" s="128"/>
      <x:c r="T49" s="128"/>
    </x:row>
    <x:row r="50" ht="24" customHeight="1">
      <x:c r="C50" s="128" t="str">
        <x:v>Maximum leverage</x:v>
      </x:c>
      <x:c r="D50" s="128"/>
      <x:c r="E50" s="195" t="n">
        <x:f>MAX(M12:M21)</x:f>
        <x:v>0.35806528502393653</x:v>
      </x:c>
      <x:c r="F50" s="128"/>
      <x:c r="G50" s="128"/>
      <x:c r="H50" s="128"/>
      <x:c r="I50" s="128"/>
      <x:c r="J50" s="128"/>
      <x:c r="K50" s="128"/>
      <x:c r="L50" s="128"/>
      <x:c r="M50" s="128"/>
      <x:c r="N50" s="128"/>
      <x:c r="O50" s="128"/>
      <x:c r="P50" s="128"/>
      <x:c r="Q50" s="128"/>
      <x:c r="R50" s="128"/>
      <x:c r="S50" s="128"/>
      <x:c r="T50" s="128"/>
    </x:row>
    <x:row r="51" ht="24" customHeight="1">
      <x:c r="C51" s="128" t="str">
        <x:v>Leverage reference 4/n</x:v>
      </x:c>
      <x:c r="D51" s="128"/>
      <x:c r="E51" s="195" t="n">
        <x:f>4/$E$28</x:f>
        <x:v>0.4</x:v>
      </x:c>
      <x:c r="F51" s="128"/>
      <x:c r="G51" s="128"/>
      <x:c r="H51" s="128"/>
      <x:c r="I51" s="128"/>
      <x:c r="J51" s="128"/>
      <x:c r="K51" s="128"/>
      <x:c r="L51" s="128"/>
      <x:c r="M51" s="128"/>
      <x:c r="N51" s="128"/>
      <x:c r="O51" s="128"/>
      <x:c r="P51" s="128"/>
      <x:c r="Q51" s="128"/>
      <x:c r="R51" s="128"/>
      <x:c r="S51" s="128"/>
      <x:c r="T51" s="128"/>
    </x:row>
    <x:row r="52" ht="24" customHeight="1">
      <x:c r="C52" s="128" t="str">
        <x:v>HC3 intercept t statistic</x:v>
      </x:c>
      <x:c r="D52" s="128"/>
      <x:c r="E52" s="195" t="n">
        <x:f>$E$34/$E$43</x:f>
        <x:v>-4.795828146682661</x:v>
      </x:c>
      <x:c r="F52" s="128"/>
      <x:c r="G52" s="128"/>
      <x:c r="H52" s="128"/>
      <x:c r="I52" s="128"/>
      <x:c r="J52" s="128"/>
      <x:c r="K52" s="128"/>
      <x:c r="L52" s="128"/>
      <x:c r="M52" s="128"/>
      <x:c r="N52" s="128"/>
      <x:c r="O52" s="128"/>
      <x:c r="P52" s="128"/>
      <x:c r="Q52" s="128"/>
      <x:c r="R52" s="128"/>
      <x:c r="S52" s="128"/>
      <x:c r="T52" s="128"/>
    </x:row>
    <x:row r="53" ht="24" customHeight="1">
      <x:c r="C53" s="128" t="str">
        <x:v>HC3 intercept p value</x:v>
      </x:c>
      <x:c r="D53" s="128"/>
      <x:c r="E53" s="201" t="n">
        <x:f>TDIST(ABS($E$52),$E$29,2)</x:f>
        <x:v>0.001362784847884102</x:v>
      </x:c>
      <x:c r="F53" s="128"/>
      <x:c r="G53" s="128"/>
      <x:c r="H53" s="128"/>
      <x:c r="I53" s="128"/>
      <x:c r="J53" s="128"/>
      <x:c r="K53" s="128"/>
      <x:c r="L53" s="128"/>
      <x:c r="M53" s="128"/>
      <x:c r="N53" s="128"/>
      <x:c r="O53" s="128"/>
      <x:c r="P53" s="128"/>
      <x:c r="Q53" s="128"/>
      <x:c r="R53" s="128"/>
      <x:c r="S53" s="128"/>
      <x:c r="T53" s="128"/>
    </x:row>
    <x:row r="54" ht="24" customHeight="1">
      <x:c r="C54" s="128" t="str">
        <x:v>HC3 intercept CI lower</x:v>
      </x:c>
      <x:c r="D54" s="128"/>
      <x:c r="E54" s="195" t="n">
        <x:f>$E$34-$E$46*$E$43</x:f>
        <x:v>-5.027207951237711</x:v>
      </x:c>
      <x:c r="F54" s="128"/>
      <x:c r="G54" s="128"/>
      <x:c r="H54" s="128"/>
      <x:c r="I54" s="128"/>
      <x:c r="J54" s="128"/>
      <x:c r="K54" s="128"/>
      <x:c r="L54" s="128"/>
      <x:c r="M54" s="128"/>
      <x:c r="N54" s="128"/>
      <x:c r="O54" s="128"/>
      <x:c r="P54" s="128"/>
      <x:c r="Q54" s="128"/>
      <x:c r="R54" s="128"/>
      <x:c r="S54" s="128"/>
      <x:c r="T54" s="128"/>
    </x:row>
    <x:row r="55" ht="24" customHeight="1">
      <x:c r="C55" s="128" t="str">
        <x:v>HC3 intercept CI upper</x:v>
      </x:c>
      <x:c r="D55" s="128"/>
      <x:c r="E55" s="195" t="n">
        <x:f>$E$34+$E$46*$E$43</x:f>
        <x:v>-1.7624836198415208</x:v>
      </x:c>
      <x:c r="F55" s="128"/>
      <x:c r="G55" s="128"/>
      <x:c r="H55" s="128"/>
      <x:c r="I55" s="128"/>
      <x:c r="J55" s="128"/>
      <x:c r="K55" s="128"/>
      <x:c r="L55" s="128"/>
      <x:c r="M55" s="128"/>
      <x:c r="N55" s="128"/>
      <x:c r="O55" s="128"/>
      <x:c r="P55" s="128"/>
      <x:c r="Q55" s="128"/>
      <x:c r="R55" s="128"/>
      <x:c r="S55" s="128"/>
      <x:c r="T55" s="128"/>
    </x:row>
    <x:row r="56" ht="24" customHeight="1">
      <x:c r="C56" s="128"/>
      <x:c r="D56" s="128"/>
      <x:c r="E56" s="128"/>
      <x:c r="F56" s="128"/>
      <x:c r="G56" s="128"/>
      <x:c r="H56" s="128"/>
      <x:c r="I56" s="128"/>
      <x:c r="J56" s="128"/>
      <x:c r="K56" s="128"/>
      <x:c r="L56" s="128"/>
      <x:c r="M56" s="128"/>
      <x:c r="N56" s="128"/>
      <x:c r="O56" s="128"/>
      <x:c r="P56" s="128"/>
      <x:c r="Q56" s="128"/>
      <x:c r="R56" s="128"/>
      <x:c r="S56" s="128"/>
      <x:c r="T56" s="128"/>
    </x:row>
    <x:row r="57" ht="24" customHeight="1">
      <x:c r="C57" s="128"/>
      <x:c r="D57" s="128"/>
      <x:c r="E57" s="128"/>
      <x:c r="F57" s="128"/>
      <x:c r="G57" s="128"/>
      <x:c r="H57" s="128"/>
      <x:c r="I57" s="128"/>
      <x:c r="J57" s="128"/>
      <x:c r="K57" s="128"/>
      <x:c r="L57" s="128"/>
      <x:c r="M57" s="128"/>
      <x:c r="N57" s="128"/>
      <x:c r="O57" s="128"/>
      <x:c r="P57" s="128"/>
      <x:c r="Q57" s="128"/>
      <x:c r="R57" s="128"/>
      <x:c r="S57" s="128"/>
      <x:c r="T57" s="128"/>
    </x:row>
    <x:row r="58" ht="24" customHeight="1">
      <x:c r="C58" s="128"/>
      <x:c r="D58" s="128"/>
      <x:c r="E58" s="128"/>
      <x:c r="F58" s="128"/>
      <x:c r="G58" s="128"/>
      <x:c r="H58" s="128"/>
      <x:c r="I58" s="128"/>
      <x:c r="J58" s="128"/>
      <x:c r="K58" s="128"/>
      <x:c r="L58" s="128"/>
      <x:c r="M58" s="128"/>
      <x:c r="N58" s="128"/>
      <x:c r="O58" s="128"/>
      <x:c r="P58" s="128"/>
      <x:c r="Q58" s="128"/>
      <x:c r="R58" s="128"/>
      <x:c r="S58" s="128"/>
      <x:c r="T58" s="128"/>
    </x:row>
    <x:row r="59" ht="24" customHeight="1">
      <x:c r="C59" s="128"/>
      <x:c r="D59" s="128"/>
      <x:c r="E59" s="128"/>
      <x:c r="F59" s="128"/>
      <x:c r="G59" s="128"/>
      <x:c r="H59" s="128"/>
      <x:c r="I59" s="128"/>
      <x:c r="J59" s="128"/>
      <x:c r="K59" s="128"/>
      <x:c r="L59" s="128"/>
      <x:c r="M59" s="128"/>
      <x:c r="N59" s="128"/>
      <x:c r="O59" s="128"/>
      <x:c r="P59" s="128"/>
      <x:c r="Q59" s="128"/>
      <x:c r="R59" s="128"/>
      <x:c r="S59" s="128"/>
      <x:c r="T59" s="128"/>
    </x:row>
    <x:row r="60" ht="24" customHeight="1">
      <x:c r="C60" s="128"/>
      <x:c r="D60" s="128"/>
      <x:c r="E60" s="128"/>
      <x:c r="F60" s="128"/>
      <x:c r="G60" s="128"/>
      <x:c r="H60" s="128"/>
      <x:c r="I60" s="128"/>
      <x:c r="J60" s="128"/>
      <x:c r="K60" s="128"/>
      <x:c r="L60" s="128"/>
      <x:c r="M60" s="128"/>
      <x:c r="N60" s="128"/>
      <x:c r="O60" s="128"/>
      <x:c r="P60" s="128"/>
      <x:c r="Q60" s="128"/>
      <x:c r="R60" s="128"/>
      <x:c r="S60" s="128"/>
      <x:c r="T60" s="128"/>
    </x:row>
    <x:row r="61" ht="24" customHeight="1">
      <x:c r="C61" s="128"/>
      <x:c r="D61" s="128"/>
      <x:c r="E61" s="128"/>
      <x:c r="F61" s="128"/>
      <x:c r="G61" s="128"/>
      <x:c r="H61" s="128"/>
      <x:c r="I61" s="128"/>
      <x:c r="J61" s="128"/>
      <x:c r="K61" s="128"/>
      <x:c r="L61" s="128"/>
      <x:c r="M61" s="128"/>
      <x:c r="N61" s="128"/>
      <x:c r="O61" s="128"/>
      <x:c r="P61" s="128"/>
      <x:c r="Q61" s="128"/>
      <x:c r="R61" s="128"/>
      <x:c r="S61" s="128"/>
      <x:c r="T61" s="128"/>
    </x:row>
    <x:row r="62" ht="24" customHeight="1">
      <x:c r="C62" s="128"/>
      <x:c r="D62" s="128"/>
      <x:c r="E62" s="128"/>
      <x:c r="F62" s="128"/>
      <x:c r="G62" s="128"/>
      <x:c r="H62" s="128"/>
      <x:c r="I62" s="128"/>
      <x:c r="J62" s="128"/>
      <x:c r="K62" s="128"/>
      <x:c r="L62" s="128"/>
      <x:c r="M62" s="128"/>
      <x:c r="N62" s="128"/>
      <x:c r="O62" s="128"/>
      <x:c r="P62" s="128"/>
      <x:c r="Q62" s="128"/>
      <x:c r="R62" s="128"/>
      <x:c r="S62" s="128"/>
      <x:c r="T62" s="128"/>
    </x:row>
    <x:row r="63" ht="24" customHeight="1">
      <x:c r="C63" s="128"/>
      <x:c r="D63" s="128"/>
      <x:c r="E63" s="128"/>
      <x:c r="F63" s="128"/>
      <x:c r="G63" s="128"/>
      <x:c r="H63" s="128"/>
      <x:c r="I63" s="128"/>
      <x:c r="J63" s="128"/>
      <x:c r="K63" s="128"/>
      <x:c r="L63" s="128"/>
      <x:c r="M63" s="128"/>
      <x:c r="N63" s="128"/>
      <x:c r="O63" s="128"/>
      <x:c r="P63" s="128"/>
      <x:c r="Q63" s="128"/>
      <x:c r="R63" s="128"/>
      <x:c r="S63" s="128"/>
      <x:c r="T63" s="128"/>
    </x:row>
    <x:row r="64" ht="24" customHeight="1">
      <x:c r="C64" s="128"/>
      <x:c r="D64" s="128"/>
      <x:c r="E64" s="128"/>
      <x:c r="F64" s="128"/>
      <x:c r="G64" s="128"/>
      <x:c r="H64" s="128"/>
      <x:c r="I64" s="128"/>
      <x:c r="J64" s="128"/>
      <x:c r="K64" s="128"/>
      <x:c r="L64" s="128"/>
      <x:c r="M64" s="128"/>
      <x:c r="N64" s="128"/>
      <x:c r="O64" s="128"/>
      <x:c r="P64" s="128"/>
      <x:c r="Q64" s="128"/>
      <x:c r="R64" s="128"/>
      <x:c r="S64" s="128"/>
      <x:c r="T64" s="128"/>
    </x:row>
    <x:row r="65" ht="24" customHeight="1">
      <x:c r="C65" s="128"/>
      <x:c r="D65" s="128"/>
      <x:c r="E65" s="128"/>
      <x:c r="F65" s="128"/>
      <x:c r="G65" s="128"/>
      <x:c r="H65" s="128"/>
      <x:c r="I65" s="128"/>
      <x:c r="J65" s="128"/>
      <x:c r="K65" s="128"/>
      <x:c r="L65" s="128"/>
      <x:c r="M65" s="128"/>
      <x:c r="N65" s="128"/>
      <x:c r="O65" s="128"/>
      <x:c r="P65" s="128"/>
      <x:c r="Q65" s="128"/>
      <x:c r="R65" s="128"/>
      <x:c r="S65" s="128"/>
      <x:c r="T65" s="128"/>
    </x:row>
    <x:row r="66" ht="24" customHeight="1">
      <x:c r="C66" s="128"/>
      <x:c r="D66" s="128"/>
      <x:c r="E66" s="128"/>
      <x:c r="F66" s="128"/>
      <x:c r="G66" s="128"/>
      <x:c r="H66" s="128"/>
      <x:c r="I66" s="128"/>
      <x:c r="J66" s="128"/>
      <x:c r="K66" s="128"/>
      <x:c r="L66" s="128"/>
      <x:c r="M66" s="128"/>
      <x:c r="N66" s="128"/>
      <x:c r="O66" s="128"/>
      <x:c r="P66" s="128"/>
      <x:c r="Q66" s="128"/>
      <x:c r="R66" s="128"/>
      <x:c r="S66" s="128"/>
      <x:c r="T66" s="128"/>
    </x:row>
    <x:row r="67" ht="24" customHeight="1">
      <x:c r="C67" s="128"/>
      <x:c r="D67" s="128"/>
      <x:c r="E67" s="128"/>
      <x:c r="F67" s="128"/>
      <x:c r="G67" s="128"/>
      <x:c r="H67" s="128"/>
      <x:c r="I67" s="128"/>
      <x:c r="J67" s="128"/>
      <x:c r="K67" s="128"/>
      <x:c r="L67" s="128"/>
      <x:c r="M67" s="128"/>
      <x:c r="N67" s="128"/>
      <x:c r="O67" s="128"/>
      <x:c r="P67" s="128"/>
      <x:c r="Q67" s="128"/>
      <x:c r="R67" s="128"/>
      <x:c r="S67" s="128"/>
      <x:c r="T67" s="128"/>
    </x:row>
    <x:row r="68" ht="24" customHeight="1">
      <x:c r="C68" s="128"/>
      <x:c r="D68" s="128"/>
      <x:c r="E68" s="128"/>
      <x:c r="F68" s="128"/>
      <x:c r="G68" s="128"/>
      <x:c r="H68" s="128"/>
      <x:c r="I68" s="128"/>
      <x:c r="J68" s="128"/>
      <x:c r="K68" s="128"/>
      <x:c r="L68" s="128"/>
      <x:c r="M68" s="128"/>
      <x:c r="N68" s="128"/>
      <x:c r="O68" s="128"/>
      <x:c r="P68" s="128"/>
      <x:c r="Q68" s="128"/>
      <x:c r="R68" s="128"/>
      <x:c r="S68" s="128"/>
      <x:c r="T68" s="128"/>
    </x:row>
    <x:row r="69" ht="24" customHeight="1">
      <x:c r="C69" s="128"/>
      <x:c r="D69" s="128"/>
      <x:c r="E69" s="128"/>
      <x:c r="F69" s="128"/>
      <x:c r="G69" s="128"/>
      <x:c r="H69" s="128"/>
      <x:c r="I69" s="128"/>
      <x:c r="J69" s="128"/>
      <x:c r="K69" s="128"/>
      <x:c r="L69" s="128"/>
      <x:c r="M69" s="128"/>
      <x:c r="N69" s="128"/>
      <x:c r="O69" s="128"/>
      <x:c r="P69" s="128"/>
      <x:c r="Q69" s="128"/>
      <x:c r="R69" s="128"/>
      <x:c r="S69" s="128"/>
      <x:c r="T69" s="128"/>
    </x:row>
    <x:row r="70" ht="24" customHeight="1">
      <x:c r="C70" s="128"/>
      <x:c r="D70" s="128"/>
      <x:c r="E70" s="128"/>
      <x:c r="F70" s="128"/>
      <x:c r="G70" s="128"/>
      <x:c r="H70" s="128"/>
      <x:c r="I70" s="128"/>
      <x:c r="J70" s="128"/>
      <x:c r="K70" s="128"/>
      <x:c r="L70" s="128"/>
      <x:c r="M70" s="128"/>
      <x:c r="N70" s="128"/>
      <x:c r="O70" s="128"/>
      <x:c r="P70" s="128"/>
      <x:c r="Q70" s="128"/>
      <x:c r="R70" s="128"/>
      <x:c r="S70" s="128"/>
      <x:c r="T70" s="128"/>
    </x:row>
    <x:row r="71" ht="24" customHeight="1">
      <x:c r="C71" s="128"/>
      <x:c r="D71" s="128"/>
      <x:c r="E71" s="128"/>
      <x:c r="F71" s="128"/>
      <x:c r="G71" s="128"/>
      <x:c r="H71" s="128"/>
      <x:c r="I71" s="128"/>
      <x:c r="J71" s="128"/>
      <x:c r="K71" s="128"/>
      <x:c r="L71" s="128"/>
      <x:c r="M71" s="128"/>
      <x:c r="N71" s="128"/>
      <x:c r="O71" s="128"/>
      <x:c r="P71" s="128"/>
      <x:c r="Q71" s="128"/>
      <x:c r="R71" s="128"/>
      <x:c r="S71" s="128"/>
      <x:c r="T71" s="128"/>
    </x:row>
    <x:row r="72" ht="24" customHeight="1">
      <x:c r="C72" s="128"/>
      <x:c r="D72" s="128"/>
      <x:c r="E72" s="128"/>
      <x:c r="F72" s="128"/>
      <x:c r="G72" s="128"/>
      <x:c r="H72" s="128"/>
      <x:c r="I72" s="128"/>
      <x:c r="J72" s="128"/>
      <x:c r="K72" s="128"/>
      <x:c r="L72" s="128"/>
      <x:c r="M72" s="128"/>
      <x:c r="N72" s="128"/>
      <x:c r="O72" s="128"/>
      <x:c r="P72" s="128"/>
      <x:c r="Q72" s="128"/>
      <x:c r="R72" s="128"/>
      <x:c r="S72" s="128"/>
      <x:c r="T72" s="128"/>
    </x:row>
    <x:row r="73" ht="24" customHeight="1">
      <x:c r="C73" s="128"/>
      <x:c r="D73" s="128"/>
      <x:c r="E73" s="128"/>
      <x:c r="F73" s="128"/>
      <x:c r="G73" s="128"/>
      <x:c r="H73" s="128"/>
      <x:c r="I73" s="128"/>
      <x:c r="J73" s="128"/>
      <x:c r="K73" s="128"/>
      <x:c r="L73" s="128"/>
      <x:c r="M73" s="128"/>
      <x:c r="N73" s="128"/>
      <x:c r="O73" s="128"/>
      <x:c r="P73" s="128"/>
      <x:c r="Q73" s="128"/>
      <x:c r="R73" s="128"/>
      <x:c r="S73" s="128"/>
      <x:c r="T73" s="128"/>
    </x:row>
    <x:row r="74" ht="24" customHeight="1">
      <x:c r="C74" s="128"/>
      <x:c r="D74" s="128"/>
      <x:c r="E74" s="128"/>
      <x:c r="F74" s="128"/>
      <x:c r="G74" s="128"/>
      <x:c r="H74" s="128"/>
      <x:c r="I74" s="128"/>
      <x:c r="J74" s="128"/>
      <x:c r="K74" s="128"/>
      <x:c r="L74" s="128"/>
      <x:c r="M74" s="128"/>
      <x:c r="N74" s="128"/>
      <x:c r="O74" s="128"/>
      <x:c r="P74" s="128"/>
      <x:c r="Q74" s="128"/>
      <x:c r="R74" s="128"/>
      <x:c r="S74" s="128"/>
      <x:c r="T74" s="128"/>
    </x:row>
    <x:row r="75" ht="24" customHeight="1">
      <x:c r="C75" s="128"/>
      <x:c r="D75" s="128"/>
      <x:c r="E75" s="128"/>
      <x:c r="F75" s="128"/>
      <x:c r="G75" s="128"/>
      <x:c r="H75" s="128"/>
      <x:c r="I75" s="128"/>
      <x:c r="J75" s="128"/>
      <x:c r="K75" s="128"/>
      <x:c r="L75" s="128"/>
      <x:c r="M75" s="128"/>
      <x:c r="N75" s="128"/>
      <x:c r="O75" s="128"/>
      <x:c r="P75" s="128"/>
      <x:c r="Q75" s="128"/>
      <x:c r="R75" s="128"/>
      <x:c r="S75" s="128"/>
      <x:c r="T75" s="128"/>
    </x:row>
    <x:row r="76" ht="24" customHeight="1">
      <x:c r="C76" s="128"/>
      <x:c r="D76" s="128"/>
      <x:c r="E76" s="128"/>
      <x:c r="F76" s="128"/>
      <x:c r="G76" s="128"/>
      <x:c r="H76" s="128"/>
      <x:c r="I76" s="128"/>
      <x:c r="J76" s="128"/>
      <x:c r="K76" s="128"/>
      <x:c r="L76" s="128"/>
      <x:c r="M76" s="128"/>
      <x:c r="N76" s="128"/>
      <x:c r="O76" s="128"/>
      <x:c r="P76" s="128"/>
      <x:c r="Q76" s="128"/>
      <x:c r="R76" s="128"/>
      <x:c r="S76" s="128"/>
      <x:c r="T76" s="128"/>
    </x:row>
    <x:row r="77" ht="24" customHeight="1">
      <x:c r="C77" s="128"/>
      <x:c r="D77" s="128"/>
      <x:c r="E77" s="128"/>
      <x:c r="F77" s="128"/>
      <x:c r="G77" s="128"/>
      <x:c r="H77" s="128"/>
      <x:c r="I77" s="128"/>
      <x:c r="J77" s="128"/>
      <x:c r="K77" s="128"/>
      <x:c r="L77" s="128"/>
      <x:c r="M77" s="128"/>
      <x:c r="N77" s="128"/>
      <x:c r="O77" s="128"/>
      <x:c r="P77" s="128"/>
      <x:c r="Q77" s="128"/>
      <x:c r="R77" s="128"/>
      <x:c r="S77" s="128"/>
      <x:c r="T77" s="128"/>
    </x:row>
    <x:row r="78" ht="24" customHeight="1">
      <x:c r="C78" s="128"/>
      <x:c r="D78" s="128"/>
      <x:c r="E78" s="128"/>
      <x:c r="F78" s="128"/>
      <x:c r="G78" s="128"/>
      <x:c r="H78" s="128"/>
      <x:c r="I78" s="128"/>
      <x:c r="J78" s="128"/>
      <x:c r="K78" s="128"/>
      <x:c r="L78" s="128"/>
      <x:c r="M78" s="128"/>
      <x:c r="N78" s="128"/>
      <x:c r="O78" s="128"/>
      <x:c r="P78" s="128"/>
      <x:c r="Q78" s="128"/>
      <x:c r="R78" s="128"/>
      <x:c r="S78" s="128"/>
      <x:c r="T78" s="128"/>
    </x:row>
    <x:row r="79" ht="24" customHeight="1">
      <x:c r="C79" s="128"/>
      <x:c r="D79" s="128"/>
      <x:c r="E79" s="128"/>
      <x:c r="F79" s="128"/>
      <x:c r="G79" s="128"/>
      <x:c r="H79" s="128"/>
      <x:c r="I79" s="128"/>
      <x:c r="J79" s="128"/>
      <x:c r="K79" s="128"/>
      <x:c r="L79" s="128"/>
      <x:c r="M79" s="128"/>
      <x:c r="N79" s="128"/>
      <x:c r="O79" s="128"/>
      <x:c r="P79" s="128"/>
      <x:c r="Q79" s="128"/>
      <x:c r="R79" s="128"/>
      <x:c r="S79" s="128"/>
      <x:c r="T79" s="128"/>
    </x:row>
    <x:row r="80" ht="24" customHeight="1">
      <x:c r="C80" s="128"/>
      <x:c r="D80" s="128"/>
      <x:c r="E80" s="128"/>
      <x:c r="F80" s="128"/>
      <x:c r="G80" s="128"/>
      <x:c r="H80" s="128"/>
      <x:c r="I80" s="128"/>
      <x:c r="J80" s="128"/>
      <x:c r="K80" s="128"/>
      <x:c r="L80" s="128"/>
      <x:c r="M80" s="128"/>
      <x:c r="N80" s="128"/>
      <x:c r="O80" s="128"/>
      <x:c r="P80" s="128"/>
      <x:c r="Q80" s="128"/>
      <x:c r="R80" s="128"/>
      <x:c r="S80" s="128"/>
      <x:c r="T80" s="128"/>
    </x:row>
    <x:row r="81" ht="24" customHeight="1">
      <x:c r="C81" s="181" t="str">
        <x:v>First differences regression</x:v>
      </x:c>
      <x:c r="D81" s="128"/>
      <x:c r="E81" s="128"/>
      <x:c r="F81" s="128"/>
      <x:c r="G81" s="128"/>
      <x:c r="H81" s="128"/>
      <x:c r="I81" s="128"/>
      <x:c r="J81" s="128"/>
      <x:c r="K81" s="128"/>
      <x:c r="L81" s="128"/>
      <x:c r="M81" s="128"/>
      <x:c r="N81" s="128"/>
      <x:c r="O81" s="128"/>
      <x:c r="P81" s="128"/>
      <x:c r="Q81" s="128"/>
      <x:c r="R81" s="128"/>
      <x:c r="S81" s="128"/>
      <x:c r="T81" s="128"/>
    </x:row>
    <x:row r="82" ht="24" customHeight="1">
      <x:c r="C82" s="128"/>
      <x:c r="D82" s="128"/>
      <x:c r="E82" s="128"/>
      <x:c r="F82" s="128"/>
      <x:c r="G82" s="128"/>
      <x:c r="H82" s="128"/>
      <x:c r="I82" s="128"/>
      <x:c r="J82" s="128"/>
      <x:c r="K82" s="128"/>
      <x:c r="L82" s="128"/>
      <x:c r="M82" s="128"/>
      <x:c r="N82" s="128"/>
      <x:c r="O82" s="128"/>
      <x:c r="P82" s="128"/>
      <x:c r="Q82" s="128"/>
      <x:c r="R82" s="128"/>
      <x:c r="S82" s="128"/>
      <x:c r="T82" s="128"/>
    </x:row>
    <x:row r="83" ht="24" customHeight="1">
      <x:c r="C83" s="191" t="str">
        <x:v>Fiscal year</x:v>
      </x:c>
      <x:c r="D83" s="191" t="str">
        <x:v>Revenue</x:v>
      </x:c>
      <x:c r="E83" s="191" t="str">
        <x:v>CFO</x:v>
      </x:c>
      <x:c r="F83" s="191" t="str">
        <x:v>Delta ln revenue</x:v>
      </x:c>
      <x:c r="G83" s="191" t="str">
        <x:v>Delta ln CFO</x:v>
      </x:c>
      <x:c r="H83" s="191" t="str">
        <x:v>Centered x</x:v>
      </x:c>
      <x:c r="I83" s="191" t="str">
        <x:v>Centered x squared</x:v>
      </x:c>
      <x:c r="J83" s="191" t="str">
        <x:v>Centered x times y</x:v>
      </x:c>
      <x:c r="K83" s="191" t="str">
        <x:v>Fitted y</x:v>
      </x:c>
      <x:c r="L83" s="191" t="str">
        <x:v>Residual</x:v>
      </x:c>
      <x:c r="M83" s="191" t="str">
        <x:v>Leverage h</x:v>
      </x:c>
      <x:c r="N83" s="191" t="str">
        <x:v>HC3 weight</x:v>
      </x:c>
      <x:c r="O83" s="191" t="str">
        <x:v>Fitted CFO growth</x:v>
      </x:c>
      <x:c r="P83" s="191" t="str">
        <x:v>Residual squared</x:v>
      </x:c>
      <x:c r="Q83" s="191" t="str">
        <x:v>Centered y squared</x:v>
      </x:c>
      <x:c r="R83" s="191" t="str">
        <x:v>Centered x times weight</x:v>
      </x:c>
      <x:c r="S83" s="191" t="str">
        <x:v>x squared times weight</x:v>
      </x:c>
      <x:c r="T83" s="191" t="str">
        <x:v>Residual change squared</x:v>
      </x:c>
    </x:row>
    <x:row r="84" ht="24" customHeight="1">
      <x:c r="C84" s="197" t="n">
        <x:f>2018</x:f>
        <x:v>2018</x:v>
      </x:c>
      <x:c r="D84" s="199" t="n">
        <x:f>'Historical Inputs'!F9</x:f>
        <x:v>110360</x:v>
      </x:c>
      <x:c r="E84" s="199" t="n">
        <x:f>'Historical Inputs'!F80</x:f>
        <x:v>43884</x:v>
      </x:c>
      <x:c r="F84" s="195" t="n">
        <x:f>F13-F12</x:f>
        <x:v>0.13346926024110495</x:v>
      </x:c>
      <x:c r="G84" s="195" t="n">
        <x:f>G13-G12</x:f>
        <x:v>0.10507191755905154</x:v>
      </x:c>
      <x:c r="H84" s="195" t="n">
        <x:f>F84-$E$100</x:f>
        <x:v>-0.003683120028690534</x:v>
      </x:c>
      <x:c r="I84" s="195" t="n">
        <x:f>H84^2</x:f>
        <x:v>0.000013565373145741361</x:v>
      </x:c>
      <x:c r="J84" s="195" t="n">
        <x:f>H84*G84</x:f>
        <x:v>-0.0003869924840146634</x:v>
      </x:c>
      <x:c r="K84" s="195" t="n">
        <x:f>$E$104+$E$103*F84</x:f>
        <x:v>0.1607139403369415</x:v>
      </x:c>
      <x:c r="L84" s="195" t="n">
        <x:f>G84-K84</x:f>
        <x:v>-0.05564202277788996</x:v>
      </x:c>
      <x:c r="M84" s="195" t="n">
        <x:f>1/$E$98+I84/$E$102</x:f>
        <x:v>0.11297545842956774</x:v>
      </x:c>
      <x:c r="N84" s="195" t="n">
        <x:f>L84^2/(1-M84)^2</x:f>
        <x:v>0.003934907683664616</x:v>
      </x:c>
      <x:c r="O84" s="130" t="n">
        <x:f>EXP(K84)-1</x:f>
        <x:v>0.1743489868852226</x:v>
      </x:c>
      <x:c r="P84" s="195" t="n">
        <x:f>L84^2</x:f>
        <x:v>0.003096034698815225</x:v>
      </x:c>
      <x:c r="Q84" s="195" t="n">
        <x:f>(G84-$E$101)^2</x:f>
        <x:v>0.004254021887797223</x:v>
      </x:c>
      <x:c r="R84" s="195" t="n">
        <x:f>H84*N84</x:f>
        <x:v>-0.000014492737300753423</x:v>
      </x:c>
      <x:c r="S84" s="195" t="n">
        <x:f>I84*N84</x:f>
        <x:v>5.3378491022955325e-8</x:v>
      </x:c>
      <x:c r="T84" s="195" t="n">
        <x:f>0</x:f>
        <x:v>0</x:v>
      </x:c>
    </x:row>
    <x:row r="85" ht="24" customHeight="1">
      <x:c r="C85" s="197" t="n">
        <x:f>2019</x:f>
        <x:v>2019</x:v>
      </x:c>
      <x:c r="D85" s="199" t="n">
        <x:f>'Historical Inputs'!G9</x:f>
        <x:v>125843</x:v>
      </x:c>
      <x:c r="E85" s="199" t="n">
        <x:f>'Historical Inputs'!G80</x:f>
        <x:v>52185</x:v>
      </x:c>
      <x:c r="F85" s="195" t="n">
        <x:f>F14-F13</x:f>
        <x:v>0.13128734891334126</x:v>
      </x:c>
      <x:c r="G85" s="195" t="n">
        <x:f>G14-G13</x:f>
        <x:v>0.17324530831677087</x:v>
      </x:c>
      <x:c r="H85" s="195" t="n">
        <x:f>F85-$E$100</x:f>
        <x:v>-0.00586503135645422</x:v>
      </x:c>
      <x:c r="I85" s="195" t="n">
        <x:f>H85^2</x:f>
        <x:v>0.00003439859281219123</x:v>
      </x:c>
      <x:c r="J85" s="195" t="n">
        <x:f>H85*G85</x:f>
        <x:v>-0.0010160891656364403</x:v>
      </x:c>
      <x:c r="K85" s="195" t="n">
        <x:f>$E$104+$E$103*F85</x:f>
        <x:v>0.15503816975464366</x:v>
      </x:c>
      <x:c r="L85" s="195" t="n">
        <x:f>G85-K85</x:f>
        <x:v>0.018207138562127217</x:v>
      </x:c>
      <x:c r="M85" s="195" t="n">
        <x:f>1/$E$98+I85/$E$102</x:f>
        <x:v>0.11583865701634286</x:v>
      </x:c>
      <x:c r="N85" s="195" t="n">
        <x:f>L85^2/(1-M85)^2</x:f>
        <x:v>0.00042405320394436853</x:v>
      </x:c>
      <x:c r="O85" s="130" t="n">
        <x:f>EXP(K85)-1</x:f>
        <x:v>0.1677025311736171</x:v>
      </x:c>
      <x:c r="P85" s="195" t="n">
        <x:f>L85^2</x:f>
        <x:v>0.0003314998946205</x:v>
      </x:c>
      <x:c r="Q85" s="195" t="n">
        <x:f>(G85-$E$101)^2</x:f>
        <x:v>0.00000870561269735141</x:v>
      </x:c>
      <x:c r="R85" s="195" t="n">
        <x:f>H85*N85</x:f>
        <x:v>-0.0000024870853379385976</x:v>
      </x:c>
      <x:c r="S85" s="195" t="n">
        <x:f>I85*N85</x:f>
        <x:v>1.4586833493187417e-8</x:v>
      </x:c>
      <x:c r="T85" s="195" t="n">
        <x:f>(L85-L84)^2</x:f>
        <x:v>0.005453698630623888</x:v>
      </x:c>
    </x:row>
    <x:row r="86" ht="24" customHeight="1">
      <x:c r="C86" s="197" t="n">
        <x:f>2020</x:f>
        <x:v>2020</x:v>
      </x:c>
      <x:c r="D86" s="199" t="n">
        <x:f>'Historical Inputs'!H9</x:f>
        <x:v>143015</x:v>
      </x:c>
      <x:c r="E86" s="199" t="n">
        <x:f>'Historical Inputs'!H80</x:f>
        <x:v>60675</x:v>
      </x:c>
      <x:c r="F86" s="195" t="n">
        <x:f>F15-F14</x:f>
        <x:v>0.1279144216012682</x:v>
      </x:c>
      <x:c r="G86" s="195" t="n">
        <x:f>G15-G14</x:f>
        <x:v>0.15073665434064942</x:v>
      </x:c>
      <x:c r="H86" s="195" t="n">
        <x:f>F86-$E$100</x:f>
        <x:v>-0.00923795866852728</x:v>
      </x:c>
      <x:c r="I86" s="195" t="n">
        <x:f>H86^2</x:f>
        <x:v>0.0000853398803614183</x:v>
      </x:c>
      <x:c r="J86" s="195" t="n">
        <x:f>H86*G86</x:f>
        <x:v>-0.0013924989826310024</x:v>
      </x:c>
      <x:c r="K86" s="195" t="n">
        <x:f>$E$104+$E$103*F86</x:f>
        <x:v>0.14626422859099678</x:v>
      </x:c>
      <x:c r="L86" s="195" t="n">
        <x:f>G86-K86</x:f>
        <x:v>0.004472425749652648</x:v>
      </x:c>
      <x:c r="M86" s="195" t="n">
        <x:f>1/$E$98+I86/$E$102</x:f>
        <x:v>0.12283973629523794</x:v>
      </x:c>
      <x:c r="N86" s="195" t="n">
        <x:f>L86^2/(1-M86)^2</x:f>
        <x:v>0.000025997308005762102</x:v>
      </x:c>
      <x:c r="O86" s="130" t="n">
        <x:f>EXP(K86)-1</x:f>
        <x:v>0.15750199276846732</x:v>
      </x:c>
      <x:c r="P86" s="195" t="n">
        <x:f>L86^2</x:f>
        <x:v>0.000020002592086156046</x:v>
      </x:c>
      <x:c r="Q86" s="195" t="n">
        <x:f>(G86-$E$101)^2</x:f>
        <x:v>0.0003825203101350838</x:v>
      </x:c>
      <x:c r="R86" s="195" t="n">
        <x:f>H86*N86</x:f>
        <x:v>-2.4016205685020365e-7</x:v>
      </x:c>
      <x:c r="S86" s="195" t="n">
        <x:f>I86*N86</x:f>
        <x:v>2.21860715493068e-9</x:v>
      </x:c>
      <x:c r="T86" s="195" t="n">
        <x:f>(L86-L85)^2</x:f>
        <x:v>0.00018864233604115312</x:v>
      </x:c>
    </x:row>
    <x:row r="87" ht="24" customHeight="1">
      <x:c r="C87" s="197" t="n">
        <x:f>2021</x:f>
        <x:v>2021</x:v>
      </x:c>
      <x:c r="D87" s="199" t="n">
        <x:f>'Historical Inputs'!I9</x:f>
        <x:v>168088</x:v>
      </x:c>
      <x:c r="E87" s="199" t="n">
        <x:f>'Historical Inputs'!I80</x:f>
        <x:v>76740</x:v>
      </x:c>
      <x:c r="F87" s="195" t="n">
        <x:f>F16-F15</x:f>
        <x:v>0.16153813192305222</x:v>
      </x:c>
      <x:c r="G87" s="195" t="n">
        <x:f>G16-G15</x:f>
        <x:v>0.23489133320614108</x:v>
      </x:c>
      <x:c r="H87" s="195" t="n">
        <x:f>F87-$E$100</x:f>
        <x:v>0.024385751653256738</x:v>
      </x:c>
      <x:c r="I87" s="195" t="n">
        <x:f>H87^2</x:f>
        <x:v>0.0005946648836943138</x:v>
      </x:c>
      <x:c r="J87" s="195" t="n">
        <x:f>H87*G87</x:f>
        <x:v>0.005728001717067334</x:v>
      </x:c>
      <x:c r="K87" s="195" t="n">
        <x:f>$E$104+$E$103*F87</x:f>
        <x:v>0.23372904142905346</x:v>
      </x:c>
      <x:c r="L87" s="195" t="n">
        <x:f>G87-K87</x:f>
        <x:v>0.0011622917770876262</x:v>
      </x:c>
      <x:c r="M87" s="195" t="n">
        <x:f>1/$E$98+I87/$E$102</x:f>
        <x:v>0.19283845243705655</x:v>
      </x:c>
      <x:c r="N87" s="195" t="n">
        <x:f>L87^2/(1-M87)^2</x:f>
        <x:v>0.000002073525601631789</x:v>
      </x:c>
      <x:c r="O87" s="130" t="n">
        <x:f>EXP(K87)-1</x:f>
        <x:v>0.2633021432852667</x:v>
      </x:c>
      <x:c r="P87" s="195" t="n">
        <x:f>L87^2</x:f>
        <x:v>0.0000013509221750855121</x:v>
      </x:c>
      <x:c r="Q87" s="195" t="n">
        <x:f>(G87-$E$101)^2</x:f>
        <x:v>0.004172714584294688</x:v>
      </x:c>
      <x:c r="R87" s="195" t="n">
        <x:f>H87*N87</x:f>
        <x:v>5.0564480368062566e-8</x:v>
      </x:c>
      <x:c r="S87" s="195" t="n">
        <x:f>I87*N87</x:f>
        <x:v>1.2330528607315498e-9</x:v>
      </x:c>
      <x:c r="T87" s="195" t="n">
        <x:f>(L87-L86)^2</x:f>
        <x:v>0.000010956986916329089</x:v>
      </x:c>
    </x:row>
    <x:row r="88" ht="24" customHeight="1">
      <x:c r="C88" s="197" t="n">
        <x:f>2022</x:f>
        <x:v>2022</x:v>
      </x:c>
      <x:c r="D88" s="199" t="n">
        <x:f>'Historical Inputs'!J9</x:f>
        <x:v>198270</x:v>
      </x:c>
      <x:c r="E88" s="199" t="n">
        <x:f>'Historical Inputs'!J80</x:f>
        <x:v>89035</x:v>
      </x:c>
      <x:c r="F88" s="195" t="n">
        <x:f>F17-F16</x:f>
        <x:v>0.16514208636372452</x:v>
      </x:c>
      <x:c r="G88" s="195" t="n">
        <x:f>G17-G16</x:f>
        <x:v>0.14860646603447236</x:v>
      </x:c>
      <x:c r="H88" s="195" t="n">
        <x:f>F88-$E$100</x:f>
        <x:v>0.027989706093929034</x:v>
      </x:c>
      <x:c r="I88" s="195" t="n">
        <x:f>H88^2</x:f>
        <x:v>0.0007834236472245281</x:v>
      </x:c>
      <x:c r="J88" s="195" t="n">
        <x:f>H88*G88</x:f>
        <x:v>0.004159451307962329</x:v>
      </x:c>
      <x:c r="K88" s="195" t="n">
        <x:f>$E$104+$E$103*F88</x:f>
        <x:v>0.24310394971887603</x:v>
      </x:c>
      <x:c r="L88" s="195" t="n">
        <x:f>G88-K88</x:f>
        <x:v>-0.09449748368440367</x:v>
      </x:c>
      <x:c r="M88" s="195" t="n">
        <x:f>1/$E$98+I88/$E$102</x:f>
        <x:v>0.21878037757556423</x:v>
      </x:c>
      <x:c r="N88" s="195" t="n">
        <x:f>L88^2/(1-M88)^2</x:f>
        <x:v>0.014631680247933146</x:v>
      </x:c>
      <x:c r="O88" s="130" t="n">
        <x:f>EXP(K88)-1</x:f>
        <x:v>0.2752011740326281</x:v>
      </x:c>
      <x:c r="P88" s="195" t="n">
        <x:f>L88^2</x:f>
        <x:v>0.008929774422684137</x:v>
      </x:c>
      <x:c r="Q88" s="195" t="n">
        <x:f>(G88-$E$101)^2</x:f>
        <x:v>0.0004703829968531077</x:v>
      </x:c>
      <x:c r="R88" s="195" t="n">
        <x:f>H88*N88</x:f>
        <x:v>0.00040953642979999546</x:v>
      </x:c>
      <x:c r="S88" s="195" t="n">
        <x:f>I88*N88</x:f>
        <x:v>0.000011462804304858873</x:v>
      </x:c>
      <x:c r="T88" s="195" t="n">
        <x:f>(L88-L87)^2</x:f>
        <x:v>0.009150792641342931</x:v>
      </x:c>
    </x:row>
    <x:row r="89" ht="24" customHeight="1">
      <x:c r="C89" s="197" t="n">
        <x:f>2023</x:f>
        <x:v>2023</x:v>
      </x:c>
      <x:c r="D89" s="199" t="n">
        <x:f>'Historical Inputs'!K9</x:f>
        <x:v>211915</x:v>
      </x:c>
      <x:c r="E89" s="199" t="n">
        <x:f>'Historical Inputs'!K80</x:f>
        <x:v>87582</x:v>
      </x:c>
      <x:c r="F89" s="195" t="n">
        <x:f>F18-F17</x:f>
        <x:v>0.06655551272601912</x:v>
      </x:c>
      <x:c r="G89" s="195" t="n">
        <x:f>G18-G17</x:f>
        <x:v>-0.016454053476781638</x:v>
      </x:c>
      <x:c r="H89" s="195" t="n">
        <x:f>F89-$E$100</x:f>
        <x:v>-0.07059686754377636</x:v>
      </x:c>
      <x:c r="I89" s="195" t="n">
        <x:f>H89^2</x:f>
        <x:v>0.004983917706993505</x:v>
      </x:c>
      <x:c r="J89" s="195" t="n">
        <x:f>H89*G89</x:f>
        <x:v>0.0011616046338585662</x:v>
      </x:c>
      <x:c r="K89" s="195" t="n">
        <x:f>$E$104+$E$103*F89</x:f>
        <x:v>-0.013347706836725731</x:v>
      </x:c>
      <x:c r="L89" s="195" t="n">
        <x:f>G89-K89</x:f>
        <x:v>-0.003106346640055907</x:v>
      </x:c>
      <x:c r="M89" s="195" t="n">
        <x:f>1/$E$98+I89/$E$102</x:f>
        <x:v>0.7960722627591119</x:v>
      </x:c>
      <x:c r="N89" s="195" t="n">
        <x:f>L89^2/(1-M89)^2</x:f>
        <x:v>0.00023203165305409127</x:v>
      </x:c>
      <x:c r="O89" s="130" t="n">
        <x:f>EXP(K89)-1</x:f>
        <x:v>-0.013259021219539813</x:v>
      </x:c>
      <x:c r="P89" s="195" t="n">
        <x:f>L89^2</x:f>
        <x:v>0.000009649389448186623</x:v>
      </x:c>
      <x:c r="Q89" s="195" t="n">
        <x:f>(G89-$E$101)^2</x:f>
        <x:v>0.03487512709929813</x:v>
      </x:c>
      <x:c r="R89" s="195" t="n">
        <x:f>H89*N89</x:f>
        <x:v>-0.000016380707876623155</x:v>
      </x:c>
      <x:c r="S89" s="195" t="n">
        <x:f>I89*N89</x:f>
        <x:v>0.000001156426664239259</x:v>
      </x:c>
      <x:c r="T89" s="195" t="n">
        <x:f>(L89-L88)^2</x:f>
        <x:v>0.008352339930258754</x:v>
      </x:c>
    </x:row>
    <x:row r="90" ht="24" customHeight="1">
      <x:c r="C90" s="197" t="n">
        <x:f>2024</x:f>
        <x:v>2024</x:v>
      </x:c>
      <x:c r="D90" s="199" t="n">
        <x:f>'Historical Inputs'!L9</x:f>
        <x:v>245122</x:v>
      </x:c>
      <x:c r="E90" s="199" t="n">
        <x:f>'Historical Inputs'!L80</x:f>
        <x:v>118548</x:v>
      </x:c>
      <x:c r="F90" s="195" t="n">
        <x:f>F19-F18</x:f>
        <x:v>0.1455707949113787</x:v>
      </x:c>
      <x:c r="G90" s="195" t="n">
        <x:f>G19-G18</x:f>
        <x:v>0.30274244447384113</x:v>
      </x:c>
      <x:c r="H90" s="195" t="n">
        <x:f>F90-$E$100</x:f>
        <x:v>0.008418414641583216</x:v>
      </x:c>
      <x:c r="I90" s="195" t="n">
        <x:f>H90^2</x:f>
        <x:v>0.00007086970507762267</x:v>
      </x:c>
      <x:c r="J90" s="195" t="n">
        <x:f>H90*G90</x:f>
        <x:v>0.002548611427187278</x:v>
      </x:c>
      <x:c r="K90" s="195" t="n">
        <x:f>$E$104+$E$103*F90</x:f>
        <x:v>0.19219346638743204</x:v>
      </x:c>
      <x:c r="L90" s="195" t="n">
        <x:f>G90-K90</x:f>
        <x:v>0.1105489780864091</x:v>
      </x:c>
      <x:c r="M90" s="195" t="n">
        <x:f>1/$E$98+I90/$E$102</x:f>
        <x:v>0.12085103814457844</x:v>
      </x:c>
      <x:c r="N90" s="195" t="n">
        <x:f>L90^2/(1-M90)^2</x:f>
        <x:v>0.01581191712607934</x:v>
      </x:c>
      <x:c r="O90" s="130" t="n">
        <x:f>EXP(K90)-1</x:f>
        <x:v>0.21190495715999313</x:v>
      </x:c>
      <x:c r="P90" s="195" t="n">
        <x:f>L90^2</x:f>
        <x:v>0.012221076555949359</x:v>
      </x:c>
      <x:c r="Q90" s="195" t="n">
        <x:f>(G90-$E$101)^2</x:f>
        <x:v>0.017542383615807004</x:v>
      </x:c>
      <x:c r="R90" s="195" t="n">
        <x:f>H90*N90</x:f>
        <x:v>0.00013311127464568672</x:v>
      </x:c>
      <x:c r="S90" s="195" t="n">
        <x:f>I90*N90</x:f>
        <x:v>0.0000011205859034370539</x:v>
      </x:c>
      <x:c r="T90" s="195" t="n">
        <x:f>(L90-L89)^2</x:f>
        <x:v>0.012917532838678207</x:v>
      </x:c>
    </x:row>
    <x:row r="91" ht="24" customHeight="1">
      <x:c r="C91" s="197" t="n">
        <x:f>2025</x:f>
        <x:v>2025</x:v>
      </x:c>
      <x:c r="D91" s="199" t="n">
        <x:f>'Historical Inputs'!M9</x:f>
        <x:v>281724</x:v>
      </x:c>
      <x:c r="E91" s="199" t="n">
        <x:f>'Historical Inputs'!M80</x:f>
        <x:v>136162</x:v>
      </x:c>
      <x:c r="F91" s="195" t="n">
        <x:f>F20-F19</x:f>
        <x:v>0.13917182248350102</x:v>
      </x:c>
      <x:c r="G91" s="195" t="n">
        <x:f>G20-G19</x:f>
        <x:v>0.13852741146849468</x:v>
      </x:c>
      <x:c r="H91" s="195" t="n">
        <x:f>F91-$E$100</x:f>
        <x:v>0.0020194422137055357</x:v>
      </x:c>
      <x:c r="I91" s="195" t="n">
        <x:f>H91^2</x:f>
        <x:v>0.000004078146854495915</x:v>
      </x:c>
      <x:c r="J91" s="195" t="n">
        <x:f>H91*G91</x:f>
        <x:v>0.0002797481024748345</x:v>
      </x:c>
      <x:c r="K91" s="195" t="n">
        <x:f>$E$104+$E$103*F91</x:f>
        <x:v>0.17554792309658354</x:v>
      </x:c>
      <x:c r="L91" s="195" t="n">
        <x:f>G91-K91</x:f>
        <x:v>-0.037020511628088865</x:v>
      </x:c>
      <x:c r="M91" s="195" t="n">
        <x:f>1/$E$98+I91/$E$102</x:f>
        <x:v>0.11167158829598225</x:v>
      </x:c>
      <x:c r="N91" s="195" t="n">
        <x:f>L91^2/(1-M91)^2</x:f>
        <x:v>0.001736751680967846</x:v>
      </x:c>
      <x:c r="O91" s="130" t="n">
        <x:f>EXP(K91)-1</x:f>
        <x:v>0.19189910677862443</x:v>
      </x:c>
      <x:c r="P91" s="195" t="n">
        <x:f>L91^2</x:f>
        <x:v>0.0013705182812054628</x:v>
      </x:c>
      <x:c r="Q91" s="195" t="n">
        <x:f>(G91-$E$101)^2</x:f>
        <x:v>0.0010091657534892055</x:v>
      </x:c>
      <x:c r="R91" s="195" t="n">
        <x:f>H91*N91</x:f>
        <x:v>0.0000035072696592705174</x:v>
      </x:c>
      <x:c r="S91" s="195" t="n">
        <x:f>I91*N91</x:f>
        <x:v>7.082728404779514e-9</x:v>
      </x:c>
      <x:c r="T91" s="195" t="n">
        <x:f>(L91-L90)^2</x:f>
        <x:v>0.021776754294597318</x:v>
      </x:c>
    </x:row>
    <x:row r="92" ht="24" customHeight="1">
      <x:c r="C92" s="197" t="n">
        <x:f>2026</x:f>
        <x:v>2026</x:v>
      </x:c>
      <x:c r="D92" s="199" t="n">
        <x:f>'Historical Inputs'!N9</x:f>
        <x:v>331839</x:v>
      </x:c>
      <x:c r="E92" s="199" t="n">
        <x:f>'Historical Inputs'!N80</x:f>
        <x:v>182935</x:v>
      </x:c>
      <x:c r="F92" s="195" t="n">
        <x:f>F21-F20</x:f>
        <x:v>0.16372204326476947</x:v>
      </x:c>
      <x:c r="G92" s="195" t="n">
        <x:f>G21-G20</x:f>
        <x:v>0.29528554517040284</x:v>
      </x:c>
      <x:c r="H92" s="195" t="n">
        <x:f>F92-$E$100</x:f>
        <x:v>0.026569662994973986</x:v>
      </x:c>
      <x:c r="I92" s="195" t="n">
        <x:f>H92^2</x:f>
        <x:v>0.00070594699166649</x:v>
      </x:c>
      <x:c r="J92" s="195" t="n">
        <x:f>H92*G92</x:f>
        <x:v>0.007845637422464772</x:v>
      </x:c>
      <x:c r="K92" s="195" t="n">
        <x:f>$E$104+$E$103*F92</x:f>
        <x:v>0.23941001461524145</x:v>
      </x:c>
      <x:c r="L92" s="195" t="n">
        <x:f>G92-K92</x:f>
        <x:v>0.055875530555161396</x:v>
      </x:c>
      <x:c r="M92" s="195" t="n">
        <x:f>1/$E$98+I92/$E$102</x:f>
        <x:v>0.20813242904655807</x:v>
      </x:c>
      <x:c r="N92" s="195" t="n">
        <x:f>L92^2/(1-M92)^2</x:f>
        <x:v>0.004978955034880524</x:v>
      </x:c>
      <x:c r="O92" s="130" t="n">
        <x:f>EXP(K92)-1</x:f>
        <x:v>0.27049935310877604</x:v>
      </x:c>
      <x:c r="P92" s="195" t="n">
        <x:f>L92^2</x:f>
        <x:v>0.0031220749148207745</x:v>
      </x:c>
      <x:c r="Q92" s="195" t="n">
        <x:f>(G92-$E$101)^2</x:f>
        <x:v>0.015622691180868394</x:v>
      </x:c>
      <x:c r="R92" s="195" t="n">
        <x:f>H92*N92</x:f>
        <x:v>0.00013228915734390446</x:v>
      </x:c>
      <x:c r="S92" s="195" t="n">
        <x:f>I92*N92</x:f>
        <x:v>0.0000035148783285166297</x:v>
      </x:c>
      <x:c r="T92" s="195" t="n">
        <x:f>(L92-L91)^2</x:f>
        <x:v>0.008629674653312212</x:v>
      </x:c>
    </x:row>
    <x:row r="93" ht="24" customHeight="1">
      <x:c r="C93" s="128"/>
      <x:c r="D93" s="128"/>
      <x:c r="E93" s="128"/>
      <x:c r="F93" s="128"/>
      <x:c r="G93" s="128"/>
      <x:c r="H93" s="128"/>
      <x:c r="I93" s="128"/>
      <x:c r="J93" s="128"/>
      <x:c r="K93" s="128"/>
      <x:c r="L93" s="128"/>
      <x:c r="M93" s="128"/>
      <x:c r="N93" s="128"/>
      <x:c r="O93" s="128"/>
      <x:c r="P93" s="128"/>
      <x:c r="Q93" s="128"/>
      <x:c r="R93" s="128"/>
      <x:c r="S93" s="128"/>
      <x:c r="T93" s="128"/>
    </x:row>
    <x:row r="94" ht="24" customHeight="1">
      <x:c r="C94" s="128"/>
      <x:c r="D94" s="128"/>
      <x:c r="E94" s="128"/>
      <x:c r="F94" s="128"/>
      <x:c r="G94" s="128"/>
      <x:c r="H94" s="128"/>
      <x:c r="I94" s="128"/>
      <x:c r="J94" s="128"/>
      <x:c r="K94" s="128"/>
      <x:c r="L94" s="128"/>
      <x:c r="M94" s="128"/>
      <x:c r="N94" s="128"/>
      <x:c r="O94" s="128"/>
      <x:c r="P94" s="128"/>
      <x:c r="Q94" s="128"/>
      <x:c r="R94" s="128"/>
      <x:c r="S94" s="128"/>
      <x:c r="T94" s="128"/>
    </x:row>
    <x:row r="95" ht="24" customHeight="1">
      <x:c r="C95" s="128"/>
      <x:c r="D95" s="128"/>
      <x:c r="E95" s="128"/>
      <x:c r="F95" s="128"/>
      <x:c r="G95" s="128"/>
      <x:c r="H95" s="128"/>
      <x:c r="I95" s="128"/>
      <x:c r="J95" s="128"/>
      <x:c r="K95" s="128"/>
      <x:c r="L95" s="128"/>
      <x:c r="M95" s="128"/>
      <x:c r="N95" s="128"/>
      <x:c r="O95" s="128"/>
      <x:c r="P95" s="128"/>
      <x:c r="Q95" s="128"/>
      <x:c r="R95" s="128"/>
      <x:c r="S95" s="128"/>
      <x:c r="T95" s="128"/>
    </x:row>
    <x:row r="96" ht="24" customHeight="1">
      <x:c r="C96" s="128"/>
      <x:c r="D96" s="128"/>
      <x:c r="E96" s="128"/>
      <x:c r="F96" s="128"/>
      <x:c r="G96" s="128"/>
      <x:c r="H96" s="128"/>
      <x:c r="I96" s="128"/>
      <x:c r="J96" s="128"/>
      <x:c r="K96" s="128"/>
      <x:c r="L96" s="128"/>
      <x:c r="M96" s="128"/>
      <x:c r="N96" s="128"/>
      <x:c r="O96" s="128"/>
      <x:c r="P96" s="128"/>
      <x:c r="Q96" s="128"/>
      <x:c r="R96" s="128"/>
      <x:c r="S96" s="128"/>
      <x:c r="T96" s="128"/>
    </x:row>
    <x:row r="97" ht="24" customHeight="1">
      <x:c r="C97" s="128"/>
      <x:c r="D97" s="128"/>
      <x:c r="E97" s="128"/>
      <x:c r="F97" s="128"/>
      <x:c r="G97" s="128"/>
      <x:c r="H97" s="128"/>
      <x:c r="I97" s="128"/>
      <x:c r="J97" s="128"/>
      <x:c r="K97" s="128"/>
      <x:c r="L97" s="128"/>
      <x:c r="M97" s="128"/>
      <x:c r="N97" s="128"/>
      <x:c r="O97" s="128"/>
      <x:c r="P97" s="128"/>
      <x:c r="Q97" s="128"/>
      <x:c r="R97" s="128"/>
      <x:c r="S97" s="128"/>
      <x:c r="T97" s="128"/>
    </x:row>
    <x:row r="98" ht="24" customHeight="1">
      <x:c r="C98" s="128" t="str">
        <x:v>Observations</x:v>
      </x:c>
      <x:c r="D98" s="128"/>
      <x:c r="E98" s="195" t="n">
        <x:f>COUNT(F84:F92)</x:f>
        <x:v>9</x:v>
      </x:c>
      <x:c r="F98" s="128"/>
      <x:c r="G98" s="128"/>
      <x:c r="H98" s="128"/>
      <x:c r="I98" s="128"/>
      <x:c r="J98" s="128"/>
      <x:c r="K98" s="128"/>
      <x:c r="L98" s="128"/>
      <x:c r="M98" s="128"/>
      <x:c r="N98" s="128"/>
      <x:c r="O98" s="128"/>
      <x:c r="P98" s="128"/>
      <x:c r="Q98" s="128"/>
      <x:c r="R98" s="128"/>
      <x:c r="S98" s="128"/>
      <x:c r="T98" s="128"/>
    </x:row>
    <x:row r="99" ht="24" customHeight="1">
      <x:c r="C99" s="128" t="str">
        <x:v>Residual degrees of freedom</x:v>
      </x:c>
      <x:c r="D99" s="128"/>
      <x:c r="E99" s="195" t="n">
        <x:f>$E$98-2</x:f>
        <x:v>7</x:v>
      </x:c>
      <x:c r="F99" s="128"/>
      <x:c r="G99" s="128"/>
      <x:c r="H99" s="128"/>
      <x:c r="I99" s="128"/>
      <x:c r="J99" s="128"/>
      <x:c r="K99" s="128"/>
      <x:c r="L99" s="128"/>
      <x:c r="M99" s="128"/>
      <x:c r="N99" s="128"/>
      <x:c r="O99" s="128"/>
      <x:c r="P99" s="128"/>
      <x:c r="Q99" s="128"/>
      <x:c r="R99" s="128"/>
      <x:c r="S99" s="128"/>
      <x:c r="T99" s="128"/>
    </x:row>
    <x:row r="100" ht="24" customHeight="1">
      <x:c r="C100" s="128" t="str">
        <x:v>Mean x</x:v>
      </x:c>
      <x:c r="D100" s="128"/>
      <x:c r="E100" s="195" t="n">
        <x:f>AVERAGE(F84:F92)</x:f>
        <x:v>0.13715238026979548</x:v>
      </x:c>
      <x:c r="F100" s="128"/>
      <x:c r="G100" s="128"/>
      <x:c r="H100" s="128"/>
      <x:c r="I100" s="128"/>
      <x:c r="J100" s="128"/>
      <x:c r="K100" s="128"/>
      <x:c r="L100" s="128"/>
      <x:c r="M100" s="128"/>
      <x:c r="N100" s="128"/>
      <x:c r="O100" s="128"/>
      <x:c r="P100" s="128"/>
      <x:c r="Q100" s="128"/>
      <x:c r="R100" s="128"/>
      <x:c r="S100" s="128"/>
      <x:c r="T100" s="128"/>
    </x:row>
    <x:row r="101" ht="24" customHeight="1">
      <x:c r="C101" s="128" t="str">
        <x:v>Mean y</x:v>
      </x:c>
      <x:c r="D101" s="128"/>
      <x:c r="E101" s="195" t="n">
        <x:f>AVERAGE(G84:G92)</x:f>
        <x:v>0.1702947807881158</x:v>
      </x:c>
      <x:c r="F101" s="128"/>
      <x:c r="G101" s="128"/>
      <x:c r="H101" s="128"/>
      <x:c r="I101" s="128"/>
      <x:c r="J101" s="128"/>
      <x:c r="K101" s="128"/>
      <x:c r="L101" s="128"/>
      <x:c r="M101" s="128"/>
      <x:c r="N101" s="128"/>
      <x:c r="O101" s="128"/>
      <x:c r="P101" s="128"/>
      <x:c r="Q101" s="128"/>
      <x:c r="R101" s="128"/>
      <x:c r="S101" s="128"/>
      <x:c r="T101" s="128"/>
    </x:row>
    <x:row r="102" ht="24" customHeight="1">
      <x:c r="C102" s="128" t="str">
        <x:v>Sxx</x:v>
      </x:c>
      <x:c r="D102" s="128"/>
      <x:c r="E102" s="195" t="n">
        <x:f>SUM(I84:I92)</x:f>
        <x:v>0.007276204927830305</x:v>
      </x:c>
      <x:c r="F102" s="128"/>
      <x:c r="G102" s="128"/>
      <x:c r="H102" s="128"/>
      <x:c r="I102" s="128"/>
      <x:c r="J102" s="128"/>
      <x:c r="K102" s="128"/>
      <x:c r="L102" s="128"/>
      <x:c r="M102" s="128"/>
      <x:c r="N102" s="128"/>
      <x:c r="O102" s="128"/>
      <x:c r="P102" s="128"/>
      <x:c r="Q102" s="128"/>
      <x:c r="R102" s="128"/>
      <x:c r="S102" s="128"/>
      <x:c r="T102" s="128"/>
    </x:row>
    <x:row r="103" ht="24" customHeight="1">
      <x:c r="C103" s="128" t="str">
        <x:v>Slope</x:v>
      </x:c>
      <x:c r="D103" s="128"/>
      <x:c r="E103" s="195" t="n">
        <x:f>SUM(J84:J92)/$E$102</x:f>
        <x:v>2.601283796493758</x:v>
      </x:c>
      <x:c r="F103" s="128"/>
      <x:c r="G103" s="128"/>
      <x:c r="H103" s="128"/>
      <x:c r="I103" s="128"/>
      <x:c r="J103" s="128"/>
      <x:c r="K103" s="128"/>
      <x:c r="L103" s="128"/>
      <x:c r="M103" s="128"/>
      <x:c r="N103" s="128"/>
      <x:c r="O103" s="128"/>
      <x:c r="P103" s="128"/>
      <x:c r="Q103" s="128"/>
      <x:c r="R103" s="128"/>
      <x:c r="S103" s="128"/>
      <x:c r="T103" s="128"/>
    </x:row>
    <x:row r="104" ht="24" customHeight="1">
      <x:c r="C104" s="128" t="str">
        <x:v>Intercept</x:v>
      </x:c>
      <x:c r="D104" s="128"/>
      <x:c r="E104" s="195" t="n">
        <x:f>$E$101-$E$103*$E$100</x:f>
        <x:v>-0.18647748365825337</x:v>
      </x:c>
      <x:c r="F104" s="128"/>
      <x:c r="G104" s="128"/>
      <x:c r="H104" s="128"/>
      <x:c r="I104" s="128"/>
      <x:c r="J104" s="128"/>
      <x:c r="K104" s="128"/>
      <x:c r="L104" s="128"/>
      <x:c r="M104" s="128"/>
      <x:c r="N104" s="128"/>
      <x:c r="O104" s="128"/>
      <x:c r="P104" s="128"/>
      <x:c r="Q104" s="128"/>
      <x:c r="R104" s="128"/>
      <x:c r="S104" s="128"/>
      <x:c r="T104" s="128"/>
    </x:row>
    <x:row r="105" ht="24" customHeight="1">
      <x:c r="C105" s="128" t="str">
        <x:v>Residual sum of squares</x:v>
      </x:c>
      <x:c r="D105" s="128"/>
      <x:c r="E105" s="195" t="n">
        <x:f>SUM(P84:P92)</x:f>
        <x:v>0.029101981671804885</x:v>
      </x:c>
      <x:c r="F105" s="128"/>
      <x:c r="G105" s="128"/>
      <x:c r="H105" s="128"/>
      <x:c r="I105" s="128"/>
      <x:c r="J105" s="128"/>
      <x:c r="K105" s="128"/>
      <x:c r="L105" s="128"/>
      <x:c r="M105" s="128"/>
      <x:c r="N105" s="128"/>
      <x:c r="O105" s="128"/>
      <x:c r="P105" s="128"/>
      <x:c r="Q105" s="128"/>
      <x:c r="R105" s="128"/>
      <x:c r="S105" s="128"/>
      <x:c r="T105" s="128"/>
    </x:row>
    <x:row r="106" ht="24" customHeight="1">
      <x:c r="C106" s="128" t="str">
        <x:v>Total sum of squares</x:v>
      </x:c>
      <x:c r="D106" s="128"/>
      <x:c r="E106" s="195" t="n">
        <x:f>SUM(Q84:Q92)</x:f>
        <x:v>0.0783377130412402</x:v>
      </x:c>
      <x:c r="F106" s="128"/>
      <x:c r="G106" s="128"/>
      <x:c r="H106" s="128"/>
      <x:c r="I106" s="128"/>
      <x:c r="J106" s="128"/>
      <x:c r="K106" s="128"/>
      <x:c r="L106" s="128"/>
      <x:c r="M106" s="128"/>
      <x:c r="N106" s="128"/>
      <x:c r="O106" s="128"/>
      <x:c r="P106" s="128"/>
      <x:c r="Q106" s="128"/>
      <x:c r="R106" s="128"/>
      <x:c r="S106" s="128"/>
      <x:c r="T106" s="128"/>
    </x:row>
    <x:row r="107" ht="24" customHeight="1">
      <x:c r="C107" s="128" t="str">
        <x:v>R squared</x:v>
      </x:c>
      <x:c r="D107" s="128"/>
      <x:c r="E107" s="195" t="n">
        <x:f>1-$E$105/$E$106</x:f>
        <x:v>0.6285061110159751</x:v>
      </x:c>
      <x:c r="F107" s="128"/>
      <x:c r="G107" s="128"/>
      <x:c r="H107" s="128"/>
      <x:c r="I107" s="128"/>
      <x:c r="J107" s="128"/>
      <x:c r="K107" s="128"/>
      <x:c r="L107" s="128"/>
      <x:c r="M107" s="128"/>
      <x:c r="N107" s="128"/>
      <x:c r="O107" s="128"/>
      <x:c r="P107" s="128"/>
      <x:c r="Q107" s="128"/>
      <x:c r="R107" s="128"/>
      <x:c r="S107" s="128"/>
      <x:c r="T107" s="128"/>
    </x:row>
    <x:row r="108" ht="24" customHeight="1">
      <x:c r="C108" s="128" t="str">
        <x:v>Adjusted R squared</x:v>
      </x:c>
      <x:c r="D108" s="128"/>
      <x:c r="E108" s="195" t="n">
        <x:f>1-($E$105/$E$99)/($E$106/($E$98-1))</x:f>
        <x:v>0.5754355554468287</x:v>
      </x:c>
      <x:c r="F108" s="128"/>
      <x:c r="G108" s="128"/>
      <x:c r="H108" s="128"/>
      <x:c r="I108" s="128"/>
      <x:c r="J108" s="128"/>
      <x:c r="K108" s="128"/>
      <x:c r="L108" s="128"/>
      <x:c r="M108" s="128"/>
      <x:c r="N108" s="128"/>
      <x:c r="O108" s="128"/>
      <x:c r="P108" s="128"/>
      <x:c r="Q108" s="128"/>
      <x:c r="R108" s="128"/>
      <x:c r="S108" s="128"/>
      <x:c r="T108" s="128"/>
    </x:row>
    <x:row r="109" ht="24" customHeight="1">
      <x:c r="C109" s="128" t="str">
        <x:v>OLS residual standard error</x:v>
      </x:c>
      <x:c r="D109" s="128"/>
      <x:c r="E109" s="195" t="n">
        <x:f>SQRT($E$105/$E$99)</x:f>
        <x:v>0.06447810444728493</x:v>
      </x:c>
      <x:c r="F109" s="128"/>
      <x:c r="G109" s="128"/>
      <x:c r="H109" s="128"/>
      <x:c r="I109" s="128"/>
      <x:c r="J109" s="128"/>
      <x:c r="K109" s="128"/>
      <x:c r="L109" s="128"/>
      <x:c r="M109" s="128"/>
      <x:c r="N109" s="128"/>
      <x:c r="O109" s="128"/>
      <x:c r="P109" s="128"/>
      <x:c r="Q109" s="128"/>
      <x:c r="R109" s="128"/>
      <x:c r="S109" s="128"/>
      <x:c r="T109" s="128"/>
    </x:row>
    <x:row r="110" ht="24" customHeight="1">
      <x:c r="C110" s="128" t="str">
        <x:v>OLS slope standard error</x:v>
      </x:c>
      <x:c r="D110" s="128"/>
      <x:c r="E110" s="195" t="n">
        <x:f>$E$109/SQRT($E$102)</x:f>
        <x:v>0.7558920894334779</x:v>
      </x:c>
      <x:c r="F110" s="128"/>
      <x:c r="G110" s="128"/>
      <x:c r="H110" s="128"/>
      <x:c r="I110" s="128"/>
      <x:c r="J110" s="128"/>
      <x:c r="K110" s="128"/>
      <x:c r="L110" s="128"/>
      <x:c r="M110" s="128"/>
      <x:c r="N110" s="128"/>
      <x:c r="O110" s="128"/>
      <x:c r="P110" s="128"/>
      <x:c r="Q110" s="128"/>
      <x:c r="R110" s="128"/>
      <x:c r="S110" s="128"/>
      <x:c r="T110" s="128"/>
    </x:row>
    <x:row r="111" ht="24" customHeight="1">
      <x:c r="C111" s="128" t="str">
        <x:v>OLS intercept standard error</x:v>
      </x:c>
      <x:c r="D111" s="128"/>
      <x:c r="E111" s="195" t="n">
        <x:f>$E$109*SQRT(1/$E$98+$E$100^2/$E$102)</x:f>
        <x:v>0.10587682745606551</x:v>
      </x:c>
      <x:c r="F111" s="128"/>
      <x:c r="G111" s="128"/>
      <x:c r="H111" s="128"/>
      <x:c r="I111" s="128"/>
      <x:c r="J111" s="128"/>
      <x:c r="K111" s="128"/>
      <x:c r="L111" s="128"/>
      <x:c r="M111" s="128"/>
      <x:c r="N111" s="128"/>
      <x:c r="O111" s="128"/>
      <x:c r="P111" s="128"/>
      <x:c r="Q111" s="128"/>
      <x:c r="R111" s="128"/>
      <x:c r="S111" s="128"/>
      <x:c r="T111" s="128"/>
    </x:row>
    <x:row r="112" ht="24" customHeight="1">
      <x:c r="C112" s="128" t="str">
        <x:v>HC3 slope standard error</x:v>
      </x:c>
      <x:c r="D112" s="128"/>
      <x:c r="E112" s="195" t="n">
        <x:f>SQRT(SUM(S84:S92))/$E$102</x:f>
        <x:v>0.5721822593739017</x:v>
      </x:c>
      <x:c r="F112" s="128"/>
      <x:c r="G112" s="128"/>
      <x:c r="H112" s="128"/>
      <x:c r="I112" s="128"/>
      <x:c r="J112" s="128"/>
      <x:c r="K112" s="128"/>
      <x:c r="L112" s="128"/>
      <x:c r="M112" s="128"/>
      <x:c r="N112" s="128"/>
      <x:c r="O112" s="128"/>
      <x:c r="P112" s="128"/>
      <x:c r="Q112" s="128"/>
      <x:c r="R112" s="128"/>
      <x:c r="S112" s="128"/>
      <x:c r="T112" s="128"/>
    </x:row>
    <x:row r="113" ht="24" customHeight="1">
      <x:c r="C113" s="128" t="str">
        <x:v>HC3 intercept standard error</x:v>
      </x:c>
      <x:c r="D113" s="128"/>
      <x:c r="E113" s="195" t="n">
        <x:f>SQRT(SUM(N84:N92)/$E$98^2+$E$100^2*$E$112^2-2*$E$100*SUM(R84:R92)/($E$98*$E$102))</x:f>
        <x:v>0.06303158654595603</x:v>
      </x:c>
      <x:c r="F113" s="128"/>
      <x:c r="G113" s="128"/>
      <x:c r="H113" s="128"/>
      <x:c r="I113" s="128"/>
      <x:c r="J113" s="128"/>
      <x:c r="K113" s="128"/>
      <x:c r="L113" s="128"/>
      <x:c r="M113" s="128"/>
      <x:c r="N113" s="128"/>
      <x:c r="O113" s="128"/>
      <x:c r="P113" s="128"/>
      <x:c r="Q113" s="128"/>
      <x:c r="R113" s="128"/>
      <x:c r="S113" s="128"/>
      <x:c r="T113" s="128"/>
    </x:row>
    <x:row r="114" ht="24" customHeight="1">
      <x:c r="C114" s="128" t="str">
        <x:v>HC3 slope t statistic</x:v>
      </x:c>
      <x:c r="D114" s="128"/>
      <x:c r="E114" s="195" t="n">
        <x:f>$E$103/$E$112</x:f>
        <x:v>4.546250349215926</x:v>
      </x:c>
      <x:c r="F114" s="128"/>
      <x:c r="G114" s="128"/>
      <x:c r="H114" s="128"/>
      <x:c r="I114" s="128"/>
      <x:c r="J114" s="128"/>
      <x:c r="K114" s="128"/>
      <x:c r="L114" s="128"/>
      <x:c r="M114" s="128"/>
      <x:c r="N114" s="128"/>
      <x:c r="O114" s="128"/>
      <x:c r="P114" s="128"/>
      <x:c r="Q114" s="128"/>
      <x:c r="R114" s="128"/>
      <x:c r="S114" s="128"/>
      <x:c r="T114" s="128"/>
    </x:row>
    <x:row r="115" ht="24" customHeight="1">
      <x:c r="C115" s="128" t="str">
        <x:v>HC3 slope p value</x:v>
      </x:c>
      <x:c r="D115" s="128"/>
      <x:c r="E115" s="201" t="n">
        <x:f>TDIST(ABS($E$114),$E$99,2)</x:f>
        <x:v>0.002647896923970272</x:v>
      </x:c>
      <x:c r="F115" s="128"/>
      <x:c r="G115" s="128"/>
      <x:c r="H115" s="128"/>
      <x:c r="I115" s="128"/>
      <x:c r="J115" s="128"/>
      <x:c r="K115" s="128"/>
      <x:c r="L115" s="128"/>
      <x:c r="M115" s="128"/>
      <x:c r="N115" s="128"/>
      <x:c r="O115" s="128"/>
      <x:c r="P115" s="128"/>
      <x:c r="Q115" s="128"/>
      <x:c r="R115" s="128"/>
      <x:c r="S115" s="128"/>
      <x:c r="T115" s="128"/>
    </x:row>
    <x:row r="116" ht="24" customHeight="1">
      <x:c r="C116" s="128" t="str">
        <x:v>95% t critical value</x:v>
      </x:c>
      <x:c r="D116" s="128"/>
      <x:c r="E116" s="195" t="n">
        <x:f>VLOOKUP($E$99,$V$11:$W$40,2,FALSE)</x:f>
        <x:v>2.364624251592784</x:v>
      </x:c>
      <x:c r="F116" s="128"/>
      <x:c r="G116" s="128"/>
      <x:c r="H116" s="128"/>
      <x:c r="I116" s="128"/>
      <x:c r="J116" s="128"/>
      <x:c r="K116" s="128"/>
      <x:c r="L116" s="128"/>
      <x:c r="M116" s="128"/>
      <x:c r="N116" s="128"/>
      <x:c r="O116" s="128"/>
      <x:c r="P116" s="128"/>
      <x:c r="Q116" s="128"/>
      <x:c r="R116" s="128"/>
      <x:c r="S116" s="128"/>
      <x:c r="T116" s="128"/>
    </x:row>
    <x:row r="117" ht="24" customHeight="1">
      <x:c r="C117" s="128" t="str">
        <x:v>HC3 slope CI lower</x:v>
      </x:c>
      <x:c r="D117" s="128"/>
      <x:c r="E117" s="195" t="n">
        <x:f>$E$103-$E$116*$E$112</x:f>
        <x:v>1.2482877496470777</x:v>
      </x:c>
      <x:c r="F117" s="128"/>
      <x:c r="G117" s="128"/>
      <x:c r="H117" s="128"/>
      <x:c r="I117" s="128"/>
      <x:c r="J117" s="128"/>
      <x:c r="K117" s="128"/>
      <x:c r="L117" s="128"/>
      <x:c r="M117" s="128"/>
      <x:c r="N117" s="128"/>
      <x:c r="O117" s="128"/>
      <x:c r="P117" s="128"/>
      <x:c r="Q117" s="128"/>
      <x:c r="R117" s="128"/>
      <x:c r="S117" s="128"/>
      <x:c r="T117" s="128"/>
    </x:row>
    <x:row r="118" ht="24" customHeight="1">
      <x:c r="C118" s="128" t="str">
        <x:v>HC3 slope CI upper</x:v>
      </x:c>
      <x:c r="D118" s="128"/>
      <x:c r="E118" s="195" t="n">
        <x:f>$E$103+$E$116*$E$112</x:f>
        <x:v>3.9542798433404385</x:v>
      </x:c>
      <x:c r="F118" s="128"/>
      <x:c r="G118" s="128"/>
      <x:c r="H118" s="128"/>
      <x:c r="I118" s="128"/>
      <x:c r="J118" s="128"/>
      <x:c r="K118" s="128"/>
      <x:c r="L118" s="128"/>
      <x:c r="M118" s="128"/>
      <x:c r="N118" s="128"/>
      <x:c r="O118" s="128"/>
      <x:c r="P118" s="128"/>
      <x:c r="Q118" s="128"/>
      <x:c r="R118" s="128"/>
      <x:c r="S118" s="128"/>
      <x:c r="T118" s="128"/>
    </x:row>
    <x:row r="119" ht="24" customHeight="1">
      <x:c r="C119" s="128" t="str">
        <x:v>Durbin Watson</x:v>
      </x:c>
      <x:c r="D119" s="128"/>
      <x:c r="E119" s="195" t="n">
        <x:f>SUM(T84:T92)/$E$105</x:f>
        <x:v>2.2843939997453693</x:v>
      </x:c>
      <x:c r="F119" s="128"/>
      <x:c r="G119" s="128"/>
      <x:c r="H119" s="128"/>
      <x:c r="I119" s="128"/>
      <x:c r="J119" s="128"/>
      <x:c r="K119" s="128"/>
      <x:c r="L119" s="128"/>
      <x:c r="M119" s="128"/>
      <x:c r="N119" s="128"/>
      <x:c r="O119" s="128"/>
      <x:c r="P119" s="128"/>
      <x:c r="Q119" s="128"/>
      <x:c r="R119" s="128"/>
      <x:c r="S119" s="128"/>
      <x:c r="T119" s="128"/>
    </x:row>
    <x:row r="120" ht="24" customHeight="1">
      <x:c r="C120" s="128" t="str">
        <x:v>Maximum leverage</x:v>
      </x:c>
      <x:c r="D120" s="128"/>
      <x:c r="E120" s="195" t="n">
        <x:f>MAX(M84:M92)</x:f>
        <x:v>0.7960722627591119</x:v>
      </x:c>
      <x:c r="F120" s="128"/>
      <x:c r="G120" s="128"/>
      <x:c r="H120" s="128"/>
      <x:c r="I120" s="128"/>
      <x:c r="J120" s="128"/>
      <x:c r="K120" s="128"/>
      <x:c r="L120" s="128"/>
      <x:c r="M120" s="128"/>
      <x:c r="N120" s="128"/>
      <x:c r="O120" s="128"/>
      <x:c r="P120" s="128"/>
      <x:c r="Q120" s="128"/>
      <x:c r="R120" s="128"/>
      <x:c r="S120" s="128"/>
      <x:c r="T120" s="128"/>
    </x:row>
    <x:row r="121" ht="24" customHeight="1">
      <x:c r="C121" s="128" t="str">
        <x:v>Leverage reference 4/n</x:v>
      </x:c>
      <x:c r="D121" s="128"/>
      <x:c r="E121" s="195" t="n">
        <x:f>4/$E$98</x:f>
        <x:v>0.4444444444444444</x:v>
      </x:c>
      <x:c r="F121" s="128"/>
      <x:c r="G121" s="128"/>
      <x:c r="H121" s="128"/>
      <x:c r="I121" s="128"/>
      <x:c r="J121" s="128"/>
      <x:c r="K121" s="128"/>
      <x:c r="L121" s="128"/>
      <x:c r="M121" s="128"/>
      <x:c r="N121" s="128"/>
      <x:c r="O121" s="128"/>
      <x:c r="P121" s="128"/>
      <x:c r="Q121" s="128"/>
      <x:c r="R121" s="128"/>
      <x:c r="S121" s="128"/>
      <x:c r="T121" s="128"/>
    </x:row>
    <x:row r="122" ht="24" customHeight="1">
      <x:c r="C122" s="128" t="str">
        <x:v>HC3 intercept t statistic</x:v>
      </x:c>
      <x:c r="D122" s="128"/>
      <x:c r="E122" s="195" t="n">
        <x:f>$E$104/$E$113</x:f>
        <x:v>-2.9584767554961275</x:v>
      </x:c>
      <x:c r="F122" s="128"/>
      <x:c r="G122" s="128"/>
      <x:c r="H122" s="128"/>
      <x:c r="I122" s="128"/>
      <x:c r="J122" s="128"/>
      <x:c r="K122" s="128"/>
      <x:c r="L122" s="128"/>
      <x:c r="M122" s="128"/>
      <x:c r="N122" s="128"/>
      <x:c r="O122" s="128"/>
      <x:c r="P122" s="128"/>
      <x:c r="Q122" s="128"/>
      <x:c r="R122" s="128"/>
      <x:c r="S122" s="128"/>
      <x:c r="T122" s="128"/>
    </x:row>
    <x:row r="123" ht="24" customHeight="1">
      <x:c r="C123" s="128" t="str">
        <x:v>HC3 intercept p value</x:v>
      </x:c>
      <x:c r="D123" s="128"/>
      <x:c r="E123" s="201" t="n">
        <x:f>TDIST(ABS($E$122),$E$99,2)</x:f>
        <x:v>0.02115073982533411</x:v>
      </x:c>
      <x:c r="F123" s="128"/>
      <x:c r="G123" s="128"/>
      <x:c r="H123" s="128"/>
      <x:c r="I123" s="128"/>
      <x:c r="J123" s="128"/>
      <x:c r="K123" s="128"/>
      <x:c r="L123" s="128"/>
      <x:c r="M123" s="128"/>
      <x:c r="N123" s="128"/>
      <x:c r="O123" s="128"/>
      <x:c r="P123" s="128"/>
      <x:c r="Q123" s="128"/>
      <x:c r="R123" s="128"/>
      <x:c r="S123" s="128"/>
      <x:c r="T123" s="128"/>
    </x:row>
    <x:row r="124" ht="24" customHeight="1">
      <x:c r="C124" s="128" t="str">
        <x:v>HC3 intercept CI lower</x:v>
      </x:c>
      <x:c r="D124" s="128"/>
      <x:c r="E124" s="195" t="n">
        <x:f>$E$104-$E$116*$E$113</x:f>
        <x:v>-0.33552350182119045</x:v>
      </x:c>
      <x:c r="F124" s="128"/>
      <x:c r="G124" s="128"/>
      <x:c r="H124" s="128"/>
      <x:c r="I124" s="128"/>
      <x:c r="J124" s="128"/>
      <x:c r="K124" s="128"/>
      <x:c r="L124" s="128"/>
      <x:c r="M124" s="128"/>
      <x:c r="N124" s="128"/>
      <x:c r="O124" s="128"/>
      <x:c r="P124" s="128"/>
      <x:c r="Q124" s="128"/>
      <x:c r="R124" s="128"/>
      <x:c r="S124" s="128"/>
      <x:c r="T124" s="128"/>
    </x:row>
    <x:row r="125" ht="24" customHeight="1">
      <x:c r="C125" s="128" t="str">
        <x:v>HC3 intercept CI upper</x:v>
      </x:c>
      <x:c r="D125" s="128"/>
      <x:c r="E125" s="195" t="n">
        <x:f>$E$104+$E$116*$E$113</x:f>
        <x:v>-0.037431465495316285</x:v>
      </x:c>
      <x:c r="F125" s="128"/>
      <x:c r="G125" s="128"/>
      <x:c r="H125" s="128"/>
      <x:c r="I125" s="128"/>
      <x:c r="J125" s="128"/>
      <x:c r="K125" s="128"/>
      <x:c r="L125" s="128"/>
      <x:c r="M125" s="128"/>
      <x:c r="N125" s="128"/>
      <x:c r="O125" s="128"/>
      <x:c r="P125" s="128"/>
      <x:c r="Q125" s="128"/>
      <x:c r="R125" s="128"/>
      <x:c r="S125" s="128"/>
      <x:c r="T125" s="128"/>
    </x:row>
    <x:row r="126" ht="24" customHeight="1">
      <x:c r="C126" s="128"/>
      <x:c r="D126" s="128"/>
      <x:c r="E126" s="128"/>
      <x:c r="F126" s="128"/>
      <x:c r="G126" s="128"/>
      <x:c r="H126" s="128"/>
      <x:c r="I126" s="128"/>
      <x:c r="J126" s="128"/>
      <x:c r="K126" s="128"/>
      <x:c r="L126" s="128"/>
      <x:c r="M126" s="128"/>
      <x:c r="N126" s="128"/>
      <x:c r="O126" s="128"/>
      <x:c r="P126" s="128"/>
      <x:c r="Q126" s="128"/>
      <x:c r="R126" s="128"/>
      <x:c r="S126" s="128"/>
      <x:c r="T126" s="128"/>
    </x:row>
    <x:row r="127" ht="24" customHeight="1">
      <x:c r="C127" s="128"/>
      <x:c r="D127" s="128"/>
      <x:c r="E127" s="128"/>
      <x:c r="F127" s="128"/>
      <x:c r="G127" s="128"/>
      <x:c r="H127" s="128"/>
      <x:c r="I127" s="128"/>
      <x:c r="J127" s="128"/>
      <x:c r="K127" s="128"/>
      <x:c r="L127" s="128"/>
      <x:c r="M127" s="128"/>
      <x:c r="N127" s="128"/>
      <x:c r="O127" s="128"/>
      <x:c r="P127" s="128"/>
      <x:c r="Q127" s="128"/>
      <x:c r="R127" s="128"/>
      <x:c r="S127" s="128"/>
      <x:c r="T127" s="128"/>
    </x:row>
    <x:row r="128" ht="24" customHeight="1">
      <x:c r="C128" s="128"/>
      <x:c r="D128" s="128"/>
      <x:c r="E128" s="128"/>
      <x:c r="F128" s="128"/>
      <x:c r="G128" s="128"/>
      <x:c r="H128" s="128"/>
      <x:c r="I128" s="128"/>
      <x:c r="J128" s="128"/>
      <x:c r="K128" s="128"/>
      <x:c r="L128" s="128"/>
      <x:c r="M128" s="128"/>
      <x:c r="N128" s="128"/>
      <x:c r="O128" s="128"/>
      <x:c r="P128" s="128"/>
      <x:c r="Q128" s="128"/>
      <x:c r="R128" s="128"/>
      <x:c r="S128" s="128"/>
      <x:c r="T128" s="128"/>
    </x:row>
    <x:row r="129" ht="24" customHeight="1">
      <x:c r="C129" s="128"/>
      <x:c r="D129" s="128"/>
      <x:c r="E129" s="128"/>
      <x:c r="F129" s="128"/>
      <x:c r="G129" s="128"/>
      <x:c r="H129" s="128"/>
      <x:c r="I129" s="128"/>
      <x:c r="J129" s="128"/>
      <x:c r="K129" s="128"/>
      <x:c r="L129" s="128"/>
      <x:c r="M129" s="128"/>
      <x:c r="N129" s="128"/>
      <x:c r="O129" s="128"/>
      <x:c r="P129" s="128"/>
      <x:c r="Q129" s="128"/>
      <x:c r="R129" s="128"/>
      <x:c r="S129" s="128"/>
      <x:c r="T129" s="128"/>
    </x:row>
    <x:row r="130" ht="24" customHeight="1">
      <x:c r="C130" s="128"/>
      <x:c r="D130" s="128"/>
      <x:c r="E130" s="128"/>
      <x:c r="F130" s="128"/>
      <x:c r="G130" s="128"/>
      <x:c r="H130" s="128"/>
      <x:c r="I130" s="128"/>
      <x:c r="J130" s="128"/>
      <x:c r="K130" s="128"/>
      <x:c r="L130" s="128"/>
      <x:c r="M130" s="128"/>
      <x:c r="N130" s="128"/>
      <x:c r="O130" s="128"/>
      <x:c r="P130" s="128"/>
      <x:c r="Q130" s="128"/>
      <x:c r="R130" s="128"/>
      <x:c r="S130" s="128"/>
      <x:c r="T130" s="128"/>
    </x:row>
    <x:row r="131" ht="24" customHeight="1">
      <x:c r="C131" s="128"/>
      <x:c r="D131" s="128"/>
      <x:c r="E131" s="128"/>
      <x:c r="F131" s="128"/>
      <x:c r="G131" s="128"/>
      <x:c r="H131" s="128"/>
      <x:c r="I131" s="128"/>
      <x:c r="J131" s="128"/>
      <x:c r="K131" s="128"/>
      <x:c r="L131" s="128"/>
      <x:c r="M131" s="128"/>
      <x:c r="N131" s="128"/>
      <x:c r="O131" s="128"/>
      <x:c r="P131" s="128"/>
      <x:c r="Q131" s="128"/>
      <x:c r="R131" s="128"/>
      <x:c r="S131" s="128"/>
      <x:c r="T131" s="128"/>
    </x:row>
    <x:row r="132" ht="24" customHeight="1">
      <x:c r="C132" s="128"/>
      <x:c r="D132" s="128"/>
      <x:c r="E132" s="128"/>
      <x:c r="F132" s="128"/>
      <x:c r="G132" s="128"/>
      <x:c r="H132" s="128"/>
      <x:c r="I132" s="128"/>
      <x:c r="J132" s="128"/>
      <x:c r="K132" s="128"/>
      <x:c r="L132" s="128"/>
      <x:c r="M132" s="128"/>
      <x:c r="N132" s="128"/>
      <x:c r="O132" s="128"/>
      <x:c r="P132" s="128"/>
      <x:c r="Q132" s="128"/>
      <x:c r="R132" s="128"/>
      <x:c r="S132" s="128"/>
      <x:c r="T132" s="128"/>
    </x:row>
    <x:row r="133" ht="24" customHeight="1">
      <x:c r="C133" s="128"/>
      <x:c r="D133" s="128"/>
      <x:c r="E133" s="128"/>
      <x:c r="F133" s="128"/>
      <x:c r="G133" s="128"/>
      <x:c r="H133" s="128"/>
      <x:c r="I133" s="128"/>
      <x:c r="J133" s="128"/>
      <x:c r="K133" s="128"/>
      <x:c r="L133" s="128"/>
      <x:c r="M133" s="128"/>
      <x:c r="N133" s="128"/>
      <x:c r="O133" s="128"/>
      <x:c r="P133" s="128"/>
      <x:c r="Q133" s="128"/>
      <x:c r="R133" s="128"/>
      <x:c r="S133" s="128"/>
      <x:c r="T133" s="128"/>
    </x:row>
    <x:row r="134" ht="24" customHeight="1">
      <x:c r="C134" s="128"/>
      <x:c r="D134" s="128"/>
      <x:c r="E134" s="128"/>
      <x:c r="F134" s="128"/>
      <x:c r="G134" s="128"/>
      <x:c r="H134" s="128"/>
      <x:c r="I134" s="128"/>
      <x:c r="J134" s="128"/>
      <x:c r="K134" s="128"/>
      <x:c r="L134" s="128"/>
      <x:c r="M134" s="128"/>
      <x:c r="N134" s="128"/>
      <x:c r="O134" s="128"/>
      <x:c r="P134" s="128"/>
      <x:c r="Q134" s="128"/>
      <x:c r="R134" s="128"/>
      <x:c r="S134" s="128"/>
      <x:c r="T134" s="128"/>
    </x:row>
    <x:row r="135" ht="24" customHeight="1">
      <x:c r="C135" s="128"/>
      <x:c r="D135" s="128"/>
      <x:c r="E135" s="128"/>
      <x:c r="F135" s="128"/>
      <x:c r="G135" s="128"/>
      <x:c r="H135" s="128"/>
      <x:c r="I135" s="128"/>
      <x:c r="J135" s="128"/>
      <x:c r="K135" s="128"/>
      <x:c r="L135" s="128"/>
      <x:c r="M135" s="128"/>
      <x:c r="N135" s="128"/>
      <x:c r="O135" s="128"/>
      <x:c r="P135" s="128"/>
      <x:c r="Q135" s="128"/>
      <x:c r="R135" s="128"/>
      <x:c r="S135" s="128"/>
      <x:c r="T135" s="128"/>
    </x:row>
    <x:row r="136" ht="24" customHeight="1">
      <x:c r="C136" s="128"/>
      <x:c r="D136" s="128"/>
      <x:c r="E136" s="128"/>
      <x:c r="F136" s="128"/>
      <x:c r="G136" s="128"/>
      <x:c r="H136" s="128"/>
      <x:c r="I136" s="128"/>
      <x:c r="J136" s="128"/>
      <x:c r="K136" s="128"/>
      <x:c r="L136" s="128"/>
      <x:c r="M136" s="128"/>
      <x:c r="N136" s="128"/>
      <x:c r="O136" s="128"/>
      <x:c r="P136" s="128"/>
      <x:c r="Q136" s="128"/>
      <x:c r="R136" s="128"/>
      <x:c r="S136" s="128"/>
      <x:c r="T136" s="128"/>
    </x:row>
    <x:row r="137" ht="24" customHeight="1">
      <x:c r="C137" s="128"/>
      <x:c r="D137" s="128"/>
      <x:c r="E137" s="128"/>
      <x:c r="F137" s="128"/>
      <x:c r="G137" s="128"/>
      <x:c r="H137" s="128"/>
      <x:c r="I137" s="128"/>
      <x:c r="J137" s="128"/>
      <x:c r="K137" s="128"/>
      <x:c r="L137" s="128"/>
      <x:c r="M137" s="128"/>
      <x:c r="N137" s="128"/>
      <x:c r="O137" s="128"/>
      <x:c r="P137" s="128"/>
      <x:c r="Q137" s="128"/>
      <x:c r="R137" s="128"/>
      <x:c r="S137" s="128"/>
      <x:c r="T137" s="128"/>
    </x:row>
    <x:row r="138" ht="24" customHeight="1">
      <x:c r="C138" s="128"/>
      <x:c r="D138" s="128"/>
      <x:c r="E138" s="128"/>
      <x:c r="F138" s="128"/>
      <x:c r="G138" s="128"/>
      <x:c r="H138" s="128"/>
      <x:c r="I138" s="128"/>
      <x:c r="J138" s="128"/>
      <x:c r="K138" s="128"/>
      <x:c r="L138" s="128"/>
      <x:c r="M138" s="128"/>
      <x:c r="N138" s="128"/>
      <x:c r="O138" s="128"/>
      <x:c r="P138" s="128"/>
      <x:c r="Q138" s="128"/>
      <x:c r="R138" s="128"/>
      <x:c r="S138" s="128"/>
      <x:c r="T138" s="128"/>
    </x:row>
    <x:row r="139" ht="24" customHeight="1">
      <x:c r="C139" s="128"/>
      <x:c r="D139" s="128"/>
      <x:c r="E139" s="128"/>
      <x:c r="F139" s="128"/>
      <x:c r="G139" s="128"/>
      <x:c r="H139" s="128"/>
      <x:c r="I139" s="128"/>
      <x:c r="J139" s="128"/>
      <x:c r="K139" s="128"/>
      <x:c r="L139" s="128"/>
      <x:c r="M139" s="128"/>
      <x:c r="N139" s="128"/>
      <x:c r="O139" s="128"/>
      <x:c r="P139" s="128"/>
      <x:c r="Q139" s="128"/>
      <x:c r="R139" s="128"/>
      <x:c r="S139" s="128"/>
      <x:c r="T139" s="128"/>
    </x:row>
    <x:row r="140" ht="24" customHeight="1">
      <x:c r="C140" s="128"/>
      <x:c r="D140" s="128"/>
      <x:c r="E140" s="128"/>
      <x:c r="F140" s="128"/>
      <x:c r="G140" s="128"/>
      <x:c r="H140" s="128"/>
      <x:c r="I140" s="128"/>
      <x:c r="J140" s="128"/>
      <x:c r="K140" s="128"/>
      <x:c r="L140" s="128"/>
      <x:c r="M140" s="128"/>
      <x:c r="N140" s="128"/>
      <x:c r="O140" s="128"/>
      <x:c r="P140" s="128"/>
      <x:c r="Q140" s="128"/>
      <x:c r="R140" s="128"/>
      <x:c r="S140" s="128"/>
      <x:c r="T140" s="128"/>
    </x:row>
    <x:row r="141" ht="24" customHeight="1">
      <x:c r="C141" s="128"/>
      <x:c r="D141" s="128"/>
      <x:c r="E141" s="128"/>
      <x:c r="F141" s="128"/>
      <x:c r="G141" s="128"/>
      <x:c r="H141" s="128"/>
      <x:c r="I141" s="128"/>
      <x:c r="J141" s="128"/>
      <x:c r="K141" s="128"/>
      <x:c r="L141" s="128"/>
      <x:c r="M141" s="128"/>
      <x:c r="N141" s="128"/>
      <x:c r="O141" s="128"/>
      <x:c r="P141" s="128"/>
      <x:c r="Q141" s="128"/>
      <x:c r="R141" s="128"/>
      <x:c r="S141" s="128"/>
      <x:c r="T141" s="128"/>
    </x:row>
    <x:row r="142" ht="24" customHeight="1">
      <x:c r="C142" s="128"/>
      <x:c r="D142" s="128"/>
      <x:c r="E142" s="128"/>
      <x:c r="F142" s="128"/>
      <x:c r="G142" s="128"/>
      <x:c r="H142" s="128"/>
      <x:c r="I142" s="128"/>
      <x:c r="J142" s="128"/>
      <x:c r="K142" s="128"/>
      <x:c r="L142" s="128"/>
      <x:c r="M142" s="128"/>
      <x:c r="N142" s="128"/>
      <x:c r="O142" s="128"/>
      <x:c r="P142" s="128"/>
      <x:c r="Q142" s="128"/>
      <x:c r="R142" s="128"/>
      <x:c r="S142" s="128"/>
      <x:c r="T142" s="128"/>
    </x:row>
    <x:row r="143" ht="24" customHeight="1">
      <x:c r="C143" s="128"/>
      <x:c r="D143" s="128"/>
      <x:c r="E143" s="128"/>
      <x:c r="F143" s="128"/>
      <x:c r="G143" s="128"/>
      <x:c r="H143" s="128"/>
      <x:c r="I143" s="128"/>
      <x:c r="J143" s="128"/>
      <x:c r="K143" s="128"/>
      <x:c r="L143" s="128"/>
      <x:c r="M143" s="128"/>
      <x:c r="N143" s="128"/>
      <x:c r="O143" s="128"/>
      <x:c r="P143" s="128"/>
      <x:c r="Q143" s="128"/>
      <x:c r="R143" s="128"/>
      <x:c r="S143" s="128"/>
      <x:c r="T143" s="128"/>
    </x:row>
    <x:row r="144" ht="24" customHeight="1">
      <x:c r="C144" s="128"/>
      <x:c r="D144" s="128"/>
      <x:c r="E144" s="128"/>
      <x:c r="F144" s="128"/>
      <x:c r="G144" s="128"/>
      <x:c r="H144" s="128"/>
      <x:c r="I144" s="128"/>
      <x:c r="J144" s="128"/>
      <x:c r="K144" s="128"/>
      <x:c r="L144" s="128"/>
      <x:c r="M144" s="128"/>
      <x:c r="N144" s="128"/>
      <x:c r="O144" s="128"/>
      <x:c r="P144" s="128"/>
      <x:c r="Q144" s="128"/>
      <x:c r="R144" s="128"/>
      <x:c r="S144" s="128"/>
      <x:c r="T144" s="128"/>
    </x:row>
    <x:row r="145" ht="24" customHeight="1">
      <x:c r="C145" s="128"/>
      <x:c r="D145" s="128"/>
      <x:c r="E145" s="128"/>
      <x:c r="F145" s="128"/>
      <x:c r="G145" s="128"/>
      <x:c r="H145" s="128"/>
      <x:c r="I145" s="128"/>
      <x:c r="J145" s="128"/>
      <x:c r="K145" s="128"/>
      <x:c r="L145" s="128"/>
      <x:c r="M145" s="128"/>
      <x:c r="N145" s="128"/>
      <x:c r="O145" s="128"/>
      <x:c r="P145" s="128"/>
      <x:c r="Q145" s="128"/>
      <x:c r="R145" s="128"/>
      <x:c r="S145" s="128"/>
      <x:c r="T145" s="128"/>
    </x:row>
    <x:row r="146" ht="24" customHeight="1">
      <x:c r="C146" s="128"/>
      <x:c r="D146" s="128"/>
      <x:c r="E146" s="128"/>
      <x:c r="F146" s="128"/>
      <x:c r="G146" s="128"/>
      <x:c r="H146" s="128"/>
      <x:c r="I146" s="128"/>
      <x:c r="J146" s="128"/>
      <x:c r="K146" s="128"/>
      <x:c r="L146" s="128"/>
      <x:c r="M146" s="128"/>
      <x:c r="N146" s="128"/>
      <x:c r="O146" s="128"/>
      <x:c r="P146" s="128"/>
      <x:c r="Q146" s="128"/>
      <x:c r="R146" s="128"/>
      <x:c r="S146" s="128"/>
      <x:c r="T146" s="128"/>
    </x:row>
    <x:row r="147" ht="24" customHeight="1">
      <x:c r="C147" s="128"/>
      <x:c r="D147" s="128"/>
      <x:c r="E147" s="128"/>
      <x:c r="F147" s="128"/>
      <x:c r="G147" s="128"/>
      <x:c r="H147" s="128"/>
      <x:c r="I147" s="128"/>
      <x:c r="J147" s="128"/>
      <x:c r="K147" s="128"/>
      <x:c r="L147" s="128"/>
      <x:c r="M147" s="128"/>
      <x:c r="N147" s="128"/>
      <x:c r="O147" s="128"/>
      <x:c r="P147" s="128"/>
      <x:c r="Q147" s="128"/>
      <x:c r="R147" s="128"/>
      <x:c r="S147" s="128"/>
      <x:c r="T147" s="128"/>
    </x:row>
    <x:row r="148" ht="24" customHeight="1">
      <x:c r="C148" s="128"/>
      <x:c r="D148" s="128"/>
      <x:c r="E148" s="128"/>
      <x:c r="F148" s="128"/>
      <x:c r="G148" s="128"/>
      <x:c r="H148" s="128"/>
      <x:c r="I148" s="128"/>
      <x:c r="J148" s="128"/>
      <x:c r="K148" s="128"/>
      <x:c r="L148" s="128"/>
      <x:c r="M148" s="128"/>
      <x:c r="N148" s="128"/>
      <x:c r="O148" s="128"/>
      <x:c r="P148" s="128"/>
      <x:c r="Q148" s="128"/>
      <x:c r="R148" s="128"/>
      <x:c r="S148" s="128"/>
      <x:c r="T148" s="128"/>
    </x:row>
    <x:row r="149" ht="24" customHeight="1">
      <x:c r="C149" s="128"/>
      <x:c r="D149" s="128"/>
      <x:c r="E149" s="128"/>
      <x:c r="F149" s="128"/>
      <x:c r="G149" s="128"/>
      <x:c r="H149" s="128"/>
      <x:c r="I149" s="128"/>
      <x:c r="J149" s="128"/>
      <x:c r="K149" s="128"/>
      <x:c r="L149" s="128"/>
      <x:c r="M149" s="128"/>
      <x:c r="N149" s="128"/>
      <x:c r="O149" s="128"/>
      <x:c r="P149" s="128"/>
      <x:c r="Q149" s="128"/>
      <x:c r="R149" s="128"/>
      <x:c r="S149" s="128"/>
      <x:c r="T149" s="128"/>
    </x:row>
    <x:row r="150" ht="24" customHeight="1">
      <x:c r="C150" s="128"/>
      <x:c r="D150" s="128"/>
      <x:c r="E150" s="128"/>
      <x:c r="F150" s="128"/>
      <x:c r="G150" s="128"/>
      <x:c r="H150" s="128"/>
      <x:c r="I150" s="128"/>
      <x:c r="J150" s="128"/>
      <x:c r="K150" s="128"/>
      <x:c r="L150" s="128"/>
      <x:c r="M150" s="128"/>
      <x:c r="N150" s="128"/>
      <x:c r="O150" s="128"/>
      <x:c r="P150" s="128"/>
      <x:c r="Q150" s="128"/>
      <x:c r="R150" s="128"/>
      <x:c r="S150" s="128"/>
      <x:c r="T150" s="128"/>
    </x:row>
    <x:row r="151" ht="24" customHeight="1">
      <x:c r="C151" s="181" t="str">
        <x:v>Python reproduction in VSCode</x:v>
      </x:c>
      <x:c r="D151" s="128"/>
      <x:c r="E151" s="128"/>
      <x:c r="F151" s="128"/>
      <x:c r="G151" s="128"/>
      <x:c r="H151" s="128"/>
      <x:c r="I151" s="128"/>
      <x:c r="J151" s="128"/>
      <x:c r="K151" s="128"/>
      <x:c r="L151" s="128"/>
      <x:c r="M151" s="128"/>
      <x:c r="N151" s="128"/>
      <x:c r="O151" s="128"/>
      <x:c r="P151" s="128"/>
      <x:c r="Q151" s="128"/>
      <x:c r="R151" s="128"/>
      <x:c r="S151" s="128"/>
      <x:c r="T151" s="128"/>
    </x:row>
    <x:row r="152" ht="24" customHeight="1">
      <x:c r="C152" s="128" t="str">
        <x:v>Select C160:C332, copy and paste into regression_analysis.py in VSCode.</x:v>
      </x:c>
      <x:c r="D152" s="128"/>
      <x:c r="E152" s="128"/>
      <x:c r="F152" s="128"/>
      <x:c r="G152" s="128"/>
      <x:c r="H152" s="128"/>
      <x:c r="I152" s="128"/>
      <x:c r="J152" s="128"/>
      <x:c r="K152" s="128"/>
      <x:c r="L152" s="128"/>
      <x:c r="M152" s="128"/>
      <x:c r="N152" s="128"/>
      <x:c r="O152" s="128"/>
      <x:c r="P152" s="128"/>
      <x:c r="Q152" s="128"/>
      <x:c r="R152" s="128"/>
      <x:c r="S152" s="128"/>
      <x:c r="T152" s="128"/>
    </x:row>
    <x:row r="153" ht="24" customHeight="1">
      <x:c r="C153" s="128" t="str">
        <x:v>Install once: python -m pip install numpy scipy matplotlib</x:v>
      </x:c>
      <x:c r="D153" s="128"/>
      <x:c r="E153" s="128"/>
      <x:c r="F153" s="128"/>
      <x:c r="G153" s="128"/>
      <x:c r="H153" s="128"/>
      <x:c r="I153" s="128"/>
      <x:c r="J153" s="128"/>
      <x:c r="K153" s="128"/>
      <x:c r="L153" s="128"/>
      <x:c r="M153" s="128"/>
      <x:c r="N153" s="128"/>
      <x:c r="O153" s="128"/>
      <x:c r="P153" s="128"/>
      <x:c r="Q153" s="128"/>
      <x:c r="R153" s="128"/>
      <x:c r="S153" s="128"/>
      <x:c r="T153" s="128"/>
    </x:row>
    <x:row r="154" ht="24" customHeight="1">
      <x:c r="C154" s="128" t="str">
        <x:v>Run: python regression_analysis.py --out regression_output</x:v>
      </x:c>
      <x:c r="D154" s="128"/>
      <x:c r="E154" s="128"/>
      <x:c r="F154" s="128"/>
      <x:c r="G154" s="128"/>
      <x:c r="H154" s="128"/>
      <x:c r="I154" s="128"/>
      <x:c r="J154" s="128"/>
      <x:c r="K154" s="128"/>
      <x:c r="L154" s="128"/>
      <x:c r="M154" s="128"/>
      <x:c r="N154" s="128"/>
      <x:c r="O154" s="128"/>
      <x:c r="P154" s="128"/>
      <x:c r="Q154" s="128"/>
      <x:c r="R154" s="128"/>
      <x:c r="S154" s="128"/>
      <x:c r="T154" s="128"/>
    </x:row>
    <x:row r="155" ht="24" customHeight="1">
      <x:c r="C155" s="128" t="str">
        <x:v>For edited data, export the input columns as year,revenue,cfo CSV and use --csv input.csv.</x:v>
      </x:c>
      <x:c r="D155" s="128"/>
      <x:c r="E155" s="128"/>
      <x:c r="F155" s="128"/>
      <x:c r="G155" s="128"/>
      <x:c r="H155" s="128"/>
      <x:c r="I155" s="128"/>
      <x:c r="J155" s="128"/>
      <x:c r="K155" s="128"/>
      <x:c r="L155" s="128"/>
      <x:c r="M155" s="128"/>
      <x:c r="N155" s="128"/>
      <x:c r="O155" s="128"/>
      <x:c r="P155" s="128"/>
      <x:c r="Q155" s="128"/>
      <x:c r="R155" s="128"/>
      <x:c r="S155" s="128"/>
      <x:c r="T155" s="128"/>
    </x:row>
    <x:row r="156" ht="24" customHeight="1">
      <x:c r="C156" s="128" t="str">
        <x:v>The supplied code embeds the original actuals. Excel edits do not rewrite this embedded Python data.</x:v>
      </x:c>
      <x:c r="D156" s="128"/>
      <x:c r="E156" s="128"/>
      <x:c r="F156" s="128"/>
      <x:c r="G156" s="128"/>
      <x:c r="H156" s="128"/>
      <x:c r="I156" s="128"/>
      <x:c r="J156" s="128"/>
      <x:c r="K156" s="128"/>
      <x:c r="L156" s="128"/>
      <x:c r="M156" s="128"/>
      <x:c r="N156" s="128"/>
      <x:c r="O156" s="128"/>
      <x:c r="P156" s="128"/>
      <x:c r="Q156" s="128"/>
      <x:c r="R156" s="128"/>
      <x:c r="S156" s="128"/>
      <x:c r="T156" s="128"/>
    </x:row>
    <x:row r="157" ht="24" customHeight="1">
      <x:c r="C157" s="128" t="str">
        <x:v>Method: statsmodels OLSResults.HC3_se documentation. The Python script implements the same matrix formula directly.</x:v>
      </x:c>
      <x:c r="D157" s="128"/>
      <x:c r="E157" s="128"/>
      <x:c r="F157" s="128"/>
      <x:c r="G157" s="128"/>
      <x:c r="H157" s="128"/>
      <x:c r="I157" s="128"/>
      <x:c r="J157" s="128"/>
      <x:c r="K157" s="128"/>
      <x:c r="L157" s="128"/>
      <x:c r="M157" s="128"/>
      <x:c r="N157" s="128"/>
      <x:c r="O157" s="128"/>
      <x:c r="P157" s="128"/>
      <x:c r="Q157" s="128"/>
      <x:c r="R157" s="128"/>
      <x:c r="S157" s="128"/>
      <x:c r="T157" s="128"/>
    </x:row>
    <x:row r="158" ht="24" customHeight="1">
      <x:c r="C158" s="128"/>
      <x:c r="D158" s="128"/>
      <x:c r="E158" s="128"/>
      <x:c r="F158" s="128"/>
      <x:c r="G158" s="128"/>
      <x:c r="H158" s="128"/>
      <x:c r="I158" s="128"/>
      <x:c r="J158" s="128"/>
      <x:c r="K158" s="128"/>
      <x:c r="L158" s="128"/>
      <x:c r="M158" s="128"/>
      <x:c r="N158" s="128"/>
      <x:c r="O158" s="128"/>
      <x:c r="P158" s="128"/>
      <x:c r="Q158" s="128"/>
      <x:c r="R158" s="128"/>
      <x:c r="S158" s="128"/>
      <x:c r="T158" s="128"/>
    </x:row>
    <x:row r="159" ht="24" customHeight="1">
      <x:c r="C159" s="128"/>
      <x:c r="D159" s="128"/>
      <x:c r="E159" s="128"/>
      <x:c r="F159" s="128"/>
      <x:c r="G159" s="128"/>
      <x:c r="H159" s="128"/>
      <x:c r="I159" s="128"/>
      <x:c r="J159" s="128"/>
      <x:c r="K159" s="128"/>
      <x:c r="L159" s="128"/>
      <x:c r="M159" s="128"/>
      <x:c r="N159" s="128"/>
      <x:c r="O159" s="128"/>
      <x:c r="P159" s="128"/>
      <x:c r="Q159" s="128"/>
      <x:c r="R159" s="128"/>
      <x:c r="S159" s="128"/>
      <x:c r="T159" s="128"/>
    </x:row>
    <x:row r="160" ht="15" customHeight="1">
      <x:c r="C160" s="202" t="str">
        <x:v>"""Microsoft historical OLS and HC3 analysis. Copy this entire file from Excel.</x:v>
      </x:c>
      <x:c r="D160" s="202"/>
      <x:c r="E160" s="202"/>
      <x:c r="F160" s="202"/>
      <x:c r="G160" s="202"/>
      <x:c r="H160" s="202"/>
      <x:c r="I160" s="202"/>
      <x:c r="J160" s="202"/>
      <x:c r="K160" s="202"/>
      <x:c r="L160" s="202"/>
      <x:c r="M160" s="202"/>
      <x:c r="N160" s="202"/>
      <x:c r="O160" s="202"/>
      <x:c r="P160" s="202"/>
      <x:c r="Q160" s="202"/>
      <x:c r="R160" s="202"/>
      <x:c r="S160" s="202"/>
      <x:c r="T160" s="202"/>
    </x:row>
    <x:row r="161" ht="15" customHeight="1">
      <x:c r="C161" s="202" t="str"/>
      <x:c r="D161" s="202"/>
      <x:c r="E161" s="202"/>
      <x:c r="F161" s="202"/>
      <x:c r="G161" s="202"/>
      <x:c r="H161" s="202"/>
      <x:c r="I161" s="202"/>
      <x:c r="J161" s="202"/>
      <x:c r="K161" s="202"/>
      <x:c r="L161" s="202"/>
      <x:c r="M161" s="202"/>
      <x:c r="N161" s="202"/>
      <x:c r="O161" s="202"/>
      <x:c r="P161" s="202"/>
      <x:c r="Q161" s="202"/>
      <x:c r="R161" s="202"/>
      <x:c r="S161" s="202"/>
      <x:c r="T161" s="202"/>
    </x:row>
    <x:row r="162" ht="15" customHeight="1">
      <x:c r="C162" s="202" t="str">
        <x:v>Install dependencies: python -m pip install numpy scipy matplotlib</x:v>
      </x:c>
      <x:c r="D162" s="202"/>
      <x:c r="E162" s="202"/>
      <x:c r="F162" s="202"/>
      <x:c r="G162" s="202"/>
      <x:c r="H162" s="202"/>
      <x:c r="I162" s="202"/>
      <x:c r="J162" s="202"/>
      <x:c r="K162" s="202"/>
      <x:c r="L162" s="202"/>
      <x:c r="M162" s="202"/>
      <x:c r="N162" s="202"/>
      <x:c r="O162" s="202"/>
      <x:c r="P162" s="202"/>
      <x:c r="Q162" s="202"/>
      <x:c r="R162" s="202"/>
      <x:c r="S162" s="202"/>
      <x:c r="T162" s="202"/>
    </x:row>
    <x:row r="163" ht="15" customHeight="1">
      <x:c r="C163" s="202" t="str">
        <x:v>Run: python regression_analysis.py --out regression_output</x:v>
      </x:c>
      <x:c r="D163" s="202"/>
      <x:c r="E163" s="202"/>
      <x:c r="F163" s="202"/>
      <x:c r="G163" s="202"/>
      <x:c r="H163" s="202"/>
      <x:c r="I163" s="202"/>
      <x:c r="J163" s="202"/>
      <x:c r="K163" s="202"/>
      <x:c r="L163" s="202"/>
      <x:c r="M163" s="202"/>
      <x:c r="N163" s="202"/>
      <x:c r="O163" s="202"/>
      <x:c r="P163" s="202"/>
      <x:c r="Q163" s="202"/>
      <x:c r="R163" s="202"/>
      <x:c r="S163" s="202"/>
      <x:c r="T163" s="202"/>
    </x:row>
    <x:row r="164" ht="15" customHeight="1">
      <x:c r="C164" s="202" t="str">
        <x:v>Optional refreshed data: --csv input.csv (year,revenue,cfo columns).</x:v>
      </x:c>
      <x:c r="D164" s="202"/>
      <x:c r="E164" s="202"/>
      <x:c r="F164" s="202"/>
      <x:c r="G164" s="202"/>
      <x:c r="H164" s="202"/>
      <x:c r="I164" s="202"/>
      <x:c r="J164" s="202"/>
      <x:c r="K164" s="202"/>
      <x:c r="L164" s="202"/>
      <x:c r="M164" s="202"/>
      <x:c r="N164" s="202"/>
      <x:c r="O164" s="202"/>
      <x:c r="P164" s="202"/>
      <x:c r="Q164" s="202"/>
      <x:c r="R164" s="202"/>
      <x:c r="S164" s="202"/>
      <x:c r="T164" s="202"/>
    </x:row>
    <x:row r="165" ht="15" customHeight="1">
      <x:c r="C165" s="202" t="str">
        <x:v>"""</x:v>
      </x:c>
      <x:c r="D165" s="202"/>
      <x:c r="E165" s="202"/>
      <x:c r="F165" s="202"/>
      <x:c r="G165" s="202"/>
      <x:c r="H165" s="202"/>
      <x:c r="I165" s="202"/>
      <x:c r="J165" s="202"/>
      <x:c r="K165" s="202"/>
      <x:c r="L165" s="202"/>
      <x:c r="M165" s="202"/>
      <x:c r="N165" s="202"/>
      <x:c r="O165" s="202"/>
      <x:c r="P165" s="202"/>
      <x:c r="Q165" s="202"/>
      <x:c r="R165" s="202"/>
      <x:c r="S165" s="202"/>
      <x:c r="T165" s="202"/>
    </x:row>
    <x:row r="166" ht="15" customHeight="1">
      <x:c r="C166" s="202" t="str"/>
      <x:c r="D166" s="202"/>
      <x:c r="E166" s="202"/>
      <x:c r="F166" s="202"/>
      <x:c r="G166" s="202"/>
      <x:c r="H166" s="202"/>
      <x:c r="I166" s="202"/>
      <x:c r="J166" s="202"/>
      <x:c r="K166" s="202"/>
      <x:c r="L166" s="202"/>
      <x:c r="M166" s="202"/>
      <x:c r="N166" s="202"/>
      <x:c r="O166" s="202"/>
      <x:c r="P166" s="202"/>
      <x:c r="Q166" s="202"/>
      <x:c r="R166" s="202"/>
      <x:c r="S166" s="202"/>
      <x:c r="T166" s="202"/>
    </x:row>
    <x:row r="167" ht="15" customHeight="1">
      <x:c r="C167" s="202" t="str">
        <x:v>import argparse</x:v>
      </x:c>
      <x:c r="D167" s="202"/>
      <x:c r="E167" s="202"/>
      <x:c r="F167" s="202"/>
      <x:c r="G167" s="202"/>
      <x:c r="H167" s="202"/>
      <x:c r="I167" s="202"/>
      <x:c r="J167" s="202"/>
      <x:c r="K167" s="202"/>
      <x:c r="L167" s="202"/>
      <x:c r="M167" s="202"/>
      <x:c r="N167" s="202"/>
      <x:c r="O167" s="202"/>
      <x:c r="P167" s="202"/>
      <x:c r="Q167" s="202"/>
      <x:c r="R167" s="202"/>
      <x:c r="S167" s="202"/>
      <x:c r="T167" s="202"/>
    </x:row>
    <x:row r="168" ht="15" customHeight="1">
      <x:c r="C168" s="202" t="str">
        <x:v>import csv</x:v>
      </x:c>
      <x:c r="D168" s="202"/>
      <x:c r="E168" s="202"/>
      <x:c r="F168" s="202"/>
      <x:c r="G168" s="202"/>
      <x:c r="H168" s="202"/>
      <x:c r="I168" s="202"/>
      <x:c r="J168" s="202"/>
      <x:c r="K168" s="202"/>
      <x:c r="L168" s="202"/>
      <x:c r="M168" s="202"/>
      <x:c r="N168" s="202"/>
      <x:c r="O168" s="202"/>
      <x:c r="P168" s="202"/>
      <x:c r="Q168" s="202"/>
      <x:c r="R168" s="202"/>
      <x:c r="S168" s="202"/>
      <x:c r="T168" s="202"/>
    </x:row>
    <x:row r="169" ht="15" customHeight="1">
      <x:c r="C169" s="202" t="str">
        <x:v>import json</x:v>
      </x:c>
      <x:c r="D169" s="202"/>
      <x:c r="E169" s="202"/>
      <x:c r="F169" s="202"/>
      <x:c r="G169" s="202"/>
      <x:c r="H169" s="202"/>
      <x:c r="I169" s="202"/>
      <x:c r="J169" s="202"/>
      <x:c r="K169" s="202"/>
      <x:c r="L169" s="202"/>
      <x:c r="M169" s="202"/>
      <x:c r="N169" s="202"/>
      <x:c r="O169" s="202"/>
      <x:c r="P169" s="202"/>
      <x:c r="Q169" s="202"/>
      <x:c r="R169" s="202"/>
      <x:c r="S169" s="202"/>
      <x:c r="T169" s="202"/>
    </x:row>
    <x:row r="170" ht="15" customHeight="1">
      <x:c r="C170" s="202" t="str">
        <x:v>from pathlib import Path</x:v>
      </x:c>
      <x:c r="D170" s="202"/>
      <x:c r="E170" s="202"/>
      <x:c r="F170" s="202"/>
      <x:c r="G170" s="202"/>
      <x:c r="H170" s="202"/>
      <x:c r="I170" s="202"/>
      <x:c r="J170" s="202"/>
      <x:c r="K170" s="202"/>
      <x:c r="L170" s="202"/>
      <x:c r="M170" s="202"/>
      <x:c r="N170" s="202"/>
      <x:c r="O170" s="202"/>
      <x:c r="P170" s="202"/>
      <x:c r="Q170" s="202"/>
      <x:c r="R170" s="202"/>
      <x:c r="S170" s="202"/>
      <x:c r="T170" s="202"/>
    </x:row>
    <x:row r="171" ht="15" customHeight="1">
      <x:c r="C171" s="202" t="str"/>
      <x:c r="D171" s="202"/>
      <x:c r="E171" s="202"/>
      <x:c r="F171" s="202"/>
      <x:c r="G171" s="202"/>
      <x:c r="H171" s="202"/>
      <x:c r="I171" s="202"/>
      <x:c r="J171" s="202"/>
      <x:c r="K171" s="202"/>
      <x:c r="L171" s="202"/>
      <x:c r="M171" s="202"/>
      <x:c r="N171" s="202"/>
      <x:c r="O171" s="202"/>
      <x:c r="P171" s="202"/>
      <x:c r="Q171" s="202"/>
      <x:c r="R171" s="202"/>
      <x:c r="S171" s="202"/>
      <x:c r="T171" s="202"/>
    </x:row>
    <x:row r="172" ht="15" customHeight="1">
      <x:c r="C172" s="202" t="str">
        <x:v>import numpy as np</x:v>
      </x:c>
      <x:c r="D172" s="202"/>
      <x:c r="E172" s="202"/>
      <x:c r="F172" s="202"/>
      <x:c r="G172" s="202"/>
      <x:c r="H172" s="202"/>
      <x:c r="I172" s="202"/>
      <x:c r="J172" s="202"/>
      <x:c r="K172" s="202"/>
      <x:c r="L172" s="202"/>
      <x:c r="M172" s="202"/>
      <x:c r="N172" s="202"/>
      <x:c r="O172" s="202"/>
      <x:c r="P172" s="202"/>
      <x:c r="Q172" s="202"/>
      <x:c r="R172" s="202"/>
      <x:c r="S172" s="202"/>
      <x:c r="T172" s="202"/>
    </x:row>
    <x:row r="173" ht="15" customHeight="1">
      <x:c r="C173" s="202" t="str">
        <x:v>from scipy.stats import t</x:v>
      </x:c>
      <x:c r="D173" s="202"/>
      <x:c r="E173" s="202"/>
      <x:c r="F173" s="202"/>
      <x:c r="G173" s="202"/>
      <x:c r="H173" s="202"/>
      <x:c r="I173" s="202"/>
      <x:c r="J173" s="202"/>
      <x:c r="K173" s="202"/>
      <x:c r="L173" s="202"/>
      <x:c r="M173" s="202"/>
      <x:c r="N173" s="202"/>
      <x:c r="O173" s="202"/>
      <x:c r="P173" s="202"/>
      <x:c r="Q173" s="202"/>
      <x:c r="R173" s="202"/>
      <x:c r="S173" s="202"/>
      <x:c r="T173" s="202"/>
    </x:row>
    <x:row r="174" ht="15" customHeight="1">
      <x:c r="C174" s="202" t="str"/>
      <x:c r="D174" s="202"/>
      <x:c r="E174" s="202"/>
      <x:c r="F174" s="202"/>
      <x:c r="G174" s="202"/>
      <x:c r="H174" s="202"/>
      <x:c r="I174" s="202"/>
      <x:c r="J174" s="202"/>
      <x:c r="K174" s="202"/>
      <x:c r="L174" s="202"/>
      <x:c r="M174" s="202"/>
      <x:c r="N174" s="202"/>
      <x:c r="O174" s="202"/>
      <x:c r="P174" s="202"/>
      <x:c r="Q174" s="202"/>
      <x:c r="R174" s="202"/>
      <x:c r="S174" s="202"/>
      <x:c r="T174" s="202"/>
    </x:row>
    <x:row r="175" ht="15" customHeight="1">
      <x:c r="C175" s="202" t="str"/>
      <x:c r="D175" s="202"/>
      <x:c r="E175" s="202"/>
      <x:c r="F175" s="202"/>
      <x:c r="G175" s="202"/>
      <x:c r="H175" s="202"/>
      <x:c r="I175" s="202"/>
      <x:c r="J175" s="202"/>
      <x:c r="K175" s="202"/>
      <x:c r="L175" s="202"/>
      <x:c r="M175" s="202"/>
      <x:c r="N175" s="202"/>
      <x:c r="O175" s="202"/>
      <x:c r="P175" s="202"/>
      <x:c r="Q175" s="202"/>
      <x:c r="R175" s="202"/>
      <x:c r="S175" s="202"/>
      <x:c r="T175" s="202"/>
    </x:row>
    <x:row r="176" ht="15" customHeight="1">
      <x:c r="C176" s="202" t="str">
        <x:v># USD millions. FY2017-FY2026 source extracts, cutoff 8 October 2026.</x:v>
      </x:c>
      <x:c r="D176" s="202"/>
      <x:c r="E176" s="202"/>
      <x:c r="F176" s="202"/>
      <x:c r="G176" s="202"/>
      <x:c r="H176" s="202"/>
      <x:c r="I176" s="202"/>
      <x:c r="J176" s="202"/>
      <x:c r="K176" s="202"/>
      <x:c r="L176" s="202"/>
      <x:c r="M176" s="202"/>
      <x:c r="N176" s="202"/>
      <x:c r="O176" s="202"/>
      <x:c r="P176" s="202"/>
      <x:c r="Q176" s="202"/>
      <x:c r="R176" s="202"/>
      <x:c r="S176" s="202"/>
      <x:c r="T176" s="202"/>
    </x:row>
    <x:row r="177" ht="15" customHeight="1">
      <x:c r="C177" s="202" t="str">
        <x:v># Revenue: Historical Inputs row 9. CFO: Historical Inputs row 80.</x:v>
      </x:c>
      <x:c r="D177" s="202"/>
      <x:c r="E177" s="202"/>
      <x:c r="F177" s="202"/>
      <x:c r="G177" s="202"/>
      <x:c r="H177" s="202"/>
      <x:c r="I177" s="202"/>
      <x:c r="J177" s="202"/>
      <x:c r="K177" s="202"/>
      <x:c r="L177" s="202"/>
      <x:c r="M177" s="202"/>
      <x:c r="N177" s="202"/>
      <x:c r="O177" s="202"/>
      <x:c r="P177" s="202"/>
      <x:c r="Q177" s="202"/>
      <x:c r="R177" s="202"/>
      <x:c r="S177" s="202"/>
      <x:c r="T177" s="202"/>
    </x:row>
    <x:row r="178" ht="15" customHeight="1">
      <x:c r="C178" s="202" t="str">
        <x:v>DATA = [</x:v>
      </x:c>
      <x:c r="D178" s="202"/>
      <x:c r="E178" s="202"/>
      <x:c r="F178" s="202"/>
      <x:c r="G178" s="202"/>
      <x:c r="H178" s="202"/>
      <x:c r="I178" s="202"/>
      <x:c r="J178" s="202"/>
      <x:c r="K178" s="202"/>
      <x:c r="L178" s="202"/>
      <x:c r="M178" s="202"/>
      <x:c r="N178" s="202"/>
      <x:c r="O178" s="202"/>
      <x:c r="P178" s="202"/>
      <x:c r="Q178" s="202"/>
      <x:c r="R178" s="202"/>
      <x:c r="S178" s="202"/>
      <x:c r="T178" s="202"/>
    </x:row>
    <x:row r="179" ht="15" customHeight="1">
      <x:c r="C179" s="202" t="str">
        <x:v>    (2017, 96571, 39507), (2018, 110360, 43884),</x:v>
      </x:c>
      <x:c r="D179" s="202"/>
      <x:c r="E179" s="202"/>
      <x:c r="F179" s="202"/>
      <x:c r="G179" s="202"/>
      <x:c r="H179" s="202"/>
      <x:c r="I179" s="202"/>
      <x:c r="J179" s="202"/>
      <x:c r="K179" s="202"/>
      <x:c r="L179" s="202"/>
      <x:c r="M179" s="202"/>
      <x:c r="N179" s="202"/>
      <x:c r="O179" s="202"/>
      <x:c r="P179" s="202"/>
      <x:c r="Q179" s="202"/>
      <x:c r="R179" s="202"/>
      <x:c r="S179" s="202"/>
      <x:c r="T179" s="202"/>
    </x:row>
    <x:row r="180" ht="15" customHeight="1">
      <x:c r="C180" s="202" t="str">
        <x:v>    (2019, 125843, 52185), (2020, 143015, 60675),</x:v>
      </x:c>
      <x:c r="D180" s="202"/>
      <x:c r="E180" s="202"/>
      <x:c r="F180" s="202"/>
      <x:c r="G180" s="202"/>
      <x:c r="H180" s="202"/>
      <x:c r="I180" s="202"/>
      <x:c r="J180" s="202"/>
      <x:c r="K180" s="202"/>
      <x:c r="L180" s="202"/>
      <x:c r="M180" s="202"/>
      <x:c r="N180" s="202"/>
      <x:c r="O180" s="202"/>
      <x:c r="P180" s="202"/>
      <x:c r="Q180" s="202"/>
      <x:c r="R180" s="202"/>
      <x:c r="S180" s="202"/>
      <x:c r="T180" s="202"/>
    </x:row>
    <x:row r="181" ht="15" customHeight="1">
      <x:c r="C181" s="202" t="str">
        <x:v>    (2021, 168088, 76740), (2022, 198270, 89035),</x:v>
      </x:c>
      <x:c r="D181" s="202"/>
      <x:c r="E181" s="202"/>
      <x:c r="F181" s="202"/>
      <x:c r="G181" s="202"/>
      <x:c r="H181" s="202"/>
      <x:c r="I181" s="202"/>
      <x:c r="J181" s="202"/>
      <x:c r="K181" s="202"/>
      <x:c r="L181" s="202"/>
      <x:c r="M181" s="202"/>
      <x:c r="N181" s="202"/>
      <x:c r="O181" s="202"/>
      <x:c r="P181" s="202"/>
      <x:c r="Q181" s="202"/>
      <x:c r="R181" s="202"/>
      <x:c r="S181" s="202"/>
      <x:c r="T181" s="202"/>
    </x:row>
    <x:row r="182" ht="15" customHeight="1">
      <x:c r="C182" s="202" t="str">
        <x:v>    (2023, 211915, 87582), (2024, 245122, 118548),</x:v>
      </x:c>
      <x:c r="D182" s="202"/>
      <x:c r="E182" s="202"/>
      <x:c r="F182" s="202"/>
      <x:c r="G182" s="202"/>
      <x:c r="H182" s="202"/>
      <x:c r="I182" s="202"/>
      <x:c r="J182" s="202"/>
      <x:c r="K182" s="202"/>
      <x:c r="L182" s="202"/>
      <x:c r="M182" s="202"/>
      <x:c r="N182" s="202"/>
      <x:c r="O182" s="202"/>
      <x:c r="P182" s="202"/>
      <x:c r="Q182" s="202"/>
      <x:c r="R182" s="202"/>
      <x:c r="S182" s="202"/>
      <x:c r="T182" s="202"/>
    </x:row>
    <x:row r="183" ht="15" customHeight="1">
      <x:c r="C183" s="202" t="str">
        <x:v>    (2025, 281724, 136162), (2026, 331839, 182935),</x:v>
      </x:c>
      <x:c r="D183" s="202"/>
      <x:c r="E183" s="202"/>
      <x:c r="F183" s="202"/>
      <x:c r="G183" s="202"/>
      <x:c r="H183" s="202"/>
      <x:c r="I183" s="202"/>
      <x:c r="J183" s="202"/>
      <x:c r="K183" s="202"/>
      <x:c r="L183" s="202"/>
      <x:c r="M183" s="202"/>
      <x:c r="N183" s="202"/>
      <x:c r="O183" s="202"/>
      <x:c r="P183" s="202"/>
      <x:c r="Q183" s="202"/>
      <x:c r="R183" s="202"/>
      <x:c r="S183" s="202"/>
      <x:c r="T183" s="202"/>
    </x:row>
    <x:row r="184" ht="15" customHeight="1">
      <x:c r="C184" s="202" t="str">
        <x:v>]</x:v>
      </x:c>
      <x:c r="D184" s="202"/>
      <x:c r="E184" s="202"/>
      <x:c r="F184" s="202"/>
      <x:c r="G184" s="202"/>
      <x:c r="H184" s="202"/>
      <x:c r="I184" s="202"/>
      <x:c r="J184" s="202"/>
      <x:c r="K184" s="202"/>
      <x:c r="L184" s="202"/>
      <x:c r="M184" s="202"/>
      <x:c r="N184" s="202"/>
      <x:c r="O184" s="202"/>
      <x:c r="P184" s="202"/>
      <x:c r="Q184" s="202"/>
      <x:c r="R184" s="202"/>
      <x:c r="S184" s="202"/>
      <x:c r="T184" s="202"/>
    </x:row>
    <x:row r="185" ht="15" customHeight="1">
      <x:c r="C185" s="202" t="str">
        <x:v>METHOD_SOURCE = (</x:v>
      </x:c>
      <x:c r="D185" s="202"/>
      <x:c r="E185" s="202"/>
      <x:c r="F185" s="202"/>
      <x:c r="G185" s="202"/>
      <x:c r="H185" s="202"/>
      <x:c r="I185" s="202"/>
      <x:c r="J185" s="202"/>
      <x:c r="K185" s="202"/>
      <x:c r="L185" s="202"/>
      <x:c r="M185" s="202"/>
      <x:c r="N185" s="202"/>
      <x:c r="O185" s="202"/>
      <x:c r="P185" s="202"/>
      <x:c r="Q185" s="202"/>
      <x:c r="R185" s="202"/>
      <x:c r="S185" s="202"/>
      <x:c r="T185" s="202"/>
    </x:row>
    <x:row r="186" ht="15" customHeight="1">
      <x:c r="C186" s="202" t="str">
        <x:v>    "https://www.statsmodels.org/stable/generated/"</x:v>
      </x:c>
      <x:c r="D186" s="202"/>
      <x:c r="E186" s="202"/>
      <x:c r="F186" s="202"/>
      <x:c r="G186" s="202"/>
      <x:c r="H186" s="202"/>
      <x:c r="I186" s="202"/>
      <x:c r="J186" s="202"/>
      <x:c r="K186" s="202"/>
      <x:c r="L186" s="202"/>
      <x:c r="M186" s="202"/>
      <x:c r="N186" s="202"/>
      <x:c r="O186" s="202"/>
      <x:c r="P186" s="202"/>
      <x:c r="Q186" s="202"/>
      <x:c r="R186" s="202"/>
      <x:c r="S186" s="202"/>
      <x:c r="T186" s="202"/>
    </x:row>
    <x:row r="187" ht="15" customHeight="1">
      <x:c r="C187" s="202" t="str">
        <x:v>    "statsmodels.regression.linear_model.OLSResults.HC3_se.html"</x:v>
      </x:c>
      <x:c r="D187" s="202"/>
      <x:c r="E187" s="202"/>
      <x:c r="F187" s="202"/>
      <x:c r="G187" s="202"/>
      <x:c r="H187" s="202"/>
      <x:c r="I187" s="202"/>
      <x:c r="J187" s="202"/>
      <x:c r="K187" s="202"/>
      <x:c r="L187" s="202"/>
      <x:c r="M187" s="202"/>
      <x:c r="N187" s="202"/>
      <x:c r="O187" s="202"/>
      <x:c r="P187" s="202"/>
      <x:c r="Q187" s="202"/>
      <x:c r="R187" s="202"/>
      <x:c r="S187" s="202"/>
      <x:c r="T187" s="202"/>
    </x:row>
    <x:row r="188" ht="15" customHeight="1">
      <x:c r="C188" s="202" t="str">
        <x:v>)</x:v>
      </x:c>
      <x:c r="D188" s="202"/>
      <x:c r="E188" s="202"/>
      <x:c r="F188" s="202"/>
      <x:c r="G188" s="202"/>
      <x:c r="H188" s="202"/>
      <x:c r="I188" s="202"/>
      <x:c r="J188" s="202"/>
      <x:c r="K188" s="202"/>
      <x:c r="L188" s="202"/>
      <x:c r="M188" s="202"/>
      <x:c r="N188" s="202"/>
      <x:c r="O188" s="202"/>
      <x:c r="P188" s="202"/>
      <x:c r="Q188" s="202"/>
      <x:c r="R188" s="202"/>
      <x:c r="S188" s="202"/>
      <x:c r="T188" s="202"/>
    </x:row>
    <x:row r="189" ht="15" customHeight="1">
      <x:c r="C189" s="202" t="str"/>
      <x:c r="D189" s="202"/>
      <x:c r="E189" s="202"/>
      <x:c r="F189" s="202"/>
      <x:c r="G189" s="202"/>
      <x:c r="H189" s="202"/>
      <x:c r="I189" s="202"/>
      <x:c r="J189" s="202"/>
      <x:c r="K189" s="202"/>
      <x:c r="L189" s="202"/>
      <x:c r="M189" s="202"/>
      <x:c r="N189" s="202"/>
      <x:c r="O189" s="202"/>
      <x:c r="P189" s="202"/>
      <x:c r="Q189" s="202"/>
      <x:c r="R189" s="202"/>
      <x:c r="S189" s="202"/>
      <x:c r="T189" s="202"/>
    </x:row>
    <x:row r="190" ht="15" customHeight="1">
      <x:c r="C190" s="202" t="str"/>
      <x:c r="D190" s="202"/>
      <x:c r="E190" s="202"/>
      <x:c r="F190" s="202"/>
      <x:c r="G190" s="202"/>
      <x:c r="H190" s="202"/>
      <x:c r="I190" s="202"/>
      <x:c r="J190" s="202"/>
      <x:c r="K190" s="202"/>
      <x:c r="L190" s="202"/>
      <x:c r="M190" s="202"/>
      <x:c r="N190" s="202"/>
      <x:c r="O190" s="202"/>
      <x:c r="P190" s="202"/>
      <x:c r="Q190" s="202"/>
      <x:c r="R190" s="202"/>
      <x:c r="S190" s="202"/>
      <x:c r="T190" s="202"/>
    </x:row>
    <x:row r="191" ht="15" customHeight="1">
      <x:c r="C191" s="202" t="str">
        <x:v>def fit_ols_hc3(x, y, years):</x:v>
      </x:c>
      <x:c r="D191" s="202"/>
      <x:c r="E191" s="202"/>
      <x:c r="F191" s="202"/>
      <x:c r="G191" s="202"/>
      <x:c r="H191" s="202"/>
      <x:c r="I191" s="202"/>
      <x:c r="J191" s="202"/>
      <x:c r="K191" s="202"/>
      <x:c r="L191" s="202"/>
      <x:c r="M191" s="202"/>
      <x:c r="N191" s="202"/>
      <x:c r="O191" s="202"/>
      <x:c r="P191" s="202"/>
      <x:c r="Q191" s="202"/>
      <x:c r="R191" s="202"/>
      <x:c r="S191" s="202"/>
      <x:c r="T191" s="202"/>
    </x:row>
    <x:row r="192" ht="15" customHeight="1">
      <x:c r="C192" s="202" t="str">
        <x:v>    """An intercept and one slope. Student t inference uses n-2 degrees of freedom."""</x:v>
      </x:c>
      <x:c r="D192" s="202"/>
      <x:c r="E192" s="202"/>
      <x:c r="F192" s="202"/>
      <x:c r="G192" s="202"/>
      <x:c r="H192" s="202"/>
      <x:c r="I192" s="202"/>
      <x:c r="J192" s="202"/>
      <x:c r="K192" s="202"/>
      <x:c r="L192" s="202"/>
      <x:c r="M192" s="202"/>
      <x:c r="N192" s="202"/>
      <x:c r="O192" s="202"/>
      <x:c r="P192" s="202"/>
      <x:c r="Q192" s="202"/>
      <x:c r="R192" s="202"/>
      <x:c r="S192" s="202"/>
      <x:c r="T192" s="202"/>
    </x:row>
    <x:row r="193" ht="15" customHeight="1">
      <x:c r="C193" s="202" t="str">
        <x:v>    x, y = np.asarray(x, dtype=float), np.asarray(y, dtype=float)</x:v>
      </x:c>
      <x:c r="D193" s="202"/>
      <x:c r="E193" s="202"/>
      <x:c r="F193" s="202"/>
      <x:c r="G193" s="202"/>
      <x:c r="H193" s="202"/>
      <x:c r="I193" s="202"/>
      <x:c r="J193" s="202"/>
      <x:c r="K193" s="202"/>
      <x:c r="L193" s="202"/>
      <x:c r="M193" s="202"/>
      <x:c r="N193" s="202"/>
      <x:c r="O193" s="202"/>
      <x:c r="P193" s="202"/>
      <x:c r="Q193" s="202"/>
      <x:c r="R193" s="202"/>
      <x:c r="S193" s="202"/>
      <x:c r="T193" s="202"/>
    </x:row>
    <x:row r="194" ht="15" customHeight="1">
      <x:c r="C194" s="202" t="str">
        <x:v>    n = len(x)</x:v>
      </x:c>
      <x:c r="D194" s="202"/>
      <x:c r="E194" s="202"/>
      <x:c r="F194" s="202"/>
      <x:c r="G194" s="202"/>
      <x:c r="H194" s="202"/>
      <x:c r="I194" s="202"/>
      <x:c r="J194" s="202"/>
      <x:c r="K194" s="202"/>
      <x:c r="L194" s="202"/>
      <x:c r="M194" s="202"/>
      <x:c r="N194" s="202"/>
      <x:c r="O194" s="202"/>
      <x:c r="P194" s="202"/>
      <x:c r="Q194" s="202"/>
      <x:c r="R194" s="202"/>
      <x:c r="S194" s="202"/>
      <x:c r="T194" s="202"/>
    </x:row>
    <x:row r="195" ht="15" customHeight="1">
      <x:c r="C195" s="202" t="str">
        <x:v>    if n &lt; 4 or len(y) != n or not np.all(np.isfinite(x + y)):</x:v>
      </x:c>
      <x:c r="D195" s="202"/>
      <x:c r="E195" s="202"/>
      <x:c r="F195" s="202"/>
      <x:c r="G195" s="202"/>
      <x:c r="H195" s="202"/>
      <x:c r="I195" s="202"/>
      <x:c r="J195" s="202"/>
      <x:c r="K195" s="202"/>
      <x:c r="L195" s="202"/>
      <x:c r="M195" s="202"/>
      <x:c r="N195" s="202"/>
      <x:c r="O195" s="202"/>
      <x:c r="P195" s="202"/>
      <x:c r="Q195" s="202"/>
      <x:c r="R195" s="202"/>
      <x:c r="S195" s="202"/>
      <x:c r="T195" s="202"/>
    </x:row>
    <x:row r="196" ht="15" customHeight="1">
      <x:c r="C196" s="202" t="str">
        <x:v>        raise ValueError("Need at least four finite matching observations")</x:v>
      </x:c>
      <x:c r="D196" s="202"/>
      <x:c r="E196" s="202"/>
      <x:c r="F196" s="202"/>
      <x:c r="G196" s="202"/>
      <x:c r="H196" s="202"/>
      <x:c r="I196" s="202"/>
      <x:c r="J196" s="202"/>
      <x:c r="K196" s="202"/>
      <x:c r="L196" s="202"/>
      <x:c r="M196" s="202"/>
      <x:c r="N196" s="202"/>
      <x:c r="O196" s="202"/>
      <x:c r="P196" s="202"/>
      <x:c r="Q196" s="202"/>
      <x:c r="R196" s="202"/>
      <x:c r="S196" s="202"/>
      <x:c r="T196" s="202"/>
    </x:row>
    <x:row r="197" ht="15" customHeight="1">
      <x:c r="C197" s="202" t="str">
        <x:v>    design = np.column_stack([np.ones(n), x])</x:v>
      </x:c>
      <x:c r="D197" s="202"/>
      <x:c r="E197" s="202"/>
      <x:c r="F197" s="202"/>
      <x:c r="G197" s="202"/>
      <x:c r="H197" s="202"/>
      <x:c r="I197" s="202"/>
      <x:c r="J197" s="202"/>
      <x:c r="K197" s="202"/>
      <x:c r="L197" s="202"/>
      <x:c r="M197" s="202"/>
      <x:c r="N197" s="202"/>
      <x:c r="O197" s="202"/>
      <x:c r="P197" s="202"/>
      <x:c r="Q197" s="202"/>
      <x:c r="R197" s="202"/>
      <x:c r="S197" s="202"/>
      <x:c r="T197" s="202"/>
    </x:row>
    <x:row r="198" ht="15" customHeight="1">
      <x:c r="C198" s="202" t="str">
        <x:v>    if np.linalg.matrix_rank(design) != 2:</x:v>
      </x:c>
      <x:c r="D198" s="202"/>
      <x:c r="E198" s="202"/>
      <x:c r="F198" s="202"/>
      <x:c r="G198" s="202"/>
      <x:c r="H198" s="202"/>
      <x:c r="I198" s="202"/>
      <x:c r="J198" s="202"/>
      <x:c r="K198" s="202"/>
      <x:c r="L198" s="202"/>
      <x:c r="M198" s="202"/>
      <x:c r="N198" s="202"/>
      <x:c r="O198" s="202"/>
      <x:c r="P198" s="202"/>
      <x:c r="Q198" s="202"/>
      <x:c r="R198" s="202"/>
      <x:c r="S198" s="202"/>
      <x:c r="T198" s="202"/>
    </x:row>
    <x:row r="199" ht="15" customHeight="1">
      <x:c r="C199" s="202" t="str">
        <x:v>        raise ValueError("Regressor is constant")</x:v>
      </x:c>
      <x:c r="D199" s="202"/>
      <x:c r="E199" s="202"/>
      <x:c r="F199" s="202"/>
      <x:c r="G199" s="202"/>
      <x:c r="H199" s="202"/>
      <x:c r="I199" s="202"/>
      <x:c r="J199" s="202"/>
      <x:c r="K199" s="202"/>
      <x:c r="L199" s="202"/>
      <x:c r="M199" s="202"/>
      <x:c r="N199" s="202"/>
      <x:c r="O199" s="202"/>
      <x:c r="P199" s="202"/>
      <x:c r="Q199" s="202"/>
      <x:c r="R199" s="202"/>
      <x:c r="S199" s="202"/>
      <x:c r="T199" s="202"/>
    </x:row>
    <x:row r="200" ht="15" customHeight="1">
      <x:c r="C200" s="202" t="str">
        <x:v>    beta = np.linalg.lstsq(design, y, rcond=None)[0]</x:v>
      </x:c>
      <x:c r="D200" s="202"/>
      <x:c r="E200" s="202"/>
      <x:c r="F200" s="202"/>
      <x:c r="G200" s="202"/>
      <x:c r="H200" s="202"/>
      <x:c r="I200" s="202"/>
      <x:c r="J200" s="202"/>
      <x:c r="K200" s="202"/>
      <x:c r="L200" s="202"/>
      <x:c r="M200" s="202"/>
      <x:c r="N200" s="202"/>
      <x:c r="O200" s="202"/>
      <x:c r="P200" s="202"/>
      <x:c r="Q200" s="202"/>
      <x:c r="R200" s="202"/>
      <x:c r="S200" s="202"/>
      <x:c r="T200" s="202"/>
    </x:row>
    <x:row r="201" ht="15" customHeight="1">
      <x:c r="C201" s="202" t="str">
        <x:v>    fitted = design @ beta</x:v>
      </x:c>
      <x:c r="D201" s="202"/>
      <x:c r="E201" s="202"/>
      <x:c r="F201" s="202"/>
      <x:c r="G201" s="202"/>
      <x:c r="H201" s="202"/>
      <x:c r="I201" s="202"/>
      <x:c r="J201" s="202"/>
      <x:c r="K201" s="202"/>
      <x:c r="L201" s="202"/>
      <x:c r="M201" s="202"/>
      <x:c r="N201" s="202"/>
      <x:c r="O201" s="202"/>
      <x:c r="P201" s="202"/>
      <x:c r="Q201" s="202"/>
      <x:c r="R201" s="202"/>
      <x:c r="S201" s="202"/>
      <x:c r="T201" s="202"/>
    </x:row>
    <x:row r="202" ht="15" customHeight="1">
      <x:c r="C202" s="202" t="str">
        <x:v>    residual = y - fitted</x:v>
      </x:c>
      <x:c r="D202" s="202"/>
      <x:c r="E202" s="202"/>
      <x:c r="F202" s="202"/>
      <x:c r="G202" s="202"/>
      <x:c r="H202" s="202"/>
      <x:c r="I202" s="202"/>
      <x:c r="J202" s="202"/>
      <x:c r="K202" s="202"/>
      <x:c r="L202" s="202"/>
      <x:c r="M202" s="202"/>
      <x:c r="N202" s="202"/>
      <x:c r="O202" s="202"/>
      <x:c r="P202" s="202"/>
      <x:c r="Q202" s="202"/>
      <x:c r="R202" s="202"/>
      <x:c r="S202" s="202"/>
      <x:c r="T202" s="202"/>
    </x:row>
    <x:row r="203" ht="15" customHeight="1">
      <x:c r="C203" s="202" t="str">
        <x:v>    bread = np.linalg.inv(design.T @ design)</x:v>
      </x:c>
      <x:c r="D203" s="202"/>
      <x:c r="E203" s="202"/>
      <x:c r="F203" s="202"/>
      <x:c r="G203" s="202"/>
      <x:c r="H203" s="202"/>
      <x:c r="I203" s="202"/>
      <x:c r="J203" s="202"/>
      <x:c r="K203" s="202"/>
      <x:c r="L203" s="202"/>
      <x:c r="M203" s="202"/>
      <x:c r="N203" s="202"/>
      <x:c r="O203" s="202"/>
      <x:c r="P203" s="202"/>
      <x:c r="Q203" s="202"/>
      <x:c r="R203" s="202"/>
      <x:c r="S203" s="202"/>
      <x:c r="T203" s="202"/>
    </x:row>
    <x:row r="204" ht="15" customHeight="1">
      <x:c r="C204" s="202" t="str">
        <x:v>    leverage = np.einsum("ij,jk,ik-&gt;i", design, bread, design)</x:v>
      </x:c>
      <x:c r="D204" s="202"/>
      <x:c r="E204" s="202"/>
      <x:c r="F204" s="202"/>
      <x:c r="G204" s="202"/>
      <x:c r="H204" s="202"/>
      <x:c r="I204" s="202"/>
      <x:c r="J204" s="202"/>
      <x:c r="K204" s="202"/>
      <x:c r="L204" s="202"/>
      <x:c r="M204" s="202"/>
      <x:c r="N204" s="202"/>
      <x:c r="O204" s="202"/>
      <x:c r="P204" s="202"/>
      <x:c r="Q204" s="202"/>
      <x:c r="R204" s="202"/>
      <x:c r="S204" s="202"/>
      <x:c r="T204" s="202"/>
    </x:row>
    <x:row r="205" ht="15" customHeight="1">
      <x:c r="C205" s="202" t="str">
        <x:v>    if np.max(leverage) &gt;= 1:</x:v>
      </x:c>
      <x:c r="D205" s="202"/>
      <x:c r="E205" s="202"/>
      <x:c r="F205" s="202"/>
      <x:c r="G205" s="202"/>
      <x:c r="H205" s="202"/>
      <x:c r="I205" s="202"/>
      <x:c r="J205" s="202"/>
      <x:c r="K205" s="202"/>
      <x:c r="L205" s="202"/>
      <x:c r="M205" s="202"/>
      <x:c r="N205" s="202"/>
      <x:c r="O205" s="202"/>
      <x:c r="P205" s="202"/>
      <x:c r="Q205" s="202"/>
      <x:c r="R205" s="202"/>
      <x:c r="S205" s="202"/>
      <x:c r="T205" s="202"/>
    </x:row>
    <x:row r="206" ht="15" customHeight="1">
      <x:c r="C206" s="202" t="str">
        <x:v>        raise ValueError("HC3 is undefined when leverage reaches one")</x:v>
      </x:c>
      <x:c r="D206" s="202"/>
      <x:c r="E206" s="202"/>
      <x:c r="F206" s="202"/>
      <x:c r="G206" s="202"/>
      <x:c r="H206" s="202"/>
      <x:c r="I206" s="202"/>
      <x:c r="J206" s="202"/>
      <x:c r="K206" s="202"/>
      <x:c r="L206" s="202"/>
      <x:c r="M206" s="202"/>
      <x:c r="N206" s="202"/>
      <x:c r="O206" s="202"/>
      <x:c r="P206" s="202"/>
      <x:c r="Q206" s="202"/>
      <x:c r="R206" s="202"/>
      <x:c r="S206" s="202"/>
      <x:c r="T206" s="202"/>
    </x:row>
    <x:row r="207" ht="15" customHeight="1">
      <x:c r="C207" s="202" t="str">
        <x:v>    weights = (residual / (1 - leverage)) ** 2</x:v>
      </x:c>
      <x:c r="D207" s="202"/>
      <x:c r="E207" s="202"/>
      <x:c r="F207" s="202"/>
      <x:c r="G207" s="202"/>
      <x:c r="H207" s="202"/>
      <x:c r="I207" s="202"/>
      <x:c r="J207" s="202"/>
      <x:c r="K207" s="202"/>
      <x:c r="L207" s="202"/>
      <x:c r="M207" s="202"/>
      <x:c r="N207" s="202"/>
      <x:c r="O207" s="202"/>
      <x:c r="P207" s="202"/>
      <x:c r="Q207" s="202"/>
      <x:c r="R207" s="202"/>
      <x:c r="S207" s="202"/>
      <x:c r="T207" s="202"/>
    </x:row>
    <x:row r="208" ht="15" customHeight="1">
      <x:c r="C208" s="202" t="str">
        <x:v>    covariance = bread @ (design.T @ (weights[:, None] * design)) @ bread</x:v>
      </x:c>
      <x:c r="D208" s="202"/>
      <x:c r="E208" s="202"/>
      <x:c r="F208" s="202"/>
      <x:c r="G208" s="202"/>
      <x:c r="H208" s="202"/>
      <x:c r="I208" s="202"/>
      <x:c r="J208" s="202"/>
      <x:c r="K208" s="202"/>
      <x:c r="L208" s="202"/>
      <x:c r="M208" s="202"/>
      <x:c r="N208" s="202"/>
      <x:c r="O208" s="202"/>
      <x:c r="P208" s="202"/>
      <x:c r="Q208" s="202"/>
      <x:c r="R208" s="202"/>
      <x:c r="S208" s="202"/>
      <x:c r="T208" s="202"/>
    </x:row>
    <x:row r="209" ht="15" customHeight="1">
      <x:c r="C209" s="202" t="str">
        <x:v>    df = n - 2</x:v>
      </x:c>
      <x:c r="D209" s="202"/>
      <x:c r="E209" s="202"/>
      <x:c r="F209" s="202"/>
      <x:c r="G209" s="202"/>
      <x:c r="H209" s="202"/>
      <x:c r="I209" s="202"/>
      <x:c r="J209" s="202"/>
      <x:c r="K209" s="202"/>
      <x:c r="L209" s="202"/>
      <x:c r="M209" s="202"/>
      <x:c r="N209" s="202"/>
      <x:c r="O209" s="202"/>
      <x:c r="P209" s="202"/>
      <x:c r="Q209" s="202"/>
      <x:c r="R209" s="202"/>
      <x:c r="S209" s="202"/>
      <x:c r="T209" s="202"/>
    </x:row>
    <x:row r="210" ht="15" customHeight="1">
      <x:c r="C210" s="202" t="str">
        <x:v>    rss = float(residual @ residual)</x:v>
      </x:c>
      <x:c r="D210" s="202"/>
      <x:c r="E210" s="202"/>
      <x:c r="F210" s="202"/>
      <x:c r="G210" s="202"/>
      <x:c r="H210" s="202"/>
      <x:c r="I210" s="202"/>
      <x:c r="J210" s="202"/>
      <x:c r="K210" s="202"/>
      <x:c r="L210" s="202"/>
      <x:c r="M210" s="202"/>
      <x:c r="N210" s="202"/>
      <x:c r="O210" s="202"/>
      <x:c r="P210" s="202"/>
      <x:c r="Q210" s="202"/>
      <x:c r="R210" s="202"/>
      <x:c r="S210" s="202"/>
      <x:c r="T210" s="202"/>
    </x:row>
    <x:row r="211" ht="15" customHeight="1">
      <x:c r="C211" s="202" t="str">
        <x:v>    sst = float((y - y.mean()) @ (y - y.mean()))</x:v>
      </x:c>
      <x:c r="D211" s="202"/>
      <x:c r="E211" s="202"/>
      <x:c r="F211" s="202"/>
      <x:c r="G211" s="202"/>
      <x:c r="H211" s="202"/>
      <x:c r="I211" s="202"/>
      <x:c r="J211" s="202"/>
      <x:c r="K211" s="202"/>
      <x:c r="L211" s="202"/>
      <x:c r="M211" s="202"/>
      <x:c r="N211" s="202"/>
      <x:c r="O211" s="202"/>
      <x:c r="P211" s="202"/>
      <x:c r="Q211" s="202"/>
      <x:c r="R211" s="202"/>
      <x:c r="S211" s="202"/>
      <x:c r="T211" s="202"/>
    </x:row>
    <x:row r="212" ht="15" customHeight="1">
      <x:c r="C212" s="202" t="str">
        <x:v>    if sst == 0 or rss == 0:</x:v>
      </x:c>
      <x:c r="D212" s="202"/>
      <x:c r="E212" s="202"/>
      <x:c r="F212" s="202"/>
      <x:c r="G212" s="202"/>
      <x:c r="H212" s="202"/>
      <x:c r="I212" s="202"/>
      <x:c r="J212" s="202"/>
      <x:c r="K212" s="202"/>
      <x:c r="L212" s="202"/>
      <x:c r="M212" s="202"/>
      <x:c r="N212" s="202"/>
      <x:c r="O212" s="202"/>
      <x:c r="P212" s="202"/>
      <x:c r="Q212" s="202"/>
      <x:c r="R212" s="202"/>
      <x:c r="S212" s="202"/>
      <x:c r="T212" s="202"/>
    </x:row>
    <x:row r="213" ht="15" customHeight="1">
      <x:c r="C213" s="202" t="str">
        <x:v>        raise ValueError("Inference requires variation and nonzero residuals")</x:v>
      </x:c>
      <x:c r="D213" s="202"/>
      <x:c r="E213" s="202"/>
      <x:c r="F213" s="202"/>
      <x:c r="G213" s="202"/>
      <x:c r="H213" s="202"/>
      <x:c r="I213" s="202"/>
      <x:c r="J213" s="202"/>
      <x:c r="K213" s="202"/>
      <x:c r="L213" s="202"/>
      <x:c r="M213" s="202"/>
      <x:c r="N213" s="202"/>
      <x:c r="O213" s="202"/>
      <x:c r="P213" s="202"/>
      <x:c r="Q213" s="202"/>
      <x:c r="R213" s="202"/>
      <x:c r="S213" s="202"/>
      <x:c r="T213" s="202"/>
    </x:row>
    <x:row r="214" ht="15" customHeight="1">
      <x:c r="C214" s="202" t="str">
        <x:v>    se_hc3 = np.sqrt(np.diag(covariance))</x:v>
      </x:c>
      <x:c r="D214" s="202"/>
      <x:c r="E214" s="202"/>
      <x:c r="F214" s="202"/>
      <x:c r="G214" s="202"/>
      <x:c r="H214" s="202"/>
      <x:c r="I214" s="202"/>
      <x:c r="J214" s="202"/>
      <x:c r="K214" s="202"/>
      <x:c r="L214" s="202"/>
      <x:c r="M214" s="202"/>
      <x:c r="N214" s="202"/>
      <x:c r="O214" s="202"/>
      <x:c r="P214" s="202"/>
      <x:c r="Q214" s="202"/>
      <x:c r="R214" s="202"/>
      <x:c r="S214" s="202"/>
      <x:c r="T214" s="202"/>
    </x:row>
    <x:row r="215" ht="15" customHeight="1">
      <x:c r="C215" s="202" t="str">
        <x:v>    se_ols = np.sqrt(np.diag(bread) * rss / df)</x:v>
      </x:c>
      <x:c r="D215" s="202"/>
      <x:c r="E215" s="202"/>
      <x:c r="F215" s="202"/>
      <x:c r="G215" s="202"/>
      <x:c r="H215" s="202"/>
      <x:c r="I215" s="202"/>
      <x:c r="J215" s="202"/>
      <x:c r="K215" s="202"/>
      <x:c r="L215" s="202"/>
      <x:c r="M215" s="202"/>
      <x:c r="N215" s="202"/>
      <x:c r="O215" s="202"/>
      <x:c r="P215" s="202"/>
      <x:c r="Q215" s="202"/>
      <x:c r="R215" s="202"/>
      <x:c r="S215" s="202"/>
      <x:c r="T215" s="202"/>
    </x:row>
    <x:row r="216" ht="15" customHeight="1">
      <x:c r="C216" s="202" t="str">
        <x:v>    statistics = beta / se_hc3</x:v>
      </x:c>
      <x:c r="D216" s="202"/>
      <x:c r="E216" s="202"/>
      <x:c r="F216" s="202"/>
      <x:c r="G216" s="202"/>
      <x:c r="H216" s="202"/>
      <x:c r="I216" s="202"/>
      <x:c r="J216" s="202"/>
      <x:c r="K216" s="202"/>
      <x:c r="L216" s="202"/>
      <x:c r="M216" s="202"/>
      <x:c r="N216" s="202"/>
      <x:c r="O216" s="202"/>
      <x:c r="P216" s="202"/>
      <x:c r="Q216" s="202"/>
      <x:c r="R216" s="202"/>
      <x:c r="S216" s="202"/>
      <x:c r="T216" s="202"/>
    </x:row>
    <x:row r="217" ht="15" customHeight="1">
      <x:c r="C217" s="202" t="str">
        <x:v>    pvalues = 2 * t.sf(np.abs(statistics), df)</x:v>
      </x:c>
      <x:c r="D217" s="202"/>
      <x:c r="E217" s="202"/>
      <x:c r="F217" s="202"/>
      <x:c r="G217" s="202"/>
      <x:c r="H217" s="202"/>
      <x:c r="I217" s="202"/>
      <x:c r="J217" s="202"/>
      <x:c r="K217" s="202"/>
      <x:c r="L217" s="202"/>
      <x:c r="M217" s="202"/>
      <x:c r="N217" s="202"/>
      <x:c r="O217" s="202"/>
      <x:c r="P217" s="202"/>
      <x:c r="Q217" s="202"/>
      <x:c r="R217" s="202"/>
      <x:c r="S217" s="202"/>
      <x:c r="T217" s="202"/>
    </x:row>
    <x:row r="218" ht="15" customHeight="1">
      <x:c r="C218" s="202" t="str">
        <x:v>    critical = float(t.ppf(0.975, df))</x:v>
      </x:c>
      <x:c r="D218" s="202"/>
      <x:c r="E218" s="202"/>
      <x:c r="F218" s="202"/>
      <x:c r="G218" s="202"/>
      <x:c r="H218" s="202"/>
      <x:c r="I218" s="202"/>
      <x:c r="J218" s="202"/>
      <x:c r="K218" s="202"/>
      <x:c r="L218" s="202"/>
      <x:c r="M218" s="202"/>
      <x:c r="N218" s="202"/>
      <x:c r="O218" s="202"/>
      <x:c r="P218" s="202"/>
      <x:c r="Q218" s="202"/>
      <x:c r="R218" s="202"/>
      <x:c r="S218" s="202"/>
      <x:c r="T218" s="202"/>
    </x:row>
    <x:row r="219" ht="15" customHeight="1">
      <x:c r="C219" s="202" t="str">
        <x:v>    confidence = np.column_stack([beta - critical * se_hc3,</x:v>
      </x:c>
      <x:c r="D219" s="202"/>
      <x:c r="E219" s="202"/>
      <x:c r="F219" s="202"/>
      <x:c r="G219" s="202"/>
      <x:c r="H219" s="202"/>
      <x:c r="I219" s="202"/>
      <x:c r="J219" s="202"/>
      <x:c r="K219" s="202"/>
      <x:c r="L219" s="202"/>
      <x:c r="M219" s="202"/>
      <x:c r="N219" s="202"/>
      <x:c r="O219" s="202"/>
      <x:c r="P219" s="202"/>
      <x:c r="Q219" s="202"/>
      <x:c r="R219" s="202"/>
      <x:c r="S219" s="202"/>
      <x:c r="T219" s="202"/>
    </x:row>
    <x:row r="220" ht="15" customHeight="1">
      <x:c r="C220" s="202" t="str">
        <x:v>                                  beta + critical * se_hc3])</x:v>
      </x:c>
      <x:c r="D220" s="202"/>
      <x:c r="E220" s="202"/>
      <x:c r="F220" s="202"/>
      <x:c r="G220" s="202"/>
      <x:c r="H220" s="202"/>
      <x:c r="I220" s="202"/>
      <x:c r="J220" s="202"/>
      <x:c r="K220" s="202"/>
      <x:c r="L220" s="202"/>
      <x:c r="M220" s="202"/>
      <x:c r="N220" s="202"/>
      <x:c r="O220" s="202"/>
      <x:c r="P220" s="202"/>
      <x:c r="Q220" s="202"/>
      <x:c r="R220" s="202"/>
      <x:c r="S220" s="202"/>
      <x:c r="T220" s="202"/>
    </x:row>
    <x:row r="221" ht="15" customHeight="1">
      <x:c r="C221" s="202" t="str"/>
      <x:c r="D221" s="202"/>
      <x:c r="E221" s="202"/>
      <x:c r="F221" s="202"/>
      <x:c r="G221" s="202"/>
      <x:c r="H221" s="202"/>
      <x:c r="I221" s="202"/>
      <x:c r="J221" s="202"/>
      <x:c r="K221" s="202"/>
      <x:c r="L221" s="202"/>
      <x:c r="M221" s="202"/>
      <x:c r="N221" s="202"/>
      <x:c r="O221" s="202"/>
      <x:c r="P221" s="202"/>
      <x:c r="Q221" s="202"/>
      <x:c r="R221" s="202"/>
      <x:c r="S221" s="202"/>
      <x:c r="T221" s="202"/>
    </x:row>
    <x:row r="222" ht="15" customHeight="1">
      <x:c r="C222" s="202" t="str">
        <x:v>    # Independently verify the scalar centered formulas used in Excel.</x:v>
      </x:c>
      <x:c r="D222" s="202"/>
      <x:c r="E222" s="202"/>
      <x:c r="F222" s="202"/>
      <x:c r="G222" s="202"/>
      <x:c r="H222" s="202"/>
      <x:c r="I222" s="202"/>
      <x:c r="J222" s="202"/>
      <x:c r="K222" s="202"/>
      <x:c r="L222" s="202"/>
      <x:c r="M222" s="202"/>
      <x:c r="N222" s="202"/>
      <x:c r="O222" s="202"/>
      <x:c r="P222" s="202"/>
      <x:c r="Q222" s="202"/>
      <x:c r="R222" s="202"/>
      <x:c r="S222" s="202"/>
      <x:c r="T222" s="202"/>
    </x:row>
    <x:row r="223" ht="15" customHeight="1">
      <x:c r="C223" s="202" t="str">
        <x:v>    dx = x - x.mean()</x:v>
      </x:c>
      <x:c r="D223" s="202"/>
      <x:c r="E223" s="202"/>
      <x:c r="F223" s="202"/>
      <x:c r="G223" s="202"/>
      <x:c r="H223" s="202"/>
      <x:c r="I223" s="202"/>
      <x:c r="J223" s="202"/>
      <x:c r="K223" s="202"/>
      <x:c r="L223" s="202"/>
      <x:c r="M223" s="202"/>
      <x:c r="N223" s="202"/>
      <x:c r="O223" s="202"/>
      <x:c r="P223" s="202"/>
      <x:c r="Q223" s="202"/>
      <x:c r="R223" s="202"/>
      <x:c r="S223" s="202"/>
      <x:c r="T223" s="202"/>
    </x:row>
    <x:row r="224" ht="15" customHeight="1">
      <x:c r="C224" s="202" t="str">
        <x:v>    sxx = float(dx @ dx)</x:v>
      </x:c>
      <x:c r="D224" s="202"/>
      <x:c r="E224" s="202"/>
      <x:c r="F224" s="202"/>
      <x:c r="G224" s="202"/>
      <x:c r="H224" s="202"/>
      <x:c r="I224" s="202"/>
      <x:c r="J224" s="202"/>
      <x:c r="K224" s="202"/>
      <x:c r="L224" s="202"/>
      <x:c r="M224" s="202"/>
      <x:c r="N224" s="202"/>
      <x:c r="O224" s="202"/>
      <x:c r="P224" s="202"/>
      <x:c r="Q224" s="202"/>
      <x:c r="R224" s="202"/>
      <x:c r="S224" s="202"/>
      <x:c r="T224" s="202"/>
    </x:row>
    <x:row r="225" ht="15" customHeight="1">
      <x:c r="C225" s="202" t="str">
        <x:v>    vb = float((dx ** 2) @ weights) / sxx ** 2</x:v>
      </x:c>
      <x:c r="D225" s="202"/>
      <x:c r="E225" s="202"/>
      <x:c r="F225" s="202"/>
      <x:c r="G225" s="202"/>
      <x:c r="H225" s="202"/>
      <x:c r="I225" s="202"/>
      <x:c r="J225" s="202"/>
      <x:c r="K225" s="202"/>
      <x:c r="L225" s="202"/>
      <x:c r="M225" s="202"/>
      <x:c r="N225" s="202"/>
      <x:c r="O225" s="202"/>
      <x:c r="P225" s="202"/>
      <x:c r="Q225" s="202"/>
      <x:c r="R225" s="202"/>
      <x:c r="S225" s="202"/>
      <x:c r="T225" s="202"/>
    </x:row>
    <x:row r="226" ht="15" customHeight="1">
      <x:c r="C226" s="202" t="str">
        <x:v>    va = (float(weights.sum()) / n ** 2 + x.mean() ** 2 * vb</x:v>
      </x:c>
      <x:c r="D226" s="202"/>
      <x:c r="E226" s="202"/>
      <x:c r="F226" s="202"/>
      <x:c r="G226" s="202"/>
      <x:c r="H226" s="202"/>
      <x:c r="I226" s="202"/>
      <x:c r="J226" s="202"/>
      <x:c r="K226" s="202"/>
      <x:c r="L226" s="202"/>
      <x:c r="M226" s="202"/>
      <x:c r="N226" s="202"/>
      <x:c r="O226" s="202"/>
      <x:c r="P226" s="202"/>
      <x:c r="Q226" s="202"/>
      <x:c r="R226" s="202"/>
      <x:c r="S226" s="202"/>
      <x:c r="T226" s="202"/>
    </x:row>
    <x:row r="227" ht="15" customHeight="1">
      <x:c r="C227" s="202" t="str">
        <x:v>          - 2 * x.mean() * float(dx @ weights) / (n * sxx))</x:v>
      </x:c>
      <x:c r="D227" s="202"/>
      <x:c r="E227" s="202"/>
      <x:c r="F227" s="202"/>
      <x:c r="G227" s="202"/>
      <x:c r="H227" s="202"/>
      <x:c r="I227" s="202"/>
      <x:c r="J227" s="202"/>
      <x:c r="K227" s="202"/>
      <x:c r="L227" s="202"/>
      <x:c r="M227" s="202"/>
      <x:c r="N227" s="202"/>
      <x:c r="O227" s="202"/>
      <x:c r="P227" s="202"/>
      <x:c r="Q227" s="202"/>
      <x:c r="R227" s="202"/>
      <x:c r="S227" s="202"/>
      <x:c r="T227" s="202"/>
    </x:row>
    <x:row r="228" ht="15" customHeight="1">
      <x:c r="C228" s="202" t="str">
        <x:v>    np.testing.assert_allclose([va, vb], np.diag(covariance),</x:v>
      </x:c>
      <x:c r="D228" s="202"/>
      <x:c r="E228" s="202"/>
      <x:c r="F228" s="202"/>
      <x:c r="G228" s="202"/>
      <x:c r="H228" s="202"/>
      <x:c r="I228" s="202"/>
      <x:c r="J228" s="202"/>
      <x:c r="K228" s="202"/>
      <x:c r="L228" s="202"/>
      <x:c r="M228" s="202"/>
      <x:c r="N228" s="202"/>
      <x:c r="O228" s="202"/>
      <x:c r="P228" s="202"/>
      <x:c r="Q228" s="202"/>
      <x:c r="R228" s="202"/>
      <x:c r="S228" s="202"/>
      <x:c r="T228" s="202"/>
    </x:row>
    <x:row r="229" ht="15" customHeight="1">
      <x:c r="C229" s="202" t="str">
        <x:v>                               rtol=1e-9, atol=1e-12)</x:v>
      </x:c>
      <x:c r="D229" s="202"/>
      <x:c r="E229" s="202"/>
      <x:c r="F229" s="202"/>
      <x:c r="G229" s="202"/>
      <x:c r="H229" s="202"/>
      <x:c r="I229" s="202"/>
      <x:c r="J229" s="202"/>
      <x:c r="K229" s="202"/>
      <x:c r="L229" s="202"/>
      <x:c r="M229" s="202"/>
      <x:c r="N229" s="202"/>
      <x:c r="O229" s="202"/>
      <x:c r="P229" s="202"/>
      <x:c r="Q229" s="202"/>
      <x:c r="R229" s="202"/>
      <x:c r="S229" s="202"/>
      <x:c r="T229" s="202"/>
    </x:row>
    <x:row r="230" ht="15" customHeight="1">
      <x:c r="C230" s="202" t="str">
        <x:v>    rows = []</x:v>
      </x:c>
      <x:c r="D230" s="202"/>
      <x:c r="E230" s="202"/>
      <x:c r="F230" s="202"/>
      <x:c r="G230" s="202"/>
      <x:c r="H230" s="202"/>
      <x:c r="I230" s="202"/>
      <x:c r="J230" s="202"/>
      <x:c r="K230" s="202"/>
      <x:c r="L230" s="202"/>
      <x:c r="M230" s="202"/>
      <x:c r="N230" s="202"/>
      <x:c r="O230" s="202"/>
      <x:c r="P230" s="202"/>
      <x:c r="Q230" s="202"/>
      <x:c r="R230" s="202"/>
      <x:c r="S230" s="202"/>
      <x:c r="T230" s="202"/>
    </x:row>
    <x:row r="231" ht="15" customHeight="1">
      <x:c r="C231" s="202" t="str">
        <x:v>    for i, year in enumerate(years):</x:v>
      </x:c>
      <x:c r="D231" s="202"/>
      <x:c r="E231" s="202"/>
      <x:c r="F231" s="202"/>
      <x:c r="G231" s="202"/>
      <x:c r="H231" s="202"/>
      <x:c r="I231" s="202"/>
      <x:c r="J231" s="202"/>
      <x:c r="K231" s="202"/>
      <x:c r="L231" s="202"/>
      <x:c r="M231" s="202"/>
      <x:c r="N231" s="202"/>
      <x:c r="O231" s="202"/>
      <x:c r="P231" s="202"/>
      <x:c r="Q231" s="202"/>
      <x:c r="R231" s="202"/>
      <x:c r="S231" s="202"/>
      <x:c r="T231" s="202"/>
    </x:row>
    <x:row r="232" ht="15" customHeight="1">
      <x:c r="C232" s="202" t="str">
        <x:v>        rows.append(dict(year=int(year), x=float(x[i]), y=float(y[i]),</x:v>
      </x:c>
      <x:c r="D232" s="202"/>
      <x:c r="E232" s="202"/>
      <x:c r="F232" s="202"/>
      <x:c r="G232" s="202"/>
      <x:c r="H232" s="202"/>
      <x:c r="I232" s="202"/>
      <x:c r="J232" s="202"/>
      <x:c r="K232" s="202"/>
      <x:c r="L232" s="202"/>
      <x:c r="M232" s="202"/>
      <x:c r="N232" s="202"/>
      <x:c r="O232" s="202"/>
      <x:c r="P232" s="202"/>
      <x:c r="Q232" s="202"/>
      <x:c r="R232" s="202"/>
      <x:c r="S232" s="202"/>
      <x:c r="T232" s="202"/>
    </x:row>
    <x:row r="233" ht="15" customHeight="1">
      <x:c r="C233" s="202" t="str">
        <x:v>                         fitted=float(fitted[i]), residual=float(residual[i]),</x:v>
      </x:c>
      <x:c r="D233" s="202"/>
      <x:c r="E233" s="202"/>
      <x:c r="F233" s="202"/>
      <x:c r="G233" s="202"/>
      <x:c r="H233" s="202"/>
      <x:c r="I233" s="202"/>
      <x:c r="J233" s="202"/>
      <x:c r="K233" s="202"/>
      <x:c r="L233" s="202"/>
      <x:c r="M233" s="202"/>
      <x:c r="N233" s="202"/>
      <x:c r="O233" s="202"/>
      <x:c r="P233" s="202"/>
      <x:c r="Q233" s="202"/>
      <x:c r="R233" s="202"/>
      <x:c r="S233" s="202"/>
      <x:c r="T233" s="202"/>
    </x:row>
    <x:row r="234" ht="15" customHeight="1">
      <x:c r="C234" s="202" t="str">
        <x:v>                         leverage=float(leverage[i]), hc3_weight=float(weights[i])))</x:v>
      </x:c>
      <x:c r="D234" s="202"/>
      <x:c r="E234" s="202"/>
      <x:c r="F234" s="202"/>
      <x:c r="G234" s="202"/>
      <x:c r="H234" s="202"/>
      <x:c r="I234" s="202"/>
      <x:c r="J234" s="202"/>
      <x:c r="K234" s="202"/>
      <x:c r="L234" s="202"/>
      <x:c r="M234" s="202"/>
      <x:c r="N234" s="202"/>
      <x:c r="O234" s="202"/>
      <x:c r="P234" s="202"/>
      <x:c r="Q234" s="202"/>
      <x:c r="R234" s="202"/>
      <x:c r="S234" s="202"/>
      <x:c r="T234" s="202"/>
    </x:row>
    <x:row r="235" ht="15" customHeight="1">
      <x:c r="C235" s="202" t="str">
        <x:v>    return dict(n=n, df=df, intercept=float(beta[0]), slope=float(beta[1]),</x:v>
      </x:c>
      <x:c r="D235" s="202"/>
      <x:c r="E235" s="202"/>
      <x:c r="F235" s="202"/>
      <x:c r="G235" s="202"/>
      <x:c r="H235" s="202"/>
      <x:c r="I235" s="202"/>
      <x:c r="J235" s="202"/>
      <x:c r="K235" s="202"/>
      <x:c r="L235" s="202"/>
      <x:c r="M235" s="202"/>
      <x:c r="N235" s="202"/>
      <x:c r="O235" s="202"/>
      <x:c r="P235" s="202"/>
      <x:c r="Q235" s="202"/>
      <x:c r="R235" s="202"/>
      <x:c r="S235" s="202"/>
      <x:c r="T235" s="202"/>
    </x:row>
    <x:row r="236" ht="15" customHeight="1">
      <x:c r="C236" s="202" t="str">
        <x:v>                se_ols=se_ols.tolist(), se_hc3=se_hc3.tolist(),</x:v>
      </x:c>
      <x:c r="D236" s="202"/>
      <x:c r="E236" s="202"/>
      <x:c r="F236" s="202"/>
      <x:c r="G236" s="202"/>
      <x:c r="H236" s="202"/>
      <x:c r="I236" s="202"/>
      <x:c r="J236" s="202"/>
      <x:c r="K236" s="202"/>
      <x:c r="L236" s="202"/>
      <x:c r="M236" s="202"/>
      <x:c r="N236" s="202"/>
      <x:c r="O236" s="202"/>
      <x:c r="P236" s="202"/>
      <x:c r="Q236" s="202"/>
      <x:c r="R236" s="202"/>
      <x:c r="S236" s="202"/>
      <x:c r="T236" s="202"/>
    </x:row>
    <x:row r="237" ht="15" customHeight="1">
      <x:c r="C237" s="202" t="str">
        <x:v>                t_hc3=statistics.tolist(), p_hc3=pvalues.tolist(),</x:v>
      </x:c>
      <x:c r="D237" s="202"/>
      <x:c r="E237" s="202"/>
      <x:c r="F237" s="202"/>
      <x:c r="G237" s="202"/>
      <x:c r="H237" s="202"/>
      <x:c r="I237" s="202"/>
      <x:c r="J237" s="202"/>
      <x:c r="K237" s="202"/>
      <x:c r="L237" s="202"/>
      <x:c r="M237" s="202"/>
      <x:c r="N237" s="202"/>
      <x:c r="O237" s="202"/>
      <x:c r="P237" s="202"/>
      <x:c r="Q237" s="202"/>
      <x:c r="R237" s="202"/>
      <x:c r="S237" s="202"/>
      <x:c r="T237" s="202"/>
    </x:row>
    <x:row r="238" ht="15" customHeight="1">
      <x:c r="C238" s="202" t="str">
        <x:v>                ci95_hc3=confidence.tolist(), critical_t95=critical,</x:v>
      </x:c>
      <x:c r="D238" s="202"/>
      <x:c r="E238" s="202"/>
      <x:c r="F238" s="202"/>
      <x:c r="G238" s="202"/>
      <x:c r="H238" s="202"/>
      <x:c r="I238" s="202"/>
      <x:c r="J238" s="202"/>
      <x:c r="K238" s="202"/>
      <x:c r="L238" s="202"/>
      <x:c r="M238" s="202"/>
      <x:c r="N238" s="202"/>
      <x:c r="O238" s="202"/>
      <x:c r="P238" s="202"/>
      <x:c r="Q238" s="202"/>
      <x:c r="R238" s="202"/>
      <x:c r="S238" s="202"/>
      <x:c r="T238" s="202"/>
    </x:row>
    <x:row r="239" ht="15" customHeight="1">
      <x:c r="C239" s="202" t="str">
        <x:v>                r_squared=1 - rss / sst,</x:v>
      </x:c>
      <x:c r="D239" s="202"/>
      <x:c r="E239" s="202"/>
      <x:c r="F239" s="202"/>
      <x:c r="G239" s="202"/>
      <x:c r="H239" s="202"/>
      <x:c r="I239" s="202"/>
      <x:c r="J239" s="202"/>
      <x:c r="K239" s="202"/>
      <x:c r="L239" s="202"/>
      <x:c r="M239" s="202"/>
      <x:c r="N239" s="202"/>
      <x:c r="O239" s="202"/>
      <x:c r="P239" s="202"/>
      <x:c r="Q239" s="202"/>
      <x:c r="R239" s="202"/>
      <x:c r="S239" s="202"/>
      <x:c r="T239" s="202"/>
    </x:row>
    <x:row r="240" ht="15" customHeight="1">
      <x:c r="C240" s="202" t="str">
        <x:v>                adjusted_r_squared=1 - (rss / df) / (sst / (n - 1)),</x:v>
      </x:c>
      <x:c r="D240" s="202"/>
      <x:c r="E240" s="202"/>
      <x:c r="F240" s="202"/>
      <x:c r="G240" s="202"/>
      <x:c r="H240" s="202"/>
      <x:c r="I240" s="202"/>
      <x:c r="J240" s="202"/>
      <x:c r="K240" s="202"/>
      <x:c r="L240" s="202"/>
      <x:c r="M240" s="202"/>
      <x:c r="N240" s="202"/>
      <x:c r="O240" s="202"/>
      <x:c r="P240" s="202"/>
      <x:c r="Q240" s="202"/>
      <x:c r="R240" s="202"/>
      <x:c r="S240" s="202"/>
      <x:c r="T240" s="202"/>
    </x:row>
    <x:row r="241" ht="15" customHeight="1">
      <x:c r="C241" s="202" t="str">
        <x:v>                rss=rss, sst=sst, residual_standard_error=(rss / df) ** 0.5,</x:v>
      </x:c>
      <x:c r="D241" s="202"/>
      <x:c r="E241" s="202"/>
      <x:c r="F241" s="202"/>
      <x:c r="G241" s="202"/>
      <x:c r="H241" s="202"/>
      <x:c r="I241" s="202"/>
      <x:c r="J241" s="202"/>
      <x:c r="K241" s="202"/>
      <x:c r="L241" s="202"/>
      <x:c r="M241" s="202"/>
      <x:c r="N241" s="202"/>
      <x:c r="O241" s="202"/>
      <x:c r="P241" s="202"/>
      <x:c r="Q241" s="202"/>
      <x:c r="R241" s="202"/>
      <x:c r="S241" s="202"/>
      <x:c r="T241" s="202"/>
    </x:row>
    <x:row r="242" ht="15" customHeight="1">
      <x:c r="C242" s="202" t="str">
        <x:v>                durbin_watson=float(np.diff(residual) @ np.diff(residual) / rss),</x:v>
      </x:c>
      <x:c r="D242" s="202"/>
      <x:c r="E242" s="202"/>
      <x:c r="F242" s="202"/>
      <x:c r="G242" s="202"/>
      <x:c r="H242" s="202"/>
      <x:c r="I242" s="202"/>
      <x:c r="J242" s="202"/>
      <x:c r="K242" s="202"/>
      <x:c r="L242" s="202"/>
      <x:c r="M242" s="202"/>
      <x:c r="N242" s="202"/>
      <x:c r="O242" s="202"/>
      <x:c r="P242" s="202"/>
      <x:c r="Q242" s="202"/>
      <x:c r="R242" s="202"/>
      <x:c r="S242" s="202"/>
      <x:c r="T242" s="202"/>
    </x:row>
    <x:row r="243" ht="15" customHeight="1">
      <x:c r="C243" s="202" t="str">
        <x:v>                max_leverage=float(leverage.max()),</x:v>
      </x:c>
      <x:c r="D243" s="202"/>
      <x:c r="E243" s="202"/>
      <x:c r="F243" s="202"/>
      <x:c r="G243" s="202"/>
      <x:c r="H243" s="202"/>
      <x:c r="I243" s="202"/>
      <x:c r="J243" s="202"/>
      <x:c r="K243" s="202"/>
      <x:c r="L243" s="202"/>
      <x:c r="M243" s="202"/>
      <x:c r="N243" s="202"/>
      <x:c r="O243" s="202"/>
      <x:c r="P243" s="202"/>
      <x:c r="Q243" s="202"/>
      <x:c r="R243" s="202"/>
      <x:c r="S243" s="202"/>
      <x:c r="T243" s="202"/>
    </x:row>
    <x:row r="244" ht="15" customHeight="1">
      <x:c r="C244" s="202" t="str">
        <x:v>                leverage_reference=4 / n, observations=rows)</x:v>
      </x:c>
      <x:c r="D244" s="202"/>
      <x:c r="E244" s="202"/>
      <x:c r="F244" s="202"/>
      <x:c r="G244" s="202"/>
      <x:c r="H244" s="202"/>
      <x:c r="I244" s="202"/>
      <x:c r="J244" s="202"/>
      <x:c r="K244" s="202"/>
      <x:c r="L244" s="202"/>
      <x:c r="M244" s="202"/>
      <x:c r="N244" s="202"/>
      <x:c r="O244" s="202"/>
      <x:c r="P244" s="202"/>
      <x:c r="Q244" s="202"/>
      <x:c r="R244" s="202"/>
      <x:c r="S244" s="202"/>
      <x:c r="T244" s="202"/>
    </x:row>
    <x:row r="245" ht="15" customHeight="1">
      <x:c r="C245" s="202" t="str"/>
      <x:c r="D245" s="202"/>
      <x:c r="E245" s="202"/>
      <x:c r="F245" s="202"/>
      <x:c r="G245" s="202"/>
      <x:c r="H245" s="202"/>
      <x:c r="I245" s="202"/>
      <x:c r="J245" s="202"/>
      <x:c r="K245" s="202"/>
      <x:c r="L245" s="202"/>
      <x:c r="M245" s="202"/>
      <x:c r="N245" s="202"/>
      <x:c r="O245" s="202"/>
      <x:c r="P245" s="202"/>
      <x:c r="Q245" s="202"/>
      <x:c r="R245" s="202"/>
      <x:c r="S245" s="202"/>
      <x:c r="T245" s="202"/>
    </x:row>
    <x:row r="246" ht="15" customHeight="1">
      <x:c r="C246" s="202" t="str"/>
      <x:c r="D246" s="202"/>
      <x:c r="E246" s="202"/>
      <x:c r="F246" s="202"/>
      <x:c r="G246" s="202"/>
      <x:c r="H246" s="202"/>
      <x:c r="I246" s="202"/>
      <x:c r="J246" s="202"/>
      <x:c r="K246" s="202"/>
      <x:c r="L246" s="202"/>
      <x:c r="M246" s="202"/>
      <x:c r="N246" s="202"/>
      <x:c r="O246" s="202"/>
      <x:c r="P246" s="202"/>
      <x:c r="Q246" s="202"/>
      <x:c r="R246" s="202"/>
      <x:c r="S246" s="202"/>
      <x:c r="T246" s="202"/>
    </x:row>
    <x:row r="247" ht="15" customHeight="1">
      <x:c r="C247" s="202" t="str">
        <x:v>def write_csv(path, rows):</x:v>
      </x:c>
      <x:c r="D247" s="202"/>
      <x:c r="E247" s="202"/>
      <x:c r="F247" s="202"/>
      <x:c r="G247" s="202"/>
      <x:c r="H247" s="202"/>
      <x:c r="I247" s="202"/>
      <x:c r="J247" s="202"/>
      <x:c r="K247" s="202"/>
      <x:c r="L247" s="202"/>
      <x:c r="M247" s="202"/>
      <x:c r="N247" s="202"/>
      <x:c r="O247" s="202"/>
      <x:c r="P247" s="202"/>
      <x:c r="Q247" s="202"/>
      <x:c r="R247" s="202"/>
      <x:c r="S247" s="202"/>
      <x:c r="T247" s="202"/>
    </x:row>
    <x:row r="248" ht="15" customHeight="1">
      <x:c r="C248" s="202" t="str">
        <x:v>    with path.open("w", newline="", encoding="utf-8") as handle:</x:v>
      </x:c>
      <x:c r="D248" s="202"/>
      <x:c r="E248" s="202"/>
      <x:c r="F248" s="202"/>
      <x:c r="G248" s="202"/>
      <x:c r="H248" s="202"/>
      <x:c r="I248" s="202"/>
      <x:c r="J248" s="202"/>
      <x:c r="K248" s="202"/>
      <x:c r="L248" s="202"/>
      <x:c r="M248" s="202"/>
      <x:c r="N248" s="202"/>
      <x:c r="O248" s="202"/>
      <x:c r="P248" s="202"/>
      <x:c r="Q248" s="202"/>
      <x:c r="R248" s="202"/>
      <x:c r="S248" s="202"/>
      <x:c r="T248" s="202"/>
    </x:row>
    <x:row r="249" ht="15" customHeight="1">
      <x:c r="C249" s="202" t="str">
        <x:v>        writer = csv.DictWriter(handle, fieldnames=list(rows[0]))</x:v>
      </x:c>
      <x:c r="D249" s="202"/>
      <x:c r="E249" s="202"/>
      <x:c r="F249" s="202"/>
      <x:c r="G249" s="202"/>
      <x:c r="H249" s="202"/>
      <x:c r="I249" s="202"/>
      <x:c r="J249" s="202"/>
      <x:c r="K249" s="202"/>
      <x:c r="L249" s="202"/>
      <x:c r="M249" s="202"/>
      <x:c r="N249" s="202"/>
      <x:c r="O249" s="202"/>
      <x:c r="P249" s="202"/>
      <x:c r="Q249" s="202"/>
      <x:c r="R249" s="202"/>
      <x:c r="S249" s="202"/>
      <x:c r="T249" s="202"/>
    </x:row>
    <x:row r="250" ht="15" customHeight="1">
      <x:c r="C250" s="202" t="str">
        <x:v>        writer.writeheader()</x:v>
      </x:c>
      <x:c r="D250" s="202"/>
      <x:c r="E250" s="202"/>
      <x:c r="F250" s="202"/>
      <x:c r="G250" s="202"/>
      <x:c r="H250" s="202"/>
      <x:c r="I250" s="202"/>
      <x:c r="J250" s="202"/>
      <x:c r="K250" s="202"/>
      <x:c r="L250" s="202"/>
      <x:c r="M250" s="202"/>
      <x:c r="N250" s="202"/>
      <x:c r="O250" s="202"/>
      <x:c r="P250" s="202"/>
      <x:c r="Q250" s="202"/>
      <x:c r="R250" s="202"/>
      <x:c r="S250" s="202"/>
      <x:c r="T250" s="202"/>
    </x:row>
    <x:row r="251" ht="15" customHeight="1">
      <x:c r="C251" s="202" t="str">
        <x:v>        writer.writerows(rows)</x:v>
      </x:c>
      <x:c r="D251" s="202"/>
      <x:c r="E251" s="202"/>
      <x:c r="F251" s="202"/>
      <x:c r="G251" s="202"/>
      <x:c r="H251" s="202"/>
      <x:c r="I251" s="202"/>
      <x:c r="J251" s="202"/>
      <x:c r="K251" s="202"/>
      <x:c r="L251" s="202"/>
      <x:c r="M251" s="202"/>
      <x:c r="N251" s="202"/>
      <x:c r="O251" s="202"/>
      <x:c r="P251" s="202"/>
      <x:c r="Q251" s="202"/>
      <x:c r="R251" s="202"/>
      <x:c r="S251" s="202"/>
      <x:c r="T251" s="202"/>
    </x:row>
    <x:row r="252" ht="15" customHeight="1">
      <x:c r="C252" s="202" t="str"/>
      <x:c r="D252" s="202"/>
      <x:c r="E252" s="202"/>
      <x:c r="F252" s="202"/>
      <x:c r="G252" s="202"/>
      <x:c r="H252" s="202"/>
      <x:c r="I252" s="202"/>
      <x:c r="J252" s="202"/>
      <x:c r="K252" s="202"/>
      <x:c r="L252" s="202"/>
      <x:c r="M252" s="202"/>
      <x:c r="N252" s="202"/>
      <x:c r="O252" s="202"/>
      <x:c r="P252" s="202"/>
      <x:c r="Q252" s="202"/>
      <x:c r="R252" s="202"/>
      <x:c r="S252" s="202"/>
      <x:c r="T252" s="202"/>
    </x:row>
    <x:row r="253" ht="15" customHeight="1">
      <x:c r="C253" s="202" t="str"/>
      <x:c r="D253" s="202"/>
      <x:c r="E253" s="202"/>
      <x:c r="F253" s="202"/>
      <x:c r="G253" s="202"/>
      <x:c r="H253" s="202"/>
      <x:c r="I253" s="202"/>
      <x:c r="J253" s="202"/>
      <x:c r="K253" s="202"/>
      <x:c r="L253" s="202"/>
      <x:c r="M253" s="202"/>
      <x:c r="N253" s="202"/>
      <x:c r="O253" s="202"/>
      <x:c r="P253" s="202"/>
      <x:c r="Q253" s="202"/>
      <x:c r="R253" s="202"/>
      <x:c r="S253" s="202"/>
      <x:c r="T253" s="202"/>
    </x:row>
    <x:row r="254" ht="15" customHeight="1">
      <x:c r="C254" s="202" t="str">
        <x:v>def analyze(data, out):</x:v>
      </x:c>
      <x:c r="D254" s="202"/>
      <x:c r="E254" s="202"/>
      <x:c r="F254" s="202"/>
      <x:c r="G254" s="202"/>
      <x:c r="H254" s="202"/>
      <x:c r="I254" s="202"/>
      <x:c r="J254" s="202"/>
      <x:c r="K254" s="202"/>
      <x:c r="L254" s="202"/>
      <x:c r="M254" s="202"/>
      <x:c r="N254" s="202"/>
      <x:c r="O254" s="202"/>
      <x:c r="P254" s="202"/>
      <x:c r="Q254" s="202"/>
      <x:c r="R254" s="202"/>
      <x:c r="S254" s="202"/>
      <x:c r="T254" s="202"/>
    </x:row>
    <x:row r="255" ht="15" customHeight="1">
      <x:c r="C255" s="202" t="str">
        <x:v>    data = sorted(data)</x:v>
      </x:c>
      <x:c r="D255" s="202"/>
      <x:c r="E255" s="202"/>
      <x:c r="F255" s="202"/>
      <x:c r="G255" s="202"/>
      <x:c r="H255" s="202"/>
      <x:c r="I255" s="202"/>
      <x:c r="J255" s="202"/>
      <x:c r="K255" s="202"/>
      <x:c r="L255" s="202"/>
      <x:c r="M255" s="202"/>
      <x:c r="N255" s="202"/>
      <x:c r="O255" s="202"/>
      <x:c r="P255" s="202"/>
      <x:c r="Q255" s="202"/>
      <x:c r="R255" s="202"/>
      <x:c r="S255" s="202"/>
      <x:c r="T255" s="202"/>
    </x:row>
    <x:row r="256" ht="15" customHeight="1">
      <x:c r="C256" s="202" t="str">
        <x:v>    years, revenue, cfo = np.asarray(data, dtype=float).T</x:v>
      </x:c>
      <x:c r="D256" s="202"/>
      <x:c r="E256" s="202"/>
      <x:c r="F256" s="202"/>
      <x:c r="G256" s="202"/>
      <x:c r="H256" s="202"/>
      <x:c r="I256" s="202"/>
      <x:c r="J256" s="202"/>
      <x:c r="K256" s="202"/>
      <x:c r="L256" s="202"/>
      <x:c r="M256" s="202"/>
      <x:c r="N256" s="202"/>
      <x:c r="O256" s="202"/>
      <x:c r="P256" s="202"/>
      <x:c r="Q256" s="202"/>
      <x:c r="R256" s="202"/>
      <x:c r="S256" s="202"/>
      <x:c r="T256" s="202"/>
    </x:row>
    <x:row r="257" ht="15" customHeight="1">
      <x:c r="C257" s="202" t="str">
        <x:v>    if len(set(years)) != len(years) or np.any(np.diff(years) != 1):</x:v>
      </x:c>
      <x:c r="D257" s="202"/>
      <x:c r="E257" s="202"/>
      <x:c r="F257" s="202"/>
      <x:c r="G257" s="202"/>
      <x:c r="H257" s="202"/>
      <x:c r="I257" s="202"/>
      <x:c r="J257" s="202"/>
      <x:c r="K257" s="202"/>
      <x:c r="L257" s="202"/>
      <x:c r="M257" s="202"/>
      <x:c r="N257" s="202"/>
      <x:c r="O257" s="202"/>
      <x:c r="P257" s="202"/>
      <x:c r="Q257" s="202"/>
      <x:c r="R257" s="202"/>
      <x:c r="S257" s="202"/>
      <x:c r="T257" s="202"/>
    </x:row>
    <x:row r="258" ht="15" customHeight="1">
      <x:c r="C258" s="202" t="str">
        <x:v>        raise ValueError("Need one observation per consecutive fiscal year")</x:v>
      </x:c>
      <x:c r="D258" s="202"/>
      <x:c r="E258" s="202"/>
      <x:c r="F258" s="202"/>
      <x:c r="G258" s="202"/>
      <x:c r="H258" s="202"/>
      <x:c r="I258" s="202"/>
      <x:c r="J258" s="202"/>
      <x:c r="K258" s="202"/>
      <x:c r="L258" s="202"/>
      <x:c r="M258" s="202"/>
      <x:c r="N258" s="202"/>
      <x:c r="O258" s="202"/>
      <x:c r="P258" s="202"/>
      <x:c r="Q258" s="202"/>
      <x:c r="R258" s="202"/>
      <x:c r="S258" s="202"/>
      <x:c r="T258" s="202"/>
    </x:row>
    <x:row r="259" ht="15" customHeight="1">
      <x:c r="C259" s="202" t="str">
        <x:v>    if np.any(revenue &lt;= 0) or np.any(cfo &lt;= 0):</x:v>
      </x:c>
      <x:c r="D259" s="202"/>
      <x:c r="E259" s="202"/>
      <x:c r="F259" s="202"/>
      <x:c r="G259" s="202"/>
      <x:c r="H259" s="202"/>
      <x:c r="I259" s="202"/>
      <x:c r="J259" s="202"/>
      <x:c r="K259" s="202"/>
      <x:c r="L259" s="202"/>
      <x:c r="M259" s="202"/>
      <x:c r="N259" s="202"/>
      <x:c r="O259" s="202"/>
      <x:c r="P259" s="202"/>
      <x:c r="Q259" s="202"/>
      <x:c r="R259" s="202"/>
      <x:c r="S259" s="202"/>
      <x:c r="T259" s="202"/>
    </x:row>
    <x:row r="260" ht="15" customHeight="1">
      <x:c r="C260" s="202" t="str">
        <x:v>        raise ValueError("Log regressions require positive revenue and CFO")</x:v>
      </x:c>
      <x:c r="D260" s="202"/>
      <x:c r="E260" s="202"/>
      <x:c r="F260" s="202"/>
      <x:c r="G260" s="202"/>
      <x:c r="H260" s="202"/>
      <x:c r="I260" s="202"/>
      <x:c r="J260" s="202"/>
      <x:c r="K260" s="202"/>
      <x:c r="L260" s="202"/>
      <x:c r="M260" s="202"/>
      <x:c r="N260" s="202"/>
      <x:c r="O260" s="202"/>
      <x:c r="P260" s="202"/>
      <x:c r="Q260" s="202"/>
      <x:c r="R260" s="202"/>
      <x:c r="S260" s="202"/>
      <x:c r="T260" s="202"/>
    </x:row>
    <x:row r="261" ht="15" customHeight="1">
      <x:c r="C261" s="202" t="str">
        <x:v>    x, y = np.log(revenue), np.log(cfo)</x:v>
      </x:c>
      <x:c r="D261" s="202"/>
      <x:c r="E261" s="202"/>
      <x:c r="F261" s="202"/>
      <x:c r="G261" s="202"/>
      <x:c r="H261" s="202"/>
      <x:c r="I261" s="202"/>
      <x:c r="J261" s="202"/>
      <x:c r="K261" s="202"/>
      <x:c r="L261" s="202"/>
      <x:c r="M261" s="202"/>
      <x:c r="N261" s="202"/>
      <x:c r="O261" s="202"/>
      <x:c r="P261" s="202"/>
      <x:c r="Q261" s="202"/>
      <x:c r="R261" s="202"/>
      <x:c r="S261" s="202"/>
      <x:c r="T261" s="202"/>
    </x:row>
    <x:row r="262" ht="15" customHeight="1">
      <x:c r="C262" s="202" t="str">
        <x:v>    levels = fit_ols_hc3(x, y, years)</x:v>
      </x:c>
      <x:c r="D262" s="202"/>
      <x:c r="E262" s="202"/>
      <x:c r="F262" s="202"/>
      <x:c r="G262" s="202"/>
      <x:c r="H262" s="202"/>
      <x:c r="I262" s="202"/>
      <x:c r="J262" s="202"/>
      <x:c r="K262" s="202"/>
      <x:c r="L262" s="202"/>
      <x:c r="M262" s="202"/>
      <x:c r="N262" s="202"/>
      <x:c r="O262" s="202"/>
      <x:c r="P262" s="202"/>
      <x:c r="Q262" s="202"/>
      <x:c r="R262" s="202"/>
      <x:c r="S262" s="202"/>
      <x:c r="T262" s="202"/>
    </x:row>
    <x:row r="263" ht="15" customHeight="1">
      <x:c r="C263" s="202" t="str">
        <x:v>    changes = fit_ols_hc3(np.diff(x), np.diff(y), years[1:])</x:v>
      </x:c>
      <x:c r="D263" s="202"/>
      <x:c r="E263" s="202"/>
      <x:c r="F263" s="202"/>
      <x:c r="G263" s="202"/>
      <x:c r="H263" s="202"/>
      <x:c r="I263" s="202"/>
      <x:c r="J263" s="202"/>
      <x:c r="K263" s="202"/>
      <x:c r="L263" s="202"/>
      <x:c r="M263" s="202"/>
      <x:c r="N263" s="202"/>
      <x:c r="O263" s="202"/>
      <x:c r="P263" s="202"/>
      <x:c r="Q263" s="202"/>
      <x:c r="R263" s="202"/>
      <x:c r="S263" s="202"/>
      <x:c r="T263" s="202"/>
    </x:row>
    <x:row r="264" ht="15" customHeight="1">
      <x:c r="C264" s="202" t="str">
        <x:v>    result = dict(</x:v>
      </x:c>
      <x:c r="D264" s="202"/>
      <x:c r="E264" s="202"/>
      <x:c r="F264" s="202"/>
      <x:c r="G264" s="202"/>
      <x:c r="H264" s="202"/>
      <x:c r="I264" s="202"/>
      <x:c r="J264" s="202"/>
      <x:c r="K264" s="202"/>
      <x:c r="L264" s="202"/>
      <x:c r="M264" s="202"/>
      <x:c r="N264" s="202"/>
      <x:c r="O264" s="202"/>
      <x:c r="P264" s="202"/>
      <x:c r="Q264" s="202"/>
      <x:c r="R264" s="202"/>
      <x:c r="S264" s="202"/>
      <x:c r="T264" s="202"/>
    </x:row>
    <x:row r="265" ht="15" customHeight="1">
      <x:c r="C265" s="202" t="str">
        <x:v>        company="Microsoft Corporation", units="USD millions",</x:v>
      </x:c>
      <x:c r="D265" s="202"/>
      <x:c r="E265" s="202"/>
      <x:c r="F265" s="202"/>
      <x:c r="G265" s="202"/>
      <x:c r="H265" s="202"/>
      <x:c r="I265" s="202"/>
      <x:c r="J265" s="202"/>
      <x:c r="K265" s="202"/>
      <x:c r="L265" s="202"/>
      <x:c r="M265" s="202"/>
      <x:c r="N265" s="202"/>
      <x:c r="O265" s="202"/>
      <x:c r="P265" s="202"/>
      <x:c r="Q265" s="202"/>
      <x:c r="R265" s="202"/>
      <x:c r="S265" s="202"/>
      <x:c r="T265" s="202"/>
    </x:row>
    <x:row r="266" ht="15" customHeight="1">
      <x:c r="C266" s="202" t="str">
        <x:v>        information_cutoff="2026-10-08", method_source=METHOD_SOURCE,</x:v>
      </x:c>
      <x:c r="D266" s="202"/>
      <x:c r="E266" s="202"/>
      <x:c r="F266" s="202"/>
      <x:c r="G266" s="202"/>
      <x:c r="H266" s="202"/>
      <x:c r="I266" s="202"/>
      <x:c r="J266" s="202"/>
      <x:c r="K266" s="202"/>
      <x:c r="L266" s="202"/>
      <x:c r="M266" s="202"/>
      <x:c r="N266" s="202"/>
      <x:c r="O266" s="202"/>
      <x:c r="P266" s="202"/>
      <x:c r="Q266" s="202"/>
      <x:c r="R266" s="202"/>
      <x:c r="S266" s="202"/>
      <x:c r="T266" s="202"/>
    </x:row>
    <x:row r="267" ht="15" customHeight="1">
      <x:c r="C267" s="202" t="str">
        <x:v>        inference="HC3 covariance with Student t(n-2); approximate small-sample inference",</x:v>
      </x:c>
      <x:c r="D267" s="202"/>
      <x:c r="E267" s="202"/>
      <x:c r="F267" s="202"/>
      <x:c r="G267" s="202"/>
      <x:c r="H267" s="202"/>
      <x:c r="I267" s="202"/>
      <x:c r="J267" s="202"/>
      <x:c r="K267" s="202"/>
      <x:c r="L267" s="202"/>
      <x:c r="M267" s="202"/>
      <x:c r="N267" s="202"/>
      <x:c r="O267" s="202"/>
      <x:c r="P267" s="202"/>
      <x:c r="Q267" s="202"/>
      <x:c r="R267" s="202"/>
      <x:c r="S267" s="202"/>
      <x:c r="T267" s="202"/>
    </x:row>
    <x:row r="268" ht="15" customHeight="1">
      <x:c r="C268" s="202" t="str">
        <x:v>        levels=levels, first_differences=changes,</x:v>
      </x:c>
      <x:c r="D268" s="202"/>
      <x:c r="E268" s="202"/>
      <x:c r="F268" s="202"/>
      <x:c r="G268" s="202"/>
      <x:c r="H268" s="202"/>
      <x:c r="I268" s="202"/>
      <x:c r="J268" s="202"/>
      <x:c r="K268" s="202"/>
      <x:c r="L268" s="202"/>
      <x:c r="M268" s="202"/>
      <x:c r="N268" s="202"/>
      <x:c r="O268" s="202"/>
      <x:c r="P268" s="202"/>
      <x:c r="Q268" s="202"/>
      <x:c r="R268" s="202"/>
      <x:c r="S268" s="202"/>
      <x:c r="T268" s="202"/>
    </x:row>
    <x:row r="269" ht="15" customHeight="1">
      <x:c r="C269" s="202" t="str">
        <x:v>        interpretation=("Historical association only. HC3 changes standard errors, not OLS "</x:v>
      </x:c>
      <x:c r="D269" s="202"/>
      <x:c r="E269" s="202"/>
      <x:c r="F269" s="202"/>
      <x:c r="G269" s="202"/>
      <x:c r="H269" s="202"/>
      <x:c r="I269" s="202"/>
      <x:c r="J269" s="202"/>
      <x:c r="K269" s="202"/>
      <x:c r="L269" s="202"/>
      <x:c r="M269" s="202"/>
      <x:c r="N269" s="202"/>
      <x:c r="O269" s="202"/>
      <x:c r="P269" s="202"/>
      <x:c r="Q269" s="202"/>
      <x:c r="R269" s="202"/>
      <x:c r="S269" s="202"/>
      <x:c r="T269" s="202"/>
    </x:row>
    <x:row r="270" ht="15" customHeight="1">
      <x:c r="C270" s="202" t="str">
        <x:v>                        "coefficients. Trending levels can produce misleading fit. "</x:v>
      </x:c>
      <x:c r="D270" s="202"/>
      <x:c r="E270" s="202"/>
      <x:c r="F270" s="202"/>
      <x:c r="G270" s="202"/>
      <x:c r="H270" s="202"/>
      <x:c r="I270" s="202"/>
      <x:c r="J270" s="202"/>
      <x:c r="K270" s="202"/>
      <x:c r="L270" s="202"/>
      <x:c r="M270" s="202"/>
      <x:c r="N270" s="202"/>
      <x:c r="O270" s="202"/>
      <x:c r="P270" s="202"/>
      <x:c r="Q270" s="202"/>
      <x:c r="R270" s="202"/>
      <x:c r="S270" s="202"/>
      <x:c r="T270" s="202"/>
    </x:row>
    <x:row r="271" ht="15" customHeight="1">
      <x:c r="C271" s="202" t="str">
        <x:v>                        "HC3 does not correct serial correlation or structural breaks. "</x:v>
      </x:c>
      <x:c r="D271" s="202"/>
      <x:c r="E271" s="202"/>
      <x:c r="F271" s="202"/>
      <x:c r="G271" s="202"/>
      <x:c r="H271" s="202"/>
      <x:c r="I271" s="202"/>
      <x:c r="J271" s="202"/>
      <x:c r="K271" s="202"/>
      <x:c r="L271" s="202"/>
      <x:c r="M271" s="202"/>
      <x:c r="N271" s="202"/>
      <x:c r="O271" s="202"/>
      <x:c r="P271" s="202"/>
      <x:c r="Q271" s="202"/>
      <x:c r="R271" s="202"/>
      <x:c r="S271" s="202"/>
      <x:c r="T271" s="202"/>
    </x:row>
    <x:row r="272" ht="15" customHeight="1">
      <x:c r="C272" s="202" t="str">
        <x:v>                        "The regressions do not replace the three-statement forecast."),</x:v>
      </x:c>
      <x:c r="D272" s="202"/>
      <x:c r="E272" s="202"/>
      <x:c r="F272" s="202"/>
      <x:c r="G272" s="202"/>
      <x:c r="H272" s="202"/>
      <x:c r="I272" s="202"/>
      <x:c r="J272" s="202"/>
      <x:c r="K272" s="202"/>
      <x:c r="L272" s="202"/>
      <x:c r="M272" s="202"/>
      <x:c r="N272" s="202"/>
      <x:c r="O272" s="202"/>
      <x:c r="P272" s="202"/>
      <x:c r="Q272" s="202"/>
      <x:c r="R272" s="202"/>
      <x:c r="S272" s="202"/>
      <x:c r="T272" s="202"/>
    </x:row>
    <x:row r="273" ht="15" customHeight="1">
      <x:c r="C273" s="202" t="str">
        <x:v>    )</x:v>
      </x:c>
      <x:c r="D273" s="202"/>
      <x:c r="E273" s="202"/>
      <x:c r="F273" s="202"/>
      <x:c r="G273" s="202"/>
      <x:c r="H273" s="202"/>
      <x:c r="I273" s="202"/>
      <x:c r="J273" s="202"/>
      <x:c r="K273" s="202"/>
      <x:c r="L273" s="202"/>
      <x:c r="M273" s="202"/>
      <x:c r="N273" s="202"/>
      <x:c r="O273" s="202"/>
      <x:c r="P273" s="202"/>
      <x:c r="Q273" s="202"/>
      <x:c r="R273" s="202"/>
      <x:c r="S273" s="202"/>
      <x:c r="T273" s="202"/>
    </x:row>
    <x:row r="274" ht="15" customHeight="1">
      <x:c r="C274" s="202" t="str">
        <x:v>    out.mkdir(parents=True, exist_ok=True)</x:v>
      </x:c>
      <x:c r="D274" s="202"/>
      <x:c r="E274" s="202"/>
      <x:c r="F274" s="202"/>
      <x:c r="G274" s="202"/>
      <x:c r="H274" s="202"/>
      <x:c r="I274" s="202"/>
      <x:c r="J274" s="202"/>
      <x:c r="K274" s="202"/>
      <x:c r="L274" s="202"/>
      <x:c r="M274" s="202"/>
      <x:c r="N274" s="202"/>
      <x:c r="O274" s="202"/>
      <x:c r="P274" s="202"/>
      <x:c r="Q274" s="202"/>
      <x:c r="R274" s="202"/>
      <x:c r="S274" s="202"/>
      <x:c r="T274" s="202"/>
    </x:row>
    <x:row r="275" ht="15" customHeight="1">
      <x:c r="C275" s="202" t="str">
        <x:v>    (out / "regression_results.json").write_text(json.dumps(result, indent=2) + "\n")</x:v>
      </x:c>
      <x:c r="D275" s="202"/>
      <x:c r="E275" s="202"/>
      <x:c r="F275" s="202"/>
      <x:c r="G275" s="202"/>
      <x:c r="H275" s="202"/>
      <x:c r="I275" s="202"/>
      <x:c r="J275" s="202"/>
      <x:c r="K275" s="202"/>
      <x:c r="L275" s="202"/>
      <x:c r="M275" s="202"/>
      <x:c r="N275" s="202"/>
      <x:c r="O275" s="202"/>
      <x:c r="P275" s="202"/>
      <x:c r="Q275" s="202"/>
      <x:c r="R275" s="202"/>
      <x:c r="S275" s="202"/>
      <x:c r="T275" s="202"/>
    </x:row>
    <x:row r="276" ht="15" customHeight="1">
      <x:c r="C276" s="202" t="str">
        <x:v>    write_csv(out / "regression_input.csv", [</x:v>
      </x:c>
      <x:c r="D276" s="202"/>
      <x:c r="E276" s="202"/>
      <x:c r="F276" s="202"/>
      <x:c r="G276" s="202"/>
      <x:c r="H276" s="202"/>
      <x:c r="I276" s="202"/>
      <x:c r="J276" s="202"/>
      <x:c r="K276" s="202"/>
      <x:c r="L276" s="202"/>
      <x:c r="M276" s="202"/>
      <x:c r="N276" s="202"/>
      <x:c r="O276" s="202"/>
      <x:c r="P276" s="202"/>
      <x:c r="Q276" s="202"/>
      <x:c r="R276" s="202"/>
      <x:c r="S276" s="202"/>
      <x:c r="T276" s="202"/>
    </x:row>
    <x:row r="277" ht="15" customHeight="1">
      <x:c r="C277" s="202" t="str">
        <x:v>        dict(year=int(yr), revenue=float(rev), cfo=float(cf))</x:v>
      </x:c>
      <x:c r="D277" s="202"/>
      <x:c r="E277" s="202"/>
      <x:c r="F277" s="202"/>
      <x:c r="G277" s="202"/>
      <x:c r="H277" s="202"/>
      <x:c r="I277" s="202"/>
      <x:c r="J277" s="202"/>
      <x:c r="K277" s="202"/>
      <x:c r="L277" s="202"/>
      <x:c r="M277" s="202"/>
      <x:c r="N277" s="202"/>
      <x:c r="O277" s="202"/>
      <x:c r="P277" s="202"/>
      <x:c r="Q277" s="202"/>
      <x:c r="R277" s="202"/>
      <x:c r="S277" s="202"/>
      <x:c r="T277" s="202"/>
    </x:row>
    <x:row r="278" ht="15" customHeight="1">
      <x:c r="C278" s="202" t="str">
        <x:v>        for yr, rev, cf in data</x:v>
      </x:c>
      <x:c r="D278" s="202"/>
      <x:c r="E278" s="202"/>
      <x:c r="F278" s="202"/>
      <x:c r="G278" s="202"/>
      <x:c r="H278" s="202"/>
      <x:c r="I278" s="202"/>
      <x:c r="J278" s="202"/>
      <x:c r="K278" s="202"/>
      <x:c r="L278" s="202"/>
      <x:c r="M278" s="202"/>
      <x:c r="N278" s="202"/>
      <x:c r="O278" s="202"/>
      <x:c r="P278" s="202"/>
      <x:c r="Q278" s="202"/>
      <x:c r="R278" s="202"/>
      <x:c r="S278" s="202"/>
      <x:c r="T278" s="202"/>
    </x:row>
    <x:row r="279" ht="15" customHeight="1">
      <x:c r="C279" s="202" t="str">
        <x:v>    ])</x:v>
      </x:c>
      <x:c r="D279" s="202"/>
      <x:c r="E279" s="202"/>
      <x:c r="F279" s="202"/>
      <x:c r="G279" s="202"/>
      <x:c r="H279" s="202"/>
      <x:c r="I279" s="202"/>
      <x:c r="J279" s="202"/>
      <x:c r="K279" s="202"/>
      <x:c r="L279" s="202"/>
      <x:c r="M279" s="202"/>
      <x:c r="N279" s="202"/>
      <x:c r="O279" s="202"/>
      <x:c r="P279" s="202"/>
      <x:c r="Q279" s="202"/>
      <x:c r="R279" s="202"/>
      <x:c r="S279" s="202"/>
      <x:c r="T279" s="202"/>
    </x:row>
    <x:row r="280" ht="15" customHeight="1">
      <x:c r="C280" s="202" t="str">
        <x:v>    write_csv(out / "levels_diagnostics.csv", levels["observations"])</x:v>
      </x:c>
      <x:c r="D280" s="202"/>
      <x:c r="E280" s="202"/>
      <x:c r="F280" s="202"/>
      <x:c r="G280" s="202"/>
      <x:c r="H280" s="202"/>
      <x:c r="I280" s="202"/>
      <x:c r="J280" s="202"/>
      <x:c r="K280" s="202"/>
      <x:c r="L280" s="202"/>
      <x:c r="M280" s="202"/>
      <x:c r="N280" s="202"/>
      <x:c r="O280" s="202"/>
      <x:c r="P280" s="202"/>
      <x:c r="Q280" s="202"/>
      <x:c r="R280" s="202"/>
      <x:c r="S280" s="202"/>
      <x:c r="T280" s="202"/>
    </x:row>
    <x:row r="281" ht="15" customHeight="1">
      <x:c r="C281" s="202" t="str">
        <x:v>    write_csv(out / "changes_diagnostics.csv", changes["observations"])</x:v>
      </x:c>
      <x:c r="D281" s="202"/>
      <x:c r="E281" s="202"/>
      <x:c r="F281" s="202"/>
      <x:c r="G281" s="202"/>
      <x:c r="H281" s="202"/>
      <x:c r="I281" s="202"/>
      <x:c r="J281" s="202"/>
      <x:c r="K281" s="202"/>
      <x:c r="L281" s="202"/>
      <x:c r="M281" s="202"/>
      <x:c r="N281" s="202"/>
      <x:c r="O281" s="202"/>
      <x:c r="P281" s="202"/>
      <x:c r="Q281" s="202"/>
      <x:c r="R281" s="202"/>
      <x:c r="S281" s="202"/>
      <x:c r="T281" s="202"/>
    </x:row>
    <x:row r="282" ht="15" customHeight="1">
      <x:c r="C282" s="202" t="str">
        <x:v>    coefficients = []</x:v>
      </x:c>
      <x:c r="D282" s="202"/>
      <x:c r="E282" s="202"/>
      <x:c r="F282" s="202"/>
      <x:c r="G282" s="202"/>
      <x:c r="H282" s="202"/>
      <x:c r="I282" s="202"/>
      <x:c r="J282" s="202"/>
      <x:c r="K282" s="202"/>
      <x:c r="L282" s="202"/>
      <x:c r="M282" s="202"/>
      <x:c r="N282" s="202"/>
      <x:c r="O282" s="202"/>
      <x:c r="P282" s="202"/>
      <x:c r="Q282" s="202"/>
      <x:c r="R282" s="202"/>
      <x:c r="S282" s="202"/>
      <x:c r="T282" s="202"/>
    </x:row>
    <x:row r="283" ht="15" customHeight="1">
      <x:c r="C283" s="202" t="str">
        <x:v>    for model, values in [("levels", levels), ("first_differences", changes)]:</x:v>
      </x:c>
      <x:c r="D283" s="202"/>
      <x:c r="E283" s="202"/>
      <x:c r="F283" s="202"/>
      <x:c r="G283" s="202"/>
      <x:c r="H283" s="202"/>
      <x:c r="I283" s="202"/>
      <x:c r="J283" s="202"/>
      <x:c r="K283" s="202"/>
      <x:c r="L283" s="202"/>
      <x:c r="M283" s="202"/>
      <x:c r="N283" s="202"/>
      <x:c r="O283" s="202"/>
      <x:c r="P283" s="202"/>
      <x:c r="Q283" s="202"/>
      <x:c r="R283" s="202"/>
      <x:c r="S283" s="202"/>
      <x:c r="T283" s="202"/>
    </x:row>
    <x:row r="284" ht="15" customHeight="1">
      <x:c r="C284" s="202" t="str">
        <x:v>        for index, name in enumerate(["intercept", "slope"]):</x:v>
      </x:c>
      <x:c r="D284" s="202"/>
      <x:c r="E284" s="202"/>
      <x:c r="F284" s="202"/>
      <x:c r="G284" s="202"/>
      <x:c r="H284" s="202"/>
      <x:c r="I284" s="202"/>
      <x:c r="J284" s="202"/>
      <x:c r="K284" s="202"/>
      <x:c r="L284" s="202"/>
      <x:c r="M284" s="202"/>
      <x:c r="N284" s="202"/>
      <x:c r="O284" s="202"/>
      <x:c r="P284" s="202"/>
      <x:c r="Q284" s="202"/>
      <x:c r="R284" s="202"/>
      <x:c r="S284" s="202"/>
      <x:c r="T284" s="202"/>
    </x:row>
    <x:row r="285" ht="15" customHeight="1">
      <x:c r="C285" s="202" t="str">
        <x:v>            coefficients.append(dict(model=model, parameter=name,</x:v>
      </x:c>
      <x:c r="D285" s="202"/>
      <x:c r="E285" s="202"/>
      <x:c r="F285" s="202"/>
      <x:c r="G285" s="202"/>
      <x:c r="H285" s="202"/>
      <x:c r="I285" s="202"/>
      <x:c r="J285" s="202"/>
      <x:c r="K285" s="202"/>
      <x:c r="L285" s="202"/>
      <x:c r="M285" s="202"/>
      <x:c r="N285" s="202"/>
      <x:c r="O285" s="202"/>
      <x:c r="P285" s="202"/>
      <x:c r="Q285" s="202"/>
      <x:c r="R285" s="202"/>
      <x:c r="S285" s="202"/>
      <x:c r="T285" s="202"/>
    </x:row>
    <x:row r="286" ht="15" customHeight="1">
      <x:c r="C286" s="202" t="str">
        <x:v>                                     estimate=values[name], se_ols=values["se_ols"][index],</x:v>
      </x:c>
      <x:c r="D286" s="202"/>
      <x:c r="E286" s="202"/>
      <x:c r="F286" s="202"/>
      <x:c r="G286" s="202"/>
      <x:c r="H286" s="202"/>
      <x:c r="I286" s="202"/>
      <x:c r="J286" s="202"/>
      <x:c r="K286" s="202"/>
      <x:c r="L286" s="202"/>
      <x:c r="M286" s="202"/>
      <x:c r="N286" s="202"/>
      <x:c r="O286" s="202"/>
      <x:c r="P286" s="202"/>
      <x:c r="Q286" s="202"/>
      <x:c r="R286" s="202"/>
      <x:c r="S286" s="202"/>
      <x:c r="T286" s="202"/>
    </x:row>
    <x:row r="287" ht="15" customHeight="1">
      <x:c r="C287" s="202" t="str">
        <x:v>                                     se_hc3=values["se_hc3"][index],</x:v>
      </x:c>
      <x:c r="D287" s="202"/>
      <x:c r="E287" s="202"/>
      <x:c r="F287" s="202"/>
      <x:c r="G287" s="202"/>
      <x:c r="H287" s="202"/>
      <x:c r="I287" s="202"/>
      <x:c r="J287" s="202"/>
      <x:c r="K287" s="202"/>
      <x:c r="L287" s="202"/>
      <x:c r="M287" s="202"/>
      <x:c r="N287" s="202"/>
      <x:c r="O287" s="202"/>
      <x:c r="P287" s="202"/>
      <x:c r="Q287" s="202"/>
      <x:c r="R287" s="202"/>
      <x:c r="S287" s="202"/>
      <x:c r="T287" s="202"/>
    </x:row>
    <x:row r="288" ht="15" customHeight="1">
      <x:c r="C288" s="202" t="str">
        <x:v>                                     t_hc3=values["t_hc3"][index],</x:v>
      </x:c>
      <x:c r="D288" s="202"/>
      <x:c r="E288" s="202"/>
      <x:c r="F288" s="202"/>
      <x:c r="G288" s="202"/>
      <x:c r="H288" s="202"/>
      <x:c r="I288" s="202"/>
      <x:c r="J288" s="202"/>
      <x:c r="K288" s="202"/>
      <x:c r="L288" s="202"/>
      <x:c r="M288" s="202"/>
      <x:c r="N288" s="202"/>
      <x:c r="O288" s="202"/>
      <x:c r="P288" s="202"/>
      <x:c r="Q288" s="202"/>
      <x:c r="R288" s="202"/>
      <x:c r="S288" s="202"/>
      <x:c r="T288" s="202"/>
    </x:row>
    <x:row r="289" ht="15" customHeight="1">
      <x:c r="C289" s="202" t="str">
        <x:v>                                     p_hc3=values["p_hc3"][index],</x:v>
      </x:c>
      <x:c r="D289" s="202"/>
      <x:c r="E289" s="202"/>
      <x:c r="F289" s="202"/>
      <x:c r="G289" s="202"/>
      <x:c r="H289" s="202"/>
      <x:c r="I289" s="202"/>
      <x:c r="J289" s="202"/>
      <x:c r="K289" s="202"/>
      <x:c r="L289" s="202"/>
      <x:c r="M289" s="202"/>
      <x:c r="N289" s="202"/>
      <x:c r="O289" s="202"/>
      <x:c r="P289" s="202"/>
      <x:c r="Q289" s="202"/>
      <x:c r="R289" s="202"/>
      <x:c r="S289" s="202"/>
      <x:c r="T289" s="202"/>
    </x:row>
    <x:row r="290" ht="15" customHeight="1">
      <x:c r="C290" s="202" t="str">
        <x:v>                                     ci95_low=values["ci95_hc3"][index][0],</x:v>
      </x:c>
      <x:c r="D290" s="202"/>
      <x:c r="E290" s="202"/>
      <x:c r="F290" s="202"/>
      <x:c r="G290" s="202"/>
      <x:c r="H290" s="202"/>
      <x:c r="I290" s="202"/>
      <x:c r="J290" s="202"/>
      <x:c r="K290" s="202"/>
      <x:c r="L290" s="202"/>
      <x:c r="M290" s="202"/>
      <x:c r="N290" s="202"/>
      <x:c r="O290" s="202"/>
      <x:c r="P290" s="202"/>
      <x:c r="Q290" s="202"/>
      <x:c r="R290" s="202"/>
      <x:c r="S290" s="202"/>
      <x:c r="T290" s="202"/>
    </x:row>
    <x:row r="291" ht="15" customHeight="1">
      <x:c r="C291" s="202" t="str">
        <x:v>                                     ci95_high=values["ci95_hc3"][index][1]))</x:v>
      </x:c>
      <x:c r="D291" s="202"/>
      <x:c r="E291" s="202"/>
      <x:c r="F291" s="202"/>
      <x:c r="G291" s="202"/>
      <x:c r="H291" s="202"/>
      <x:c r="I291" s="202"/>
      <x:c r="J291" s="202"/>
      <x:c r="K291" s="202"/>
      <x:c r="L291" s="202"/>
      <x:c r="M291" s="202"/>
      <x:c r="N291" s="202"/>
      <x:c r="O291" s="202"/>
      <x:c r="P291" s="202"/>
      <x:c r="Q291" s="202"/>
      <x:c r="R291" s="202"/>
      <x:c r="S291" s="202"/>
      <x:c r="T291" s="202"/>
    </x:row>
    <x:row r="292" ht="15" customHeight="1">
      <x:c r="C292" s="202" t="str">
        <x:v>    write_csv(out / "coefficients.csv", coefficients)</x:v>
      </x:c>
      <x:c r="D292" s="202"/>
      <x:c r="E292" s="202"/>
      <x:c r="F292" s="202"/>
      <x:c r="G292" s="202"/>
      <x:c r="H292" s="202"/>
      <x:c r="I292" s="202"/>
      <x:c r="J292" s="202"/>
      <x:c r="K292" s="202"/>
      <x:c r="L292" s="202"/>
      <x:c r="M292" s="202"/>
      <x:c r="N292" s="202"/>
      <x:c r="O292" s="202"/>
      <x:c r="P292" s="202"/>
      <x:c r="Q292" s="202"/>
      <x:c r="R292" s="202"/>
      <x:c r="S292" s="202"/>
      <x:c r="T292" s="202"/>
    </x:row>
    <x:row r="293" ht="15" customHeight="1">
      <x:c r="C293" s="202" t="str"/>
      <x:c r="D293" s="202"/>
      <x:c r="E293" s="202"/>
      <x:c r="F293" s="202"/>
      <x:c r="G293" s="202"/>
      <x:c r="H293" s="202"/>
      <x:c r="I293" s="202"/>
      <x:c r="J293" s="202"/>
      <x:c r="K293" s="202"/>
      <x:c r="L293" s="202"/>
      <x:c r="M293" s="202"/>
      <x:c r="N293" s="202"/>
      <x:c r="O293" s="202"/>
      <x:c r="P293" s="202"/>
      <x:c r="Q293" s="202"/>
      <x:c r="R293" s="202"/>
      <x:c r="S293" s="202"/>
      <x:c r="T293" s="202"/>
    </x:row>
    <x:row r="294" ht="15" customHeight="1">
      <x:c r="C294" s="202" t="str">
        <x:v>    # Optional plots. The numerical results require only NumPy and SciPy.</x:v>
      </x:c>
      <x:c r="D294" s="202"/>
      <x:c r="E294" s="202"/>
      <x:c r="F294" s="202"/>
      <x:c r="G294" s="202"/>
      <x:c r="H294" s="202"/>
      <x:c r="I294" s="202"/>
      <x:c r="J294" s="202"/>
      <x:c r="K294" s="202"/>
      <x:c r="L294" s="202"/>
      <x:c r="M294" s="202"/>
      <x:c r="N294" s="202"/>
      <x:c r="O294" s="202"/>
      <x:c r="P294" s="202"/>
      <x:c r="Q294" s="202"/>
      <x:c r="R294" s="202"/>
      <x:c r="S294" s="202"/>
      <x:c r="T294" s="202"/>
    </x:row>
    <x:row r="295" ht="15" customHeight="1">
      <x:c r="C295" s="202" t="str">
        <x:v>    try:</x:v>
      </x:c>
      <x:c r="D295" s="202"/>
      <x:c r="E295" s="202"/>
      <x:c r="F295" s="202"/>
      <x:c r="G295" s="202"/>
      <x:c r="H295" s="202"/>
      <x:c r="I295" s="202"/>
      <x:c r="J295" s="202"/>
      <x:c r="K295" s="202"/>
      <x:c r="L295" s="202"/>
      <x:c r="M295" s="202"/>
      <x:c r="N295" s="202"/>
      <x:c r="O295" s="202"/>
      <x:c r="P295" s="202"/>
      <x:c r="Q295" s="202"/>
      <x:c r="R295" s="202"/>
      <x:c r="S295" s="202"/>
      <x:c r="T295" s="202"/>
    </x:row>
    <x:row r="296" ht="15" customHeight="1">
      <x:c r="C296" s="202" t="str">
        <x:v>        import matplotlib</x:v>
      </x:c>
      <x:c r="D296" s="202"/>
      <x:c r="E296" s="202"/>
      <x:c r="F296" s="202"/>
      <x:c r="G296" s="202"/>
      <x:c r="H296" s="202"/>
      <x:c r="I296" s="202"/>
      <x:c r="J296" s="202"/>
      <x:c r="K296" s="202"/>
      <x:c r="L296" s="202"/>
      <x:c r="M296" s="202"/>
      <x:c r="N296" s="202"/>
      <x:c r="O296" s="202"/>
      <x:c r="P296" s="202"/>
      <x:c r="Q296" s="202"/>
      <x:c r="R296" s="202"/>
      <x:c r="S296" s="202"/>
      <x:c r="T296" s="202"/>
    </x:row>
    <x:row r="297" ht="15" customHeight="1">
      <x:c r="C297" s="202" t="str">
        <x:v>        matplotlib.use("Agg")</x:v>
      </x:c>
      <x:c r="D297" s="202"/>
      <x:c r="E297" s="202"/>
      <x:c r="F297" s="202"/>
      <x:c r="G297" s="202"/>
      <x:c r="H297" s="202"/>
      <x:c r="I297" s="202"/>
      <x:c r="J297" s="202"/>
      <x:c r="K297" s="202"/>
      <x:c r="L297" s="202"/>
      <x:c r="M297" s="202"/>
      <x:c r="N297" s="202"/>
      <x:c r="O297" s="202"/>
      <x:c r="P297" s="202"/>
      <x:c r="Q297" s="202"/>
      <x:c r="R297" s="202"/>
      <x:c r="S297" s="202"/>
      <x:c r="T297" s="202"/>
    </x:row>
    <x:row r="298" ht="15" customHeight="1">
      <x:c r="C298" s="202" t="str">
        <x:v>        import matplotlib.pyplot as plt</x:v>
      </x:c>
      <x:c r="D298" s="202"/>
      <x:c r="E298" s="202"/>
      <x:c r="F298" s="202"/>
      <x:c r="G298" s="202"/>
      <x:c r="H298" s="202"/>
      <x:c r="I298" s="202"/>
      <x:c r="J298" s="202"/>
      <x:c r="K298" s="202"/>
      <x:c r="L298" s="202"/>
      <x:c r="M298" s="202"/>
      <x:c r="N298" s="202"/>
      <x:c r="O298" s="202"/>
      <x:c r="P298" s="202"/>
      <x:c r="Q298" s="202"/>
      <x:c r="R298" s="202"/>
      <x:c r="S298" s="202"/>
      <x:c r="T298" s="202"/>
    </x:row>
    <x:row r="299" ht="15" customHeight="1">
      <x:c r="C299" s="202" t="str">
        <x:v>    except ImportError:</x:v>
      </x:c>
      <x:c r="D299" s="202"/>
      <x:c r="E299" s="202"/>
      <x:c r="F299" s="202"/>
      <x:c r="G299" s="202"/>
      <x:c r="H299" s="202"/>
      <x:c r="I299" s="202"/>
      <x:c r="J299" s="202"/>
      <x:c r="K299" s="202"/>
      <x:c r="L299" s="202"/>
      <x:c r="M299" s="202"/>
      <x:c r="N299" s="202"/>
      <x:c r="O299" s="202"/>
      <x:c r="P299" s="202"/>
      <x:c r="Q299" s="202"/>
      <x:c r="R299" s="202"/>
      <x:c r="S299" s="202"/>
      <x:c r="T299" s="202"/>
    </x:row>
    <x:row r="300" ht="15" customHeight="1">
      <x:c r="C300" s="202" t="str">
        <x:v>        plt = None</x:v>
      </x:c>
      <x:c r="D300" s="202"/>
      <x:c r="E300" s="202"/>
      <x:c r="F300" s="202"/>
      <x:c r="G300" s="202"/>
      <x:c r="H300" s="202"/>
      <x:c r="I300" s="202"/>
      <x:c r="J300" s="202"/>
      <x:c r="K300" s="202"/>
      <x:c r="L300" s="202"/>
      <x:c r="M300" s="202"/>
      <x:c r="N300" s="202"/>
      <x:c r="O300" s="202"/>
      <x:c r="P300" s="202"/>
      <x:c r="Q300" s="202"/>
      <x:c r="R300" s="202"/>
      <x:c r="S300" s="202"/>
      <x:c r="T300" s="202"/>
    </x:row>
    <x:row r="301" ht="15" customHeight="1">
      <x:c r="C301" s="202" t="str">
        <x:v>    if plt is not None:</x:v>
      </x:c>
      <x:c r="D301" s="202"/>
      <x:c r="E301" s="202"/>
      <x:c r="F301" s="202"/>
      <x:c r="G301" s="202"/>
      <x:c r="H301" s="202"/>
      <x:c r="I301" s="202"/>
      <x:c r="J301" s="202"/>
      <x:c r="K301" s="202"/>
      <x:c r="L301" s="202"/>
      <x:c r="M301" s="202"/>
      <x:c r="N301" s="202"/>
      <x:c r="O301" s="202"/>
      <x:c r="P301" s="202"/>
      <x:c r="Q301" s="202"/>
      <x:c r="R301" s="202"/>
      <x:c r="S301" s="202"/>
      <x:c r="T301" s="202"/>
    </x:row>
    <x:row r="302" ht="15" customHeight="1">
      <x:c r="C302" s="202" t="str">
        <x:v>        fig, ax = plt.subplots(figsize=(7, 3.2), constrained_layout=True)</x:v>
      </x:c>
      <x:c r="D302" s="202"/>
      <x:c r="E302" s="202"/>
      <x:c r="F302" s="202"/>
      <x:c r="G302" s="202"/>
      <x:c r="H302" s="202"/>
      <x:c r="I302" s="202"/>
      <x:c r="J302" s="202"/>
      <x:c r="K302" s="202"/>
      <x:c r="L302" s="202"/>
      <x:c r="M302" s="202"/>
      <x:c r="N302" s="202"/>
      <x:c r="O302" s="202"/>
      <x:c r="P302" s="202"/>
      <x:c r="Q302" s="202"/>
      <x:c r="R302" s="202"/>
      <x:c r="S302" s="202"/>
      <x:c r="T302" s="202"/>
    </x:row>
    <x:row r="303" ht="15" customHeight="1">
      <x:c r="C303" s="202" t="str">
        <x:v>        ax.plot(years, cfo / 1000, color="#17365A", marker="o", label="Actual CFO")</x:v>
      </x:c>
      <x:c r="D303" s="202"/>
      <x:c r="E303" s="202"/>
      <x:c r="F303" s="202"/>
      <x:c r="G303" s="202"/>
      <x:c r="H303" s="202"/>
      <x:c r="I303" s="202"/>
      <x:c r="J303" s="202"/>
      <x:c r="K303" s="202"/>
      <x:c r="L303" s="202"/>
      <x:c r="M303" s="202"/>
      <x:c r="N303" s="202"/>
      <x:c r="O303" s="202"/>
      <x:c r="P303" s="202"/>
      <x:c r="Q303" s="202"/>
      <x:c r="R303" s="202"/>
      <x:c r="S303" s="202"/>
      <x:c r="T303" s="202"/>
    </x:row>
    <x:row r="304" ht="15" customHeight="1">
      <x:c r="C304" s="202" t="str">
        <x:v>        ax.plot(years, np.exp([o["fitted"] for o in levels["observations"]]) / 1000,</x:v>
      </x:c>
      <x:c r="D304" s="202"/>
      <x:c r="E304" s="202"/>
      <x:c r="F304" s="202"/>
      <x:c r="G304" s="202"/>
      <x:c r="H304" s="202"/>
      <x:c r="I304" s="202"/>
      <x:c r="J304" s="202"/>
      <x:c r="K304" s="202"/>
      <x:c r="L304" s="202"/>
      <x:c r="M304" s="202"/>
      <x:c r="N304" s="202"/>
      <x:c r="O304" s="202"/>
      <x:c r="P304" s="202"/>
      <x:c r="Q304" s="202"/>
      <x:c r="R304" s="202"/>
      <x:c r="S304" s="202"/>
      <x:c r="T304" s="202"/>
    </x:row>
    <x:row r="305" ht="15" customHeight="1">
      <x:c r="C305" s="202" t="str">
        <x:v>                color="#5B9BD5", linestyle="--", label="Fitted conditional median")</x:v>
      </x:c>
      <x:c r="D305" s="202"/>
      <x:c r="E305" s="202"/>
      <x:c r="F305" s="202"/>
      <x:c r="G305" s="202"/>
      <x:c r="H305" s="202"/>
      <x:c r="I305" s="202"/>
      <x:c r="J305" s="202"/>
      <x:c r="K305" s="202"/>
      <x:c r="L305" s="202"/>
      <x:c r="M305" s="202"/>
      <x:c r="N305" s="202"/>
      <x:c r="O305" s="202"/>
      <x:c r="P305" s="202"/>
      <x:c r="Q305" s="202"/>
      <x:c r="R305" s="202"/>
      <x:c r="S305" s="202"/>
      <x:c r="T305" s="202"/>
    </x:row>
    <x:row r="306" ht="15" customHeight="1">
      <x:c r="C306" s="202" t="str">
        <x:v>        ax.set(ylabel="USD billions", xlabel="Fiscal year")</x:v>
      </x:c>
      <x:c r="D306" s="202"/>
      <x:c r="E306" s="202"/>
      <x:c r="F306" s="202"/>
      <x:c r="G306" s="202"/>
      <x:c r="H306" s="202"/>
      <x:c r="I306" s="202"/>
      <x:c r="J306" s="202"/>
      <x:c r="K306" s="202"/>
      <x:c r="L306" s="202"/>
      <x:c r="M306" s="202"/>
      <x:c r="N306" s="202"/>
      <x:c r="O306" s="202"/>
      <x:c r="P306" s="202"/>
      <x:c r="Q306" s="202"/>
      <x:c r="R306" s="202"/>
      <x:c r="S306" s="202"/>
      <x:c r="T306" s="202"/>
    </x:row>
    <x:row r="307" ht="15" customHeight="1">
      <x:c r="C307" s="202" t="str">
        <x:v>        ax.legend(frameon=False, fontsize=8)</x:v>
      </x:c>
      <x:c r="D307" s="202"/>
      <x:c r="E307" s="202"/>
      <x:c r="F307" s="202"/>
      <x:c r="G307" s="202"/>
      <x:c r="H307" s="202"/>
      <x:c r="I307" s="202"/>
      <x:c r="J307" s="202"/>
      <x:c r="K307" s="202"/>
      <x:c r="L307" s="202"/>
      <x:c r="M307" s="202"/>
      <x:c r="N307" s="202"/>
      <x:c r="O307" s="202"/>
      <x:c r="P307" s="202"/>
      <x:c r="Q307" s="202"/>
      <x:c r="R307" s="202"/>
      <x:c r="S307" s="202"/>
      <x:c r="T307" s="202"/>
    </x:row>
    <x:row r="308" ht="15" customHeight="1">
      <x:c r="C308" s="202" t="str">
        <x:v>        ax.grid(axis="y", alpha=0.2)</x:v>
      </x:c>
      <x:c r="D308" s="202"/>
      <x:c r="E308" s="202"/>
      <x:c r="F308" s="202"/>
      <x:c r="G308" s="202"/>
      <x:c r="H308" s="202"/>
      <x:c r="I308" s="202"/>
      <x:c r="J308" s="202"/>
      <x:c r="K308" s="202"/>
      <x:c r="L308" s="202"/>
      <x:c r="M308" s="202"/>
      <x:c r="N308" s="202"/>
      <x:c r="O308" s="202"/>
      <x:c r="P308" s="202"/>
      <x:c r="Q308" s="202"/>
      <x:c r="R308" s="202"/>
      <x:c r="S308" s="202"/>
      <x:c r="T308" s="202"/>
    </x:row>
    <x:row r="309" ht="15" customHeight="1">
      <x:c r="C309" s="202" t="str">
        <x:v>        fig.savefig(out / "actual_and_fitted_cfo.png", dpi=180)</x:v>
      </x:c>
      <x:c r="D309" s="202"/>
      <x:c r="E309" s="202"/>
      <x:c r="F309" s="202"/>
      <x:c r="G309" s="202"/>
      <x:c r="H309" s="202"/>
      <x:c r="I309" s="202"/>
      <x:c r="J309" s="202"/>
      <x:c r="K309" s="202"/>
      <x:c r="L309" s="202"/>
      <x:c r="M309" s="202"/>
      <x:c r="N309" s="202"/>
      <x:c r="O309" s="202"/>
      <x:c r="P309" s="202"/>
      <x:c r="Q309" s="202"/>
      <x:c r="R309" s="202"/>
      <x:c r="S309" s="202"/>
      <x:c r="T309" s="202"/>
    </x:row>
    <x:row r="310" ht="15" customHeight="1">
      <x:c r="C310" s="202" t="str">
        <x:v>        plt.close(fig)</x:v>
      </x:c>
      <x:c r="D310" s="202"/>
      <x:c r="E310" s="202"/>
      <x:c r="F310" s="202"/>
      <x:c r="G310" s="202"/>
      <x:c r="H310" s="202"/>
      <x:c r="I310" s="202"/>
      <x:c r="J310" s="202"/>
      <x:c r="K310" s="202"/>
      <x:c r="L310" s="202"/>
      <x:c r="M310" s="202"/>
      <x:c r="N310" s="202"/>
      <x:c r="O310" s="202"/>
      <x:c r="P310" s="202"/>
      <x:c r="Q310" s="202"/>
      <x:c r="R310" s="202"/>
      <x:c r="S310" s="202"/>
      <x:c r="T310" s="202"/>
    </x:row>
    <x:row r="311" ht="15" customHeight="1">
      <x:c r="C311" s="202" t="str">
        <x:v>    for name, values in [("Log levels", levels), ("Log changes", changes)]:</x:v>
      </x:c>
      <x:c r="D311" s="202"/>
      <x:c r="E311" s="202"/>
      <x:c r="F311" s="202"/>
      <x:c r="G311" s="202"/>
      <x:c r="H311" s="202"/>
      <x:c r="I311" s="202"/>
      <x:c r="J311" s="202"/>
      <x:c r="K311" s="202"/>
      <x:c r="L311" s="202"/>
      <x:c r="M311" s="202"/>
      <x:c r="N311" s="202"/>
      <x:c r="O311" s="202"/>
      <x:c r="P311" s="202"/>
      <x:c r="Q311" s="202"/>
      <x:c r="R311" s="202"/>
      <x:c r="S311" s="202"/>
      <x:c r="T311" s="202"/>
    </x:row>
    <x:row r="312" ht="15" customHeight="1">
      <x:c r="C312" s="202" t="str">
        <x:v>        print(f"{name}: n={values['n']}, slope={values['slope']:.6f}, "</x:v>
      </x:c>
      <x:c r="D312" s="202"/>
      <x:c r="E312" s="202"/>
      <x:c r="F312" s="202"/>
      <x:c r="G312" s="202"/>
      <x:c r="H312" s="202"/>
      <x:c r="I312" s="202"/>
      <x:c r="J312" s="202"/>
      <x:c r="K312" s="202"/>
      <x:c r="L312" s="202"/>
      <x:c r="M312" s="202"/>
      <x:c r="N312" s="202"/>
      <x:c r="O312" s="202"/>
      <x:c r="P312" s="202"/>
      <x:c r="Q312" s="202"/>
      <x:c r="R312" s="202"/>
      <x:c r="S312" s="202"/>
      <x:c r="T312" s="202"/>
    </x:row>
    <x:row r="313" ht="15" customHeight="1">
      <x:c r="C313" s="202" t="str">
        <x:v>              f"HC3 SE={values['se_hc3'][1]:.6f}, p={values['p_hc3'][1]:.6f}, "</x:v>
      </x:c>
      <x:c r="D313" s="202"/>
      <x:c r="E313" s="202"/>
      <x:c r="F313" s="202"/>
      <x:c r="G313" s="202"/>
      <x:c r="H313" s="202"/>
      <x:c r="I313" s="202"/>
      <x:c r="J313" s="202"/>
      <x:c r="K313" s="202"/>
      <x:c r="L313" s="202"/>
      <x:c r="M313" s="202"/>
      <x:c r="N313" s="202"/>
      <x:c r="O313" s="202"/>
      <x:c r="P313" s="202"/>
      <x:c r="Q313" s="202"/>
      <x:c r="R313" s="202"/>
      <x:c r="S313" s="202"/>
      <x:c r="T313" s="202"/>
    </x:row>
    <x:row r="314" ht="15" customHeight="1">
      <x:c r="C314" s="202" t="str">
        <x:v>              f"R2={values['r_squared']:.6f}")</x:v>
      </x:c>
      <x:c r="D314" s="202"/>
      <x:c r="E314" s="202"/>
      <x:c r="F314" s="202"/>
      <x:c r="G314" s="202"/>
      <x:c r="H314" s="202"/>
      <x:c r="I314" s="202"/>
      <x:c r="J314" s="202"/>
      <x:c r="K314" s="202"/>
      <x:c r="L314" s="202"/>
      <x:c r="M314" s="202"/>
      <x:c r="N314" s="202"/>
      <x:c r="O314" s="202"/>
      <x:c r="P314" s="202"/>
      <x:c r="Q314" s="202"/>
      <x:c r="R314" s="202"/>
      <x:c r="S314" s="202"/>
      <x:c r="T314" s="202"/>
    </x:row>
    <x:row r="315" ht="15" customHeight="1">
      <x:c r="C315" s="202" t="str">
        <x:v>    return result</x:v>
      </x:c>
      <x:c r="D315" s="202"/>
      <x:c r="E315" s="202"/>
      <x:c r="F315" s="202"/>
      <x:c r="G315" s="202"/>
      <x:c r="H315" s="202"/>
      <x:c r="I315" s="202"/>
      <x:c r="J315" s="202"/>
      <x:c r="K315" s="202"/>
      <x:c r="L315" s="202"/>
      <x:c r="M315" s="202"/>
      <x:c r="N315" s="202"/>
      <x:c r="O315" s="202"/>
      <x:c r="P315" s="202"/>
      <x:c r="Q315" s="202"/>
      <x:c r="R315" s="202"/>
      <x:c r="S315" s="202"/>
      <x:c r="T315" s="202"/>
    </x:row>
    <x:row r="316" ht="15" customHeight="1">
      <x:c r="C316" s="202" t="str"/>
      <x:c r="D316" s="202"/>
      <x:c r="E316" s="202"/>
      <x:c r="F316" s="202"/>
      <x:c r="G316" s="202"/>
      <x:c r="H316" s="202"/>
      <x:c r="I316" s="202"/>
      <x:c r="J316" s="202"/>
      <x:c r="K316" s="202"/>
      <x:c r="L316" s="202"/>
      <x:c r="M316" s="202"/>
      <x:c r="N316" s="202"/>
      <x:c r="O316" s="202"/>
      <x:c r="P316" s="202"/>
      <x:c r="Q316" s="202"/>
      <x:c r="R316" s="202"/>
      <x:c r="S316" s="202"/>
      <x:c r="T316" s="202"/>
    </x:row>
    <x:row r="317" ht="15" customHeight="1">
      <x:c r="C317" s="202" t="str"/>
      <x:c r="D317" s="202"/>
      <x:c r="E317" s="202"/>
      <x:c r="F317" s="202"/>
      <x:c r="G317" s="202"/>
      <x:c r="H317" s="202"/>
      <x:c r="I317" s="202"/>
      <x:c r="J317" s="202"/>
      <x:c r="K317" s="202"/>
      <x:c r="L317" s="202"/>
      <x:c r="M317" s="202"/>
      <x:c r="N317" s="202"/>
      <x:c r="O317" s="202"/>
      <x:c r="P317" s="202"/>
      <x:c r="Q317" s="202"/>
      <x:c r="R317" s="202"/>
      <x:c r="S317" s="202"/>
      <x:c r="T317" s="202"/>
    </x:row>
    <x:row r="318" ht="15" customHeight="1">
      <x:c r="C318" s="202" t="str">
        <x:v>def main():</x:v>
      </x:c>
      <x:c r="D318" s="202"/>
      <x:c r="E318" s="202"/>
      <x:c r="F318" s="202"/>
      <x:c r="G318" s="202"/>
      <x:c r="H318" s="202"/>
      <x:c r="I318" s="202"/>
      <x:c r="J318" s="202"/>
      <x:c r="K318" s="202"/>
      <x:c r="L318" s="202"/>
      <x:c r="M318" s="202"/>
      <x:c r="N318" s="202"/>
      <x:c r="O318" s="202"/>
      <x:c r="P318" s="202"/>
      <x:c r="Q318" s="202"/>
      <x:c r="R318" s="202"/>
      <x:c r="S318" s="202"/>
      <x:c r="T318" s="202"/>
    </x:row>
    <x:row r="319" ht="15" customHeight="1">
      <x:c r="C319" s="202" t="str">
        <x:v>    parser = argparse.ArgumentParser(description=__doc__)</x:v>
      </x:c>
      <x:c r="D319" s="202"/>
      <x:c r="E319" s="202"/>
      <x:c r="F319" s="202"/>
      <x:c r="G319" s="202"/>
      <x:c r="H319" s="202"/>
      <x:c r="I319" s="202"/>
      <x:c r="J319" s="202"/>
      <x:c r="K319" s="202"/>
      <x:c r="L319" s="202"/>
      <x:c r="M319" s="202"/>
      <x:c r="N319" s="202"/>
      <x:c r="O319" s="202"/>
      <x:c r="P319" s="202"/>
      <x:c r="Q319" s="202"/>
      <x:c r="R319" s="202"/>
      <x:c r="S319" s="202"/>
      <x:c r="T319" s="202"/>
    </x:row>
    <x:row r="320" ht="15" customHeight="1">
      <x:c r="C320" s="202" t="str">
        <x:v>    parser.add_argument("--csv", type=Path)</x:v>
      </x:c>
      <x:c r="D320" s="202"/>
      <x:c r="E320" s="202"/>
      <x:c r="F320" s="202"/>
      <x:c r="G320" s="202"/>
      <x:c r="H320" s="202"/>
      <x:c r="I320" s="202"/>
      <x:c r="J320" s="202"/>
      <x:c r="K320" s="202"/>
      <x:c r="L320" s="202"/>
      <x:c r="M320" s="202"/>
      <x:c r="N320" s="202"/>
      <x:c r="O320" s="202"/>
      <x:c r="P320" s="202"/>
      <x:c r="Q320" s="202"/>
      <x:c r="R320" s="202"/>
      <x:c r="S320" s="202"/>
      <x:c r="T320" s="202"/>
    </x:row>
    <x:row r="321" ht="15" customHeight="1">
      <x:c r="C321" s="202" t="str">
        <x:v>    parser.add_argument("--out", type=Path, default=Path("regression_output"))</x:v>
      </x:c>
      <x:c r="D321" s="202"/>
      <x:c r="E321" s="202"/>
      <x:c r="F321" s="202"/>
      <x:c r="G321" s="202"/>
      <x:c r="H321" s="202"/>
      <x:c r="I321" s="202"/>
      <x:c r="J321" s="202"/>
      <x:c r="K321" s="202"/>
      <x:c r="L321" s="202"/>
      <x:c r="M321" s="202"/>
      <x:c r="N321" s="202"/>
      <x:c r="O321" s="202"/>
      <x:c r="P321" s="202"/>
      <x:c r="Q321" s="202"/>
      <x:c r="R321" s="202"/>
      <x:c r="S321" s="202"/>
      <x:c r="T321" s="202"/>
    </x:row>
    <x:row r="322" ht="15" customHeight="1">
      <x:c r="C322" s="202" t="str">
        <x:v>    args = parser.parse_args()</x:v>
      </x:c>
      <x:c r="D322" s="202"/>
      <x:c r="E322" s="202"/>
      <x:c r="F322" s="202"/>
      <x:c r="G322" s="202"/>
      <x:c r="H322" s="202"/>
      <x:c r="I322" s="202"/>
      <x:c r="J322" s="202"/>
      <x:c r="K322" s="202"/>
      <x:c r="L322" s="202"/>
      <x:c r="M322" s="202"/>
      <x:c r="N322" s="202"/>
      <x:c r="O322" s="202"/>
      <x:c r="P322" s="202"/>
      <x:c r="Q322" s="202"/>
      <x:c r="R322" s="202"/>
      <x:c r="S322" s="202"/>
      <x:c r="T322" s="202"/>
    </x:row>
    <x:row r="323" ht="15" customHeight="1">
      <x:c r="C323" s="202" t="str">
        <x:v>    data = DATA</x:v>
      </x:c>
      <x:c r="D323" s="202"/>
      <x:c r="E323" s="202"/>
      <x:c r="F323" s="202"/>
      <x:c r="G323" s="202"/>
      <x:c r="H323" s="202"/>
      <x:c r="I323" s="202"/>
      <x:c r="J323" s="202"/>
      <x:c r="K323" s="202"/>
      <x:c r="L323" s="202"/>
      <x:c r="M323" s="202"/>
      <x:c r="N323" s="202"/>
      <x:c r="O323" s="202"/>
      <x:c r="P323" s="202"/>
      <x:c r="Q323" s="202"/>
      <x:c r="R323" s="202"/>
      <x:c r="S323" s="202"/>
      <x:c r="T323" s="202"/>
    </x:row>
    <x:row r="324" ht="15" customHeight="1">
      <x:c r="C324" s="202" t="str">
        <x:v>    if args.csv:</x:v>
      </x:c>
      <x:c r="D324" s="202"/>
      <x:c r="E324" s="202"/>
      <x:c r="F324" s="202"/>
      <x:c r="G324" s="202"/>
      <x:c r="H324" s="202"/>
      <x:c r="I324" s="202"/>
      <x:c r="J324" s="202"/>
      <x:c r="K324" s="202"/>
      <x:c r="L324" s="202"/>
      <x:c r="M324" s="202"/>
      <x:c r="N324" s="202"/>
      <x:c r="O324" s="202"/>
      <x:c r="P324" s="202"/>
      <x:c r="Q324" s="202"/>
      <x:c r="R324" s="202"/>
      <x:c r="S324" s="202"/>
      <x:c r="T324" s="202"/>
    </x:row>
    <x:row r="325" ht="15" customHeight="1">
      <x:c r="C325" s="202" t="str">
        <x:v>        with args.csv.open(newline="", encoding="utf-8-sig") as handle:</x:v>
      </x:c>
      <x:c r="D325" s="202"/>
      <x:c r="E325" s="202"/>
      <x:c r="F325" s="202"/>
      <x:c r="G325" s="202"/>
      <x:c r="H325" s="202"/>
      <x:c r="I325" s="202"/>
      <x:c r="J325" s="202"/>
      <x:c r="K325" s="202"/>
      <x:c r="L325" s="202"/>
      <x:c r="M325" s="202"/>
      <x:c r="N325" s="202"/>
      <x:c r="O325" s="202"/>
      <x:c r="P325" s="202"/>
      <x:c r="Q325" s="202"/>
      <x:c r="R325" s="202"/>
      <x:c r="S325" s="202"/>
      <x:c r="T325" s="202"/>
    </x:row>
    <x:row r="326" ht="15" customHeight="1">
      <x:c r="C326" s="202" t="str">
        <x:v>            data = [(int(r["year"]), float(r["revenue"]), float(r["cfo"]))</x:v>
      </x:c>
      <x:c r="D326" s="202"/>
      <x:c r="E326" s="202"/>
      <x:c r="F326" s="202"/>
      <x:c r="G326" s="202"/>
      <x:c r="H326" s="202"/>
      <x:c r="I326" s="202"/>
      <x:c r="J326" s="202"/>
      <x:c r="K326" s="202"/>
      <x:c r="L326" s="202"/>
      <x:c r="M326" s="202"/>
      <x:c r="N326" s="202"/>
      <x:c r="O326" s="202"/>
      <x:c r="P326" s="202"/>
      <x:c r="Q326" s="202"/>
      <x:c r="R326" s="202"/>
      <x:c r="S326" s="202"/>
      <x:c r="T326" s="202"/>
    </x:row>
    <x:row r="327" ht="15" customHeight="1">
      <x:c r="C327" s="202" t="str">
        <x:v>                    for r in csv.DictReader(handle)]</x:v>
      </x:c>
      <x:c r="D327" s="202"/>
      <x:c r="E327" s="202"/>
      <x:c r="F327" s="202"/>
      <x:c r="G327" s="202"/>
      <x:c r="H327" s="202"/>
      <x:c r="I327" s="202"/>
      <x:c r="J327" s="202"/>
      <x:c r="K327" s="202"/>
      <x:c r="L327" s="202"/>
      <x:c r="M327" s="202"/>
      <x:c r="N327" s="202"/>
      <x:c r="O327" s="202"/>
      <x:c r="P327" s="202"/>
      <x:c r="Q327" s="202"/>
      <x:c r="R327" s="202"/>
      <x:c r="S327" s="202"/>
      <x:c r="T327" s="202"/>
    </x:row>
    <x:row r="328" ht="15" customHeight="1">
      <x:c r="C328" s="202" t="str">
        <x:v>    analyze(data, args.out)</x:v>
      </x:c>
      <x:c r="D328" s="202"/>
      <x:c r="E328" s="202"/>
      <x:c r="F328" s="202"/>
      <x:c r="G328" s="202"/>
      <x:c r="H328" s="202"/>
      <x:c r="I328" s="202"/>
      <x:c r="J328" s="202"/>
      <x:c r="K328" s="202"/>
      <x:c r="L328" s="202"/>
      <x:c r="M328" s="202"/>
      <x:c r="N328" s="202"/>
      <x:c r="O328" s="202"/>
      <x:c r="P328" s="202"/>
      <x:c r="Q328" s="202"/>
      <x:c r="R328" s="202"/>
      <x:c r="S328" s="202"/>
      <x:c r="T328" s="202"/>
    </x:row>
    <x:row r="329" ht="15" customHeight="1">
      <x:c r="C329" s="202" t="str"/>
      <x:c r="D329" s="202"/>
      <x:c r="E329" s="202"/>
      <x:c r="F329" s="202"/>
      <x:c r="G329" s="202"/>
      <x:c r="H329" s="202"/>
      <x:c r="I329" s="202"/>
      <x:c r="J329" s="202"/>
      <x:c r="K329" s="202"/>
      <x:c r="L329" s="202"/>
      <x:c r="M329" s="202"/>
      <x:c r="N329" s="202"/>
      <x:c r="O329" s="202"/>
      <x:c r="P329" s="202"/>
      <x:c r="Q329" s="202"/>
      <x:c r="R329" s="202"/>
      <x:c r="S329" s="202"/>
      <x:c r="T329" s="202"/>
    </x:row>
    <x:row r="330" ht="15" customHeight="1">
      <x:c r="C330" s="202" t="str"/>
      <x:c r="D330" s="202"/>
      <x:c r="E330" s="202"/>
      <x:c r="F330" s="202"/>
      <x:c r="G330" s="202"/>
      <x:c r="H330" s="202"/>
      <x:c r="I330" s="202"/>
      <x:c r="J330" s="202"/>
      <x:c r="K330" s="202"/>
      <x:c r="L330" s="202"/>
      <x:c r="M330" s="202"/>
      <x:c r="N330" s="202"/>
      <x:c r="O330" s="202"/>
      <x:c r="P330" s="202"/>
      <x:c r="Q330" s="202"/>
      <x:c r="R330" s="202"/>
      <x:c r="S330" s="202"/>
      <x:c r="T330" s="202"/>
    </x:row>
    <x:row r="331" ht="15" customHeight="1">
      <x:c r="C331" s="202" t="str">
        <x:v>if __name__ == "__main__":</x:v>
      </x:c>
      <x:c r="D331" s="202"/>
      <x:c r="E331" s="202"/>
      <x:c r="F331" s="202"/>
      <x:c r="G331" s="202"/>
      <x:c r="H331" s="202"/>
      <x:c r="I331" s="202"/>
      <x:c r="J331" s="202"/>
      <x:c r="K331" s="202"/>
      <x:c r="L331" s="202"/>
      <x:c r="M331" s="202"/>
      <x:c r="N331" s="202"/>
      <x:c r="O331" s="202"/>
      <x:c r="P331" s="202"/>
      <x:c r="Q331" s="202"/>
      <x:c r="R331" s="202"/>
      <x:c r="S331" s="202"/>
      <x:c r="T331" s="202"/>
    </x:row>
    <x:row r="332" ht="15" customHeight="1">
      <x:c r="C332" s="202" t="str">
        <x:v>    main()</x:v>
      </x:c>
      <x:c r="D332" s="202"/>
      <x:c r="E332" s="202"/>
      <x:c r="F332" s="202"/>
      <x:c r="G332" s="202"/>
      <x:c r="H332" s="202"/>
      <x:c r="I332" s="202"/>
      <x:c r="J332" s="202"/>
      <x:c r="K332" s="202"/>
      <x:c r="L332" s="202"/>
      <x:c r="M332" s="202"/>
      <x:c r="N332" s="202"/>
      <x:c r="O332" s="202"/>
      <x:c r="P332" s="202"/>
      <x:c r="Q332" s="202"/>
      <x:c r="R332" s="202"/>
      <x:c r="S332" s="202"/>
      <x:c r="T332" s="202"/>
    </x:row>
    <x:row r="333" ht="20" customHeight="1">
      <x:c r="C333" s="128"/>
      <x:c r="D333" s="128"/>
      <x:c r="E333" s="128"/>
      <x:c r="F333" s="128"/>
      <x:c r="G333" s="128"/>
      <x:c r="H333" s="128"/>
      <x:c r="I333" s="128"/>
      <x:c r="J333" s="128"/>
      <x:c r="K333" s="128"/>
      <x:c r="L333" s="128"/>
      <x:c r="M333" s="128"/>
      <x:c r="N333" s="128"/>
      <x:c r="O333" s="128"/>
      <x:c r="P333" s="128"/>
      <x:c r="Q333" s="128"/>
      <x:c r="R333" s="128"/>
      <x:c r="S333" s="128"/>
      <x:c r="T333" s="128"/>
    </x:row>
    <x:row r="334" ht="20" customHeight="1">
      <x:c r="C334" s="128"/>
      <x:c r="D334" s="128"/>
      <x:c r="E334" s="128"/>
      <x:c r="F334" s="128"/>
      <x:c r="G334" s="128"/>
      <x:c r="H334" s="128"/>
      <x:c r="I334" s="128"/>
      <x:c r="J334" s="128"/>
      <x:c r="K334" s="128"/>
      <x:c r="L334" s="128"/>
      <x:c r="M334" s="128"/>
      <x:c r="N334" s="128"/>
      <x:c r="O334" s="128"/>
      <x:c r="P334" s="128"/>
      <x:c r="Q334" s="128"/>
      <x:c r="R334" s="128"/>
      <x:c r="S334" s="128"/>
      <x:c r="T334" s="128"/>
    </x:row>
    <x:row r="335" ht="20" customHeight="1">
      <x:c r="C335" s="128"/>
      <x:c r="D335" s="128"/>
      <x:c r="E335" s="128"/>
      <x:c r="F335" s="128"/>
      <x:c r="G335" s="128"/>
      <x:c r="H335" s="128"/>
      <x:c r="I335" s="128"/>
      <x:c r="J335" s="128"/>
      <x:c r="K335" s="128"/>
      <x:c r="L335" s="128"/>
      <x:c r="M335" s="128"/>
      <x:c r="N335" s="128"/>
      <x:c r="O335" s="128"/>
      <x:c r="P335" s="128"/>
      <x:c r="Q335" s="128"/>
      <x:c r="R335" s="128"/>
      <x:c r="S335" s="128"/>
      <x:c r="T335" s="128"/>
    </x:row>
    <x:row r="336" ht="20" customHeight="1">
      <x:c r="C336" s="128"/>
      <x:c r="D336" s="128"/>
      <x:c r="E336" s="128"/>
      <x:c r="F336" s="128"/>
      <x:c r="G336" s="128"/>
      <x:c r="H336" s="128"/>
      <x:c r="I336" s="128"/>
      <x:c r="J336" s="128"/>
      <x:c r="K336" s="128"/>
      <x:c r="L336" s="128"/>
      <x:c r="M336" s="128"/>
      <x:c r="N336" s="128"/>
      <x:c r="O336" s="128"/>
      <x:c r="P336" s="128"/>
      <x:c r="Q336" s="128"/>
      <x:c r="R336" s="128"/>
      <x:c r="S336" s="128"/>
      <x:c r="T336" s="128"/>
    </x:row>
    <x:row r="337" ht="20" customHeight="1">
      <x:c r="C337" s="128"/>
      <x:c r="D337" s="128"/>
      <x:c r="E337" s="128"/>
      <x:c r="F337" s="128"/>
      <x:c r="G337" s="128"/>
      <x:c r="H337" s="128"/>
      <x:c r="I337" s="128"/>
      <x:c r="J337" s="128"/>
      <x:c r="K337" s="128"/>
      <x:c r="L337" s="128"/>
      <x:c r="M337" s="128"/>
      <x:c r="N337" s="128"/>
      <x:c r="O337" s="128"/>
      <x:c r="P337" s="128"/>
      <x:c r="Q337" s="128"/>
      <x:c r="R337" s="128"/>
      <x:c r="S337" s="128"/>
      <x:c r="T337" s="128"/>
    </x:row>
    <x:row r="338" ht="20" customHeight="1">
      <x:c r="C338" s="128"/>
      <x:c r="D338" s="128"/>
      <x:c r="E338" s="128"/>
      <x:c r="F338" s="128"/>
      <x:c r="G338" s="128"/>
      <x:c r="H338" s="128"/>
      <x:c r="I338" s="128"/>
      <x:c r="J338" s="128"/>
      <x:c r="K338" s="128"/>
      <x:c r="L338" s="128"/>
      <x:c r="M338" s="128"/>
      <x:c r="N338" s="128"/>
      <x:c r="O338" s="128"/>
      <x:c r="P338" s="128"/>
      <x:c r="Q338" s="128"/>
      <x:c r="R338" s="128"/>
      <x:c r="S338" s="128"/>
      <x:c r="T338" s="128"/>
    </x:row>
    <x:row r="339" ht="20" customHeight="1">
      <x:c r="C339" s="128"/>
      <x:c r="D339" s="128"/>
      <x:c r="E339" s="128"/>
      <x:c r="F339" s="128"/>
      <x:c r="G339" s="128"/>
      <x:c r="H339" s="128"/>
      <x:c r="I339" s="128"/>
      <x:c r="J339" s="128"/>
      <x:c r="K339" s="128"/>
      <x:c r="L339" s="128"/>
      <x:c r="M339" s="128"/>
      <x:c r="N339" s="128"/>
      <x:c r="O339" s="128"/>
      <x:c r="P339" s="128"/>
      <x:c r="Q339" s="128"/>
      <x:c r="R339" s="128"/>
      <x:c r="S339" s="128"/>
      <x:c r="T339" s="128"/>
    </x:row>
    <x:row r="340" ht="20" customHeight="1">
      <x:c r="C340" s="128"/>
      <x:c r="D340" s="128"/>
      <x:c r="E340" s="128"/>
      <x:c r="F340" s="128"/>
      <x:c r="G340" s="128"/>
      <x:c r="H340" s="128"/>
      <x:c r="I340" s="128"/>
      <x:c r="J340" s="128"/>
      <x:c r="K340" s="128"/>
      <x:c r="L340" s="128"/>
      <x:c r="M340" s="128"/>
      <x:c r="N340" s="128"/>
      <x:c r="O340" s="128"/>
      <x:c r="P340" s="128"/>
      <x:c r="Q340" s="128"/>
      <x:c r="R340" s="128"/>
      <x:c r="S340" s="128"/>
      <x:c r="T340" s="128"/>
    </x:row>
    <x:row r="341" ht="20" customHeight="1">
      <x:c r="C341" s="128"/>
      <x:c r="D341" s="128"/>
      <x:c r="E341" s="128"/>
      <x:c r="F341" s="128"/>
      <x:c r="G341" s="128"/>
      <x:c r="H341" s="128"/>
      <x:c r="I341" s="128"/>
      <x:c r="J341" s="128"/>
      <x:c r="K341" s="128"/>
      <x:c r="L341" s="128"/>
      <x:c r="M341" s="128"/>
      <x:c r="N341" s="128"/>
      <x:c r="O341" s="128"/>
      <x:c r="P341" s="128"/>
      <x:c r="Q341" s="128"/>
      <x:c r="R341" s="128"/>
      <x:c r="S341" s="128"/>
      <x:c r="T341" s="128"/>
    </x:row>
    <x:row r="342" ht="20" customHeight="1">
      <x:c r="C342" s="128"/>
      <x:c r="D342" s="128"/>
      <x:c r="E342" s="128"/>
      <x:c r="F342" s="128"/>
      <x:c r="G342" s="128"/>
      <x:c r="H342" s="128"/>
      <x:c r="I342" s="128"/>
      <x:c r="J342" s="128"/>
      <x:c r="K342" s="128"/>
      <x:c r="L342" s="128"/>
      <x:c r="M342" s="128"/>
      <x:c r="N342" s="128"/>
      <x:c r="O342" s="128"/>
      <x:c r="P342" s="128"/>
      <x:c r="Q342" s="128"/>
      <x:c r="R342" s="128"/>
      <x:c r="S342" s="128"/>
      <x:c r="T342" s="128"/>
    </x:row>
    <x:row r="343" ht="20" customHeight="1">
      <x:c r="C343" s="128"/>
      <x:c r="D343" s="128"/>
      <x:c r="E343" s="128"/>
      <x:c r="F343" s="128"/>
      <x:c r="G343" s="128"/>
      <x:c r="H343" s="128"/>
      <x:c r="I343" s="128"/>
      <x:c r="J343" s="128"/>
      <x:c r="K343" s="128"/>
      <x:c r="L343" s="128"/>
      <x:c r="M343" s="128"/>
      <x:c r="N343" s="128"/>
      <x:c r="O343" s="128"/>
      <x:c r="P343" s="128"/>
      <x:c r="Q343" s="128"/>
      <x:c r="R343" s="128"/>
      <x:c r="S343" s="128"/>
      <x:c r="T343" s="128"/>
    </x:row>
    <x:row r="344" ht="20" customHeight="1">
      <x:c r="C344" s="128"/>
      <x:c r="D344" s="128"/>
      <x:c r="E344" s="128"/>
      <x:c r="F344" s="128"/>
      <x:c r="G344" s="128"/>
      <x:c r="H344" s="128"/>
      <x:c r="I344" s="128"/>
      <x:c r="J344" s="128"/>
      <x:c r="K344" s="128"/>
      <x:c r="L344" s="128"/>
      <x:c r="M344" s="128"/>
      <x:c r="N344" s="128"/>
      <x:c r="O344" s="128"/>
      <x:c r="P344" s="128"/>
      <x:c r="Q344" s="128"/>
      <x:c r="R344" s="128"/>
      <x:c r="S344" s="128"/>
      <x:c r="T344" s="128"/>
    </x:row>
    <x:row r="345" ht="20" customHeight="1">
      <x:c r="C345" s="128"/>
      <x:c r="D345" s="128"/>
      <x:c r="E345" s="128"/>
      <x:c r="F345" s="128"/>
      <x:c r="G345" s="128"/>
      <x:c r="H345" s="128"/>
      <x:c r="I345" s="128"/>
      <x:c r="J345" s="128"/>
      <x:c r="K345" s="128"/>
      <x:c r="L345" s="128"/>
      <x:c r="M345" s="128"/>
      <x:c r="N345" s="128"/>
      <x:c r="O345" s="128"/>
      <x:c r="P345" s="128"/>
      <x:c r="Q345" s="128"/>
      <x:c r="R345" s="128"/>
      <x:c r="S345" s="128"/>
      <x:c r="T345" s="128"/>
    </x:row>
    <x:row r="346" ht="20" customHeight="1">
      <x:c r="C346" s="128"/>
      <x:c r="D346" s="128"/>
      <x:c r="E346" s="128"/>
      <x:c r="F346" s="128"/>
      <x:c r="G346" s="128"/>
      <x:c r="H346" s="128"/>
      <x:c r="I346" s="128"/>
      <x:c r="J346" s="128"/>
      <x:c r="K346" s="128"/>
      <x:c r="L346" s="128"/>
      <x:c r="M346" s="128"/>
      <x:c r="N346" s="128"/>
      <x:c r="O346" s="128"/>
      <x:c r="P346" s="128"/>
      <x:c r="Q346" s="128"/>
      <x:c r="R346" s="128"/>
      <x:c r="S346" s="128"/>
      <x:c r="T346" s="128"/>
    </x:row>
    <x:row r="347" ht="20" customHeight="1">
      <x:c r="C347" s="128"/>
      <x:c r="D347" s="128"/>
      <x:c r="E347" s="128"/>
      <x:c r="F347" s="128"/>
      <x:c r="G347" s="128"/>
      <x:c r="H347" s="128"/>
      <x:c r="I347" s="128"/>
      <x:c r="J347" s="128"/>
      <x:c r="K347" s="128"/>
      <x:c r="L347" s="128"/>
      <x:c r="M347" s="128"/>
      <x:c r="N347" s="128"/>
      <x:c r="O347" s="128"/>
      <x:c r="P347" s="128"/>
      <x:c r="Q347" s="128"/>
      <x:c r="R347" s="128"/>
      <x:c r="S347" s="128"/>
      <x:c r="T347" s="128"/>
    </x:row>
    <x:row r="348" ht="20" customHeight="1">
      <x:c r="C348" s="128"/>
      <x:c r="D348" s="128"/>
      <x:c r="E348" s="128"/>
      <x:c r="F348" s="128"/>
      <x:c r="G348" s="128"/>
      <x:c r="H348" s="128"/>
      <x:c r="I348" s="128"/>
      <x:c r="J348" s="128"/>
      <x:c r="K348" s="128"/>
      <x:c r="L348" s="128"/>
      <x:c r="M348" s="128"/>
      <x:c r="N348" s="128"/>
      <x:c r="O348" s="128"/>
      <x:c r="P348" s="128"/>
      <x:c r="Q348" s="128"/>
      <x:c r="R348" s="128"/>
      <x:c r="S348" s="128"/>
      <x:c r="T348" s="128"/>
    </x:row>
    <x:row r="349" ht="20" customHeight="1">
      <x:c r="C349" s="128"/>
      <x:c r="D349" s="128"/>
      <x:c r="E349" s="128"/>
      <x:c r="F349" s="128"/>
      <x:c r="G349" s="128"/>
      <x:c r="H349" s="128"/>
      <x:c r="I349" s="128"/>
      <x:c r="J349" s="128"/>
      <x:c r="K349" s="128"/>
      <x:c r="L349" s="128"/>
      <x:c r="M349" s="128"/>
      <x:c r="N349" s="128"/>
      <x:c r="O349" s="128"/>
      <x:c r="P349" s="128"/>
      <x:c r="Q349" s="128"/>
      <x:c r="R349" s="128"/>
      <x:c r="S349" s="128"/>
      <x:c r="T349" s="128"/>
    </x:row>
    <x:row r="350" ht="20" customHeight="1">
      <x:c r="C350" s="128"/>
      <x:c r="D350" s="128"/>
      <x:c r="E350" s="128"/>
      <x:c r="F350" s="128"/>
      <x:c r="G350" s="128"/>
      <x:c r="H350" s="128"/>
      <x:c r="I350" s="128"/>
      <x:c r="J350" s="128"/>
      <x:c r="K350" s="128"/>
      <x:c r="L350" s="128"/>
      <x:c r="M350" s="128"/>
      <x:c r="N350" s="128"/>
      <x:c r="O350" s="128"/>
      <x:c r="P350" s="128"/>
      <x:c r="Q350" s="128"/>
      <x:c r="R350" s="128"/>
      <x:c r="S350" s="128"/>
      <x:c r="T350" s="128"/>
    </x:row>
    <x:row r="351" ht="20" customHeight="1">
      <x:c r="C351" s="128"/>
      <x:c r="D351" s="128"/>
      <x:c r="E351" s="128"/>
      <x:c r="F351" s="128"/>
      <x:c r="G351" s="128"/>
      <x:c r="H351" s="128"/>
      <x:c r="I351" s="128"/>
      <x:c r="J351" s="128"/>
      <x:c r="K351" s="128"/>
      <x:c r="L351" s="128"/>
      <x:c r="M351" s="128"/>
      <x:c r="N351" s="128"/>
      <x:c r="O351" s="128"/>
      <x:c r="P351" s="128"/>
      <x:c r="Q351" s="128"/>
      <x:c r="R351" s="128"/>
      <x:c r="S351" s="128"/>
      <x:c r="T351" s="128"/>
    </x:row>
    <x:row r="352" ht="20" customHeight="1">
      <x:c r="C352" s="128"/>
      <x:c r="D352" s="128"/>
      <x:c r="E352" s="128"/>
      <x:c r="F352" s="128"/>
      <x:c r="G352" s="128"/>
      <x:c r="H352" s="128"/>
      <x:c r="I352" s="128"/>
      <x:c r="J352" s="128"/>
      <x:c r="K352" s="128"/>
      <x:c r="L352" s="128"/>
      <x:c r="M352" s="128"/>
      <x:c r="N352" s="128"/>
      <x:c r="O352" s="128"/>
      <x:c r="P352" s="128"/>
      <x:c r="Q352" s="128"/>
      <x:c r="R352" s="128"/>
      <x:c r="S352" s="128"/>
      <x:c r="T352" s="128"/>
    </x:row>
    <x:row r="353" ht="20" customHeight="1">
      <x:c r="C353" s="128"/>
      <x:c r="D353" s="128"/>
      <x:c r="E353" s="128"/>
      <x:c r="F353" s="128"/>
      <x:c r="G353" s="128"/>
      <x:c r="H353" s="128"/>
      <x:c r="I353" s="128"/>
      <x:c r="J353" s="128"/>
      <x:c r="K353" s="128"/>
      <x:c r="L353" s="128"/>
      <x:c r="M353" s="128"/>
      <x:c r="N353" s="128"/>
      <x:c r="O353" s="128"/>
      <x:c r="P353" s="128"/>
      <x:c r="Q353" s="128"/>
      <x:c r="R353" s="128"/>
      <x:c r="S353" s="128"/>
      <x:c r="T353" s="128"/>
    </x:row>
    <x:row r="354" ht="20" customHeight="1">
      <x:c r="C354" s="128"/>
      <x:c r="D354" s="128"/>
      <x:c r="E354" s="128"/>
      <x:c r="F354" s="128"/>
      <x:c r="G354" s="128"/>
      <x:c r="H354" s="128"/>
      <x:c r="I354" s="128"/>
      <x:c r="J354" s="128"/>
      <x:c r="K354" s="128"/>
      <x:c r="L354" s="128"/>
      <x:c r="M354" s="128"/>
      <x:c r="N354" s="128"/>
      <x:c r="O354" s="128"/>
      <x:c r="P354" s="128"/>
      <x:c r="Q354" s="128"/>
      <x:c r="R354" s="128"/>
      <x:c r="S354" s="128"/>
      <x:c r="T354" s="128"/>
    </x:row>
    <x:row r="355" ht="20" customHeight="1">
      <x:c r="C355" s="128"/>
      <x:c r="D355" s="128"/>
      <x:c r="E355" s="128"/>
      <x:c r="F355" s="128"/>
      <x:c r="G355" s="128"/>
      <x:c r="H355" s="128"/>
      <x:c r="I355" s="128"/>
      <x:c r="J355" s="128"/>
      <x:c r="K355" s="128"/>
      <x:c r="L355" s="128"/>
      <x:c r="M355" s="128"/>
      <x:c r="N355" s="128"/>
      <x:c r="O355" s="128"/>
      <x:c r="P355" s="128"/>
      <x:c r="Q355" s="128"/>
      <x:c r="R355" s="128"/>
      <x:c r="S355" s="128"/>
      <x:c r="T355" s="128"/>
    </x:row>
    <x:row r="356" ht="20" customHeight="1">
      <x:c r="C356" s="128"/>
      <x:c r="D356" s="128"/>
      <x:c r="E356" s="128"/>
      <x:c r="F356" s="128"/>
      <x:c r="G356" s="128"/>
      <x:c r="H356" s="128"/>
      <x:c r="I356" s="128"/>
      <x:c r="J356" s="128"/>
      <x:c r="K356" s="128"/>
      <x:c r="L356" s="128"/>
      <x:c r="M356" s="128"/>
      <x:c r="N356" s="128"/>
      <x:c r="O356" s="128"/>
      <x:c r="P356" s="128"/>
      <x:c r="Q356" s="128"/>
      <x:c r="R356" s="128"/>
      <x:c r="S356" s="128"/>
      <x:c r="T356" s="128"/>
    </x:row>
    <x:row r="357" ht="20" customHeight="1">
      <x:c r="C357" s="128"/>
      <x:c r="D357" s="128"/>
      <x:c r="E357" s="128"/>
      <x:c r="F357" s="128"/>
      <x:c r="G357" s="128"/>
      <x:c r="H357" s="128"/>
      <x:c r="I357" s="128"/>
      <x:c r="J357" s="128"/>
      <x:c r="K357" s="128"/>
      <x:c r="L357" s="128"/>
      <x:c r="M357" s="128"/>
      <x:c r="N357" s="128"/>
      <x:c r="O357" s="128"/>
      <x:c r="P357" s="128"/>
      <x:c r="Q357" s="128"/>
      <x:c r="R357" s="128"/>
      <x:c r="S357" s="128"/>
      <x:c r="T357" s="128"/>
    </x:row>
    <x:row r="358" ht="20" customHeight="1">
      <x:c r="C358" s="128"/>
      <x:c r="D358" s="128"/>
      <x:c r="E358" s="128"/>
      <x:c r="F358" s="128"/>
      <x:c r="G358" s="128"/>
      <x:c r="H358" s="128"/>
      <x:c r="I358" s="128"/>
      <x:c r="J358" s="128"/>
      <x:c r="K358" s="128"/>
      <x:c r="L358" s="128"/>
      <x:c r="M358" s="128"/>
      <x:c r="N358" s="128"/>
      <x:c r="O358" s="128"/>
      <x:c r="P358" s="128"/>
      <x:c r="Q358" s="128"/>
      <x:c r="R358" s="128"/>
      <x:c r="S358" s="128"/>
      <x:c r="T358" s="128"/>
    </x:row>
    <x:row r="359" ht="20" customHeight="1">
      <x:c r="C359" s="128"/>
      <x:c r="D359" s="128"/>
      <x:c r="E359" s="128"/>
      <x:c r="F359" s="128"/>
      <x:c r="G359" s="128"/>
      <x:c r="H359" s="128"/>
      <x:c r="I359" s="128"/>
      <x:c r="J359" s="128"/>
      <x:c r="K359" s="128"/>
      <x:c r="L359" s="128"/>
      <x:c r="M359" s="128"/>
      <x:c r="N359" s="128"/>
      <x:c r="O359" s="128"/>
      <x:c r="P359" s="128"/>
      <x:c r="Q359" s="128"/>
      <x:c r="R359" s="128"/>
      <x:c r="S359" s="128"/>
      <x:c r="T359" s="128"/>
    </x:row>
    <x:row r="360" ht="20" customHeight="1">
      <x:c r="C360" s="128"/>
      <x:c r="D360" s="128"/>
      <x:c r="E360" s="128"/>
      <x:c r="F360" s="128"/>
      <x:c r="G360" s="128"/>
      <x:c r="H360" s="128"/>
      <x:c r="I360" s="128"/>
      <x:c r="J360" s="128"/>
      <x:c r="K360" s="128"/>
      <x:c r="L360" s="128"/>
      <x:c r="M360" s="128"/>
      <x:c r="N360" s="128"/>
      <x:c r="O360" s="128"/>
      <x:c r="P360" s="128"/>
      <x:c r="Q360" s="128"/>
      <x:c r="R360" s="128"/>
      <x:c r="S360" s="128"/>
      <x:c r="T360" s="128"/>
    </x:row>
    <x:row r="361" ht="20" customHeight="1">
      <x:c r="C361" s="128"/>
      <x:c r="D361" s="128"/>
      <x:c r="E361" s="128"/>
      <x:c r="F361" s="128"/>
      <x:c r="G361" s="128"/>
      <x:c r="H361" s="128"/>
      <x:c r="I361" s="128"/>
      <x:c r="J361" s="128"/>
      <x:c r="K361" s="128"/>
      <x:c r="L361" s="128"/>
      <x:c r="M361" s="128"/>
      <x:c r="N361" s="128"/>
      <x:c r="O361" s="128"/>
      <x:c r="P361" s="128"/>
      <x:c r="Q361" s="128"/>
      <x:c r="R361" s="128"/>
      <x:c r="S361" s="128"/>
      <x:c r="T361" s="128"/>
    </x:row>
    <x:row r="362" ht="20" customHeight="1">
      <x:c r="C362" s="128"/>
      <x:c r="D362" s="128"/>
      <x:c r="E362" s="128"/>
      <x:c r="F362" s="128"/>
      <x:c r="G362" s="128"/>
      <x:c r="H362" s="128"/>
      <x:c r="I362" s="128"/>
      <x:c r="J362" s="128"/>
      <x:c r="K362" s="128"/>
      <x:c r="L362" s="128"/>
      <x:c r="M362" s="128"/>
      <x:c r="N362" s="128"/>
      <x:c r="O362" s="128"/>
      <x:c r="P362" s="128"/>
      <x:c r="Q362" s="128"/>
      <x:c r="R362" s="128"/>
      <x:c r="S362" s="128"/>
      <x:c r="T362" s="128"/>
    </x:row>
    <x:row r="363" ht="20" customHeight="1">
      <x:c r="C363" s="128"/>
      <x:c r="D363" s="128"/>
      <x:c r="E363" s="128"/>
      <x:c r="F363" s="128"/>
      <x:c r="G363" s="128"/>
      <x:c r="H363" s="128"/>
      <x:c r="I363" s="128"/>
      <x:c r="J363" s="128"/>
      <x:c r="K363" s="128"/>
      <x:c r="L363" s="128"/>
      <x:c r="M363" s="128"/>
      <x:c r="N363" s="128"/>
      <x:c r="O363" s="128"/>
      <x:c r="P363" s="128"/>
      <x:c r="Q363" s="128"/>
      <x:c r="R363" s="128"/>
      <x:c r="S363" s="128"/>
      <x:c r="T363" s="128"/>
    </x:row>
    <x:row r="364" ht="20" customHeight="1">
      <x:c r="C364" s="128"/>
      <x:c r="D364" s="128"/>
      <x:c r="E364" s="128"/>
      <x:c r="F364" s="128"/>
      <x:c r="G364" s="128"/>
      <x:c r="H364" s="128"/>
      <x:c r="I364" s="128"/>
      <x:c r="J364" s="128"/>
      <x:c r="K364" s="128"/>
      <x:c r="L364" s="128"/>
      <x:c r="M364" s="128"/>
      <x:c r="N364" s="128"/>
      <x:c r="O364" s="128"/>
      <x:c r="P364" s="128"/>
      <x:c r="Q364" s="128"/>
      <x:c r="R364" s="128"/>
      <x:c r="S364" s="128"/>
      <x:c r="T364" s="128"/>
    </x:row>
    <x:row r="365" ht="20" customHeight="1">
      <x:c r="C365" s="128"/>
      <x:c r="D365" s="128"/>
      <x:c r="E365" s="128"/>
      <x:c r="F365" s="128"/>
      <x:c r="G365" s="128"/>
      <x:c r="H365" s="128"/>
      <x:c r="I365" s="128"/>
      <x:c r="J365" s="128"/>
      <x:c r="K365" s="128"/>
      <x:c r="L365" s="128"/>
      <x:c r="M365" s="128"/>
      <x:c r="N365" s="128"/>
      <x:c r="O365" s="128"/>
      <x:c r="P365" s="128"/>
      <x:c r="Q365" s="128"/>
      <x:c r="R365" s="128"/>
      <x:c r="S365" s="128"/>
      <x:c r="T365" s="128"/>
    </x:row>
    <x:row r="366" ht="20" customHeight="1">
      <x:c r="C366" s="128"/>
      <x:c r="D366" s="128"/>
      <x:c r="E366" s="128"/>
      <x:c r="F366" s="128"/>
      <x:c r="G366" s="128"/>
      <x:c r="H366" s="128"/>
      <x:c r="I366" s="128"/>
      <x:c r="J366" s="128"/>
      <x:c r="K366" s="128"/>
      <x:c r="L366" s="128"/>
      <x:c r="M366" s="128"/>
      <x:c r="N366" s="128"/>
      <x:c r="O366" s="128"/>
      <x:c r="P366" s="128"/>
      <x:c r="Q366" s="128"/>
      <x:c r="R366" s="128"/>
      <x:c r="S366" s="128"/>
      <x:c r="T366" s="128"/>
    </x:row>
    <x:row r="367" ht="20" customHeight="1">
      <x:c r="C367" s="128"/>
      <x:c r="D367" s="128"/>
      <x:c r="E367" s="128"/>
      <x:c r="F367" s="128"/>
      <x:c r="G367" s="128"/>
      <x:c r="H367" s="128"/>
      <x:c r="I367" s="128"/>
      <x:c r="J367" s="128"/>
      <x:c r="K367" s="128"/>
      <x:c r="L367" s="128"/>
      <x:c r="M367" s="128"/>
      <x:c r="N367" s="128"/>
      <x:c r="O367" s="128"/>
      <x:c r="P367" s="128"/>
      <x:c r="Q367" s="128"/>
      <x:c r="R367" s="128"/>
      <x:c r="S367" s="128"/>
      <x:c r="T367" s="128"/>
    </x:row>
    <x:row r="368" ht="20" customHeight="1">
      <x:c r="C368" s="128"/>
      <x:c r="D368" s="128"/>
      <x:c r="E368" s="128"/>
      <x:c r="F368" s="128"/>
      <x:c r="G368" s="128"/>
      <x:c r="H368" s="128"/>
      <x:c r="I368" s="128"/>
      <x:c r="J368" s="128"/>
      <x:c r="K368" s="128"/>
      <x:c r="L368" s="128"/>
      <x:c r="M368" s="128"/>
      <x:c r="N368" s="128"/>
      <x:c r="O368" s="128"/>
      <x:c r="P368" s="128"/>
      <x:c r="Q368" s="128"/>
      <x:c r="R368" s="128"/>
      <x:c r="S368" s="128"/>
      <x:c r="T368" s="128"/>
    </x:row>
    <x:row r="369" ht="20" customHeight="1">
      <x:c r="C369" s="128"/>
      <x:c r="D369" s="128"/>
      <x:c r="E369" s="128"/>
      <x:c r="F369" s="128"/>
      <x:c r="G369" s="128"/>
      <x:c r="H369" s="128"/>
      <x:c r="I369" s="128"/>
      <x:c r="J369" s="128"/>
      <x:c r="K369" s="128"/>
      <x:c r="L369" s="128"/>
      <x:c r="M369" s="128"/>
      <x:c r="N369" s="128"/>
      <x:c r="O369" s="128"/>
      <x:c r="P369" s="128"/>
      <x:c r="Q369" s="128"/>
      <x:c r="R369" s="128"/>
      <x:c r="S369" s="128"/>
      <x:c r="T369" s="128"/>
    </x:row>
    <x:row r="370" ht="20" customHeight="1">
      <x:c r="C370" s="128"/>
      <x:c r="D370" s="128"/>
      <x:c r="E370" s="128"/>
      <x:c r="F370" s="128"/>
      <x:c r="G370" s="128"/>
      <x:c r="H370" s="128"/>
      <x:c r="I370" s="128"/>
      <x:c r="J370" s="128"/>
      <x:c r="K370" s="128"/>
      <x:c r="L370" s="128"/>
      <x:c r="M370" s="128"/>
      <x:c r="N370" s="128"/>
      <x:c r="O370" s="128"/>
      <x:c r="P370" s="128"/>
      <x:c r="Q370" s="128"/>
      <x:c r="R370" s="128"/>
      <x:c r="S370" s="128"/>
      <x:c r="T370" s="128"/>
    </x:row>
    <x:row r="371" ht="20" customHeight="1">
      <x:c r="C371" s="128"/>
      <x:c r="D371" s="128"/>
      <x:c r="E371" s="128"/>
      <x:c r="F371" s="128"/>
      <x:c r="G371" s="128"/>
      <x:c r="H371" s="128"/>
      <x:c r="I371" s="128"/>
      <x:c r="J371" s="128"/>
      <x:c r="K371" s="128"/>
      <x:c r="L371" s="128"/>
      <x:c r="M371" s="128"/>
      <x:c r="N371" s="128"/>
      <x:c r="O371" s="128"/>
      <x:c r="P371" s="128"/>
      <x:c r="Q371" s="128"/>
      <x:c r="R371" s="128"/>
      <x:c r="S371" s="128"/>
      <x:c r="T371" s="128"/>
    </x:row>
    <x:row r="372" ht="20" customHeight="1">
      <x:c r="C372" s="128"/>
      <x:c r="D372" s="128"/>
      <x:c r="E372" s="128"/>
      <x:c r="F372" s="128"/>
      <x:c r="G372" s="128"/>
      <x:c r="H372" s="128"/>
      <x:c r="I372" s="128"/>
      <x:c r="J372" s="128"/>
      <x:c r="K372" s="128"/>
      <x:c r="L372" s="128"/>
      <x:c r="M372" s="128"/>
      <x:c r="N372" s="128"/>
      <x:c r="O372" s="128"/>
      <x:c r="P372" s="128"/>
      <x:c r="Q372" s="128"/>
      <x:c r="R372" s="128"/>
      <x:c r="S372" s="128"/>
      <x:c r="T372" s="128"/>
    </x:row>
    <x:row r="373" ht="20" customHeight="1">
      <x:c r="C373" s="128"/>
      <x:c r="D373" s="128"/>
      <x:c r="E373" s="128"/>
      <x:c r="F373" s="128"/>
      <x:c r="G373" s="128"/>
      <x:c r="H373" s="128"/>
      <x:c r="I373" s="128"/>
      <x:c r="J373" s="128"/>
      <x:c r="K373" s="128"/>
      <x:c r="L373" s="128"/>
      <x:c r="M373" s="128"/>
      <x:c r="N373" s="128"/>
      <x:c r="O373" s="128"/>
      <x:c r="P373" s="128"/>
      <x:c r="Q373" s="128"/>
      <x:c r="R373" s="128"/>
      <x:c r="S373" s="128"/>
      <x:c r="T373" s="128"/>
    </x:row>
    <x:row r="374" ht="20" customHeight="1">
      <x:c r="C374" s="128"/>
      <x:c r="D374" s="128"/>
      <x:c r="E374" s="128"/>
      <x:c r="F374" s="128"/>
      <x:c r="G374" s="128"/>
      <x:c r="H374" s="128"/>
      <x:c r="I374" s="128"/>
      <x:c r="J374" s="128"/>
      <x:c r="K374" s="128"/>
      <x:c r="L374" s="128"/>
      <x:c r="M374" s="128"/>
      <x:c r="N374" s="128"/>
      <x:c r="O374" s="128"/>
      <x:c r="P374" s="128"/>
      <x:c r="Q374" s="128"/>
      <x:c r="R374" s="128"/>
      <x:c r="S374" s="128"/>
      <x:c r="T374" s="128"/>
    </x:row>
    <x:row r="375" ht="20" customHeight="1">
      <x:c r="C375" s="128"/>
      <x:c r="D375" s="128"/>
      <x:c r="E375" s="128"/>
      <x:c r="F375" s="128"/>
      <x:c r="G375" s="128"/>
      <x:c r="H375" s="128"/>
      <x:c r="I375" s="128"/>
      <x:c r="J375" s="128"/>
      <x:c r="K375" s="128"/>
      <x:c r="L375" s="128"/>
      <x:c r="M375" s="128"/>
      <x:c r="N375" s="128"/>
      <x:c r="O375" s="128"/>
      <x:c r="P375" s="128"/>
      <x:c r="Q375" s="128"/>
      <x:c r="R375" s="128"/>
      <x:c r="S375" s="128"/>
      <x:c r="T375" s="128"/>
    </x:row>
    <x:row r="376" ht="20" customHeight="1">
      <x:c r="C376" s="128"/>
      <x:c r="D376" s="128"/>
      <x:c r="E376" s="128"/>
      <x:c r="F376" s="128"/>
      <x:c r="G376" s="128"/>
      <x:c r="H376" s="128"/>
      <x:c r="I376" s="128"/>
      <x:c r="J376" s="128"/>
      <x:c r="K376" s="128"/>
      <x:c r="L376" s="128"/>
      <x:c r="M376" s="128"/>
      <x:c r="N376" s="128"/>
      <x:c r="O376" s="128"/>
      <x:c r="P376" s="128"/>
      <x:c r="Q376" s="128"/>
      <x:c r="R376" s="128"/>
      <x:c r="S376" s="128"/>
      <x:c r="T376" s="128"/>
    </x:row>
    <x:row r="377" ht="20" customHeight="1">
      <x:c r="C377" s="128"/>
      <x:c r="D377" s="128"/>
      <x:c r="E377" s="128"/>
      <x:c r="F377" s="128"/>
      <x:c r="G377" s="128"/>
      <x:c r="H377" s="128"/>
      <x:c r="I377" s="128"/>
      <x:c r="J377" s="128"/>
      <x:c r="K377" s="128"/>
      <x:c r="L377" s="128"/>
      <x:c r="M377" s="128"/>
      <x:c r="N377" s="128"/>
      <x:c r="O377" s="128"/>
      <x:c r="P377" s="128"/>
      <x:c r="Q377" s="128"/>
      <x:c r="R377" s="128"/>
      <x:c r="S377" s="128"/>
      <x:c r="T377" s="128"/>
    </x:row>
    <x:row r="378" ht="20" customHeight="1">
      <x:c r="C378" s="128"/>
      <x:c r="D378" s="128"/>
      <x:c r="E378" s="128"/>
      <x:c r="F378" s="128"/>
      <x:c r="G378" s="128"/>
      <x:c r="H378" s="128"/>
      <x:c r="I378" s="128"/>
      <x:c r="J378" s="128"/>
      <x:c r="K378" s="128"/>
      <x:c r="L378" s="128"/>
      <x:c r="M378" s="128"/>
      <x:c r="N378" s="128"/>
      <x:c r="O378" s="128"/>
      <x:c r="P378" s="128"/>
      <x:c r="Q378" s="128"/>
      <x:c r="R378" s="128"/>
      <x:c r="S378" s="128"/>
      <x:c r="T378" s="128"/>
    </x:row>
    <x:row r="379" ht="20" customHeight="1">
      <x:c r="C379" s="128"/>
      <x:c r="D379" s="128"/>
      <x:c r="E379" s="128"/>
      <x:c r="F379" s="128"/>
      <x:c r="G379" s="128"/>
      <x:c r="H379" s="128"/>
      <x:c r="I379" s="128"/>
      <x:c r="J379" s="128"/>
      <x:c r="K379" s="128"/>
      <x:c r="L379" s="128"/>
      <x:c r="M379" s="128"/>
      <x:c r="N379" s="128"/>
      <x:c r="O379" s="128"/>
      <x:c r="P379" s="128"/>
      <x:c r="Q379" s="128"/>
      <x:c r="R379" s="128"/>
      <x:c r="S379" s="128"/>
      <x:c r="T379" s="128"/>
    </x:row>
    <x:row r="380" ht="20" customHeight="1">
      <x:c r="C380" s="128"/>
      <x:c r="D380" s="128"/>
      <x:c r="E380" s="128"/>
      <x:c r="F380" s="128"/>
      <x:c r="G380" s="128"/>
      <x:c r="H380" s="128"/>
      <x:c r="I380" s="128"/>
      <x:c r="J380" s="128"/>
      <x:c r="K380" s="128"/>
      <x:c r="L380" s="128"/>
      <x:c r="M380" s="128"/>
      <x:c r="N380" s="128"/>
      <x:c r="O380" s="128"/>
      <x:c r="P380" s="128"/>
      <x:c r="Q380" s="128"/>
      <x:c r="R380" s="128"/>
      <x:c r="S380" s="128"/>
      <x:c r="T380" s="128"/>
    </x:row>
  </x:sheetData>
  <x:mergeCells>
    <x:mergeCell ref="C2:T2"/>
    <x:mergeCell ref="C3:T3"/>
    <x:mergeCell ref="C4:D4"/>
    <x:mergeCell ref="C6:T6"/>
    <x:mergeCell ref="C28:D28"/>
    <x:mergeCell ref="C29:D29"/>
    <x:mergeCell ref="C30:D30"/>
    <x:mergeCell ref="C31:D31"/>
    <x:mergeCell ref="C32:D32"/>
    <x:mergeCell ref="C33:D33"/>
    <x:mergeCell ref="C34:D34"/>
    <x:mergeCell ref="C35:D35"/>
    <x:mergeCell ref="C36:D36"/>
    <x:mergeCell ref="C37:D37"/>
    <x:mergeCell ref="C38:D38"/>
    <x:mergeCell ref="C39:D39"/>
    <x:mergeCell ref="C40:D40"/>
    <x:mergeCell ref="C41:D41"/>
    <x:mergeCell ref="C42:D42"/>
    <x:mergeCell ref="C43:D43"/>
    <x:mergeCell ref="C44:D44"/>
    <x:mergeCell ref="C45:D45"/>
    <x:mergeCell ref="C46:D46"/>
    <x:mergeCell ref="C47:D47"/>
    <x:mergeCell ref="C48:D48"/>
    <x:mergeCell ref="C49:D49"/>
    <x:mergeCell ref="C50:D50"/>
    <x:mergeCell ref="C51:D51"/>
    <x:mergeCell ref="C52:D52"/>
    <x:mergeCell ref="C53:D53"/>
    <x:mergeCell ref="C54:D54"/>
    <x:mergeCell ref="C55:D55"/>
    <x:mergeCell ref="C98:D98"/>
    <x:mergeCell ref="C99:D99"/>
    <x:mergeCell ref="C100:D100"/>
    <x:mergeCell ref="C101:D101"/>
    <x:mergeCell ref="C102:D102"/>
    <x:mergeCell ref="C103:D103"/>
    <x:mergeCell ref="C104:D104"/>
    <x:mergeCell ref="C105:D105"/>
    <x:mergeCell ref="C106:D106"/>
    <x:mergeCell ref="C107:D107"/>
    <x:mergeCell ref="C108:D108"/>
    <x:mergeCell ref="C109:D109"/>
    <x:mergeCell ref="C110:D110"/>
    <x:mergeCell ref="C111:D111"/>
    <x:mergeCell ref="C112:D112"/>
    <x:mergeCell ref="C113:D113"/>
    <x:mergeCell ref="C114:D114"/>
    <x:mergeCell ref="C115:D115"/>
    <x:mergeCell ref="C116:D116"/>
    <x:mergeCell ref="C117:D117"/>
    <x:mergeCell ref="C118:D118"/>
    <x:mergeCell ref="C119:D119"/>
    <x:mergeCell ref="C120:D120"/>
    <x:mergeCell ref="C121:D121"/>
    <x:mergeCell ref="C122:D122"/>
    <x:mergeCell ref="C123:D123"/>
    <x:mergeCell ref="C124:D124"/>
    <x:mergeCell ref="C125:D125"/>
    <x:mergeCell ref="C9:T9"/>
    <x:mergeCell ref="C81:T81"/>
    <x:mergeCell ref="C151:T151"/>
    <x:mergeCell ref="C152:T152"/>
    <x:mergeCell ref="C153:T153"/>
    <x:mergeCell ref="C154:T154"/>
    <x:mergeCell ref="C155:T155"/>
    <x:mergeCell ref="C156:T156"/>
    <x:mergeCell ref="C157:T157"/>
    <x:mergeCell ref="C160:T160"/>
    <x:mergeCell ref="C161:T161"/>
    <x:mergeCell ref="C162:T162"/>
    <x:mergeCell ref="C163:T163"/>
    <x:mergeCell ref="C164:T164"/>
    <x:mergeCell ref="C165:T165"/>
    <x:mergeCell ref="C166:T166"/>
    <x:mergeCell ref="C167:T167"/>
    <x:mergeCell ref="C168:T168"/>
    <x:mergeCell ref="C169:T169"/>
    <x:mergeCell ref="C170:T170"/>
    <x:mergeCell ref="C171:T171"/>
    <x:mergeCell ref="C172:T172"/>
    <x:mergeCell ref="C173:T173"/>
    <x:mergeCell ref="C174:T174"/>
    <x:mergeCell ref="C175:T175"/>
    <x:mergeCell ref="C176:T176"/>
    <x:mergeCell ref="C177:T177"/>
    <x:mergeCell ref="C178:T178"/>
    <x:mergeCell ref="C179:T179"/>
    <x:mergeCell ref="C180:T180"/>
    <x:mergeCell ref="C181:T181"/>
    <x:mergeCell ref="C182:T182"/>
    <x:mergeCell ref="C183:T183"/>
    <x:mergeCell ref="C184:T184"/>
    <x:mergeCell ref="C185:T185"/>
    <x:mergeCell ref="C186:T186"/>
    <x:mergeCell ref="C187:T187"/>
    <x:mergeCell ref="C188:T188"/>
    <x:mergeCell ref="C189:T189"/>
    <x:mergeCell ref="C190:T190"/>
    <x:mergeCell ref="C191:T191"/>
    <x:mergeCell ref="C192:T192"/>
    <x:mergeCell ref="C193:T193"/>
    <x:mergeCell ref="C194:T194"/>
    <x:mergeCell ref="C195:T195"/>
    <x:mergeCell ref="C196:T196"/>
    <x:mergeCell ref="C197:T197"/>
    <x:mergeCell ref="C198:T198"/>
    <x:mergeCell ref="C199:T199"/>
    <x:mergeCell ref="C200:T200"/>
    <x:mergeCell ref="C201:T201"/>
    <x:mergeCell ref="C202:T202"/>
    <x:mergeCell ref="C203:T203"/>
    <x:mergeCell ref="C204:T204"/>
    <x:mergeCell ref="C205:T205"/>
    <x:mergeCell ref="C206:T206"/>
    <x:mergeCell ref="C207:T207"/>
    <x:mergeCell ref="C208:T208"/>
    <x:mergeCell ref="C209:T209"/>
    <x:mergeCell ref="C210:T210"/>
    <x:mergeCell ref="C211:T211"/>
    <x:mergeCell ref="C212:T212"/>
    <x:mergeCell ref="C213:T213"/>
    <x:mergeCell ref="C214:T214"/>
    <x:mergeCell ref="C215:T215"/>
    <x:mergeCell ref="C216:T216"/>
    <x:mergeCell ref="C217:T217"/>
    <x:mergeCell ref="C218:T218"/>
    <x:mergeCell ref="C219:T219"/>
    <x:mergeCell ref="C220:T220"/>
    <x:mergeCell ref="C221:T221"/>
    <x:mergeCell ref="C222:T222"/>
    <x:mergeCell ref="C223:T223"/>
    <x:mergeCell ref="C224:T224"/>
    <x:mergeCell ref="C225:T225"/>
    <x:mergeCell ref="C226:T226"/>
    <x:mergeCell ref="C227:T227"/>
    <x:mergeCell ref="C228:T228"/>
    <x:mergeCell ref="C229:T229"/>
    <x:mergeCell ref="C230:T230"/>
    <x:mergeCell ref="C231:T231"/>
    <x:mergeCell ref="C232:T232"/>
    <x:mergeCell ref="C233:T233"/>
    <x:mergeCell ref="C234:T234"/>
    <x:mergeCell ref="C235:T235"/>
    <x:mergeCell ref="C236:T236"/>
    <x:mergeCell ref="C237:T237"/>
    <x:mergeCell ref="C238:T238"/>
    <x:mergeCell ref="C239:T239"/>
    <x:mergeCell ref="C240:T240"/>
    <x:mergeCell ref="C241:T241"/>
    <x:mergeCell ref="C242:T242"/>
    <x:mergeCell ref="C243:T243"/>
    <x:mergeCell ref="C244:T244"/>
    <x:mergeCell ref="C245:T245"/>
    <x:mergeCell ref="C246:T246"/>
    <x:mergeCell ref="C247:T247"/>
    <x:mergeCell ref="C248:T248"/>
    <x:mergeCell ref="C249:T249"/>
    <x:mergeCell ref="C250:T250"/>
    <x:mergeCell ref="C251:T251"/>
    <x:mergeCell ref="C252:T252"/>
    <x:mergeCell ref="C253:T253"/>
    <x:mergeCell ref="C254:T254"/>
    <x:mergeCell ref="C255:T255"/>
    <x:mergeCell ref="C256:T256"/>
    <x:mergeCell ref="C257:T257"/>
    <x:mergeCell ref="C258:T258"/>
    <x:mergeCell ref="C259:T259"/>
    <x:mergeCell ref="C260:T260"/>
    <x:mergeCell ref="C261:T261"/>
    <x:mergeCell ref="C262:T262"/>
    <x:mergeCell ref="C263:T263"/>
    <x:mergeCell ref="C264:T264"/>
    <x:mergeCell ref="C265:T265"/>
    <x:mergeCell ref="C266:T266"/>
    <x:mergeCell ref="C267:T267"/>
    <x:mergeCell ref="C268:T268"/>
    <x:mergeCell ref="C269:T269"/>
    <x:mergeCell ref="C270:T270"/>
    <x:mergeCell ref="C271:T271"/>
    <x:mergeCell ref="C272:T272"/>
    <x:mergeCell ref="C273:T273"/>
    <x:mergeCell ref="C274:T274"/>
    <x:mergeCell ref="C275:T275"/>
    <x:mergeCell ref="C276:T276"/>
    <x:mergeCell ref="C277:T277"/>
    <x:mergeCell ref="C278:T278"/>
    <x:mergeCell ref="C279:T279"/>
    <x:mergeCell ref="C280:T280"/>
    <x:mergeCell ref="C281:T281"/>
    <x:mergeCell ref="C282:T282"/>
    <x:mergeCell ref="C283:T283"/>
    <x:mergeCell ref="C284:T284"/>
    <x:mergeCell ref="C285:T285"/>
    <x:mergeCell ref="C286:T286"/>
    <x:mergeCell ref="C287:T287"/>
    <x:mergeCell ref="C288:T288"/>
    <x:mergeCell ref="C289:T289"/>
    <x:mergeCell ref="C290:T290"/>
    <x:mergeCell ref="C291:T291"/>
    <x:mergeCell ref="C292:T292"/>
    <x:mergeCell ref="C293:T293"/>
    <x:mergeCell ref="C294:T294"/>
    <x:mergeCell ref="C295:T295"/>
    <x:mergeCell ref="C296:T296"/>
    <x:mergeCell ref="C297:T297"/>
    <x:mergeCell ref="C298:T298"/>
    <x:mergeCell ref="C299:T299"/>
    <x:mergeCell ref="C300:T300"/>
    <x:mergeCell ref="C301:T301"/>
    <x:mergeCell ref="C302:T302"/>
    <x:mergeCell ref="C303:T303"/>
    <x:mergeCell ref="C304:T304"/>
    <x:mergeCell ref="C305:T305"/>
    <x:mergeCell ref="C306:T306"/>
    <x:mergeCell ref="C307:T307"/>
    <x:mergeCell ref="C308:T308"/>
    <x:mergeCell ref="C309:T309"/>
    <x:mergeCell ref="C310:T310"/>
    <x:mergeCell ref="C311:T311"/>
    <x:mergeCell ref="C312:T312"/>
    <x:mergeCell ref="C313:T313"/>
    <x:mergeCell ref="C314:T314"/>
    <x:mergeCell ref="C315:T315"/>
    <x:mergeCell ref="C316:T316"/>
    <x:mergeCell ref="C317:T317"/>
    <x:mergeCell ref="C318:T318"/>
    <x:mergeCell ref="C319:T319"/>
    <x:mergeCell ref="C320:T320"/>
    <x:mergeCell ref="C321:T321"/>
    <x:mergeCell ref="C322:T322"/>
    <x:mergeCell ref="C323:T323"/>
    <x:mergeCell ref="C324:T324"/>
    <x:mergeCell ref="C325:T325"/>
    <x:mergeCell ref="C326:T326"/>
    <x:mergeCell ref="C327:T327"/>
    <x:mergeCell ref="C328:T328"/>
    <x:mergeCell ref="C329:T329"/>
    <x:mergeCell ref="C330:T330"/>
    <x:mergeCell ref="C331:T331"/>
    <x:mergeCell ref="C332:T332"/>
  </x:mergeCells>
  <x:pageMargins left="0.7" right="0.7" top="0.75" bottom="0.75" header="0.3" footer="0.3"/>
  <x:drawing xmlns:r="http://schemas.openxmlformats.org/officeDocument/2006/relationships" r:id="R9f85ace1311a4c06"/>
  <x:legacyDrawing xmlns:r="http://schemas.openxmlformats.org/officeDocument/2006/relationships" r:id="R45caa80d311d4f29"/>
</x:worksheet>
</file>